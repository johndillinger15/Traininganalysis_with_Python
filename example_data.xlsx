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showInkAnnotation="0" updateLinks="always" autoCompressPictures="0"/>
  <mc:AlternateContent xmlns:mc="http://schemas.openxmlformats.org/markup-compatibility/2006">
    <mc:Choice Requires="x15">
      <x15ac:absPath xmlns:x15ac="http://schemas.microsoft.com/office/spreadsheetml/2010/11/ac" url="/Users/stefandillinger/Nextcloud/Training/Trainingsanalyse/"/>
    </mc:Choice>
  </mc:AlternateContent>
  <xr:revisionPtr revIDLastSave="0" documentId="13_ncr:1_{92A1C6B1-73F1-2343-8950-909B063794D3}" xr6:coauthVersionLast="47" xr6:coauthVersionMax="47" xr10:uidLastSave="{00000000-0000-0000-0000-000000000000}"/>
  <bookViews>
    <workbookView xWindow="0" yWindow="500" windowWidth="25980" windowHeight="17500" tabRatio="808" xr2:uid="{00000000-000D-0000-FFFF-FFFF00000000}"/>
  </bookViews>
  <sheets>
    <sheet name="2018+" sheetId="14" r:id="rId1"/>
    <sheet name="rowing" sheetId="46" r:id="rId2"/>
  </sheets>
  <definedNames>
    <definedName name="_xlnm._FilterDatabase" localSheetId="0" hidden="1">'2018+'!$A$1:$S$2548</definedName>
    <definedName name="_xlnm.Print_Area" localSheetId="0">'2018+'!$B$1469:$S$1622</definedName>
    <definedName name="Schuhe">"$#REF!.$B$3:$B$13"</definedName>
  </definedNames>
  <calcPr calcId="191028"/>
  <fileRecoveryPr autoRecover="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9" i="46" l="1"/>
  <c r="H9" i="46"/>
  <c r="H8" i="46"/>
  <c r="H7" i="46"/>
  <c r="H6" i="46"/>
  <c r="H5" i="46"/>
  <c r="H4" i="46"/>
  <c r="H3" i="46"/>
  <c r="H2766" i="14"/>
  <c r="H2772" i="14"/>
  <c r="H2779" i="14"/>
  <c r="H2789" i="14"/>
  <c r="I2789" i="14" s="1"/>
  <c r="N2789" i="14" s="1"/>
  <c r="S2789" i="14"/>
  <c r="I2754" i="14"/>
  <c r="I2753" i="14"/>
  <c r="N2753" i="14"/>
  <c r="I2587" i="14"/>
  <c r="N2587" i="14"/>
  <c r="I2588" i="14"/>
  <c r="I2577" i="14"/>
  <c r="H2550" i="14"/>
  <c r="H2496" i="14"/>
  <c r="A2813" i="14"/>
  <c r="S2813" i="14"/>
  <c r="S2814" i="14"/>
  <c r="S2815" i="14"/>
  <c r="S2816" i="14"/>
  <c r="S2817" i="14"/>
  <c r="S2818" i="14"/>
  <c r="B2819" i="14"/>
  <c r="S2819" i="14"/>
  <c r="A2820" i="14"/>
  <c r="S2820" i="14"/>
  <c r="S2821" i="14"/>
  <c r="S2822" i="14"/>
  <c r="K2823" i="14"/>
  <c r="S2823" i="14"/>
  <c r="K2824" i="14"/>
  <c r="S2824" i="14"/>
  <c r="K2825" i="14"/>
  <c r="S2825" i="14"/>
  <c r="B2826" i="14"/>
  <c r="K2826" i="14"/>
  <c r="S2826" i="14"/>
  <c r="A2827" i="14"/>
  <c r="K2827" i="14"/>
  <c r="S2827" i="14"/>
  <c r="K2828" i="14"/>
  <c r="S2828" i="14"/>
  <c r="K2829" i="14"/>
  <c r="S2829" i="14"/>
  <c r="K2830" i="14"/>
  <c r="S2830" i="14"/>
  <c r="K2831" i="14"/>
  <c r="S2831" i="14"/>
  <c r="K2832" i="14"/>
  <c r="S2832" i="14"/>
  <c r="B2833" i="14"/>
  <c r="K2833" i="14"/>
  <c r="S2833" i="14"/>
  <c r="A2834" i="14"/>
  <c r="K2834" i="14"/>
  <c r="S2834" i="14"/>
  <c r="K2835" i="14"/>
  <c r="S2835" i="14"/>
  <c r="K2836" i="14"/>
  <c r="S2836" i="14"/>
  <c r="K2837" i="14"/>
  <c r="S2837" i="14"/>
  <c r="K2838" i="14"/>
  <c r="S2838" i="14"/>
  <c r="K2839" i="14"/>
  <c r="S2839" i="14"/>
  <c r="B2840" i="14"/>
  <c r="K2840" i="14"/>
  <c r="S2840" i="14"/>
  <c r="A2841" i="14"/>
  <c r="K2841" i="14"/>
  <c r="S2841" i="14"/>
  <c r="K2842" i="14"/>
  <c r="S2842" i="14"/>
  <c r="K2843" i="14"/>
  <c r="S2843" i="14"/>
  <c r="K2844" i="14"/>
  <c r="S2844" i="14"/>
  <c r="K2845" i="14"/>
  <c r="S2845" i="14"/>
  <c r="K2846" i="14"/>
  <c r="S2846" i="14"/>
  <c r="B2847" i="14"/>
  <c r="K2847" i="14"/>
  <c r="S2847" i="14"/>
  <c r="A2848" i="14"/>
  <c r="K2848" i="14"/>
  <c r="S2848" i="14"/>
  <c r="K2849" i="14"/>
  <c r="S2849" i="14"/>
  <c r="H2850" i="14"/>
  <c r="I2850" i="14" s="1"/>
  <c r="N2850" i="14" s="1"/>
  <c r="K2850" i="14"/>
  <c r="P2850" i="14"/>
  <c r="R2850" i="14"/>
  <c r="S2850" i="14"/>
  <c r="K2851" i="14"/>
  <c r="S2851" i="14"/>
  <c r="K2852" i="14"/>
  <c r="S2852" i="14"/>
  <c r="K2853" i="14"/>
  <c r="S2853" i="14"/>
  <c r="B2854" i="14"/>
  <c r="K2854" i="14"/>
  <c r="S2854" i="14"/>
  <c r="A2855" i="14"/>
  <c r="K2855" i="14"/>
  <c r="S2855" i="14"/>
  <c r="K2856" i="14"/>
  <c r="S2856" i="14"/>
  <c r="K2857" i="14"/>
  <c r="S2857" i="14"/>
  <c r="K2858" i="14"/>
  <c r="S2858" i="14"/>
  <c r="K2859" i="14"/>
  <c r="S2859" i="14"/>
  <c r="K2860" i="14"/>
  <c r="S2860" i="14"/>
  <c r="B2861" i="14"/>
  <c r="K2861" i="14"/>
  <c r="S2861" i="14"/>
  <c r="A2862" i="14"/>
  <c r="K2862" i="14"/>
  <c r="S2862" i="14"/>
  <c r="K2863" i="14"/>
  <c r="S2863" i="14"/>
  <c r="K2864" i="14"/>
  <c r="S2864" i="14"/>
  <c r="K2865" i="14"/>
  <c r="S2865" i="14"/>
  <c r="K2866" i="14"/>
  <c r="S2866" i="14"/>
  <c r="K2867" i="14"/>
  <c r="S2867" i="14"/>
  <c r="B2868" i="14"/>
  <c r="K2868" i="14"/>
  <c r="S2868" i="14"/>
  <c r="A2869" i="14"/>
  <c r="K2869" i="14"/>
  <c r="S2869" i="14"/>
  <c r="K2870" i="14"/>
  <c r="S2870" i="14"/>
  <c r="K2871" i="14"/>
  <c r="S2871" i="14"/>
  <c r="K2872" i="14"/>
  <c r="S2872" i="14"/>
  <c r="K2873" i="14"/>
  <c r="S2873" i="14"/>
  <c r="H2874" i="14"/>
  <c r="I2874" i="14" s="1"/>
  <c r="N2874" i="14" s="1"/>
  <c r="K2874" i="14"/>
  <c r="S2874" i="14"/>
  <c r="B2875" i="14"/>
  <c r="K2875" i="14"/>
  <c r="S2875" i="14"/>
  <c r="A2876" i="14"/>
  <c r="K2876" i="14"/>
  <c r="S2876" i="14"/>
  <c r="K2877" i="14"/>
  <c r="S2877" i="14"/>
  <c r="K2878" i="14"/>
  <c r="S2878" i="14"/>
  <c r="K2879" i="14"/>
  <c r="S2879" i="14"/>
  <c r="K2880" i="14"/>
  <c r="S2880" i="14"/>
  <c r="H2881" i="14"/>
  <c r="I2881" i="14" s="1"/>
  <c r="N2881" i="14" s="1"/>
  <c r="K2881" i="14"/>
  <c r="P2881" i="14"/>
  <c r="R2881" i="14"/>
  <c r="S2881" i="14"/>
  <c r="B2882" i="14"/>
  <c r="K2882" i="14"/>
  <c r="S2882" i="14"/>
  <c r="A2883" i="14"/>
  <c r="K2883" i="14"/>
  <c r="S2883" i="14"/>
  <c r="K2884" i="14"/>
  <c r="S2884" i="14"/>
  <c r="K2885" i="14"/>
  <c r="S2885" i="14"/>
  <c r="K2886" i="14"/>
  <c r="S2886" i="14"/>
  <c r="K2887" i="14"/>
  <c r="S2887" i="14"/>
  <c r="K2888" i="14"/>
  <c r="S2888" i="14"/>
  <c r="B2889" i="14"/>
  <c r="K2889" i="14"/>
  <c r="S2889" i="14"/>
  <c r="A2890" i="14"/>
  <c r="K2890" i="14"/>
  <c r="S2890" i="14"/>
  <c r="K2891" i="14"/>
  <c r="S2891" i="14"/>
  <c r="K2892" i="14"/>
  <c r="S2892" i="14"/>
  <c r="K2893" i="14"/>
  <c r="S2893" i="14"/>
  <c r="K2894" i="14"/>
  <c r="S2894" i="14"/>
  <c r="H2895" i="14"/>
  <c r="I2895" i="14" s="1"/>
  <c r="N2895" i="14" s="1"/>
  <c r="K2895" i="14"/>
  <c r="P2895" i="14"/>
  <c r="R2895" i="14"/>
  <c r="S2895" i="14"/>
  <c r="B2896" i="14"/>
  <c r="K2896" i="14"/>
  <c r="S2896" i="14"/>
  <c r="B2895" i="14"/>
  <c r="A2897" i="14"/>
  <c r="K2897" i="14"/>
  <c r="S2897" i="14"/>
  <c r="K2898" i="14"/>
  <c r="S2898" i="14"/>
  <c r="K2899" i="14"/>
  <c r="S2899" i="14"/>
  <c r="K2900" i="14"/>
  <c r="S2900" i="14"/>
  <c r="K2901" i="14"/>
  <c r="S2901" i="14"/>
  <c r="H2902" i="14"/>
  <c r="I2902" i="14" s="1"/>
  <c r="N2902" i="14" s="1"/>
  <c r="K2902" i="14"/>
  <c r="P2902" i="14"/>
  <c r="R2902" i="14"/>
  <c r="S2902" i="14"/>
  <c r="B2903" i="14"/>
  <c r="K2903" i="14"/>
  <c r="S2903" i="14"/>
  <c r="A2904" i="14"/>
  <c r="K2904" i="14"/>
  <c r="S2904" i="14"/>
  <c r="K2905" i="14"/>
  <c r="S2905" i="14"/>
  <c r="K2906" i="14"/>
  <c r="S2906" i="14"/>
  <c r="K2907" i="14"/>
  <c r="S2907" i="14"/>
  <c r="K2908" i="14"/>
  <c r="S2908" i="14"/>
  <c r="H2909" i="14"/>
  <c r="I2909" i="14" s="1"/>
  <c r="N2909" i="14" s="1"/>
  <c r="K2909" i="14"/>
  <c r="P2909" i="14"/>
  <c r="R2909" i="14"/>
  <c r="S2909" i="14"/>
  <c r="B2910" i="14"/>
  <c r="K2910" i="14"/>
  <c r="S2910" i="14"/>
  <c r="A2911" i="14"/>
  <c r="K2911" i="14"/>
  <c r="S2911" i="14"/>
  <c r="K2912" i="14"/>
  <c r="S2912" i="14"/>
  <c r="K2913" i="14"/>
  <c r="S2913" i="14"/>
  <c r="K2914" i="14"/>
  <c r="S2914" i="14"/>
  <c r="K2915" i="14"/>
  <c r="S2915" i="14"/>
  <c r="H2916" i="14"/>
  <c r="I2916" i="14" s="1"/>
  <c r="N2916" i="14" s="1"/>
  <c r="K2916" i="14"/>
  <c r="P2916" i="14"/>
  <c r="R2916" i="14"/>
  <c r="S2916" i="14"/>
  <c r="B2917" i="14"/>
  <c r="K2917" i="14"/>
  <c r="S2917" i="14"/>
  <c r="A2918" i="14"/>
  <c r="K2918" i="14"/>
  <c r="S2918" i="14"/>
  <c r="K2919" i="14"/>
  <c r="S2919" i="14"/>
  <c r="K2920" i="14"/>
  <c r="S2920" i="14"/>
  <c r="K2921" i="14"/>
  <c r="S2921" i="14"/>
  <c r="K2922" i="14"/>
  <c r="S2922" i="14"/>
  <c r="H2923" i="14"/>
  <c r="I2923" i="14" s="1"/>
  <c r="N2923" i="14" s="1"/>
  <c r="K2923" i="14"/>
  <c r="P2923" i="14"/>
  <c r="R2923" i="14"/>
  <c r="S2923" i="14"/>
  <c r="B2924" i="14"/>
  <c r="K2924" i="14"/>
  <c r="S2924" i="14"/>
  <c r="B2923" i="14"/>
  <c r="A2925" i="14"/>
  <c r="K2925" i="14"/>
  <c r="S2925" i="14"/>
  <c r="K2926" i="14"/>
  <c r="S2926" i="14"/>
  <c r="K2927" i="14"/>
  <c r="S2927" i="14"/>
  <c r="K2928" i="14"/>
  <c r="S2928" i="14"/>
  <c r="K2929" i="14"/>
  <c r="S2929" i="14"/>
  <c r="H2930" i="14"/>
  <c r="I2930" i="14" s="1"/>
  <c r="N2930" i="14" s="1"/>
  <c r="K2930" i="14"/>
  <c r="P2930" i="14"/>
  <c r="R2930" i="14"/>
  <c r="S2930" i="14"/>
  <c r="B2931" i="14"/>
  <c r="K2931" i="14"/>
  <c r="S2931" i="14"/>
  <c r="A2932" i="14"/>
  <c r="K2932" i="14"/>
  <c r="S2932" i="14"/>
  <c r="K2933" i="14"/>
  <c r="S2933" i="14"/>
  <c r="K2934" i="14"/>
  <c r="S2934" i="14"/>
  <c r="B2938" i="14"/>
  <c r="A2582" i="14"/>
  <c r="S2582" i="14"/>
  <c r="S2583" i="14"/>
  <c r="I2584" i="14"/>
  <c r="N2584" i="14"/>
  <c r="S2584" i="14"/>
  <c r="S2585" i="14"/>
  <c r="S2586" i="14"/>
  <c r="S2587" i="14"/>
  <c r="B2588" i="14"/>
  <c r="S2588" i="14"/>
  <c r="A2589" i="14"/>
  <c r="S2589" i="14"/>
  <c r="S2590" i="14"/>
  <c r="S2591" i="14"/>
  <c r="S2592" i="14"/>
  <c r="S2593" i="14"/>
  <c r="S2594" i="14"/>
  <c r="B2595" i="14"/>
  <c r="S2595" i="14"/>
  <c r="A2596" i="14"/>
  <c r="S2596" i="14"/>
  <c r="S2597" i="14"/>
  <c r="S2598" i="14"/>
  <c r="S2599" i="14"/>
  <c r="H2600" i="14"/>
  <c r="I2600" i="14" s="1"/>
  <c r="N2600" i="14" s="1"/>
  <c r="P2600" i="14"/>
  <c r="R2600" i="14"/>
  <c r="S2600" i="14"/>
  <c r="S2601" i="14"/>
  <c r="B2602" i="14"/>
  <c r="S2602" i="14"/>
  <c r="A2603" i="14"/>
  <c r="S2603" i="14"/>
  <c r="S2604" i="14"/>
  <c r="S2605" i="14"/>
  <c r="S2606" i="14"/>
  <c r="S2607" i="14"/>
  <c r="S2608" i="14"/>
  <c r="B2609" i="14"/>
  <c r="H2609" i="14"/>
  <c r="I2609" i="14" s="1"/>
  <c r="N2609" i="14" s="1"/>
  <c r="P2609" i="14"/>
  <c r="R2609" i="14"/>
  <c r="S2609" i="14"/>
  <c r="A2610" i="14"/>
  <c r="S2610" i="14"/>
  <c r="S2611" i="14"/>
  <c r="S2612" i="14"/>
  <c r="S2613" i="14"/>
  <c r="S2614" i="14"/>
  <c r="S2615" i="14"/>
  <c r="B2616" i="14"/>
  <c r="S2616" i="14"/>
  <c r="A2617" i="14"/>
  <c r="S2617" i="14"/>
  <c r="S2618" i="14"/>
  <c r="S2619" i="14"/>
  <c r="S2620" i="14"/>
  <c r="S2621" i="14"/>
  <c r="S2622" i="14"/>
  <c r="B2623" i="14"/>
  <c r="S2623" i="14"/>
  <c r="A2624" i="14"/>
  <c r="S2624" i="14"/>
  <c r="S2625" i="14"/>
  <c r="S2626" i="14"/>
  <c r="S2627" i="14"/>
  <c r="S2628" i="14"/>
  <c r="S2629" i="14"/>
  <c r="B2630" i="14"/>
  <c r="S2630" i="14"/>
  <c r="A2631" i="14"/>
  <c r="S2631" i="14"/>
  <c r="S2633" i="14"/>
  <c r="S2634" i="14"/>
  <c r="S2635" i="14"/>
  <c r="S2636" i="14"/>
  <c r="B2637" i="14"/>
  <c r="S2637" i="14"/>
  <c r="A2638" i="14"/>
  <c r="S2638" i="14"/>
  <c r="S2639" i="14"/>
  <c r="S2640" i="14"/>
  <c r="S2641" i="14"/>
  <c r="S2642" i="14"/>
  <c r="S2643" i="14"/>
  <c r="B2644" i="14"/>
  <c r="S2644" i="14"/>
  <c r="A2645" i="14"/>
  <c r="S2645" i="14"/>
  <c r="S2646" i="14"/>
  <c r="S2647" i="14"/>
  <c r="S2648" i="14"/>
  <c r="S2649" i="14"/>
  <c r="S2650" i="14"/>
  <c r="B2651" i="14"/>
  <c r="S2651" i="14"/>
  <c r="A2652" i="14"/>
  <c r="S2652" i="14"/>
  <c r="S2654" i="14"/>
  <c r="S2655" i="14"/>
  <c r="S2656" i="14"/>
  <c r="S2657" i="14"/>
  <c r="B2658" i="14"/>
  <c r="S2658" i="14"/>
  <c r="A2659" i="14"/>
  <c r="S2659" i="14"/>
  <c r="S2660" i="14"/>
  <c r="S2661" i="14"/>
  <c r="S2662" i="14"/>
  <c r="S2663" i="14"/>
  <c r="S2664" i="14"/>
  <c r="B2665" i="14"/>
  <c r="S2665" i="14"/>
  <c r="A2666" i="14"/>
  <c r="S2666" i="14"/>
  <c r="S2667" i="14"/>
  <c r="S2668" i="14"/>
  <c r="S2669" i="14"/>
  <c r="S2670" i="14"/>
  <c r="S2671" i="14"/>
  <c r="B2672" i="14"/>
  <c r="S2672" i="14"/>
  <c r="A2673" i="14"/>
  <c r="S2673" i="14"/>
  <c r="S2674" i="14"/>
  <c r="S2675" i="14"/>
  <c r="S2676" i="14"/>
  <c r="S2677" i="14"/>
  <c r="S2678" i="14"/>
  <c r="B2679" i="14"/>
  <c r="S2679" i="14"/>
  <c r="A2680" i="14"/>
  <c r="S2680" i="14"/>
  <c r="S2681" i="14"/>
  <c r="S2682" i="14"/>
  <c r="S2683" i="14"/>
  <c r="S2684" i="14"/>
  <c r="S2685" i="14"/>
  <c r="B2686" i="14"/>
  <c r="S2686" i="14"/>
  <c r="A2687" i="14"/>
  <c r="S2687" i="14"/>
  <c r="S2688" i="14"/>
  <c r="S2689" i="14"/>
  <c r="S2690" i="14"/>
  <c r="S2691" i="14"/>
  <c r="S2692" i="14"/>
  <c r="B2693" i="14"/>
  <c r="H2693" i="14"/>
  <c r="I2693" i="14" s="1"/>
  <c r="N2693" i="14" s="1"/>
  <c r="P2693" i="14"/>
  <c r="R2693" i="14"/>
  <c r="S2693" i="14"/>
  <c r="A2694" i="14"/>
  <c r="S2694" i="14"/>
  <c r="S2695" i="14"/>
  <c r="S2696" i="14"/>
  <c r="S2697" i="14"/>
  <c r="S2698" i="14"/>
  <c r="S2699" i="14"/>
  <c r="B2700" i="14"/>
  <c r="H2700" i="14"/>
  <c r="I2700" i="14" s="1"/>
  <c r="N2700" i="14" s="1"/>
  <c r="P2700" i="14"/>
  <c r="R2700" i="14"/>
  <c r="S2700" i="14"/>
  <c r="A2701" i="14"/>
  <c r="S2701" i="14"/>
  <c r="H2702" i="14"/>
  <c r="I2702" i="14" s="1"/>
  <c r="N2702" i="14" s="1"/>
  <c r="P2702" i="14"/>
  <c r="R2702" i="14"/>
  <c r="S2702" i="14"/>
  <c r="S2703" i="14"/>
  <c r="S2704" i="14"/>
  <c r="K2705" i="14"/>
  <c r="S2705" i="14"/>
  <c r="S2706" i="14"/>
  <c r="B2707" i="14"/>
  <c r="S2707" i="14"/>
  <c r="A2708" i="14"/>
  <c r="S2708" i="14"/>
  <c r="S2709" i="14"/>
  <c r="S2710" i="14"/>
  <c r="S2711" i="14"/>
  <c r="H2712" i="14"/>
  <c r="I2712" i="14" s="1"/>
  <c r="N2712" i="14" s="1"/>
  <c r="P2712" i="14"/>
  <c r="R2712" i="14"/>
  <c r="S2712" i="14"/>
  <c r="S2713" i="14"/>
  <c r="B2714" i="14"/>
  <c r="I2714" i="14"/>
  <c r="N2714" i="14"/>
  <c r="P2714" i="14"/>
  <c r="R2714" i="14"/>
  <c r="S2714" i="14"/>
  <c r="A2715" i="14"/>
  <c r="H2715" i="14"/>
  <c r="I2715" i="14" s="1"/>
  <c r="N2715" i="14" s="1"/>
  <c r="P2715" i="14"/>
  <c r="R2715" i="14"/>
  <c r="S2715" i="14"/>
  <c r="H2716" i="14"/>
  <c r="I2716" i="14" s="1"/>
  <c r="N2716" i="14" s="1"/>
  <c r="P2716" i="14"/>
  <c r="R2716" i="14"/>
  <c r="S2716" i="14"/>
  <c r="H2717" i="14"/>
  <c r="I2717" i="14" s="1"/>
  <c r="N2717" i="14" s="1"/>
  <c r="P2717" i="14"/>
  <c r="R2717" i="14"/>
  <c r="S2717" i="14"/>
  <c r="H2718" i="14"/>
  <c r="I2718" i="14" s="1"/>
  <c r="N2718" i="14" s="1"/>
  <c r="P2718" i="14"/>
  <c r="R2718" i="14"/>
  <c r="S2718" i="14"/>
  <c r="S2719" i="14"/>
  <c r="S2720" i="14"/>
  <c r="B2721" i="14"/>
  <c r="H2721" i="14"/>
  <c r="I2721" i="14" s="1"/>
  <c r="N2721" i="14" s="1"/>
  <c r="P2721" i="14"/>
  <c r="R2721" i="14"/>
  <c r="S2721" i="14"/>
  <c r="A2722" i="14"/>
  <c r="S2722" i="14"/>
  <c r="B2727" i="14"/>
  <c r="S2723" i="14"/>
  <c r="S2724" i="14"/>
  <c r="S2725" i="14"/>
  <c r="S2726" i="14"/>
  <c r="H2727" i="14"/>
  <c r="I2727" i="14" s="1"/>
  <c r="N2727" i="14" s="1"/>
  <c r="P2727" i="14"/>
  <c r="R2727" i="14"/>
  <c r="S2727" i="14"/>
  <c r="B2728" i="14"/>
  <c r="S2728" i="14"/>
  <c r="A2729" i="14"/>
  <c r="S2729" i="14"/>
  <c r="S2730" i="14"/>
  <c r="S2731" i="14"/>
  <c r="S2732" i="14"/>
  <c r="S2733" i="14"/>
  <c r="H2734" i="14"/>
  <c r="I2734" i="14" s="1"/>
  <c r="N2734" i="14" s="1"/>
  <c r="P2734" i="14"/>
  <c r="R2734" i="14"/>
  <c r="S2734" i="14"/>
  <c r="B2735" i="14"/>
  <c r="S2735" i="14"/>
  <c r="A2736" i="14"/>
  <c r="S2736" i="14"/>
  <c r="S2737" i="14"/>
  <c r="H2738" i="14"/>
  <c r="I2738" i="14"/>
  <c r="N2738" i="14" s="1"/>
  <c r="P2738" i="14"/>
  <c r="R2738" i="14"/>
  <c r="S2738" i="14"/>
  <c r="S2739" i="14"/>
  <c r="S2740" i="14"/>
  <c r="S2741" i="14"/>
  <c r="B2742" i="14"/>
  <c r="S2742" i="14"/>
  <c r="A2743" i="14"/>
  <c r="S2743" i="14"/>
  <c r="S2744" i="14"/>
  <c r="S2745" i="14"/>
  <c r="S2746" i="14"/>
  <c r="H2748" i="14"/>
  <c r="I2748" i="14" s="1"/>
  <c r="N2748" i="14" s="1"/>
  <c r="P2748" i="14"/>
  <c r="R2748" i="14"/>
  <c r="S2748" i="14"/>
  <c r="B2749" i="14"/>
  <c r="S2749" i="14"/>
  <c r="A2750" i="14"/>
  <c r="S2750" i="14"/>
  <c r="S2751" i="14"/>
  <c r="S2752" i="14"/>
  <c r="S2753" i="14"/>
  <c r="S2754" i="14"/>
  <c r="H2755" i="14"/>
  <c r="I2755" i="14" s="1"/>
  <c r="N2755" i="14" s="1"/>
  <c r="P2755" i="14"/>
  <c r="R2755" i="14"/>
  <c r="S2755" i="14"/>
  <c r="B2756" i="14"/>
  <c r="S2756" i="14"/>
  <c r="A2757" i="14"/>
  <c r="S2757" i="14"/>
  <c r="S2758" i="14"/>
  <c r="S2759" i="14"/>
  <c r="S2760" i="14"/>
  <c r="S2761" i="14"/>
  <c r="S2762" i="14"/>
  <c r="B2763" i="14"/>
  <c r="S2763" i="14"/>
  <c r="A2764" i="14"/>
  <c r="S2764" i="14"/>
  <c r="S2765" i="14"/>
  <c r="S2766" i="14"/>
  <c r="S2767" i="14"/>
  <c r="S2768" i="14"/>
  <c r="H2769" i="14"/>
  <c r="I2769" i="14" s="1"/>
  <c r="N2769" i="14" s="1"/>
  <c r="P2769" i="14"/>
  <c r="R2769" i="14"/>
  <c r="S2769" i="14"/>
  <c r="B2770" i="14"/>
  <c r="S2770" i="14"/>
  <c r="A2771" i="14"/>
  <c r="S2771" i="14"/>
  <c r="S2772" i="14"/>
  <c r="S2773" i="14"/>
  <c r="S2774" i="14"/>
  <c r="S2775" i="14"/>
  <c r="H2776" i="14"/>
  <c r="I2776" i="14" s="1"/>
  <c r="N2776" i="14" s="1"/>
  <c r="P2776" i="14"/>
  <c r="R2776" i="14"/>
  <c r="S2776" i="14"/>
  <c r="B2777" i="14"/>
  <c r="S2777" i="14"/>
  <c r="A2778" i="14"/>
  <c r="S2778" i="14"/>
  <c r="S2779" i="14"/>
  <c r="S2780" i="14"/>
  <c r="S2781" i="14"/>
  <c r="S2782" i="14"/>
  <c r="H2783" i="14"/>
  <c r="I2783" i="14" s="1"/>
  <c r="N2783" i="14" s="1"/>
  <c r="P2783" i="14"/>
  <c r="R2783" i="14"/>
  <c r="S2783" i="14"/>
  <c r="B2784" i="14"/>
  <c r="S2784" i="14"/>
  <c r="A2785" i="14"/>
  <c r="S2785" i="14"/>
  <c r="S2786" i="14"/>
  <c r="H2787" i="14"/>
  <c r="I2787" i="14" s="1"/>
  <c r="N2787" i="14" s="1"/>
  <c r="P2787" i="14"/>
  <c r="R2787" i="14"/>
  <c r="S2787" i="14"/>
  <c r="S2788" i="14"/>
  <c r="S2790" i="14"/>
  <c r="B2791" i="14"/>
  <c r="S2791" i="14"/>
  <c r="A2792" i="14"/>
  <c r="S2792" i="14"/>
  <c r="S2793" i="14"/>
  <c r="S2794" i="14"/>
  <c r="S2795" i="14"/>
  <c r="S2796" i="14"/>
  <c r="H2797" i="14"/>
  <c r="I2797" i="14" s="1"/>
  <c r="N2797" i="14" s="1"/>
  <c r="P2797" i="14"/>
  <c r="R2797" i="14"/>
  <c r="S2797" i="14"/>
  <c r="B2798" i="14"/>
  <c r="S2798" i="14"/>
  <c r="A2799" i="14"/>
  <c r="S2799" i="14"/>
  <c r="S2800" i="14"/>
  <c r="S2801" i="14"/>
  <c r="S2802" i="14"/>
  <c r="S2803" i="14"/>
  <c r="S2804" i="14"/>
  <c r="B2805" i="14"/>
  <c r="S2805" i="14"/>
  <c r="A2806" i="14"/>
  <c r="S2806" i="14"/>
  <c r="S2807" i="14"/>
  <c r="S2808" i="14"/>
  <c r="S2809" i="14"/>
  <c r="S2810" i="14"/>
  <c r="S2811" i="14"/>
  <c r="B2812" i="14"/>
  <c r="S2812" i="14"/>
  <c r="A2575" i="14"/>
  <c r="S2575" i="14"/>
  <c r="S2576" i="14"/>
  <c r="N2577" i="14"/>
  <c r="S2577" i="14"/>
  <c r="S2578" i="14"/>
  <c r="S2579" i="14"/>
  <c r="H2580" i="14"/>
  <c r="I2580" i="14" s="1"/>
  <c r="N2580" i="14" s="1"/>
  <c r="P2580" i="14"/>
  <c r="R2580" i="14"/>
  <c r="S2580" i="14"/>
  <c r="B2581" i="14"/>
  <c r="S2581" i="14"/>
  <c r="H2570" i="14"/>
  <c r="I2570" i="14" s="1"/>
  <c r="N2570" i="14" s="1"/>
  <c r="P2570" i="14"/>
  <c r="R2570" i="14"/>
  <c r="S2570" i="14"/>
  <c r="S2571" i="14"/>
  <c r="H2572" i="14"/>
  <c r="I2572" i="14" s="1"/>
  <c r="N2572" i="14" s="1"/>
  <c r="P2572" i="14"/>
  <c r="R2572" i="14"/>
  <c r="S2572" i="14"/>
  <c r="S2573" i="14"/>
  <c r="P2574" i="14"/>
  <c r="R2574" i="14"/>
  <c r="S2574" i="14"/>
  <c r="I2295" i="14"/>
  <c r="N2295" i="14"/>
  <c r="P2295" i="14"/>
  <c r="R2295" i="14"/>
  <c r="I2296" i="14"/>
  <c r="N2296" i="14"/>
  <c r="P2296" i="14"/>
  <c r="R2296" i="14"/>
  <c r="N2297" i="14"/>
  <c r="P2297" i="14"/>
  <c r="R2297" i="14"/>
  <c r="N2298" i="14"/>
  <c r="P2298" i="14"/>
  <c r="R2298" i="14"/>
  <c r="N2299" i="14"/>
  <c r="P2299" i="14"/>
  <c r="R2299" i="14"/>
  <c r="I2300" i="14"/>
  <c r="N2300" i="14"/>
  <c r="P2300" i="14"/>
  <c r="R2300" i="14"/>
  <c r="I2301" i="14"/>
  <c r="N2301" i="14"/>
  <c r="I2302" i="14"/>
  <c r="B2290" i="14"/>
  <c r="B2003" i="14"/>
  <c r="B2010" i="14"/>
  <c r="B2311" i="14"/>
  <c r="B2304" i="14"/>
  <c r="B2297" i="14"/>
  <c r="B2283" i="14"/>
  <c r="B2276" i="14"/>
  <c r="B2269" i="14"/>
  <c r="B2262" i="14"/>
  <c r="B2255" i="14"/>
  <c r="B2248" i="14"/>
  <c r="B2241" i="14"/>
  <c r="B2234" i="14"/>
  <c r="B2227" i="14"/>
  <c r="B2220" i="14"/>
  <c r="B2213" i="14"/>
  <c r="B2206" i="14"/>
  <c r="B2266" i="14"/>
  <c r="B2261" i="14"/>
  <c r="U2149" i="14"/>
  <c r="U2150" i="14"/>
  <c r="U2151" i="14"/>
  <c r="U2152" i="14"/>
  <c r="U2153" i="14"/>
  <c r="U2154" i="14"/>
  <c r="U2155" i="14"/>
  <c r="U2156" i="14"/>
  <c r="U2157" i="14"/>
  <c r="U2158" i="14"/>
  <c r="U2159" i="14"/>
  <c r="U2160" i="14"/>
  <c r="U2161" i="14"/>
  <c r="U2162" i="14"/>
  <c r="U2163" i="14"/>
  <c r="U2164" i="14"/>
  <c r="U2165" i="14"/>
  <c r="U2166" i="14"/>
  <c r="U2167" i="14"/>
  <c r="U2168" i="14"/>
  <c r="U2169" i="14"/>
  <c r="U2170" i="14"/>
  <c r="U2171" i="14"/>
  <c r="U2172" i="14"/>
  <c r="U2173" i="14"/>
  <c r="U2174" i="14"/>
  <c r="U2175" i="14"/>
  <c r="U2176" i="14"/>
  <c r="U2177" i="14"/>
  <c r="U2178" i="14"/>
  <c r="U2179" i="14"/>
  <c r="U2180" i="14"/>
  <c r="U2181" i="14"/>
  <c r="U2182" i="14"/>
  <c r="U2183" i="14"/>
  <c r="U2184" i="14"/>
  <c r="U2185" i="14"/>
  <c r="U2186" i="14"/>
  <c r="U2187" i="14"/>
  <c r="U2188" i="14"/>
  <c r="U2189" i="14"/>
  <c r="U2190" i="14"/>
  <c r="U2191" i="14"/>
  <c r="U2192" i="14"/>
  <c r="U2193" i="14"/>
  <c r="U2194" i="14"/>
  <c r="U2195" i="14"/>
  <c r="U2196" i="14"/>
  <c r="U2197" i="14"/>
  <c r="U2198" i="14"/>
  <c r="U2199" i="14"/>
  <c r="U2200" i="14"/>
  <c r="U2201" i="14"/>
  <c r="U2202" i="14"/>
  <c r="U2203" i="14"/>
  <c r="U2204" i="14"/>
  <c r="U2205" i="14"/>
  <c r="U2206" i="14"/>
  <c r="U2207" i="14"/>
  <c r="U2208" i="14"/>
  <c r="U2209" i="14"/>
  <c r="U2210" i="14"/>
  <c r="U2211" i="14"/>
  <c r="U2212" i="14"/>
  <c r="U2213" i="14"/>
  <c r="U2214" i="14"/>
  <c r="U2215" i="14"/>
  <c r="U2216" i="14"/>
  <c r="U2217" i="14"/>
  <c r="U2218" i="14"/>
  <c r="U2219" i="14"/>
  <c r="U2220" i="14"/>
  <c r="U2221" i="14"/>
  <c r="U2222" i="14"/>
  <c r="U2223" i="14"/>
  <c r="U2224" i="14"/>
  <c r="U2225" i="14"/>
  <c r="U2226" i="14"/>
  <c r="U2227" i="14"/>
  <c r="U2228" i="14"/>
  <c r="U2229" i="14"/>
  <c r="U2230" i="14"/>
  <c r="U2231" i="14"/>
  <c r="U2232" i="14"/>
  <c r="U2233" i="14"/>
  <c r="U2234" i="14"/>
  <c r="U2235" i="14"/>
  <c r="U2236" i="14"/>
  <c r="U2237" i="14"/>
  <c r="U2238" i="14"/>
  <c r="U2239" i="14"/>
  <c r="U2240" i="14"/>
  <c r="U2241" i="14"/>
  <c r="U2242" i="14"/>
  <c r="U2243" i="14"/>
  <c r="U2244" i="14"/>
  <c r="U2245" i="14"/>
  <c r="U2246" i="14"/>
  <c r="U2247" i="14"/>
  <c r="U2248" i="14"/>
  <c r="U2249" i="14"/>
  <c r="U2250" i="14"/>
  <c r="U2251" i="14"/>
  <c r="T2149" i="14"/>
  <c r="T2150" i="14"/>
  <c r="T2151" i="14"/>
  <c r="T2152" i="14"/>
  <c r="T2153" i="14"/>
  <c r="T2154" i="14"/>
  <c r="T2155" i="14"/>
  <c r="T2156" i="14"/>
  <c r="T2157" i="14"/>
  <c r="T2158" i="14"/>
  <c r="T2159" i="14"/>
  <c r="T2160" i="14"/>
  <c r="T2161" i="14"/>
  <c r="T2162" i="14"/>
  <c r="T2163" i="14"/>
  <c r="T2164" i="14"/>
  <c r="T2165" i="14"/>
  <c r="T2166" i="14"/>
  <c r="T2167" i="14"/>
  <c r="T2168" i="14"/>
  <c r="T2169" i="14"/>
  <c r="T2170" i="14"/>
  <c r="T2171" i="14"/>
  <c r="T2172" i="14"/>
  <c r="T2173" i="14"/>
  <c r="T2174" i="14"/>
  <c r="T2175" i="14"/>
  <c r="T2176" i="14"/>
  <c r="T2177" i="14"/>
  <c r="T2178" i="14"/>
  <c r="T2179" i="14"/>
  <c r="T2180" i="14"/>
  <c r="T2181" i="14"/>
  <c r="T2182" i="14"/>
  <c r="T2183" i="14"/>
  <c r="T2184" i="14"/>
  <c r="T2185" i="14"/>
  <c r="T2186" i="14"/>
  <c r="T2187" i="14"/>
  <c r="T2188" i="14"/>
  <c r="T2189" i="14"/>
  <c r="T2190" i="14"/>
  <c r="T2191" i="14"/>
  <c r="T2192" i="14"/>
  <c r="T2193" i="14"/>
  <c r="T2194" i="14"/>
  <c r="T2195" i="14"/>
  <c r="T2196" i="14"/>
  <c r="T2197" i="14"/>
  <c r="T2198" i="14"/>
  <c r="T2199" i="14"/>
  <c r="T2200" i="14"/>
  <c r="T2201" i="14"/>
  <c r="T2202" i="14"/>
  <c r="T2203" i="14"/>
  <c r="T2204" i="14"/>
  <c r="T2205" i="14"/>
  <c r="T2206" i="14"/>
  <c r="T2207" i="14"/>
  <c r="T2208" i="14"/>
  <c r="T2209" i="14"/>
  <c r="T2210" i="14"/>
  <c r="T2211" i="14"/>
  <c r="T2212" i="14"/>
  <c r="T2213" i="14"/>
  <c r="T2214" i="14"/>
  <c r="T2215" i="14"/>
  <c r="T2216" i="14"/>
  <c r="T2217" i="14"/>
  <c r="T2218" i="14"/>
  <c r="T2219" i="14"/>
  <c r="T2220" i="14"/>
  <c r="T2221" i="14"/>
  <c r="T2222" i="14"/>
  <c r="T2223" i="14"/>
  <c r="T2224" i="14"/>
  <c r="T2225" i="14"/>
  <c r="T2226" i="14"/>
  <c r="T2227" i="14"/>
  <c r="T2228" i="14"/>
  <c r="T2229" i="14"/>
  <c r="T2230" i="14"/>
  <c r="T2231" i="14"/>
  <c r="T2232" i="14"/>
  <c r="T2233" i="14"/>
  <c r="T2234" i="14"/>
  <c r="T2235" i="14"/>
  <c r="T2236" i="14"/>
  <c r="T2237" i="14"/>
  <c r="T2238" i="14"/>
  <c r="T2239" i="14"/>
  <c r="T2240" i="14"/>
  <c r="T2241" i="14"/>
  <c r="T2242" i="14"/>
  <c r="T2243" i="14"/>
  <c r="T2244" i="14"/>
  <c r="T2245" i="14"/>
  <c r="T2246" i="14"/>
  <c r="T2247" i="14"/>
  <c r="T2248" i="14"/>
  <c r="T2249" i="14"/>
  <c r="T2250" i="14"/>
  <c r="T2251" i="14"/>
  <c r="T2252" i="14"/>
  <c r="T2253" i="14"/>
  <c r="V2149" i="14"/>
  <c r="V2147" i="14"/>
  <c r="V2146" i="14"/>
  <c r="V2145" i="14"/>
  <c r="V2144" i="14"/>
  <c r="V2143" i="14"/>
  <c r="V2142" i="14"/>
  <c r="V2141" i="14"/>
  <c r="V2140" i="14"/>
  <c r="V2139" i="14"/>
  <c r="V2138" i="14"/>
  <c r="V2137" i="14"/>
  <c r="V2136" i="14"/>
  <c r="V2135" i="14"/>
  <c r="V2134" i="14"/>
  <c r="V2133" i="14"/>
  <c r="V2132" i="14"/>
  <c r="V2131" i="14"/>
  <c r="V2130" i="14"/>
  <c r="V2129" i="14"/>
  <c r="V2128" i="14"/>
  <c r="V2127" i="14"/>
  <c r="V2126" i="14"/>
  <c r="V2125" i="14"/>
  <c r="V2124" i="14"/>
  <c r="V2123" i="14"/>
  <c r="V2122" i="14"/>
  <c r="V2121" i="14"/>
  <c r="V2120" i="14"/>
  <c r="V2119" i="14"/>
  <c r="V2118" i="14"/>
  <c r="V2117" i="14"/>
  <c r="V2116" i="14"/>
  <c r="V2115" i="14"/>
  <c r="V2114" i="14"/>
  <c r="V2113" i="14"/>
  <c r="V2112" i="14"/>
  <c r="V2111" i="14"/>
  <c r="V2110" i="14"/>
  <c r="V2109" i="14"/>
  <c r="V2108" i="14"/>
  <c r="V2107" i="14"/>
  <c r="V2106" i="14"/>
  <c r="V2105" i="14"/>
  <c r="V2104" i="14"/>
  <c r="V2103" i="14"/>
  <c r="V2102" i="14"/>
  <c r="V2101" i="14"/>
  <c r="V2100" i="14"/>
  <c r="V2099" i="14"/>
  <c r="V2098" i="14"/>
  <c r="V2097" i="14"/>
  <c r="V2096" i="14"/>
  <c r="V2095" i="14"/>
  <c r="V2094" i="14"/>
  <c r="V2093" i="14"/>
  <c r="V2092" i="14"/>
  <c r="V2091" i="14"/>
  <c r="V2090" i="14"/>
  <c r="V2089" i="14"/>
  <c r="V2088" i="14"/>
  <c r="V2087" i="14"/>
  <c r="V2086" i="14"/>
  <c r="V2085" i="14"/>
  <c r="V2084" i="14"/>
  <c r="V2083" i="14"/>
  <c r="V2082" i="14"/>
  <c r="V2081" i="14"/>
  <c r="V2080" i="14"/>
  <c r="V2079" i="14"/>
  <c r="V2078" i="14"/>
  <c r="V2077" i="14"/>
  <c r="V2076" i="14"/>
  <c r="V2075" i="14"/>
  <c r="V2074" i="14"/>
  <c r="V2073" i="14"/>
  <c r="V2072" i="14"/>
  <c r="V2071" i="14"/>
  <c r="V2070" i="14"/>
  <c r="V2069" i="14"/>
  <c r="V2068" i="14"/>
  <c r="V2067" i="14"/>
  <c r="V2066" i="14"/>
  <c r="V2065" i="14"/>
  <c r="V2064" i="14"/>
  <c r="V2063" i="14"/>
  <c r="V2062" i="14"/>
  <c r="V2061" i="14"/>
  <c r="V2060" i="14"/>
  <c r="V2059" i="14"/>
  <c r="V2058" i="14"/>
  <c r="V2057" i="14"/>
  <c r="V2056" i="14"/>
  <c r="V2055" i="14"/>
  <c r="V2054" i="14"/>
  <c r="V2053" i="14"/>
  <c r="V2052" i="14"/>
  <c r="V2051" i="14"/>
  <c r="V2050" i="14"/>
  <c r="V2049" i="14"/>
  <c r="V2048" i="14"/>
  <c r="V2047" i="14"/>
  <c r="V2046" i="14"/>
  <c r="V2045" i="14"/>
  <c r="V2044" i="14"/>
  <c r="V2043" i="14"/>
  <c r="V2042" i="14"/>
  <c r="V2041" i="14"/>
  <c r="V2040" i="14"/>
  <c r="V2039" i="14"/>
  <c r="V2038" i="14"/>
  <c r="V2037" i="14"/>
  <c r="V2036" i="14"/>
  <c r="V2035" i="14"/>
  <c r="V2034" i="14"/>
  <c r="V2033" i="14"/>
  <c r="V2032" i="14"/>
  <c r="V2031" i="14"/>
  <c r="V2030" i="14"/>
  <c r="V2029" i="14"/>
  <c r="V2028" i="14"/>
  <c r="V2027" i="14"/>
  <c r="V2026" i="14"/>
  <c r="V2025" i="14"/>
  <c r="V2024" i="14"/>
  <c r="V2023" i="14"/>
  <c r="V2022" i="14"/>
  <c r="V2021" i="14"/>
  <c r="V2020" i="14"/>
  <c r="V2019" i="14"/>
  <c r="V2018" i="14"/>
  <c r="V2017" i="14"/>
  <c r="V2016" i="14"/>
  <c r="V2015" i="14"/>
  <c r="V2014" i="14"/>
  <c r="V2013" i="14"/>
  <c r="V2012" i="14"/>
  <c r="V2011" i="14"/>
  <c r="V2010" i="14"/>
  <c r="V2009" i="14"/>
  <c r="V2008" i="14"/>
  <c r="V2007" i="14"/>
  <c r="V2006" i="14"/>
  <c r="V2005" i="14"/>
  <c r="V2004" i="14"/>
  <c r="V2003" i="14"/>
  <c r="V2002" i="14"/>
  <c r="V2001" i="14"/>
  <c r="V2000" i="14"/>
  <c r="V1999" i="14"/>
  <c r="V1998" i="14"/>
  <c r="V1997" i="14"/>
  <c r="V1996" i="14"/>
  <c r="V1995" i="14"/>
  <c r="V1994" i="14"/>
  <c r="V1993" i="14"/>
  <c r="V1992" i="14"/>
  <c r="V1991" i="14"/>
  <c r="V1990" i="14"/>
  <c r="V1989" i="14"/>
  <c r="V1988" i="14"/>
  <c r="V1987" i="14"/>
  <c r="V1986" i="14"/>
  <c r="V1985" i="14"/>
  <c r="V1984" i="14"/>
  <c r="V1983" i="14"/>
  <c r="V1982" i="14"/>
  <c r="V1981" i="14"/>
  <c r="V1980" i="14"/>
  <c r="V1979" i="14"/>
  <c r="V1978" i="14"/>
  <c r="V1977" i="14"/>
  <c r="V1976" i="14"/>
  <c r="V1975" i="14"/>
  <c r="V1974" i="14"/>
  <c r="V1973" i="14"/>
  <c r="V1972" i="14"/>
  <c r="V1971" i="14"/>
  <c r="V1970" i="14"/>
  <c r="V1969" i="14"/>
  <c r="V1968" i="14"/>
  <c r="V1967" i="14"/>
  <c r="V1966" i="14"/>
  <c r="V1965" i="14"/>
  <c r="V1964" i="14"/>
  <c r="V1963" i="14"/>
  <c r="V1962" i="14"/>
  <c r="V1961" i="14"/>
  <c r="V1960" i="14"/>
  <c r="V1959" i="14"/>
  <c r="V1958" i="14"/>
  <c r="V1957" i="14"/>
  <c r="V1956" i="14"/>
  <c r="V1955" i="14"/>
  <c r="V1954" i="14"/>
  <c r="V1953" i="14"/>
  <c r="V1952" i="14"/>
  <c r="V1951" i="14"/>
  <c r="V1950" i="14"/>
  <c r="V1949" i="14"/>
  <c r="V1948" i="14"/>
  <c r="V1947" i="14"/>
  <c r="V1946" i="14"/>
  <c r="V1945" i="14"/>
  <c r="V1944" i="14"/>
  <c r="V1943" i="14"/>
  <c r="V1942" i="14"/>
  <c r="V1941" i="14"/>
  <c r="V1940" i="14"/>
  <c r="V1939" i="14"/>
  <c r="V1938" i="14"/>
  <c r="V1937" i="14"/>
  <c r="V1936" i="14"/>
  <c r="V1935" i="14"/>
  <c r="V1934" i="14"/>
  <c r="V1933" i="14"/>
  <c r="V1932" i="14"/>
  <c r="V1931" i="14"/>
  <c r="V1930" i="14"/>
  <c r="V1929" i="14"/>
  <c r="V1928" i="14"/>
  <c r="V1927" i="14"/>
  <c r="V1926" i="14"/>
  <c r="V1925" i="14"/>
  <c r="V1924" i="14"/>
  <c r="V1923" i="14"/>
  <c r="V1922" i="14"/>
  <c r="V1921" i="14"/>
  <c r="V1920" i="14"/>
  <c r="V1919" i="14"/>
  <c r="V1918" i="14"/>
  <c r="V1917" i="14"/>
  <c r="V1916" i="14"/>
  <c r="V1915" i="14"/>
  <c r="V1914" i="14"/>
  <c r="V1913" i="14"/>
  <c r="V1912" i="14"/>
  <c r="V1911" i="14"/>
  <c r="V1910" i="14"/>
  <c r="V1909" i="14"/>
  <c r="V1908" i="14"/>
  <c r="V1907" i="14"/>
  <c r="V1906" i="14"/>
  <c r="V1905" i="14"/>
  <c r="V1904" i="14"/>
  <c r="V1903" i="14"/>
  <c r="V1902" i="14"/>
  <c r="V1901" i="14"/>
  <c r="V1900" i="14"/>
  <c r="V1899" i="14"/>
  <c r="V1898" i="14"/>
  <c r="V1897" i="14"/>
  <c r="V1896" i="14"/>
  <c r="V1895" i="14"/>
  <c r="V1894" i="14"/>
  <c r="V1893" i="14"/>
  <c r="V1892" i="14"/>
  <c r="V1891" i="14"/>
  <c r="V1890" i="14"/>
  <c r="V1889" i="14"/>
  <c r="V1888" i="14"/>
  <c r="V1887" i="14"/>
  <c r="V1886" i="14"/>
  <c r="V1885" i="14"/>
  <c r="V1884" i="14"/>
  <c r="V1883" i="14"/>
  <c r="V1882" i="14"/>
  <c r="V1881" i="14"/>
  <c r="V1880" i="14"/>
  <c r="V1879" i="14"/>
  <c r="V1878" i="14"/>
  <c r="V1877" i="14"/>
  <c r="V1876" i="14"/>
  <c r="V1875" i="14"/>
  <c r="V1874" i="14"/>
  <c r="V1873" i="14"/>
  <c r="V1872" i="14"/>
  <c r="V1871" i="14"/>
  <c r="V1870" i="14"/>
  <c r="V1869" i="14"/>
  <c r="V1868" i="14"/>
  <c r="V1867" i="14"/>
  <c r="V1866" i="14"/>
  <c r="V1865" i="14"/>
  <c r="V1864" i="14"/>
  <c r="V1863" i="14"/>
  <c r="V1862" i="14"/>
  <c r="V1861" i="14"/>
  <c r="V1860" i="14"/>
  <c r="V1859" i="14"/>
  <c r="V1858" i="14"/>
  <c r="V1857" i="14"/>
  <c r="V1856" i="14"/>
  <c r="V1855" i="14"/>
  <c r="V1854" i="14"/>
  <c r="V1853" i="14"/>
  <c r="V1852" i="14"/>
  <c r="V1851" i="14"/>
  <c r="V1850" i="14"/>
  <c r="V1849" i="14"/>
  <c r="V1848" i="14"/>
  <c r="V1847" i="14"/>
  <c r="V1846" i="14"/>
  <c r="V1845" i="14"/>
  <c r="V1844" i="14"/>
  <c r="V1843" i="14"/>
  <c r="V1842" i="14"/>
  <c r="V1841" i="14"/>
  <c r="V1840" i="14"/>
  <c r="V1839" i="14"/>
  <c r="V1838" i="14"/>
  <c r="V1837" i="14"/>
  <c r="V1836" i="14"/>
  <c r="V1835" i="14"/>
  <c r="V1834" i="14"/>
  <c r="V1833" i="14"/>
  <c r="V1832" i="14"/>
  <c r="V1831" i="14"/>
  <c r="V1830" i="14"/>
  <c r="V1829" i="14"/>
  <c r="V1828" i="14"/>
  <c r="V1827" i="14"/>
  <c r="V1826" i="14"/>
  <c r="V1825" i="14"/>
  <c r="V1824" i="14"/>
  <c r="V1823" i="14"/>
  <c r="V1822" i="14"/>
  <c r="V1821" i="14"/>
  <c r="V1820" i="14"/>
  <c r="V1819" i="14"/>
  <c r="V1818" i="14"/>
  <c r="V1817" i="14"/>
  <c r="V1816" i="14"/>
  <c r="V1815" i="14"/>
  <c r="V1814" i="14"/>
  <c r="V1813" i="14"/>
  <c r="V1812" i="14"/>
  <c r="V1811" i="14"/>
  <c r="V1810" i="14"/>
  <c r="V1809" i="14"/>
  <c r="V1808" i="14"/>
  <c r="V1807" i="14"/>
  <c r="V1806" i="14"/>
  <c r="V1805" i="14"/>
  <c r="V1804" i="14"/>
  <c r="V1803" i="14"/>
  <c r="V1802" i="14"/>
  <c r="V1801" i="14"/>
  <c r="V1800" i="14"/>
  <c r="V1799" i="14"/>
  <c r="V1798" i="14"/>
  <c r="V1797" i="14"/>
  <c r="V1796" i="14"/>
  <c r="V1795" i="14"/>
  <c r="V1794" i="14"/>
  <c r="V1793" i="14"/>
  <c r="V1792" i="14"/>
  <c r="V1791" i="14"/>
  <c r="V1790" i="14"/>
  <c r="V1789" i="14"/>
  <c r="V1788" i="14"/>
  <c r="V1787" i="14"/>
  <c r="V1786" i="14"/>
  <c r="V1785" i="14"/>
  <c r="V1784" i="14"/>
  <c r="V1783" i="14"/>
  <c r="V1782" i="14"/>
  <c r="V1781" i="14"/>
  <c r="V1780" i="14"/>
  <c r="V1779" i="14"/>
  <c r="V1778" i="14"/>
  <c r="V1777" i="14"/>
  <c r="V1776" i="14"/>
  <c r="V1775" i="14"/>
  <c r="V1774" i="14"/>
  <c r="V1773" i="14"/>
  <c r="V1772" i="14"/>
  <c r="V1771" i="14"/>
  <c r="V1770" i="14"/>
  <c r="V1769" i="14"/>
  <c r="V1768" i="14"/>
  <c r="V1767" i="14"/>
  <c r="V1766" i="14"/>
  <c r="V1765" i="14"/>
  <c r="V1764" i="14"/>
  <c r="V1763" i="14"/>
  <c r="V1762" i="14"/>
  <c r="V1761" i="14"/>
  <c r="V1760" i="14"/>
  <c r="V1759" i="14"/>
  <c r="V1758" i="14"/>
  <c r="V1757" i="14"/>
  <c r="V1756" i="14"/>
  <c r="V1755" i="14"/>
  <c r="V1754" i="14"/>
  <c r="V1753" i="14"/>
  <c r="V1752" i="14"/>
  <c r="V1751" i="14"/>
  <c r="V1750" i="14"/>
  <c r="V1749" i="14"/>
  <c r="V1748" i="14"/>
  <c r="V1747" i="14"/>
  <c r="V1746" i="14"/>
  <c r="V1745" i="14"/>
  <c r="V1744" i="14"/>
  <c r="V1743" i="14"/>
  <c r="V1742" i="14"/>
  <c r="V1741" i="14"/>
  <c r="V1740" i="14"/>
  <c r="V1739" i="14"/>
  <c r="V1738" i="14"/>
  <c r="V1737" i="14"/>
  <c r="V1736" i="14"/>
  <c r="V1735" i="14"/>
  <c r="V1734" i="14"/>
  <c r="V1733" i="14"/>
  <c r="V1732" i="14"/>
  <c r="V1731" i="14"/>
  <c r="V1730" i="14"/>
  <c r="V1729" i="14"/>
  <c r="V1728" i="14"/>
  <c r="V1727" i="14"/>
  <c r="V1726" i="14"/>
  <c r="V1725" i="14"/>
  <c r="V1724" i="14"/>
  <c r="V1723" i="14"/>
  <c r="V1722" i="14"/>
  <c r="V1721" i="14"/>
  <c r="V1720" i="14"/>
  <c r="V1719" i="14"/>
  <c r="V1718" i="14"/>
  <c r="V1717" i="14"/>
  <c r="V1716" i="14"/>
  <c r="V1715" i="14"/>
  <c r="V1714" i="14"/>
  <c r="V1713" i="14"/>
  <c r="V1712" i="14"/>
  <c r="V1711" i="14"/>
  <c r="V1710" i="14"/>
  <c r="V1709" i="14"/>
  <c r="V1708" i="14"/>
  <c r="V1707" i="14"/>
  <c r="V1706" i="14"/>
  <c r="V1705" i="14"/>
  <c r="V1704" i="14"/>
  <c r="V1703" i="14"/>
  <c r="V1702" i="14"/>
  <c r="V1701" i="14"/>
  <c r="V1700" i="14"/>
  <c r="V1699" i="14"/>
  <c r="V1698" i="14"/>
  <c r="V1697" i="14"/>
  <c r="V1696" i="14"/>
  <c r="V1695" i="14"/>
  <c r="V1694" i="14"/>
  <c r="V1693" i="14"/>
  <c r="V1692" i="14"/>
  <c r="V1691" i="14"/>
  <c r="V1690" i="14"/>
  <c r="V1689" i="14"/>
  <c r="V1688" i="14"/>
  <c r="V1687" i="14"/>
  <c r="V1686" i="14"/>
  <c r="V1685" i="14"/>
  <c r="V1684" i="14"/>
  <c r="V1683" i="14"/>
  <c r="V1682" i="14"/>
  <c r="V1681" i="14"/>
  <c r="V1680" i="14"/>
  <c r="V1679" i="14"/>
  <c r="V1678" i="14"/>
  <c r="V1677" i="14"/>
  <c r="V1676" i="14"/>
  <c r="V1675" i="14"/>
  <c r="V1674" i="14"/>
  <c r="V1673" i="14"/>
  <c r="V1672" i="14"/>
  <c r="V1671" i="14"/>
  <c r="V1670" i="14"/>
  <c r="V1669" i="14"/>
  <c r="V1668" i="14"/>
  <c r="V1667" i="14"/>
  <c r="V1666" i="14"/>
  <c r="V1665" i="14"/>
  <c r="V1664" i="14"/>
  <c r="V1663" i="14"/>
  <c r="V1662" i="14"/>
  <c r="V1661" i="14"/>
  <c r="V1660" i="14"/>
  <c r="V1659" i="14"/>
  <c r="V1658" i="14"/>
  <c r="V1657" i="14"/>
  <c r="V1656" i="14"/>
  <c r="V1655" i="14"/>
  <c r="V1654" i="14"/>
  <c r="V1653" i="14"/>
  <c r="V1652" i="14"/>
  <c r="V1651" i="14"/>
  <c r="V1650" i="14"/>
  <c r="V1649" i="14"/>
  <c r="V1648" i="14"/>
  <c r="V1647" i="14"/>
  <c r="V1646" i="14"/>
  <c r="V1645" i="14"/>
  <c r="V1644" i="14"/>
  <c r="V1643" i="14"/>
  <c r="V1642" i="14"/>
  <c r="V1641" i="14"/>
  <c r="V1640" i="14"/>
  <c r="V1639" i="14"/>
  <c r="V1638" i="14"/>
  <c r="V1637" i="14"/>
  <c r="V1636" i="14"/>
  <c r="V1635" i="14"/>
  <c r="V1634" i="14"/>
  <c r="V1633" i="14"/>
  <c r="V1632" i="14"/>
  <c r="V1631" i="14"/>
  <c r="V1630" i="14"/>
  <c r="V1629" i="14"/>
  <c r="V1628" i="14"/>
  <c r="V1627" i="14"/>
  <c r="V1626" i="14"/>
  <c r="V1625" i="14"/>
  <c r="V1624" i="14"/>
  <c r="V1623" i="14"/>
  <c r="V1622" i="14"/>
  <c r="V1621" i="14"/>
  <c r="V1620" i="14"/>
  <c r="V1619" i="14"/>
  <c r="V1618" i="14"/>
  <c r="V1617" i="14"/>
  <c r="V1616" i="14"/>
  <c r="V1615" i="14"/>
  <c r="V1614" i="14"/>
  <c r="V1613" i="14"/>
  <c r="V1612" i="14"/>
  <c r="V1611" i="14"/>
  <c r="V1610" i="14"/>
  <c r="V1609" i="14"/>
  <c r="V1608" i="14"/>
  <c r="V1607" i="14"/>
  <c r="V1606" i="14"/>
  <c r="V1605" i="14"/>
  <c r="V1604" i="14"/>
  <c r="V1603" i="14"/>
  <c r="V1602" i="14"/>
  <c r="V1601" i="14"/>
  <c r="V1600" i="14"/>
  <c r="V1599" i="14"/>
  <c r="V1598" i="14"/>
  <c r="V1597" i="14"/>
  <c r="V1596" i="14"/>
  <c r="V1595" i="14"/>
  <c r="V1594" i="14"/>
  <c r="V1593" i="14"/>
  <c r="V1592" i="14"/>
  <c r="V1591" i="14"/>
  <c r="V1590" i="14"/>
  <c r="V1589" i="14"/>
  <c r="V1588" i="14"/>
  <c r="V1587" i="14"/>
  <c r="V1586" i="14"/>
  <c r="V1585" i="14"/>
  <c r="V1584" i="14"/>
  <c r="V1583" i="14"/>
  <c r="V1582" i="14"/>
  <c r="V1581" i="14"/>
  <c r="V1580" i="14"/>
  <c r="V1579" i="14"/>
  <c r="V1578" i="14"/>
  <c r="V1577" i="14"/>
  <c r="V1576" i="14"/>
  <c r="V1575" i="14"/>
  <c r="V1574" i="14"/>
  <c r="V1573" i="14"/>
  <c r="V1572" i="14"/>
  <c r="V1571" i="14"/>
  <c r="V1570" i="14"/>
  <c r="V1569" i="14"/>
  <c r="V1568" i="14"/>
  <c r="V1567" i="14"/>
  <c r="V1566" i="14"/>
  <c r="V1565" i="14"/>
  <c r="V1564" i="14"/>
  <c r="V1563" i="14"/>
  <c r="V1562" i="14"/>
  <c r="V1561" i="14"/>
  <c r="V1560" i="14"/>
  <c r="V1559" i="14"/>
  <c r="V1558" i="14"/>
  <c r="V1557" i="14"/>
  <c r="V1556" i="14"/>
  <c r="V1555" i="14"/>
  <c r="V1554" i="14"/>
  <c r="V1553" i="14"/>
  <c r="V1552" i="14"/>
  <c r="V1551" i="14"/>
  <c r="V1550" i="14"/>
  <c r="V1549" i="14"/>
  <c r="V1548" i="14"/>
  <c r="V1547" i="14"/>
  <c r="V1546" i="14"/>
  <c r="V1545" i="14"/>
  <c r="V1544" i="14"/>
  <c r="V1543" i="14"/>
  <c r="V1542" i="14"/>
  <c r="V1541" i="14"/>
  <c r="V1540" i="14"/>
  <c r="V1539" i="14"/>
  <c r="V1538" i="14"/>
  <c r="V1537" i="14"/>
  <c r="V1536" i="14"/>
  <c r="V1535" i="14"/>
  <c r="V1534" i="14"/>
  <c r="V1533" i="14"/>
  <c r="V1532" i="14"/>
  <c r="V1531" i="14"/>
  <c r="V1530" i="14"/>
  <c r="V1529" i="14"/>
  <c r="V1528" i="14"/>
  <c r="V1527" i="14"/>
  <c r="V1526" i="14"/>
  <c r="V1525" i="14"/>
  <c r="V1524" i="14"/>
  <c r="V1523" i="14"/>
  <c r="V1522" i="14"/>
  <c r="V1521" i="14"/>
  <c r="V1520" i="14"/>
  <c r="V1519" i="14"/>
  <c r="V1518" i="14"/>
  <c r="V1517" i="14"/>
  <c r="V1516" i="14"/>
  <c r="V1515" i="14"/>
  <c r="V1514" i="14"/>
  <c r="V1513" i="14"/>
  <c r="V1512" i="14"/>
  <c r="V1511" i="14"/>
  <c r="V1510" i="14"/>
  <c r="V1509" i="14"/>
  <c r="V1508" i="14"/>
  <c r="V1507" i="14"/>
  <c r="V1506" i="14"/>
  <c r="V1505" i="14"/>
  <c r="V1504" i="14"/>
  <c r="V1503" i="14"/>
  <c r="V1502" i="14"/>
  <c r="V1501" i="14"/>
  <c r="V1500" i="14"/>
  <c r="V1499" i="14"/>
  <c r="V1498" i="14"/>
  <c r="V1497" i="14"/>
  <c r="V1496" i="14"/>
  <c r="V1495" i="14"/>
  <c r="V1494" i="14"/>
  <c r="V1493" i="14"/>
  <c r="V1492" i="14"/>
  <c r="V1491" i="14"/>
  <c r="V1490" i="14"/>
  <c r="V1489" i="14"/>
  <c r="V1488" i="14"/>
  <c r="V1487" i="14"/>
  <c r="V1486" i="14"/>
  <c r="V1485" i="14"/>
  <c r="V1484" i="14"/>
  <c r="V1483" i="14"/>
  <c r="V1482" i="14"/>
  <c r="V1481" i="14"/>
  <c r="V1480" i="14"/>
  <c r="V1479" i="14"/>
  <c r="V1478" i="14"/>
  <c r="V1477" i="14"/>
  <c r="V1476" i="14"/>
  <c r="V1475" i="14"/>
  <c r="V1474" i="14"/>
  <c r="V1473" i="14"/>
  <c r="V1472" i="14"/>
  <c r="V1471" i="14"/>
  <c r="V1470" i="14"/>
  <c r="V1469" i="14"/>
  <c r="V1468" i="14"/>
  <c r="V1467" i="14"/>
  <c r="V1466" i="14"/>
  <c r="V1465" i="14"/>
  <c r="V1464" i="14"/>
  <c r="V1463" i="14"/>
  <c r="V1462" i="14"/>
  <c r="V1461" i="14"/>
  <c r="V1460" i="14"/>
  <c r="V1459" i="14"/>
  <c r="V1458" i="14"/>
  <c r="V1457" i="14"/>
  <c r="V1456" i="14"/>
  <c r="V1455" i="14"/>
  <c r="V1454" i="14"/>
  <c r="V1453" i="14"/>
  <c r="V1452" i="14"/>
  <c r="V1451" i="14"/>
  <c r="V1450" i="14"/>
  <c r="V1449" i="14"/>
  <c r="V1448" i="14"/>
  <c r="V1447" i="14"/>
  <c r="V1446" i="14"/>
  <c r="V1445" i="14"/>
  <c r="V1444" i="14"/>
  <c r="V1443" i="14"/>
  <c r="V1442" i="14"/>
  <c r="V1441" i="14"/>
  <c r="V1440" i="14"/>
  <c r="V1439" i="14"/>
  <c r="V1438" i="14"/>
  <c r="V1437" i="14"/>
  <c r="V1436" i="14"/>
  <c r="V1435" i="14"/>
  <c r="V1434" i="14"/>
  <c r="V1433" i="14"/>
  <c r="V1432" i="14"/>
  <c r="V1431" i="14"/>
  <c r="V1430" i="14"/>
  <c r="V1429" i="14"/>
  <c r="V1428" i="14"/>
  <c r="V1427" i="14"/>
  <c r="V1426" i="14"/>
  <c r="V1425" i="14"/>
  <c r="V1424" i="14"/>
  <c r="V1423" i="14"/>
  <c r="V1422" i="14"/>
  <c r="V1421" i="14"/>
  <c r="V1420" i="14"/>
  <c r="V1419" i="14"/>
  <c r="V1418" i="14"/>
  <c r="V1417" i="14"/>
  <c r="V1416" i="14"/>
  <c r="V1415" i="14"/>
  <c r="V1414" i="14"/>
  <c r="V1413" i="14"/>
  <c r="V1412" i="14"/>
  <c r="V1411" i="14"/>
  <c r="V1410" i="14"/>
  <c r="V1409" i="14"/>
  <c r="V1408" i="14"/>
  <c r="V1407" i="14"/>
  <c r="V1406" i="14"/>
  <c r="V1405" i="14"/>
  <c r="V1404" i="14"/>
  <c r="V1403" i="14"/>
  <c r="V1402" i="14"/>
  <c r="V1401" i="14"/>
  <c r="V1400" i="14"/>
  <c r="V1399" i="14"/>
  <c r="V1398" i="14"/>
  <c r="V1397" i="14"/>
  <c r="V1396" i="14"/>
  <c r="V1395" i="14"/>
  <c r="V1394" i="14"/>
  <c r="V1393" i="14"/>
  <c r="V1392" i="14"/>
  <c r="V1391" i="14"/>
  <c r="V1390" i="14"/>
  <c r="V1389" i="14"/>
  <c r="V1388" i="14"/>
  <c r="V1387" i="14"/>
  <c r="V1386" i="14"/>
  <c r="V1385" i="14"/>
  <c r="V1384" i="14"/>
  <c r="V1383" i="14"/>
  <c r="V1382" i="14"/>
  <c r="V1381" i="14"/>
  <c r="V1380" i="14"/>
  <c r="V1379" i="14"/>
  <c r="V1378" i="14"/>
  <c r="V1377" i="14"/>
  <c r="V1376" i="14"/>
  <c r="V1375" i="14"/>
  <c r="V1374" i="14"/>
  <c r="V1373" i="14"/>
  <c r="V1372" i="14"/>
  <c r="V1371" i="14"/>
  <c r="V1370" i="14"/>
  <c r="V1369" i="14"/>
  <c r="V1368" i="14"/>
  <c r="V1367" i="14"/>
  <c r="V1366" i="14"/>
  <c r="V1365" i="14"/>
  <c r="V1364" i="14"/>
  <c r="V1363" i="14"/>
  <c r="V1362" i="14"/>
  <c r="V1361" i="14"/>
  <c r="V1360" i="14"/>
  <c r="V1359" i="14"/>
  <c r="V1358" i="14"/>
  <c r="V1357" i="14"/>
  <c r="V1356" i="14"/>
  <c r="V1355" i="14"/>
  <c r="V1354" i="14"/>
  <c r="V1353" i="14"/>
  <c r="V1352" i="14"/>
  <c r="V1351" i="14"/>
  <c r="V1350" i="14"/>
  <c r="V1349" i="14"/>
  <c r="V1348" i="14"/>
  <c r="V1347" i="14"/>
  <c r="V1346" i="14"/>
  <c r="V1345" i="14"/>
  <c r="V1344" i="14"/>
  <c r="V1343" i="14"/>
  <c r="V1342" i="14"/>
  <c r="V1341" i="14"/>
  <c r="V1340" i="14"/>
  <c r="V1339" i="14"/>
  <c r="V1338" i="14"/>
  <c r="V1337" i="14"/>
  <c r="V1336" i="14"/>
  <c r="V1335" i="14"/>
  <c r="V1334" i="14"/>
  <c r="V1333" i="14"/>
  <c r="V1332" i="14"/>
  <c r="V1331" i="14"/>
  <c r="V1330" i="14"/>
  <c r="V1329" i="14"/>
  <c r="V1328" i="14"/>
  <c r="V1327" i="14"/>
  <c r="V1326" i="14"/>
  <c r="V1325" i="14"/>
  <c r="V1324" i="14"/>
  <c r="V1323" i="14"/>
  <c r="V1322" i="14"/>
  <c r="V1321" i="14"/>
  <c r="V1320" i="14"/>
  <c r="V1319" i="14"/>
  <c r="V1318" i="14"/>
  <c r="V1317" i="14"/>
  <c r="V1316" i="14"/>
  <c r="V1315" i="14"/>
  <c r="V1314" i="14"/>
  <c r="V1313" i="14"/>
  <c r="V1312" i="14"/>
  <c r="V1311" i="14"/>
  <c r="V1310" i="14"/>
  <c r="V1309" i="14"/>
  <c r="V1308" i="14"/>
  <c r="V1307" i="14"/>
  <c r="V1306" i="14"/>
  <c r="V1305" i="14"/>
  <c r="V1304" i="14"/>
  <c r="V1303" i="14"/>
  <c r="V1302" i="14"/>
  <c r="V1301" i="14"/>
  <c r="V1300" i="14"/>
  <c r="V1299" i="14"/>
  <c r="V1298" i="14"/>
  <c r="V1297" i="14"/>
  <c r="V1296" i="14"/>
  <c r="V1295" i="14"/>
  <c r="V1294" i="14"/>
  <c r="V1293" i="14"/>
  <c r="V1292" i="14"/>
  <c r="V1291" i="14"/>
  <c r="V1290" i="14"/>
  <c r="V1289" i="14"/>
  <c r="V1288" i="14"/>
  <c r="V1287" i="14"/>
  <c r="V1286" i="14"/>
  <c r="V1285" i="14"/>
  <c r="V1284" i="14"/>
  <c r="V1283" i="14"/>
  <c r="V1282" i="14"/>
  <c r="V1281" i="14"/>
  <c r="V1280" i="14"/>
  <c r="V1279" i="14"/>
  <c r="V1278" i="14"/>
  <c r="V1277" i="14"/>
  <c r="V1276" i="14"/>
  <c r="V1275" i="14"/>
  <c r="V1274" i="14"/>
  <c r="V1273" i="14"/>
  <c r="V1272" i="14"/>
  <c r="V1271" i="14"/>
  <c r="V1270" i="14"/>
  <c r="V1269" i="14"/>
  <c r="V1268" i="14"/>
  <c r="V1267" i="14"/>
  <c r="V1266" i="14"/>
  <c r="V1265" i="14"/>
  <c r="V1264" i="14"/>
  <c r="V1263" i="14"/>
  <c r="V1262" i="14"/>
  <c r="V1261" i="14"/>
  <c r="V1260" i="14"/>
  <c r="V1259" i="14"/>
  <c r="V1258" i="14"/>
  <c r="V1257" i="14"/>
  <c r="V1256" i="14"/>
  <c r="V1255" i="14"/>
  <c r="V1254" i="14"/>
  <c r="V1253" i="14"/>
  <c r="V1252" i="14"/>
  <c r="V1251" i="14"/>
  <c r="V1250" i="14"/>
  <c r="V1249" i="14"/>
  <c r="V1248" i="14"/>
  <c r="V1247" i="14"/>
  <c r="V1246" i="14"/>
  <c r="V1245" i="14"/>
  <c r="V1244" i="14"/>
  <c r="V1243" i="14"/>
  <c r="V1242" i="14"/>
  <c r="V1241" i="14"/>
  <c r="V1240" i="14"/>
  <c r="V1239" i="14"/>
  <c r="V1238" i="14"/>
  <c r="V1237" i="14"/>
  <c r="V1236" i="14"/>
  <c r="V1235" i="14"/>
  <c r="V1234" i="14"/>
  <c r="V1233" i="14"/>
  <c r="V1232" i="14"/>
  <c r="V1231" i="14"/>
  <c r="V1230" i="14"/>
  <c r="V1229" i="14"/>
  <c r="V1228" i="14"/>
  <c r="V1227" i="14"/>
  <c r="V1226" i="14"/>
  <c r="V1225" i="14"/>
  <c r="V1224" i="14"/>
  <c r="V1223" i="14"/>
  <c r="V1222" i="14"/>
  <c r="V1221" i="14"/>
  <c r="V1220" i="14"/>
  <c r="V1219" i="14"/>
  <c r="V1218" i="14"/>
  <c r="V1217" i="14"/>
  <c r="V1216" i="14"/>
  <c r="V1215" i="14"/>
  <c r="V1214" i="14"/>
  <c r="V1213" i="14"/>
  <c r="V1212" i="14"/>
  <c r="V1211" i="14"/>
  <c r="V1210" i="14"/>
  <c r="V1209" i="14"/>
  <c r="V1208" i="14"/>
  <c r="V1207" i="14"/>
  <c r="V1206" i="14"/>
  <c r="V1205" i="14"/>
  <c r="V1204" i="14"/>
  <c r="V1203" i="14"/>
  <c r="V1202" i="14"/>
  <c r="V1201" i="14"/>
  <c r="V1200" i="14"/>
  <c r="V1199" i="14"/>
  <c r="V1198" i="14"/>
  <c r="V1197" i="14"/>
  <c r="V1196" i="14"/>
  <c r="V1195" i="14"/>
  <c r="V1194" i="14"/>
  <c r="V1193" i="14"/>
  <c r="V1192" i="14"/>
  <c r="V1191" i="14"/>
  <c r="V1190" i="14"/>
  <c r="V1189" i="14"/>
  <c r="V1188" i="14"/>
  <c r="V1187" i="14"/>
  <c r="V1186" i="14"/>
  <c r="V1185" i="14"/>
  <c r="V1184" i="14"/>
  <c r="V1183" i="14"/>
  <c r="V1182" i="14"/>
  <c r="V1181" i="14"/>
  <c r="V1180" i="14"/>
  <c r="V1179" i="14"/>
  <c r="V1178" i="14"/>
  <c r="V1177" i="14"/>
  <c r="V1176" i="14"/>
  <c r="V1175" i="14"/>
  <c r="V1174" i="14"/>
  <c r="V1173" i="14"/>
  <c r="V1172" i="14"/>
  <c r="V1171" i="14"/>
  <c r="V1170" i="14"/>
  <c r="V1169" i="14"/>
  <c r="V1168" i="14"/>
  <c r="V1167" i="14"/>
  <c r="V1166" i="14"/>
  <c r="V1165" i="14"/>
  <c r="V1164" i="14"/>
  <c r="V1163" i="14"/>
  <c r="V1162" i="14"/>
  <c r="V1161" i="14"/>
  <c r="V1160" i="14"/>
  <c r="V1159" i="14"/>
  <c r="V1158" i="14"/>
  <c r="V1157" i="14"/>
  <c r="V1156" i="14"/>
  <c r="V1155" i="14"/>
  <c r="V1154" i="14"/>
  <c r="V1153" i="14"/>
  <c r="V1152" i="14"/>
  <c r="V1151" i="14"/>
  <c r="V1150" i="14"/>
  <c r="V1149" i="14"/>
  <c r="V1148" i="14"/>
  <c r="V1147" i="14"/>
  <c r="V1146" i="14"/>
  <c r="V1145" i="14"/>
  <c r="V1144" i="14"/>
  <c r="V1143" i="14"/>
  <c r="V1142" i="14"/>
  <c r="V1141" i="14"/>
  <c r="V1140" i="14"/>
  <c r="V1139" i="14"/>
  <c r="V1138" i="14"/>
  <c r="V1137" i="14"/>
  <c r="V1136" i="14"/>
  <c r="V1135" i="14"/>
  <c r="V1134" i="14"/>
  <c r="V1133" i="14"/>
  <c r="V1132" i="14"/>
  <c r="V1131" i="14"/>
  <c r="V1130" i="14"/>
  <c r="V1129" i="14"/>
  <c r="V1128" i="14"/>
  <c r="V1127" i="14"/>
  <c r="V1126" i="14"/>
  <c r="V1125" i="14"/>
  <c r="V1124" i="14"/>
  <c r="V1123" i="14"/>
  <c r="V1122" i="14"/>
  <c r="V1121" i="14"/>
  <c r="V1120" i="14"/>
  <c r="V1119" i="14"/>
  <c r="V1118" i="14"/>
  <c r="V1117" i="14"/>
  <c r="V1116" i="14"/>
  <c r="V1115" i="14"/>
  <c r="V1114" i="14"/>
  <c r="V1113" i="14"/>
  <c r="V1112" i="14"/>
  <c r="V1111" i="14"/>
  <c r="V1110" i="14"/>
  <c r="V1109" i="14"/>
  <c r="V1108" i="14"/>
  <c r="V1107" i="14"/>
  <c r="V1106" i="14"/>
  <c r="V1105" i="14"/>
  <c r="V1104" i="14"/>
  <c r="V1103" i="14"/>
  <c r="V1102" i="14"/>
  <c r="V1101" i="14"/>
  <c r="V1100" i="14"/>
  <c r="V1099" i="14"/>
  <c r="V1098" i="14"/>
  <c r="V1097" i="14"/>
  <c r="V1096" i="14"/>
  <c r="V1095" i="14"/>
  <c r="V1094" i="14"/>
  <c r="V1093" i="14"/>
  <c r="V1092" i="14"/>
  <c r="V1091" i="14"/>
  <c r="V1090" i="14"/>
  <c r="V1089" i="14"/>
  <c r="V1088" i="14"/>
  <c r="V1087" i="14"/>
  <c r="V1086" i="14"/>
  <c r="V1085" i="14"/>
  <c r="V1084" i="14"/>
  <c r="V1083" i="14"/>
  <c r="V1082" i="14"/>
  <c r="V1081" i="14"/>
  <c r="V1080" i="14"/>
  <c r="V1079" i="14"/>
  <c r="V1078" i="14"/>
  <c r="V1077" i="14"/>
  <c r="V1076" i="14"/>
  <c r="V1075" i="14"/>
  <c r="V1074" i="14"/>
  <c r="V1073" i="14"/>
  <c r="V1072" i="14"/>
  <c r="V1071" i="14"/>
  <c r="V1070" i="14"/>
  <c r="V1069" i="14"/>
  <c r="V1068" i="14"/>
  <c r="V1067" i="14"/>
  <c r="V1066" i="14"/>
  <c r="V1065" i="14"/>
  <c r="V1064" i="14"/>
  <c r="V1063" i="14"/>
  <c r="V1062" i="14"/>
  <c r="V1061" i="14"/>
  <c r="V1060" i="14"/>
  <c r="V1059" i="14"/>
  <c r="V1058" i="14"/>
  <c r="V1057" i="14"/>
  <c r="V1056" i="14"/>
  <c r="V1055" i="14"/>
  <c r="V1054" i="14"/>
  <c r="V1053" i="14"/>
  <c r="V1052" i="14"/>
  <c r="V1051" i="14"/>
  <c r="V1050" i="14"/>
  <c r="V1049" i="14"/>
  <c r="V1048" i="14"/>
  <c r="V1047" i="14"/>
  <c r="V1046" i="14"/>
  <c r="V1045" i="14"/>
  <c r="V1044" i="14"/>
  <c r="V1043" i="14"/>
  <c r="V1042" i="14"/>
  <c r="V1041" i="14"/>
  <c r="V1040" i="14"/>
  <c r="V1039" i="14"/>
  <c r="V1038" i="14"/>
  <c r="V1037" i="14"/>
  <c r="V1036" i="14"/>
  <c r="V1035" i="14"/>
  <c r="V1034" i="14"/>
  <c r="V1033" i="14"/>
  <c r="V1032" i="14"/>
  <c r="V1031" i="14"/>
  <c r="V1030" i="14"/>
  <c r="V1029" i="14"/>
  <c r="V1028" i="14"/>
  <c r="V1027" i="14"/>
  <c r="V1026" i="14"/>
  <c r="V1025" i="14"/>
  <c r="V1024" i="14"/>
  <c r="V1023" i="14"/>
  <c r="V1022" i="14"/>
  <c r="V1021" i="14"/>
  <c r="V1020" i="14"/>
  <c r="V1019" i="14"/>
  <c r="V1018" i="14"/>
  <c r="V1017" i="14"/>
  <c r="V1016" i="14"/>
  <c r="V1015" i="14"/>
  <c r="V1014" i="14"/>
  <c r="V1013" i="14"/>
  <c r="V1012" i="14"/>
  <c r="V1011" i="14"/>
  <c r="V1010" i="14"/>
  <c r="V1009" i="14"/>
  <c r="V1008" i="14"/>
  <c r="V1007" i="14"/>
  <c r="V1006" i="14"/>
  <c r="V1005" i="14"/>
  <c r="V1004" i="14"/>
  <c r="V1003" i="14"/>
  <c r="V1002" i="14"/>
  <c r="V1001" i="14"/>
  <c r="V1000" i="14"/>
  <c r="V999" i="14"/>
  <c r="V998" i="14"/>
  <c r="V997" i="14"/>
  <c r="V996" i="14"/>
  <c r="V995" i="14"/>
  <c r="V994" i="14"/>
  <c r="V993" i="14"/>
  <c r="V992" i="14"/>
  <c r="V991" i="14"/>
  <c r="V990" i="14"/>
  <c r="V989" i="14"/>
  <c r="V988" i="14"/>
  <c r="V987" i="14"/>
  <c r="V986" i="14"/>
  <c r="V985" i="14"/>
  <c r="V984" i="14"/>
  <c r="V983" i="14"/>
  <c r="V982" i="14"/>
  <c r="V981" i="14"/>
  <c r="V980" i="14"/>
  <c r="V979" i="14"/>
  <c r="V978" i="14"/>
  <c r="V977" i="14"/>
  <c r="V976" i="14"/>
  <c r="V975" i="14"/>
  <c r="V974" i="14"/>
  <c r="V973" i="14"/>
  <c r="V972" i="14"/>
  <c r="V971" i="14"/>
  <c r="V970" i="14"/>
  <c r="V969" i="14"/>
  <c r="V968" i="14"/>
  <c r="V967" i="14"/>
  <c r="V966" i="14"/>
  <c r="V965" i="14"/>
  <c r="V964" i="14"/>
  <c r="V963" i="14"/>
  <c r="V962" i="14"/>
  <c r="V961" i="14"/>
  <c r="V960" i="14"/>
  <c r="V959" i="14"/>
  <c r="V958" i="14"/>
  <c r="V957" i="14"/>
  <c r="V956" i="14"/>
  <c r="V955" i="14"/>
  <c r="V954" i="14"/>
  <c r="V953" i="14"/>
  <c r="V952" i="14"/>
  <c r="V951" i="14"/>
  <c r="V950" i="14"/>
  <c r="V949" i="14"/>
  <c r="V948" i="14"/>
  <c r="V947" i="14"/>
  <c r="V946" i="14"/>
  <c r="V945" i="14"/>
  <c r="V944" i="14"/>
  <c r="V943" i="14"/>
  <c r="V942" i="14"/>
  <c r="V941" i="14"/>
  <c r="V940" i="14"/>
  <c r="V939" i="14"/>
  <c r="V938" i="14"/>
  <c r="V937" i="14"/>
  <c r="V936" i="14"/>
  <c r="V935" i="14"/>
  <c r="V934" i="14"/>
  <c r="V933" i="14"/>
  <c r="V932" i="14"/>
  <c r="V931" i="14"/>
  <c r="V930" i="14"/>
  <c r="V929" i="14"/>
  <c r="V928" i="14"/>
  <c r="V927" i="14"/>
  <c r="V926" i="14"/>
  <c r="V925" i="14"/>
  <c r="V924" i="14"/>
  <c r="V923" i="14"/>
  <c r="V922" i="14"/>
  <c r="V921" i="14"/>
  <c r="V920" i="14"/>
  <c r="V919" i="14"/>
  <c r="V918" i="14"/>
  <c r="V917" i="14"/>
  <c r="V916" i="14"/>
  <c r="V915" i="14"/>
  <c r="V914" i="14"/>
  <c r="V913" i="14"/>
  <c r="V912" i="14"/>
  <c r="V911" i="14"/>
  <c r="V910" i="14"/>
  <c r="V909" i="14"/>
  <c r="V908" i="14"/>
  <c r="V907" i="14"/>
  <c r="V906" i="14"/>
  <c r="V905" i="14"/>
  <c r="V904" i="14"/>
  <c r="V903" i="14"/>
  <c r="V902" i="14"/>
  <c r="V901" i="14"/>
  <c r="V900" i="14"/>
  <c r="V899" i="14"/>
  <c r="V898" i="14"/>
  <c r="V897" i="14"/>
  <c r="V896" i="14"/>
  <c r="V895" i="14"/>
  <c r="V894" i="14"/>
  <c r="V893" i="14"/>
  <c r="V892" i="14"/>
  <c r="V891" i="14"/>
  <c r="V890" i="14"/>
  <c r="V889" i="14"/>
  <c r="V888" i="14"/>
  <c r="V887" i="14"/>
  <c r="V886" i="14"/>
  <c r="V885" i="14"/>
  <c r="V884" i="14"/>
  <c r="V883" i="14"/>
  <c r="V882" i="14"/>
  <c r="V881" i="14"/>
  <c r="V880" i="14"/>
  <c r="V879" i="14"/>
  <c r="V878" i="14"/>
  <c r="V877" i="14"/>
  <c r="V876" i="14"/>
  <c r="V875" i="14"/>
  <c r="V874" i="14"/>
  <c r="V873" i="14"/>
  <c r="V872" i="14"/>
  <c r="V871" i="14"/>
  <c r="V870" i="14"/>
  <c r="V869" i="14"/>
  <c r="V868" i="14"/>
  <c r="V867" i="14"/>
  <c r="V866" i="14"/>
  <c r="V865" i="14"/>
  <c r="V864" i="14"/>
  <c r="V863" i="14"/>
  <c r="V862" i="14"/>
  <c r="V861" i="14"/>
  <c r="V860" i="14"/>
  <c r="V859" i="14"/>
  <c r="V858" i="14"/>
  <c r="V857" i="14"/>
  <c r="V856" i="14"/>
  <c r="V855" i="14"/>
  <c r="V854" i="14"/>
  <c r="V853" i="14"/>
  <c r="V852" i="14"/>
  <c r="V851" i="14"/>
  <c r="V850" i="14"/>
  <c r="V849" i="14"/>
  <c r="V848" i="14"/>
  <c r="V847" i="14"/>
  <c r="V846" i="14"/>
  <c r="V845" i="14"/>
  <c r="V844" i="14"/>
  <c r="V843" i="14"/>
  <c r="V842" i="14"/>
  <c r="V841" i="14"/>
  <c r="V840" i="14"/>
  <c r="V839" i="14"/>
  <c r="V838" i="14"/>
  <c r="V837" i="14"/>
  <c r="V836" i="14"/>
  <c r="V835" i="14"/>
  <c r="V834" i="14"/>
  <c r="V833" i="14"/>
  <c r="V832" i="14"/>
  <c r="V831" i="14"/>
  <c r="V830" i="14"/>
  <c r="V829" i="14"/>
  <c r="V828" i="14"/>
  <c r="V827" i="14"/>
  <c r="V826" i="14"/>
  <c r="V825" i="14"/>
  <c r="V824" i="14"/>
  <c r="V823" i="14"/>
  <c r="V822" i="14"/>
  <c r="V821" i="14"/>
  <c r="V820" i="14"/>
  <c r="V819" i="14"/>
  <c r="V818" i="14"/>
  <c r="V817" i="14"/>
  <c r="V816" i="14"/>
  <c r="V815" i="14"/>
  <c r="V814" i="14"/>
  <c r="V813" i="14"/>
  <c r="V812" i="14"/>
  <c r="V811" i="14"/>
  <c r="V810" i="14"/>
  <c r="V809" i="14"/>
  <c r="V808" i="14"/>
  <c r="V807" i="14"/>
  <c r="V806" i="14"/>
  <c r="V805" i="14"/>
  <c r="V804" i="14"/>
  <c r="V803" i="14"/>
  <c r="V802" i="14"/>
  <c r="V801" i="14"/>
  <c r="V800" i="14"/>
  <c r="V799" i="14"/>
  <c r="V798" i="14"/>
  <c r="V797" i="14"/>
  <c r="V796" i="14"/>
  <c r="V795" i="14"/>
  <c r="V794" i="14"/>
  <c r="V793" i="14"/>
  <c r="V792" i="14"/>
  <c r="V791" i="14"/>
  <c r="V790" i="14"/>
  <c r="V789" i="14"/>
  <c r="V788" i="14"/>
  <c r="V787" i="14"/>
  <c r="V786" i="14"/>
  <c r="V785" i="14"/>
  <c r="V784" i="14"/>
  <c r="V783" i="14"/>
  <c r="V782" i="14"/>
  <c r="V781" i="14"/>
  <c r="V780" i="14"/>
  <c r="V779" i="14"/>
  <c r="V778" i="14"/>
  <c r="V777" i="14"/>
  <c r="V776" i="14"/>
  <c r="V775" i="14"/>
  <c r="V774" i="14"/>
  <c r="V773" i="14"/>
  <c r="V772" i="14"/>
  <c r="V771" i="14"/>
  <c r="V770" i="14"/>
  <c r="V769" i="14"/>
  <c r="V768" i="14"/>
  <c r="V767" i="14"/>
  <c r="V766" i="14"/>
  <c r="V765" i="14"/>
  <c r="V764" i="14"/>
  <c r="V763" i="14"/>
  <c r="V762" i="14"/>
  <c r="V761" i="14"/>
  <c r="V760" i="14"/>
  <c r="V759" i="14"/>
  <c r="V758" i="14"/>
  <c r="V757" i="14"/>
  <c r="V756" i="14"/>
  <c r="V755" i="14"/>
  <c r="V754" i="14"/>
  <c r="V753" i="14"/>
  <c r="V752" i="14"/>
  <c r="V751" i="14"/>
  <c r="V750" i="14"/>
  <c r="V749" i="14"/>
  <c r="V748" i="14"/>
  <c r="V747" i="14"/>
  <c r="V746" i="14"/>
  <c r="V745" i="14"/>
  <c r="V744" i="14"/>
  <c r="V743" i="14"/>
  <c r="V742" i="14"/>
  <c r="V741" i="14"/>
  <c r="V740" i="14"/>
  <c r="V739" i="14"/>
  <c r="V738" i="14"/>
  <c r="V737" i="14"/>
  <c r="V736" i="14"/>
  <c r="V735" i="14"/>
  <c r="V734" i="14"/>
  <c r="V733" i="14"/>
  <c r="V732" i="14"/>
  <c r="V731" i="14"/>
  <c r="V730" i="14"/>
  <c r="V729" i="14"/>
  <c r="V728" i="14"/>
  <c r="V727" i="14"/>
  <c r="V726" i="14"/>
  <c r="V725" i="14"/>
  <c r="V724" i="14"/>
  <c r="V723" i="14"/>
  <c r="V722" i="14"/>
  <c r="V721" i="14"/>
  <c r="V720" i="14"/>
  <c r="V719" i="14"/>
  <c r="V718" i="14"/>
  <c r="V717" i="14"/>
  <c r="V716" i="14"/>
  <c r="V715" i="14"/>
  <c r="V714" i="14"/>
  <c r="V713" i="14"/>
  <c r="V712" i="14"/>
  <c r="V711" i="14"/>
  <c r="V710" i="14"/>
  <c r="V709" i="14"/>
  <c r="V708" i="14"/>
  <c r="V707" i="14"/>
  <c r="V706" i="14"/>
  <c r="V705" i="14"/>
  <c r="V704" i="14"/>
  <c r="V703" i="14"/>
  <c r="V702" i="14"/>
  <c r="V701" i="14"/>
  <c r="V700" i="14"/>
  <c r="V699" i="14"/>
  <c r="V698" i="14"/>
  <c r="V697" i="14"/>
  <c r="V696" i="14"/>
  <c r="V695" i="14"/>
  <c r="V694" i="14"/>
  <c r="V693" i="14"/>
  <c r="V692" i="14"/>
  <c r="V691" i="14"/>
  <c r="V690" i="14"/>
  <c r="V689" i="14"/>
  <c r="V688" i="14"/>
  <c r="V687" i="14"/>
  <c r="V686" i="14"/>
  <c r="V685" i="14"/>
  <c r="V684" i="14"/>
  <c r="V683" i="14"/>
  <c r="V682" i="14"/>
  <c r="V681" i="14"/>
  <c r="V680" i="14"/>
  <c r="V679" i="14"/>
  <c r="V678" i="14"/>
  <c r="V677" i="14"/>
  <c r="V676" i="14"/>
  <c r="V675" i="14"/>
  <c r="V674" i="14"/>
  <c r="V673" i="14"/>
  <c r="V672" i="14"/>
  <c r="V671" i="14"/>
  <c r="V670" i="14"/>
  <c r="V669" i="14"/>
  <c r="V668" i="14"/>
  <c r="V667" i="14"/>
  <c r="V666" i="14"/>
  <c r="V665" i="14"/>
  <c r="V664" i="14"/>
  <c r="V663" i="14"/>
  <c r="V662" i="14"/>
  <c r="V661" i="14"/>
  <c r="V660" i="14"/>
  <c r="V659" i="14"/>
  <c r="V658" i="14"/>
  <c r="V657" i="14"/>
  <c r="V656" i="14"/>
  <c r="V655" i="14"/>
  <c r="V654" i="14"/>
  <c r="V653" i="14"/>
  <c r="V652" i="14"/>
  <c r="V651" i="14"/>
  <c r="V650" i="14"/>
  <c r="V649" i="14"/>
  <c r="V648" i="14"/>
  <c r="V647" i="14"/>
  <c r="V646" i="14"/>
  <c r="V645" i="14"/>
  <c r="V644" i="14"/>
  <c r="V643" i="14"/>
  <c r="V642" i="14"/>
  <c r="V641" i="14"/>
  <c r="V640" i="14"/>
  <c r="V639" i="14"/>
  <c r="V638" i="14"/>
  <c r="V637" i="14"/>
  <c r="V636" i="14"/>
  <c r="V635" i="14"/>
  <c r="V634" i="14"/>
  <c r="V633" i="14"/>
  <c r="V632" i="14"/>
  <c r="V631" i="14"/>
  <c r="V630" i="14"/>
  <c r="V629" i="14"/>
  <c r="V628" i="14"/>
  <c r="V627" i="14"/>
  <c r="V626" i="14"/>
  <c r="V625" i="14"/>
  <c r="V624" i="14"/>
  <c r="V623" i="14"/>
  <c r="V622" i="14"/>
  <c r="V621" i="14"/>
  <c r="V620" i="14"/>
  <c r="V619" i="14"/>
  <c r="V618" i="14"/>
  <c r="V617" i="14"/>
  <c r="V616" i="14"/>
  <c r="V615" i="14"/>
  <c r="V614" i="14"/>
  <c r="V613" i="14"/>
  <c r="V612" i="14"/>
  <c r="V611" i="14"/>
  <c r="V610" i="14"/>
  <c r="V609" i="14"/>
  <c r="V608" i="14"/>
  <c r="V607" i="14"/>
  <c r="V606" i="14"/>
  <c r="V605" i="14"/>
  <c r="V604" i="14"/>
  <c r="V603" i="14"/>
  <c r="V602" i="14"/>
  <c r="V601" i="14"/>
  <c r="V600" i="14"/>
  <c r="V599" i="14"/>
  <c r="V598" i="14"/>
  <c r="V597" i="14"/>
  <c r="V596" i="14"/>
  <c r="V595" i="14"/>
  <c r="V594" i="14"/>
  <c r="V593" i="14"/>
  <c r="V592" i="14"/>
  <c r="V591" i="14"/>
  <c r="V590" i="14"/>
  <c r="V589" i="14"/>
  <c r="V588" i="14"/>
  <c r="V587" i="14"/>
  <c r="V586" i="14"/>
  <c r="V585" i="14"/>
  <c r="V584" i="14"/>
  <c r="V583" i="14"/>
  <c r="V582" i="14"/>
  <c r="V581" i="14"/>
  <c r="V580" i="14"/>
  <c r="V579" i="14"/>
  <c r="V578" i="14"/>
  <c r="V577" i="14"/>
  <c r="V576" i="14"/>
  <c r="V575" i="14"/>
  <c r="V574" i="14"/>
  <c r="V573" i="14"/>
  <c r="V572" i="14"/>
  <c r="V571" i="14"/>
  <c r="V570" i="14"/>
  <c r="V569" i="14"/>
  <c r="V568" i="14"/>
  <c r="V567" i="14"/>
  <c r="V566" i="14"/>
  <c r="V565" i="14"/>
  <c r="V564" i="14"/>
  <c r="V563" i="14"/>
  <c r="V562" i="14"/>
  <c r="V561" i="14"/>
  <c r="V560" i="14"/>
  <c r="V559" i="14"/>
  <c r="V558" i="14"/>
  <c r="V557" i="14"/>
  <c r="V556" i="14"/>
  <c r="V555" i="14"/>
  <c r="V554" i="14"/>
  <c r="V553" i="14"/>
  <c r="V552" i="14"/>
  <c r="V551" i="14"/>
  <c r="V550" i="14"/>
  <c r="V549" i="14"/>
  <c r="V548" i="14"/>
  <c r="V547" i="14"/>
  <c r="V546" i="14"/>
  <c r="V545" i="14"/>
  <c r="V544" i="14"/>
  <c r="V543" i="14"/>
  <c r="V542" i="14"/>
  <c r="V541" i="14"/>
  <c r="V540" i="14"/>
  <c r="V539" i="14"/>
  <c r="V538" i="14"/>
  <c r="V537" i="14"/>
  <c r="V536" i="14"/>
  <c r="V535" i="14"/>
  <c r="V534" i="14"/>
  <c r="V533" i="14"/>
  <c r="V532" i="14"/>
  <c r="V531" i="14"/>
  <c r="V530" i="14"/>
  <c r="V529" i="14"/>
  <c r="V528" i="14"/>
  <c r="V527" i="14"/>
  <c r="V526" i="14"/>
  <c r="V525" i="14"/>
  <c r="V524" i="14"/>
  <c r="V523" i="14"/>
  <c r="V522" i="14"/>
  <c r="V521" i="14"/>
  <c r="V520" i="14"/>
  <c r="V519" i="14"/>
  <c r="V518" i="14"/>
  <c r="V517" i="14"/>
  <c r="V516" i="14"/>
  <c r="V515" i="14"/>
  <c r="V514" i="14"/>
  <c r="V513" i="14"/>
  <c r="V512" i="14"/>
  <c r="V511" i="14"/>
  <c r="V510" i="14"/>
  <c r="V509" i="14"/>
  <c r="V508" i="14"/>
  <c r="V507" i="14"/>
  <c r="V506" i="14"/>
  <c r="V505" i="14"/>
  <c r="V504" i="14"/>
  <c r="V503" i="14"/>
  <c r="V502" i="14"/>
  <c r="V501" i="14"/>
  <c r="V500" i="14"/>
  <c r="V499" i="14"/>
  <c r="V498" i="14"/>
  <c r="V497" i="14"/>
  <c r="V496" i="14"/>
  <c r="V495" i="14"/>
  <c r="V494" i="14"/>
  <c r="V493" i="14"/>
  <c r="V492" i="14"/>
  <c r="V491" i="14"/>
  <c r="V490" i="14"/>
  <c r="V489" i="14"/>
  <c r="V488" i="14"/>
  <c r="V487" i="14"/>
  <c r="V486" i="14"/>
  <c r="V485" i="14"/>
  <c r="V484" i="14"/>
  <c r="V483" i="14"/>
  <c r="V482" i="14"/>
  <c r="V481" i="14"/>
  <c r="V480" i="14"/>
  <c r="V479" i="14"/>
  <c r="V478" i="14"/>
  <c r="V477" i="14"/>
  <c r="V476" i="14"/>
  <c r="V475" i="14"/>
  <c r="V474" i="14"/>
  <c r="V473" i="14"/>
  <c r="V472" i="14"/>
  <c r="V471" i="14"/>
  <c r="V470" i="14"/>
  <c r="V469" i="14"/>
  <c r="V468" i="14"/>
  <c r="V467" i="14"/>
  <c r="V466" i="14"/>
  <c r="V465" i="14"/>
  <c r="V464" i="14"/>
  <c r="V463" i="14"/>
  <c r="V462" i="14"/>
  <c r="V461" i="14"/>
  <c r="V460" i="14"/>
  <c r="V459" i="14"/>
  <c r="V458" i="14"/>
  <c r="V457" i="14"/>
  <c r="V456" i="14"/>
  <c r="V455" i="14"/>
  <c r="V454" i="14"/>
  <c r="V453" i="14"/>
  <c r="V452" i="14"/>
  <c r="V451" i="14"/>
  <c r="V450" i="14"/>
  <c r="V449" i="14"/>
  <c r="V448" i="14"/>
  <c r="V447" i="14"/>
  <c r="V446" i="14"/>
  <c r="V445" i="14"/>
  <c r="V444" i="14"/>
  <c r="V443" i="14"/>
  <c r="V442" i="14"/>
  <c r="V441" i="14"/>
  <c r="V440" i="14"/>
  <c r="V439" i="14"/>
  <c r="V438" i="14"/>
  <c r="V437" i="14"/>
  <c r="V436" i="14"/>
  <c r="V435" i="14"/>
  <c r="V434" i="14"/>
  <c r="V433" i="14"/>
  <c r="V432" i="14"/>
  <c r="V431" i="14"/>
  <c r="V430" i="14"/>
  <c r="V429" i="14"/>
  <c r="V428" i="14"/>
  <c r="V427" i="14"/>
  <c r="V426" i="14"/>
  <c r="V425" i="14"/>
  <c r="V424" i="14"/>
  <c r="V423" i="14"/>
  <c r="V422" i="14"/>
  <c r="V421" i="14"/>
  <c r="V420" i="14"/>
  <c r="V419" i="14"/>
  <c r="V418" i="14"/>
  <c r="V417" i="14"/>
  <c r="V416" i="14"/>
  <c r="V415" i="14"/>
  <c r="V414" i="14"/>
  <c r="V413" i="14"/>
  <c r="V412" i="14"/>
  <c r="V411" i="14"/>
  <c r="V410" i="14"/>
  <c r="V409" i="14"/>
  <c r="V408" i="14"/>
  <c r="V407" i="14"/>
  <c r="V406" i="14"/>
  <c r="V405" i="14"/>
  <c r="V404" i="14"/>
  <c r="V403" i="14"/>
  <c r="V402" i="14"/>
  <c r="V401" i="14"/>
  <c r="V400" i="14"/>
  <c r="V399" i="14"/>
  <c r="V398" i="14"/>
  <c r="V397" i="14"/>
  <c r="V396" i="14"/>
  <c r="V395" i="14"/>
  <c r="V394" i="14"/>
  <c r="V393" i="14"/>
  <c r="V392" i="14"/>
  <c r="V391" i="14"/>
  <c r="V390" i="14"/>
  <c r="V389" i="14"/>
  <c r="V388" i="14"/>
  <c r="V387" i="14"/>
  <c r="V386" i="14"/>
  <c r="V385" i="14"/>
  <c r="V384" i="14"/>
  <c r="V383" i="14"/>
  <c r="V382" i="14"/>
  <c r="V381" i="14"/>
  <c r="V380" i="14"/>
  <c r="V379" i="14"/>
  <c r="V378" i="14"/>
  <c r="V376" i="14"/>
  <c r="V375" i="14"/>
  <c r="V374" i="14"/>
  <c r="V373" i="14"/>
  <c r="V372" i="14"/>
  <c r="V371" i="14"/>
  <c r="V370" i="14"/>
  <c r="V369" i="14"/>
  <c r="V368" i="14"/>
  <c r="V367" i="14"/>
  <c r="V366" i="14"/>
  <c r="V365" i="14"/>
  <c r="V364" i="14"/>
  <c r="V363" i="14"/>
  <c r="V362" i="14"/>
  <c r="V361" i="14"/>
  <c r="V360" i="14"/>
  <c r="V359" i="14"/>
  <c r="V358" i="14"/>
  <c r="V357" i="14"/>
  <c r="V356" i="14"/>
  <c r="V355" i="14"/>
  <c r="V354" i="14"/>
  <c r="V353" i="14"/>
  <c r="V352" i="14"/>
  <c r="V351" i="14"/>
  <c r="V350" i="14"/>
  <c r="V349" i="14"/>
  <c r="V348" i="14"/>
  <c r="V347" i="14"/>
  <c r="V346" i="14"/>
  <c r="V345" i="14"/>
  <c r="V344" i="14"/>
  <c r="V343" i="14"/>
  <c r="V342" i="14"/>
  <c r="V341" i="14"/>
  <c r="V340" i="14"/>
  <c r="V339" i="14"/>
  <c r="V338" i="14"/>
  <c r="V337" i="14"/>
  <c r="V336" i="14"/>
  <c r="V335" i="14"/>
  <c r="V334" i="14"/>
  <c r="V333" i="14"/>
  <c r="V332" i="14"/>
  <c r="V331" i="14"/>
  <c r="V330" i="14"/>
  <c r="V329" i="14"/>
  <c r="V328" i="14"/>
  <c r="V327" i="14"/>
  <c r="V326" i="14"/>
  <c r="V325" i="14"/>
  <c r="V324" i="14"/>
  <c r="V323" i="14"/>
  <c r="V322" i="14"/>
  <c r="V321" i="14"/>
  <c r="V320" i="14"/>
  <c r="V319" i="14"/>
  <c r="V318" i="14"/>
  <c r="V317" i="14"/>
  <c r="V316" i="14"/>
  <c r="V315" i="14"/>
  <c r="V314" i="14"/>
  <c r="V313" i="14"/>
  <c r="V312" i="14"/>
  <c r="V311" i="14"/>
  <c r="V310" i="14"/>
  <c r="V309" i="14"/>
  <c r="V308" i="14"/>
  <c r="V307" i="14"/>
  <c r="V306" i="14"/>
  <c r="V305" i="14"/>
  <c r="V304" i="14"/>
  <c r="V303" i="14"/>
  <c r="V302" i="14"/>
  <c r="V301" i="14"/>
  <c r="V300" i="14"/>
  <c r="V299" i="14"/>
  <c r="V298" i="14"/>
  <c r="V297" i="14"/>
  <c r="V296" i="14"/>
  <c r="V295" i="14"/>
  <c r="V294" i="14"/>
  <c r="V293" i="14"/>
  <c r="V292" i="14"/>
  <c r="V291" i="14"/>
  <c r="V290" i="14"/>
  <c r="V289" i="14"/>
  <c r="V288" i="14"/>
  <c r="V287" i="14"/>
  <c r="V286" i="14"/>
  <c r="V285" i="14"/>
  <c r="V284" i="14"/>
  <c r="V283" i="14"/>
  <c r="V282" i="14"/>
  <c r="V281" i="14"/>
  <c r="V280" i="14"/>
  <c r="V279" i="14"/>
  <c r="V278" i="14"/>
  <c r="V277" i="14"/>
  <c r="V276" i="14"/>
  <c r="V275" i="14"/>
  <c r="V274" i="14"/>
  <c r="V273" i="14"/>
  <c r="V272" i="14"/>
  <c r="V271" i="14"/>
  <c r="V270" i="14"/>
  <c r="V269" i="14"/>
  <c r="V268" i="14"/>
  <c r="V267" i="14"/>
  <c r="V266" i="14"/>
  <c r="V265" i="14"/>
  <c r="V264" i="14"/>
  <c r="V263" i="14"/>
  <c r="V262" i="14"/>
  <c r="V261" i="14"/>
  <c r="V260" i="14"/>
  <c r="V259" i="14"/>
  <c r="V258" i="14"/>
  <c r="V257" i="14"/>
  <c r="V256" i="14"/>
  <c r="V255" i="14"/>
  <c r="V254" i="14"/>
  <c r="V253" i="14"/>
  <c r="V252" i="14"/>
  <c r="V251" i="14"/>
  <c r="V250" i="14"/>
  <c r="V249" i="14"/>
  <c r="V248" i="14"/>
  <c r="V247" i="14"/>
  <c r="V246" i="14"/>
  <c r="V245" i="14"/>
  <c r="V244" i="14"/>
  <c r="V243" i="14"/>
  <c r="V242" i="14"/>
  <c r="V241" i="14"/>
  <c r="V240" i="14"/>
  <c r="V239" i="14"/>
  <c r="V238" i="14"/>
  <c r="V237" i="14"/>
  <c r="V236" i="14"/>
  <c r="V235" i="14"/>
  <c r="V234" i="14"/>
  <c r="V233" i="14"/>
  <c r="V232" i="14"/>
  <c r="V231" i="14"/>
  <c r="V230" i="14"/>
  <c r="V229" i="14"/>
  <c r="V228" i="14"/>
  <c r="V227" i="14"/>
  <c r="V226" i="14"/>
  <c r="V225" i="14"/>
  <c r="V224" i="14"/>
  <c r="V223" i="14"/>
  <c r="V222" i="14"/>
  <c r="V221" i="14"/>
  <c r="V220" i="14"/>
  <c r="V219" i="14"/>
  <c r="V218" i="14"/>
  <c r="V217" i="14"/>
  <c r="V216" i="14"/>
  <c r="V215" i="14"/>
  <c r="V214" i="14"/>
  <c r="V213" i="14"/>
  <c r="V212" i="14"/>
  <c r="V211" i="14"/>
  <c r="V210" i="14"/>
  <c r="V209" i="14"/>
  <c r="V208" i="14"/>
  <c r="V207" i="14"/>
  <c r="V206" i="14"/>
  <c r="V205" i="14"/>
  <c r="V204" i="14"/>
  <c r="V203" i="14"/>
  <c r="V202" i="14"/>
  <c r="V201" i="14"/>
  <c r="V200" i="14"/>
  <c r="V199" i="14"/>
  <c r="V198" i="14"/>
  <c r="V197" i="14"/>
  <c r="V196" i="14"/>
  <c r="V195" i="14"/>
  <c r="V194" i="14"/>
  <c r="V193" i="14"/>
  <c r="V192" i="14"/>
  <c r="V191" i="14"/>
  <c r="V190" i="14"/>
  <c r="V189" i="14"/>
  <c r="V188" i="14"/>
  <c r="V187" i="14"/>
  <c r="V186" i="14"/>
  <c r="V185" i="14"/>
  <c r="V184" i="14"/>
  <c r="V183" i="14"/>
  <c r="V182" i="14"/>
  <c r="V181" i="14"/>
  <c r="V180" i="14"/>
  <c r="V179" i="14"/>
  <c r="V178" i="14"/>
  <c r="V177" i="14"/>
  <c r="V176" i="14"/>
  <c r="V175" i="14"/>
  <c r="V174" i="14"/>
  <c r="V173" i="14"/>
  <c r="V172" i="14"/>
  <c r="V171" i="14"/>
  <c r="V170" i="14"/>
  <c r="V169" i="14"/>
  <c r="V168" i="14"/>
  <c r="V167" i="14"/>
  <c r="V166" i="14"/>
  <c r="V165" i="14"/>
  <c r="V164" i="14"/>
  <c r="V163" i="14"/>
  <c r="V162" i="14"/>
  <c r="V161" i="14"/>
  <c r="V160" i="14"/>
  <c r="V159" i="14"/>
  <c r="V158" i="14"/>
  <c r="V157" i="14"/>
  <c r="V156" i="14"/>
  <c r="V155" i="14"/>
  <c r="V154" i="14"/>
  <c r="V153" i="14"/>
  <c r="V152" i="14"/>
  <c r="V151" i="14"/>
  <c r="V150" i="14"/>
  <c r="V149" i="14"/>
  <c r="V148" i="14"/>
  <c r="V147" i="14"/>
  <c r="V146" i="14"/>
  <c r="V145" i="14"/>
  <c r="V144" i="14"/>
  <c r="V143" i="14"/>
  <c r="V142" i="14"/>
  <c r="V141" i="14"/>
  <c r="V140" i="14"/>
  <c r="V139" i="14"/>
  <c r="V138" i="14"/>
  <c r="V137" i="14"/>
  <c r="V136" i="14"/>
  <c r="V135" i="14"/>
  <c r="V134" i="14"/>
  <c r="V133" i="14"/>
  <c r="V132" i="14"/>
  <c r="V131" i="14"/>
  <c r="V130" i="14"/>
  <c r="V129" i="14"/>
  <c r="V128" i="14"/>
  <c r="V127" i="14"/>
  <c r="V126" i="14"/>
  <c r="V125" i="14"/>
  <c r="V124" i="14"/>
  <c r="V123" i="14"/>
  <c r="V122" i="14"/>
  <c r="V121" i="14"/>
  <c r="V120" i="14"/>
  <c r="V119" i="14"/>
  <c r="V118" i="14"/>
  <c r="V117" i="14"/>
  <c r="V116" i="14"/>
  <c r="V115" i="14"/>
  <c r="V114" i="14"/>
  <c r="V113" i="14"/>
  <c r="V112" i="14"/>
  <c r="V111" i="14"/>
  <c r="V110" i="14"/>
  <c r="V109" i="14"/>
  <c r="V108" i="14"/>
  <c r="V107" i="14"/>
  <c r="V106" i="14"/>
  <c r="V105" i="14"/>
  <c r="V104" i="14"/>
  <c r="V103" i="14"/>
  <c r="V102" i="14"/>
  <c r="V101" i="14"/>
  <c r="V100" i="14"/>
  <c r="V99" i="14"/>
  <c r="V98" i="14"/>
  <c r="V97" i="14"/>
  <c r="V96" i="14"/>
  <c r="V95" i="14"/>
  <c r="V94" i="14"/>
  <c r="V93" i="14"/>
  <c r="V92" i="14"/>
  <c r="V91" i="14"/>
  <c r="V90" i="14"/>
  <c r="V89" i="14"/>
  <c r="V88" i="14"/>
  <c r="V87" i="14"/>
  <c r="V86" i="14"/>
  <c r="V85" i="14"/>
  <c r="V84" i="14"/>
  <c r="V83" i="14"/>
  <c r="V82" i="14"/>
  <c r="V81" i="14"/>
  <c r="V80" i="14"/>
  <c r="V79" i="14"/>
  <c r="V78" i="14"/>
  <c r="V77" i="14"/>
  <c r="V76" i="14"/>
  <c r="V75" i="14"/>
  <c r="V74" i="14"/>
  <c r="V73" i="14"/>
  <c r="V72" i="14"/>
  <c r="V71" i="14"/>
  <c r="V70" i="14"/>
  <c r="V69" i="14"/>
  <c r="V68" i="14"/>
  <c r="V67" i="14"/>
  <c r="V66" i="14"/>
  <c r="V65" i="14"/>
  <c r="V64" i="14"/>
  <c r="V63" i="14"/>
  <c r="V62" i="14"/>
  <c r="V61" i="14"/>
  <c r="V60" i="14"/>
  <c r="V59" i="14"/>
  <c r="V58" i="14"/>
  <c r="V57" i="14"/>
  <c r="V56" i="14"/>
  <c r="V55" i="14"/>
  <c r="V54" i="14"/>
  <c r="V53" i="14"/>
  <c r="V52" i="14"/>
  <c r="V51" i="14"/>
  <c r="V50" i="14"/>
  <c r="V49" i="14"/>
  <c r="V48" i="14"/>
  <c r="V47" i="14"/>
  <c r="V46" i="14"/>
  <c r="V45" i="14"/>
  <c r="V44" i="14"/>
  <c r="V43" i="14"/>
  <c r="V42" i="14"/>
  <c r="V41" i="14"/>
  <c r="V40" i="14"/>
  <c r="V39" i="14"/>
  <c r="V38" i="14"/>
  <c r="V37" i="14"/>
  <c r="V36" i="14"/>
  <c r="V35" i="14"/>
  <c r="V34" i="14"/>
  <c r="V33" i="14"/>
  <c r="V32" i="14"/>
  <c r="V31" i="14"/>
  <c r="V30" i="14"/>
  <c r="V29" i="14"/>
  <c r="V28" i="14"/>
  <c r="V27" i="14"/>
  <c r="V26" i="14"/>
  <c r="V25" i="14"/>
  <c r="V24" i="14"/>
  <c r="V23" i="14"/>
  <c r="V22" i="14"/>
  <c r="V21" i="14"/>
  <c r="V20" i="14"/>
  <c r="V19" i="14"/>
  <c r="V18" i="14"/>
  <c r="V17" i="14"/>
  <c r="V16" i="14"/>
  <c r="V15" i="14"/>
  <c r="V14" i="14"/>
  <c r="V13" i="14"/>
  <c r="B2318" i="14"/>
  <c r="W2149" i="14"/>
  <c r="H2250" i="14"/>
  <c r="I2250" i="14" s="1"/>
  <c r="N2250" i="14" s="1"/>
  <c r="K2556" i="14"/>
  <c r="B2374" i="14"/>
  <c r="B2381" i="14"/>
  <c r="B2388" i="14"/>
  <c r="B2332" i="14"/>
  <c r="B2325" i="14"/>
  <c r="B2395" i="14"/>
  <c r="B2339" i="14"/>
  <c r="B2346" i="14"/>
  <c r="B2402" i="14"/>
  <c r="B2353" i="14"/>
  <c r="B2360" i="14"/>
  <c r="B2367" i="14"/>
  <c r="I2270" i="14"/>
  <c r="N2270" i="14"/>
  <c r="I2256" i="14"/>
  <c r="N2256" i="14"/>
  <c r="H2242" i="14"/>
  <c r="B2240" i="14" s="1"/>
  <c r="H2235" i="14"/>
  <c r="I2235" i="14" s="1"/>
  <c r="N2235" i="14" s="1"/>
  <c r="I2266" i="14"/>
  <c r="N2266" i="14"/>
  <c r="S2213" i="14"/>
  <c r="H2041" i="14"/>
  <c r="I2041" i="14" s="1"/>
  <c r="N2041" i="14" s="1"/>
  <c r="B2574" i="14"/>
  <c r="B2567" i="14"/>
  <c r="A2561" i="14"/>
  <c r="B2560" i="14"/>
  <c r="A2554" i="14"/>
  <c r="S2567" i="14"/>
  <c r="H2568" i="14"/>
  <c r="I2568" i="14" s="1"/>
  <c r="N2568" i="14" s="1"/>
  <c r="P2568" i="14"/>
  <c r="R2568" i="14"/>
  <c r="S2568" i="14"/>
  <c r="S2569" i="14"/>
  <c r="S2549" i="14"/>
  <c r="S2550" i="14"/>
  <c r="S2551" i="14"/>
  <c r="S2552" i="14"/>
  <c r="S2553" i="14"/>
  <c r="S2554" i="14"/>
  <c r="S2555" i="14"/>
  <c r="S2556" i="14"/>
  <c r="S2557" i="14"/>
  <c r="S2558" i="14"/>
  <c r="H2559" i="14"/>
  <c r="I2559" i="14" s="1"/>
  <c r="N2559" i="14" s="1"/>
  <c r="P2559" i="14"/>
  <c r="R2559" i="14"/>
  <c r="S2559" i="14"/>
  <c r="S2560" i="14"/>
  <c r="S2561" i="14"/>
  <c r="S2562" i="14"/>
  <c r="H2563" i="14"/>
  <c r="I2563" i="14" s="1"/>
  <c r="N2563" i="14" s="1"/>
  <c r="P2563" i="14"/>
  <c r="R2563" i="14"/>
  <c r="S2563" i="14"/>
  <c r="S2564" i="14"/>
  <c r="S2565" i="14"/>
  <c r="S2566" i="14"/>
  <c r="B2553" i="14"/>
  <c r="A2547" i="14"/>
  <c r="B2546" i="14"/>
  <c r="A2540" i="14"/>
  <c r="B2539" i="14"/>
  <c r="A2533" i="14"/>
  <c r="B2532" i="14"/>
  <c r="A2526" i="14"/>
  <c r="B2525" i="14"/>
  <c r="A2519" i="14"/>
  <c r="B2518" i="14"/>
  <c r="A2512" i="14"/>
  <c r="B2511" i="14"/>
  <c r="A2505" i="14"/>
  <c r="B2504" i="14"/>
  <c r="A2498" i="14"/>
  <c r="B2497" i="14"/>
  <c r="A2491" i="14"/>
  <c r="B2490" i="14"/>
  <c r="A2484" i="14"/>
  <c r="B2483" i="14"/>
  <c r="A2477" i="14"/>
  <c r="B2476" i="14"/>
  <c r="A2470" i="14"/>
  <c r="B2469" i="14"/>
  <c r="A2463" i="14"/>
  <c r="B2462" i="14"/>
  <c r="A2456" i="14"/>
  <c r="B2455" i="14"/>
  <c r="A2449" i="14"/>
  <c r="B2448" i="14"/>
  <c r="A2442" i="14"/>
  <c r="B2441" i="14"/>
  <c r="A2435" i="14"/>
  <c r="B2434" i="14"/>
  <c r="A2428" i="14"/>
  <c r="B2427" i="14"/>
  <c r="A2421" i="14"/>
  <c r="H2034" i="14"/>
  <c r="I2034" i="14" s="1"/>
  <c r="N2034" i="14" s="1"/>
  <c r="H2027" i="14"/>
  <c r="I2027" i="14" s="1"/>
  <c r="N2027" i="14" s="1"/>
  <c r="B2420" i="14"/>
  <c r="A2414" i="14"/>
  <c r="B2413" i="14"/>
  <c r="A2407" i="14"/>
  <c r="B2406" i="14"/>
  <c r="A2400" i="14"/>
  <c r="B2399" i="14"/>
  <c r="A2393" i="14"/>
  <c r="B2392" i="14"/>
  <c r="A2386" i="14"/>
  <c r="B2385" i="14"/>
  <c r="A2379" i="14"/>
  <c r="B2378" i="14"/>
  <c r="A2372" i="14"/>
  <c r="B2371" i="14"/>
  <c r="A2365" i="14"/>
  <c r="B2364" i="14"/>
  <c r="A2358" i="14"/>
  <c r="B2357" i="14"/>
  <c r="A2351" i="14"/>
  <c r="B2350" i="14"/>
  <c r="A2344" i="14"/>
  <c r="B2343" i="14"/>
  <c r="A2337" i="14"/>
  <c r="B2336" i="14"/>
  <c r="A2330" i="14"/>
  <c r="B2329" i="14"/>
  <c r="A2323" i="14"/>
  <c r="B2322" i="14"/>
  <c r="A2316" i="14"/>
  <c r="B2315" i="14"/>
  <c r="A2309" i="14"/>
  <c r="B2308" i="14"/>
  <c r="A2302" i="14"/>
  <c r="B2301" i="14"/>
  <c r="A2295" i="14"/>
  <c r="B2294" i="14"/>
  <c r="A2288" i="14"/>
  <c r="B2287" i="14"/>
  <c r="A2281" i="14"/>
  <c r="B2280" i="14"/>
  <c r="B2273" i="14"/>
  <c r="B2259" i="14"/>
  <c r="B2252" i="14"/>
  <c r="B2245" i="14"/>
  <c r="B2238" i="14"/>
  <c r="B2231" i="14"/>
  <c r="B2224" i="14"/>
  <c r="B2217" i="14"/>
  <c r="B2210" i="14"/>
  <c r="B2168" i="14"/>
  <c r="B2161" i="14"/>
  <c r="A2274" i="14"/>
  <c r="A2267" i="14"/>
  <c r="A2260" i="14"/>
  <c r="A2253" i="14"/>
  <c r="A2246" i="14"/>
  <c r="A2239" i="14"/>
  <c r="A2232" i="14"/>
  <c r="A2225" i="14"/>
  <c r="A2218" i="14"/>
  <c r="A2211" i="14"/>
  <c r="S2204" i="14"/>
  <c r="S2205" i="14"/>
  <c r="S2206" i="14"/>
  <c r="S2207" i="14"/>
  <c r="S2208" i="14"/>
  <c r="S2209" i="14"/>
  <c r="S2210" i="14"/>
  <c r="S2211" i="14"/>
  <c r="S2212" i="14"/>
  <c r="S2214" i="14"/>
  <c r="S2215" i="14"/>
  <c r="S2216" i="14"/>
  <c r="S2217" i="14"/>
  <c r="S2218" i="14"/>
  <c r="S2219" i="14"/>
  <c r="S2220" i="14"/>
  <c r="S2221" i="14"/>
  <c r="S2222" i="14"/>
  <c r="S2223" i="14"/>
  <c r="S2224" i="14"/>
  <c r="S2225" i="14"/>
  <c r="S2226" i="14"/>
  <c r="S2227" i="14"/>
  <c r="S2228" i="14"/>
  <c r="S2229" i="14"/>
  <c r="S2230" i="14"/>
  <c r="S2231" i="14"/>
  <c r="S2232" i="14"/>
  <c r="S2233" i="14"/>
  <c r="S2234" i="14"/>
  <c r="S2235" i="14"/>
  <c r="S2236" i="14"/>
  <c r="S2237" i="14"/>
  <c r="S2238" i="14"/>
  <c r="S2239" i="14"/>
  <c r="S2240" i="14"/>
  <c r="S2241" i="14"/>
  <c r="S2242" i="14"/>
  <c r="S2243" i="14"/>
  <c r="S2244" i="14"/>
  <c r="S2245" i="14"/>
  <c r="S2246" i="14"/>
  <c r="S2247" i="14"/>
  <c r="S2248" i="14"/>
  <c r="S2249" i="14"/>
  <c r="S2250" i="14"/>
  <c r="S2251" i="14"/>
  <c r="S2252" i="14"/>
  <c r="S2253" i="14"/>
  <c r="S2254" i="14"/>
  <c r="S2255" i="14"/>
  <c r="S2256" i="14"/>
  <c r="S2257" i="14"/>
  <c r="S2258" i="14"/>
  <c r="P2259" i="14"/>
  <c r="R2259" i="14"/>
  <c r="S2259" i="14"/>
  <c r="S2260" i="14"/>
  <c r="S2261" i="14"/>
  <c r="S2262" i="14"/>
  <c r="S2263" i="14"/>
  <c r="S2264" i="14"/>
  <c r="S2265" i="14"/>
  <c r="P2266" i="14"/>
  <c r="R2266" i="14"/>
  <c r="S2266" i="14"/>
  <c r="S2267" i="14"/>
  <c r="S2268" i="14"/>
  <c r="S2269" i="14"/>
  <c r="S2270" i="14"/>
  <c r="S2271" i="14"/>
  <c r="S2272" i="14"/>
  <c r="S2273" i="14"/>
  <c r="S2274" i="14"/>
  <c r="S2275" i="14"/>
  <c r="S2276" i="14"/>
  <c r="S2277" i="14"/>
  <c r="S2278" i="14"/>
  <c r="S2279" i="14"/>
  <c r="S2280" i="14"/>
  <c r="S2281" i="14"/>
  <c r="S2282" i="14"/>
  <c r="S2283" i="14"/>
  <c r="S2284" i="14"/>
  <c r="S2285" i="14"/>
  <c r="S2286" i="14"/>
  <c r="S2287" i="14"/>
  <c r="S2288" i="14"/>
  <c r="S2289" i="14"/>
  <c r="S2290" i="14"/>
  <c r="S2291" i="14"/>
  <c r="S2292" i="14"/>
  <c r="S2293" i="14"/>
  <c r="S2294" i="14"/>
  <c r="S2295" i="14"/>
  <c r="S2296" i="14"/>
  <c r="S2297" i="14"/>
  <c r="S2298" i="14"/>
  <c r="S2299" i="14"/>
  <c r="S2300" i="14"/>
  <c r="S2301" i="14"/>
  <c r="S2302" i="14"/>
  <c r="S2303" i="14"/>
  <c r="S2304" i="14"/>
  <c r="S2305" i="14"/>
  <c r="S2306" i="14"/>
  <c r="S2307" i="14"/>
  <c r="S2308" i="14"/>
  <c r="S2309" i="14"/>
  <c r="S2310" i="14"/>
  <c r="S2311" i="14"/>
  <c r="S2312" i="14"/>
  <c r="S2313" i="14"/>
  <c r="S2314" i="14"/>
  <c r="S2315" i="14"/>
  <c r="H2316" i="14"/>
  <c r="I2316" i="14" s="1"/>
  <c r="N2316" i="14" s="1"/>
  <c r="P2316" i="14"/>
  <c r="R2316" i="14"/>
  <c r="S2316" i="14"/>
  <c r="S2317" i="14"/>
  <c r="P2318" i="14"/>
  <c r="R2318" i="14"/>
  <c r="S2318" i="14"/>
  <c r="S2319" i="14"/>
  <c r="P2320" i="14"/>
  <c r="R2320" i="14"/>
  <c r="S2320" i="14"/>
  <c r="S2321" i="14"/>
  <c r="I2322" i="14"/>
  <c r="N2322" i="14"/>
  <c r="S2322" i="14"/>
  <c r="S2323" i="14"/>
  <c r="S2324" i="14"/>
  <c r="S2325" i="14"/>
  <c r="S2326" i="14"/>
  <c r="S2327" i="14"/>
  <c r="S2328" i="14"/>
  <c r="S2329" i="14"/>
  <c r="S2330" i="14"/>
  <c r="I2331" i="14"/>
  <c r="N2331" i="14"/>
  <c r="S2331" i="14"/>
  <c r="S2332" i="14"/>
  <c r="I2333" i="14"/>
  <c r="N2333" i="14"/>
  <c r="S2333" i="14"/>
  <c r="S2334" i="14"/>
  <c r="H2335" i="14"/>
  <c r="I2335" i="14" s="1"/>
  <c r="N2335" i="14" s="1"/>
  <c r="P2335" i="14"/>
  <c r="R2335" i="14"/>
  <c r="S2335" i="14"/>
  <c r="S2336" i="14"/>
  <c r="S2337" i="14"/>
  <c r="S2338" i="14"/>
  <c r="S2339" i="14"/>
  <c r="S2340" i="14"/>
  <c r="S2341" i="14"/>
  <c r="S2342" i="14"/>
  <c r="S2343" i="14"/>
  <c r="S2344" i="14"/>
  <c r="P2345" i="14"/>
  <c r="R2345" i="14"/>
  <c r="S2345" i="14"/>
  <c r="S2346" i="14"/>
  <c r="S2347" i="14"/>
  <c r="H2349" i="14"/>
  <c r="I2349" i="14" s="1"/>
  <c r="N2349" i="14" s="1"/>
  <c r="P2349" i="14"/>
  <c r="R2349" i="14"/>
  <c r="S2349" i="14"/>
  <c r="S2350" i="14"/>
  <c r="S2351" i="14"/>
  <c r="S2352" i="14"/>
  <c r="P2353" i="14"/>
  <c r="R2353" i="14"/>
  <c r="S2353" i="14"/>
  <c r="S2354" i="14"/>
  <c r="S2355" i="14"/>
  <c r="S2356" i="14"/>
  <c r="S2357" i="14"/>
  <c r="S2358" i="14"/>
  <c r="S2359" i="14"/>
  <c r="S2360" i="14"/>
  <c r="S2361" i="14"/>
  <c r="S2362" i="14"/>
  <c r="H2363" i="14"/>
  <c r="I2363" i="14" s="1"/>
  <c r="N2363" i="14" s="1"/>
  <c r="P2363" i="14"/>
  <c r="R2363" i="14"/>
  <c r="S2363" i="14"/>
  <c r="S2364" i="14"/>
  <c r="S2365" i="14"/>
  <c r="S2366" i="14"/>
  <c r="S2367" i="14"/>
  <c r="S2368" i="14"/>
  <c r="S2369" i="14"/>
  <c r="S2370" i="14"/>
  <c r="S2371" i="14"/>
  <c r="S2372" i="14"/>
  <c r="S2373" i="14"/>
  <c r="S2374" i="14"/>
  <c r="S2375" i="14"/>
  <c r="S2376" i="14"/>
  <c r="H2377" i="14"/>
  <c r="I2377" i="14" s="1"/>
  <c r="N2377" i="14" s="1"/>
  <c r="P2377" i="14"/>
  <c r="R2377" i="14"/>
  <c r="S2377" i="14"/>
  <c r="S2378" i="14"/>
  <c r="S2379" i="14"/>
  <c r="S2380" i="14"/>
  <c r="S2381" i="14"/>
  <c r="S2382" i="14"/>
  <c r="S2383" i="14"/>
  <c r="S2384" i="14"/>
  <c r="S2385" i="14"/>
  <c r="S2386" i="14"/>
  <c r="S2387" i="14"/>
  <c r="S2388" i="14"/>
  <c r="S2389" i="14"/>
  <c r="S2390" i="14"/>
  <c r="S2391" i="14"/>
  <c r="S2392" i="14"/>
  <c r="S2393" i="14"/>
  <c r="S2394" i="14"/>
  <c r="S2395" i="14"/>
  <c r="S2396" i="14"/>
  <c r="S2397" i="14"/>
  <c r="S2398" i="14"/>
  <c r="S2399" i="14"/>
  <c r="S2401" i="14"/>
  <c r="S2402" i="14"/>
  <c r="S2403" i="14"/>
  <c r="S2404" i="14"/>
  <c r="S2405" i="14"/>
  <c r="B2405" i="14"/>
  <c r="S2406" i="14"/>
  <c r="S2407" i="14"/>
  <c r="S2408" i="14"/>
  <c r="S2409" i="14"/>
  <c r="S2410" i="14"/>
  <c r="S2411" i="14"/>
  <c r="S2412" i="14"/>
  <c r="P2413" i="14"/>
  <c r="R2413" i="14"/>
  <c r="S2413" i="14"/>
  <c r="S2414" i="14"/>
  <c r="S2415" i="14"/>
  <c r="S2416" i="14"/>
  <c r="S2417" i="14"/>
  <c r="S2418" i="14"/>
  <c r="S2419" i="14"/>
  <c r="S2420" i="14"/>
  <c r="S2421" i="14"/>
  <c r="S2422" i="14"/>
  <c r="S2423" i="14"/>
  <c r="S2424" i="14"/>
  <c r="S2425" i="14"/>
  <c r="S2426" i="14"/>
  <c r="P2427" i="14"/>
  <c r="R2427" i="14"/>
  <c r="S2427" i="14"/>
  <c r="S2428" i="14"/>
  <c r="S2429" i="14"/>
  <c r="S2430" i="14"/>
  <c r="S2431" i="14"/>
  <c r="S2432" i="14"/>
  <c r="S2433" i="14"/>
  <c r="P2434" i="14"/>
  <c r="R2434" i="14"/>
  <c r="S2434" i="14"/>
  <c r="S2435" i="14"/>
  <c r="S2436" i="14"/>
  <c r="S2437" i="14"/>
  <c r="S2438" i="14"/>
  <c r="S2439" i="14"/>
  <c r="S2440" i="14"/>
  <c r="P2441" i="14"/>
  <c r="R2441" i="14"/>
  <c r="S2441" i="14"/>
  <c r="S2442" i="14"/>
  <c r="S2444" i="14"/>
  <c r="S2445" i="14"/>
  <c r="S2446" i="14"/>
  <c r="S2447" i="14"/>
  <c r="S2448" i="14"/>
  <c r="S2449" i="14"/>
  <c r="S2450" i="14"/>
  <c r="S2451" i="14"/>
  <c r="S2452" i="14"/>
  <c r="S2453" i="14"/>
  <c r="S2454" i="14"/>
  <c r="P2455" i="14"/>
  <c r="R2455" i="14"/>
  <c r="S2455" i="14"/>
  <c r="S2456" i="14"/>
  <c r="S2457" i="14"/>
  <c r="S2458" i="14"/>
  <c r="S2459" i="14"/>
  <c r="S2460" i="14"/>
  <c r="S2461" i="14"/>
  <c r="S2462" i="14"/>
  <c r="S2463" i="14"/>
  <c r="S2464" i="14"/>
  <c r="S2465" i="14"/>
  <c r="S2466" i="14"/>
  <c r="S2467" i="14"/>
  <c r="S2468" i="14"/>
  <c r="S2469" i="14"/>
  <c r="S2470" i="14"/>
  <c r="S2471" i="14"/>
  <c r="S2472" i="14"/>
  <c r="S2473" i="14"/>
  <c r="S2474" i="14"/>
  <c r="S2475" i="14"/>
  <c r="S2476" i="14"/>
  <c r="S2477" i="14"/>
  <c r="S2478" i="14"/>
  <c r="S2479" i="14"/>
  <c r="S2480" i="14"/>
  <c r="S2481" i="14"/>
  <c r="S2482" i="14"/>
  <c r="S2483" i="14"/>
  <c r="S2484" i="14"/>
  <c r="S2485" i="14"/>
  <c r="S2486" i="14"/>
  <c r="S2487" i="14"/>
  <c r="S2488" i="14"/>
  <c r="S2489" i="14"/>
  <c r="S2490" i="14"/>
  <c r="S2491" i="14"/>
  <c r="S2492" i="14"/>
  <c r="S2493" i="14"/>
  <c r="S2494" i="14"/>
  <c r="S2495" i="14"/>
  <c r="S2496" i="14"/>
  <c r="S2497" i="14"/>
  <c r="S2498" i="14"/>
  <c r="S2499" i="14"/>
  <c r="S2500" i="14"/>
  <c r="S2501" i="14"/>
  <c r="S2502" i="14"/>
  <c r="H2503" i="14"/>
  <c r="I2503" i="14" s="1"/>
  <c r="N2503" i="14" s="1"/>
  <c r="P2503" i="14"/>
  <c r="R2503" i="14"/>
  <c r="S2503" i="14"/>
  <c r="S2504" i="14"/>
  <c r="S2505" i="14"/>
  <c r="S2506" i="14"/>
  <c r="S2507" i="14"/>
  <c r="S2508" i="14"/>
  <c r="S2509" i="14"/>
  <c r="S2510" i="14"/>
  <c r="S2511" i="14"/>
  <c r="S2512" i="14"/>
  <c r="S2513" i="14"/>
  <c r="S2514" i="14"/>
  <c r="S2515" i="14"/>
  <c r="S2516" i="14"/>
  <c r="N2517" i="14"/>
  <c r="P2517" i="14"/>
  <c r="R2517" i="14"/>
  <c r="S2517" i="14"/>
  <c r="S2518" i="14"/>
  <c r="S2519" i="14"/>
  <c r="S2520" i="14"/>
  <c r="I2521" i="14"/>
  <c r="N2521" i="14"/>
  <c r="S2521" i="14"/>
  <c r="S2522" i="14"/>
  <c r="S2523" i="14"/>
  <c r="S2524" i="14"/>
  <c r="S2525" i="14"/>
  <c r="S2526" i="14"/>
  <c r="S2527" i="14"/>
  <c r="S2528" i="14"/>
  <c r="S2529" i="14"/>
  <c r="S2530" i="14"/>
  <c r="S2531" i="14"/>
  <c r="S2532" i="14"/>
  <c r="S2533" i="14"/>
  <c r="S2534" i="14"/>
  <c r="S2535" i="14"/>
  <c r="S2536" i="14"/>
  <c r="S2537" i="14"/>
  <c r="S2538" i="14"/>
  <c r="S2539" i="14"/>
  <c r="S2540" i="14"/>
  <c r="S2541" i="14"/>
  <c r="S2542" i="14"/>
  <c r="S2543" i="14"/>
  <c r="S2544" i="14"/>
  <c r="I2545" i="14"/>
  <c r="N2545" i="14"/>
  <c r="S2545" i="14"/>
  <c r="S2546" i="14"/>
  <c r="S2547" i="14"/>
  <c r="S2548" i="14"/>
  <c r="A2204" i="14"/>
  <c r="A2197" i="14"/>
  <c r="A2190" i="14"/>
  <c r="A2183" i="14"/>
  <c r="A2176" i="14"/>
  <c r="A2169" i="14"/>
  <c r="A2162" i="14"/>
  <c r="A2155" i="14"/>
  <c r="A2148" i="14"/>
  <c r="A2141" i="14"/>
  <c r="A2134" i="14"/>
  <c r="A2127" i="14"/>
  <c r="A2120" i="14"/>
  <c r="A2113" i="14"/>
  <c r="A2106" i="14"/>
  <c r="A2099" i="14"/>
  <c r="A2092" i="14"/>
  <c r="A2085" i="14"/>
  <c r="A2078" i="14"/>
  <c r="A2071" i="14"/>
  <c r="A2064" i="14"/>
  <c r="A2057" i="14"/>
  <c r="A2050" i="14"/>
  <c r="A2043" i="14"/>
  <c r="A2036" i="14"/>
  <c r="A2029" i="14"/>
  <c r="A2022" i="14"/>
  <c r="A2015" i="14"/>
  <c r="A2008" i="14"/>
  <c r="A2001" i="14"/>
  <c r="A1994" i="14"/>
  <c r="A1987" i="14"/>
  <c r="A1980" i="14"/>
  <c r="A1973" i="14"/>
  <c r="A1840" i="14"/>
  <c r="A1847" i="14"/>
  <c r="A1854" i="14"/>
  <c r="A1861" i="14"/>
  <c r="A1868" i="14"/>
  <c r="A1875" i="14"/>
  <c r="A1882" i="14"/>
  <c r="A1889" i="14"/>
  <c r="A1896" i="14"/>
  <c r="A1903" i="14"/>
  <c r="A1910" i="14"/>
  <c r="A1917" i="14"/>
  <c r="A1924" i="14"/>
  <c r="A1931" i="14"/>
  <c r="A1938" i="14"/>
  <c r="A1945" i="14"/>
  <c r="A1952" i="14"/>
  <c r="A1959" i="14"/>
  <c r="A1966" i="14"/>
  <c r="H1962" i="14"/>
  <c r="I1962" i="14"/>
  <c r="N1962" i="14"/>
  <c r="H1940" i="14"/>
  <c r="I1940" i="14" s="1"/>
  <c r="N1940" i="14" s="1"/>
  <c r="H1942" i="14"/>
  <c r="I1942" i="14" s="1"/>
  <c r="N1942" i="14" s="1"/>
  <c r="B1923" i="14"/>
  <c r="B2203" i="14"/>
  <c r="B2196" i="14"/>
  <c r="B2189" i="14"/>
  <c r="B2182" i="14"/>
  <c r="B2175" i="14"/>
  <c r="B2154" i="14"/>
  <c r="B2147" i="14"/>
  <c r="B2140" i="14"/>
  <c r="B2133" i="14"/>
  <c r="B2126" i="14"/>
  <c r="B2119" i="14"/>
  <c r="B2112" i="14"/>
  <c r="B2105" i="14"/>
  <c r="B2098" i="14"/>
  <c r="B2091" i="14"/>
  <c r="B2084" i="14"/>
  <c r="B2077" i="14"/>
  <c r="B2070" i="14"/>
  <c r="B2063" i="14"/>
  <c r="B2056" i="14"/>
  <c r="B2049" i="14"/>
  <c r="B2042" i="14"/>
  <c r="B2035" i="14"/>
  <c r="B2028" i="14"/>
  <c r="B2021" i="14"/>
  <c r="B2014" i="14"/>
  <c r="B2007" i="14"/>
  <c r="B2000" i="14"/>
  <c r="B1993" i="14"/>
  <c r="B1986" i="14"/>
  <c r="B1979" i="14"/>
  <c r="B1972" i="14"/>
  <c r="B1965" i="14"/>
  <c r="B1958" i="14"/>
  <c r="B1951" i="14"/>
  <c r="B1944" i="14"/>
  <c r="B1937" i="14"/>
  <c r="B1930" i="14"/>
  <c r="B1916" i="14"/>
  <c r="B1909" i="14"/>
  <c r="B1902" i="14"/>
  <c r="B1895" i="14"/>
  <c r="B1888" i="14"/>
  <c r="B1881" i="14"/>
  <c r="B1874" i="14"/>
  <c r="B1867" i="14"/>
  <c r="B1860" i="14"/>
  <c r="B1853" i="14"/>
  <c r="B1846" i="14"/>
  <c r="H1840" i="14"/>
  <c r="I1840" i="14" s="1"/>
  <c r="N1840" i="14" s="1"/>
  <c r="P1840" i="14"/>
  <c r="R1840" i="14"/>
  <c r="S1840" i="14"/>
  <c r="S1841" i="14"/>
  <c r="H1842" i="14"/>
  <c r="I1842" i="14" s="1"/>
  <c r="N1842" i="14" s="1"/>
  <c r="P1842" i="14"/>
  <c r="R1842" i="14"/>
  <c r="S1842" i="14"/>
  <c r="I1843" i="14"/>
  <c r="N1843" i="14"/>
  <c r="S1843" i="14"/>
  <c r="H1844" i="14"/>
  <c r="I1844" i="14" s="1"/>
  <c r="N1844" i="14" s="1"/>
  <c r="P1844" i="14"/>
  <c r="R1844" i="14"/>
  <c r="S1844" i="14"/>
  <c r="I1845" i="14"/>
  <c r="N1845" i="14"/>
  <c r="S1845" i="14"/>
  <c r="H1846" i="14"/>
  <c r="I1846" i="14" s="1"/>
  <c r="N1846" i="14" s="1"/>
  <c r="P1846" i="14"/>
  <c r="R1846" i="14"/>
  <c r="S1846" i="14"/>
  <c r="H1847" i="14"/>
  <c r="I1847" i="14" s="1"/>
  <c r="N1847" i="14" s="1"/>
  <c r="P1847" i="14"/>
  <c r="R1847" i="14"/>
  <c r="S1847" i="14"/>
  <c r="H1848" i="14"/>
  <c r="I1848" i="14" s="1"/>
  <c r="N1848" i="14" s="1"/>
  <c r="P1848" i="14"/>
  <c r="R1848" i="14"/>
  <c r="S1848" i="14"/>
  <c r="I1849" i="14"/>
  <c r="N1849" i="14"/>
  <c r="S1849" i="14"/>
  <c r="H1850" i="14"/>
  <c r="I1850" i="14"/>
  <c r="N1850" i="14" s="1"/>
  <c r="P1850" i="14"/>
  <c r="R1850" i="14"/>
  <c r="S1850" i="14"/>
  <c r="H1851" i="14"/>
  <c r="I1851" i="14" s="1"/>
  <c r="N1851" i="14" s="1"/>
  <c r="P1851" i="14"/>
  <c r="R1851" i="14"/>
  <c r="S1851" i="14"/>
  <c r="H1852" i="14"/>
  <c r="I1852" i="14" s="1"/>
  <c r="N1852" i="14" s="1"/>
  <c r="P1852" i="14"/>
  <c r="R1852" i="14"/>
  <c r="S1852" i="14"/>
  <c r="H1853" i="14"/>
  <c r="I1853" i="14" s="1"/>
  <c r="N1853" i="14" s="1"/>
  <c r="P1853" i="14"/>
  <c r="R1853" i="14"/>
  <c r="S1853" i="14"/>
  <c r="H1854" i="14"/>
  <c r="I1854" i="14" s="1"/>
  <c r="N1854" i="14" s="1"/>
  <c r="P1854" i="14"/>
  <c r="R1854" i="14"/>
  <c r="S1854" i="14"/>
  <c r="H1855" i="14"/>
  <c r="I1855" i="14" s="1"/>
  <c r="N1855" i="14" s="1"/>
  <c r="P1855" i="14"/>
  <c r="R1855" i="14"/>
  <c r="S1855" i="14"/>
  <c r="H1856" i="14"/>
  <c r="I1856" i="14" s="1"/>
  <c r="N1856" i="14" s="1"/>
  <c r="P1856" i="14"/>
  <c r="R1856" i="14"/>
  <c r="S1856" i="14"/>
  <c r="H1857" i="14"/>
  <c r="I1857" i="14" s="1"/>
  <c r="N1857" i="14" s="1"/>
  <c r="P1857" i="14"/>
  <c r="R1857" i="14"/>
  <c r="S1857" i="14"/>
  <c r="H1858" i="14"/>
  <c r="I1858" i="14" s="1"/>
  <c r="N1858" i="14" s="1"/>
  <c r="P1858" i="14"/>
  <c r="R1858" i="14"/>
  <c r="S1858" i="14"/>
  <c r="I1859" i="14"/>
  <c r="N1859" i="14"/>
  <c r="S1859" i="14"/>
  <c r="H1860" i="14"/>
  <c r="I1860" i="14" s="1"/>
  <c r="N1860" i="14" s="1"/>
  <c r="P1860" i="14"/>
  <c r="R1860" i="14"/>
  <c r="S1860" i="14"/>
  <c r="S1861" i="14"/>
  <c r="P1862" i="14"/>
  <c r="R1862" i="14"/>
  <c r="S1862" i="14"/>
  <c r="I1863" i="14"/>
  <c r="N1863" i="14"/>
  <c r="S1863" i="14"/>
  <c r="S1864" i="14"/>
  <c r="H1865" i="14"/>
  <c r="I1865" i="14" s="1"/>
  <c r="N1865" i="14" s="1"/>
  <c r="P1865" i="14"/>
  <c r="R1865" i="14"/>
  <c r="S1865" i="14"/>
  <c r="S1866" i="14"/>
  <c r="H1867" i="14"/>
  <c r="I1867" i="14" s="1"/>
  <c r="N1867" i="14" s="1"/>
  <c r="P1867" i="14"/>
  <c r="R1867" i="14"/>
  <c r="S1867" i="14"/>
  <c r="P1868" i="14"/>
  <c r="R1868" i="14"/>
  <c r="S1868" i="14"/>
  <c r="I1869" i="14"/>
  <c r="N1869" i="14"/>
  <c r="S1869" i="14"/>
  <c r="H1870" i="14"/>
  <c r="I1870" i="14" s="1"/>
  <c r="N1870" i="14" s="1"/>
  <c r="P1870" i="14"/>
  <c r="R1870" i="14"/>
  <c r="S1870" i="14"/>
  <c r="I1871" i="14"/>
  <c r="N1871" i="14"/>
  <c r="S1871" i="14"/>
  <c r="S1872" i="14"/>
  <c r="H1873" i="14"/>
  <c r="I1873" i="14" s="1"/>
  <c r="N1873" i="14" s="1"/>
  <c r="P1873" i="14"/>
  <c r="R1873" i="14"/>
  <c r="S1873" i="14"/>
  <c r="S1874" i="14"/>
  <c r="S1875" i="14"/>
  <c r="P1876" i="14"/>
  <c r="R1876" i="14"/>
  <c r="S1876" i="14"/>
  <c r="H1877" i="14"/>
  <c r="I1877" i="14" s="1"/>
  <c r="N1877" i="14" s="1"/>
  <c r="P1877" i="14"/>
  <c r="R1877" i="14"/>
  <c r="S1877" i="14"/>
  <c r="I1878" i="14"/>
  <c r="N1878" i="14"/>
  <c r="S1878" i="14"/>
  <c r="S1879" i="14"/>
  <c r="P1880" i="14"/>
  <c r="R1880" i="14"/>
  <c r="S1880" i="14"/>
  <c r="S1881" i="14"/>
  <c r="S1882" i="14"/>
  <c r="S1883" i="14"/>
  <c r="H1884" i="14"/>
  <c r="I1884" i="14" s="1"/>
  <c r="N1884" i="14" s="1"/>
  <c r="P1884" i="14"/>
  <c r="R1884" i="14"/>
  <c r="S1884" i="14"/>
  <c r="S1885" i="14"/>
  <c r="S1886" i="14"/>
  <c r="S1887" i="14"/>
  <c r="P1888" i="14"/>
  <c r="R1888" i="14"/>
  <c r="S1888" i="14"/>
  <c r="S1889" i="14"/>
  <c r="S1890" i="14"/>
  <c r="H1891" i="14"/>
  <c r="I1891" i="14" s="1"/>
  <c r="N1891" i="14" s="1"/>
  <c r="P1891" i="14"/>
  <c r="R1891" i="14"/>
  <c r="S1891" i="14"/>
  <c r="S1892" i="14"/>
  <c r="S1893" i="14"/>
  <c r="S1894" i="14"/>
  <c r="H1895" i="14"/>
  <c r="I1895" i="14" s="1"/>
  <c r="N1895" i="14" s="1"/>
  <c r="P1895" i="14"/>
  <c r="R1895" i="14"/>
  <c r="S1895" i="14"/>
  <c r="S1896" i="14"/>
  <c r="S1897" i="14"/>
  <c r="H1898" i="14"/>
  <c r="I1898" i="14" s="1"/>
  <c r="N1898" i="14" s="1"/>
  <c r="P1898" i="14"/>
  <c r="R1898" i="14"/>
  <c r="S1898" i="14"/>
  <c r="S1899" i="14"/>
  <c r="S1900" i="14"/>
  <c r="S1901" i="14"/>
  <c r="S1902" i="14"/>
  <c r="S1903" i="14"/>
  <c r="S1904" i="14"/>
  <c r="I1905" i="14"/>
  <c r="N1905" i="14"/>
  <c r="P1905" i="14"/>
  <c r="R1905" i="14"/>
  <c r="S1905" i="14"/>
  <c r="S1906" i="14"/>
  <c r="S1907" i="14"/>
  <c r="S1908" i="14"/>
  <c r="P1909" i="14"/>
  <c r="R1909" i="14"/>
  <c r="S1909" i="14"/>
  <c r="S1910" i="14"/>
  <c r="S1911" i="14"/>
  <c r="H1912" i="14"/>
  <c r="I1912" i="14" s="1"/>
  <c r="N1912" i="14" s="1"/>
  <c r="P1912" i="14"/>
  <c r="R1912" i="14"/>
  <c r="S1912" i="14"/>
  <c r="S1913" i="14"/>
  <c r="S1914" i="14"/>
  <c r="S1915" i="14"/>
  <c r="H1916" i="14"/>
  <c r="I1916" i="14" s="1"/>
  <c r="N1916" i="14" s="1"/>
  <c r="P1916" i="14"/>
  <c r="R1916" i="14"/>
  <c r="S1916" i="14"/>
  <c r="S1917" i="14"/>
  <c r="S1918" i="14"/>
  <c r="H1919" i="14"/>
  <c r="I1919" i="14" s="1"/>
  <c r="N1919" i="14" s="1"/>
  <c r="P1919" i="14"/>
  <c r="R1919" i="14"/>
  <c r="S1919" i="14"/>
  <c r="S1920" i="14"/>
  <c r="S1921" i="14"/>
  <c r="S1922" i="14"/>
  <c r="H1923" i="14"/>
  <c r="I1923" i="14" s="1"/>
  <c r="N1923" i="14" s="1"/>
  <c r="P1923" i="14"/>
  <c r="R1923" i="14"/>
  <c r="S1923" i="14"/>
  <c r="S1924" i="14"/>
  <c r="S1925" i="14"/>
  <c r="I1926" i="14"/>
  <c r="N1926" i="14"/>
  <c r="S1926" i="14"/>
  <c r="S1927" i="14"/>
  <c r="S1928" i="14"/>
  <c r="S1929" i="14"/>
  <c r="S1930" i="14"/>
  <c r="S1931" i="14"/>
  <c r="S1932" i="14"/>
  <c r="I1933" i="14"/>
  <c r="N1933" i="14"/>
  <c r="P1933" i="14"/>
  <c r="R1933" i="14"/>
  <c r="S1933" i="14"/>
  <c r="S1934" i="14"/>
  <c r="S1935" i="14"/>
  <c r="S1936" i="14"/>
  <c r="H1937" i="14"/>
  <c r="I1937" i="14" s="1"/>
  <c r="N1937" i="14" s="1"/>
  <c r="P1937" i="14"/>
  <c r="R1937" i="14"/>
  <c r="S1937" i="14"/>
  <c r="S1938" i="14"/>
  <c r="S1939" i="14"/>
  <c r="P1940" i="14"/>
  <c r="R1940" i="14"/>
  <c r="S1940" i="14"/>
  <c r="S1941" i="14"/>
  <c r="S1942" i="14"/>
  <c r="S1943" i="14"/>
  <c r="S1944" i="14"/>
  <c r="S1945" i="14"/>
  <c r="S1946" i="14"/>
  <c r="H1947" i="14"/>
  <c r="I1947" i="14" s="1"/>
  <c r="N1947" i="14" s="1"/>
  <c r="P1947" i="14"/>
  <c r="R1947" i="14"/>
  <c r="S1947" i="14"/>
  <c r="S1948" i="14"/>
  <c r="S1949" i="14"/>
  <c r="S1950" i="14"/>
  <c r="S1951" i="14"/>
  <c r="S1952" i="14"/>
  <c r="I1953" i="14"/>
  <c r="N1953" i="14"/>
  <c r="P1953" i="14"/>
  <c r="R1953" i="14"/>
  <c r="S1953" i="14"/>
  <c r="H1954" i="14"/>
  <c r="I1954" i="14" s="1"/>
  <c r="N1954" i="14" s="1"/>
  <c r="P1954" i="14"/>
  <c r="R1954" i="14"/>
  <c r="S1954" i="14"/>
  <c r="I1955" i="14"/>
  <c r="N1955" i="14"/>
  <c r="S1955" i="14"/>
  <c r="S1956" i="14"/>
  <c r="P1957" i="14"/>
  <c r="R1957" i="14"/>
  <c r="S1957" i="14"/>
  <c r="I1958" i="14"/>
  <c r="N1958" i="14"/>
  <c r="P1958" i="14"/>
  <c r="R1958" i="14"/>
  <c r="S1958" i="14"/>
  <c r="H1959" i="14"/>
  <c r="I1959" i="14" s="1"/>
  <c r="N1959" i="14" s="1"/>
  <c r="P1959" i="14"/>
  <c r="R1959" i="14"/>
  <c r="S1959" i="14"/>
  <c r="P1960" i="14"/>
  <c r="R1960" i="14"/>
  <c r="S1960" i="14"/>
  <c r="S1961" i="14"/>
  <c r="S1962" i="14"/>
  <c r="S1963" i="14"/>
  <c r="H1964" i="14"/>
  <c r="I1964" i="14" s="1"/>
  <c r="N1964" i="14" s="1"/>
  <c r="P1964" i="14"/>
  <c r="R1964" i="14"/>
  <c r="S1964" i="14"/>
  <c r="S1965" i="14"/>
  <c r="S1966" i="14"/>
  <c r="S1967" i="14"/>
  <c r="H1968" i="14"/>
  <c r="I1968" i="14" s="1"/>
  <c r="N1968" i="14" s="1"/>
  <c r="P1968" i="14"/>
  <c r="R1968" i="14"/>
  <c r="S1968" i="14"/>
  <c r="S1969" i="14"/>
  <c r="S1970" i="14"/>
  <c r="H1971" i="14"/>
  <c r="I1971" i="14" s="1"/>
  <c r="N1971" i="14" s="1"/>
  <c r="P1971" i="14"/>
  <c r="R1971" i="14"/>
  <c r="S1971" i="14"/>
  <c r="S1972" i="14"/>
  <c r="S1973" i="14"/>
  <c r="H1975" i="14"/>
  <c r="I1975" i="14" s="1"/>
  <c r="N1975" i="14" s="1"/>
  <c r="P1975" i="14"/>
  <c r="R1975" i="14"/>
  <c r="S1975" i="14"/>
  <c r="H1976" i="14"/>
  <c r="I1976" i="14" s="1"/>
  <c r="N1976" i="14" s="1"/>
  <c r="S1976" i="14"/>
  <c r="S1977" i="14"/>
  <c r="H1978" i="14"/>
  <c r="I1978" i="14" s="1"/>
  <c r="N1978" i="14" s="1"/>
  <c r="P1978" i="14"/>
  <c r="R1978" i="14"/>
  <c r="S1978" i="14"/>
  <c r="S1979" i="14"/>
  <c r="S1980" i="14"/>
  <c r="S1981" i="14"/>
  <c r="I1982" i="14"/>
  <c r="N1982" i="14"/>
  <c r="S1982" i="14"/>
  <c r="I1983" i="14"/>
  <c r="N1983" i="14"/>
  <c r="S1983" i="14"/>
  <c r="S1984" i="14"/>
  <c r="H1985" i="14"/>
  <c r="I1985" i="14" s="1"/>
  <c r="N1985" i="14" s="1"/>
  <c r="P1985" i="14"/>
  <c r="R1985" i="14"/>
  <c r="S1985" i="14"/>
  <c r="S1986" i="14"/>
  <c r="S1987" i="14"/>
  <c r="S1988" i="14"/>
  <c r="I1989" i="14"/>
  <c r="N1989" i="14"/>
  <c r="S1989" i="14"/>
  <c r="I1990" i="14"/>
  <c r="N1990" i="14"/>
  <c r="S1990" i="14"/>
  <c r="S1991" i="14"/>
  <c r="H1992" i="14"/>
  <c r="I1992" i="14" s="1"/>
  <c r="N1992" i="14" s="1"/>
  <c r="P1992" i="14"/>
  <c r="R1992" i="14"/>
  <c r="S1992" i="14"/>
  <c r="S1993" i="14"/>
  <c r="S1994" i="14"/>
  <c r="S1995" i="14"/>
  <c r="H1996" i="14"/>
  <c r="I1996" i="14" s="1"/>
  <c r="N1996" i="14" s="1"/>
  <c r="P1996" i="14"/>
  <c r="R1996" i="14"/>
  <c r="S1996" i="14"/>
  <c r="H1997" i="14"/>
  <c r="I1997" i="14"/>
  <c r="N1997" i="14" s="1"/>
  <c r="S1997" i="14"/>
  <c r="S1998" i="14"/>
  <c r="H1999" i="14"/>
  <c r="I1999" i="14" s="1"/>
  <c r="N1999" i="14" s="1"/>
  <c r="P1999" i="14"/>
  <c r="R1999" i="14"/>
  <c r="S1999" i="14"/>
  <c r="S2001" i="14"/>
  <c r="S2002" i="14"/>
  <c r="H2003" i="14"/>
  <c r="I2003" i="14" s="1"/>
  <c r="N2003" i="14" s="1"/>
  <c r="P2003" i="14"/>
  <c r="R2003" i="14"/>
  <c r="S2003" i="14"/>
  <c r="I2004" i="14"/>
  <c r="N2004" i="14"/>
  <c r="S2004" i="14"/>
  <c r="S2005" i="14"/>
  <c r="H2006" i="14"/>
  <c r="I2006" i="14"/>
  <c r="N2006" i="14" s="1"/>
  <c r="P2006" i="14"/>
  <c r="R2006" i="14"/>
  <c r="S2006" i="14"/>
  <c r="S2007" i="14"/>
  <c r="S2008" i="14"/>
  <c r="S2009" i="14"/>
  <c r="H2010" i="14"/>
  <c r="I2010" i="14" s="1"/>
  <c r="N2010" i="14" s="1"/>
  <c r="P2010" i="14"/>
  <c r="R2010" i="14"/>
  <c r="S2010" i="14"/>
  <c r="I2011" i="14"/>
  <c r="N2011" i="14"/>
  <c r="S2011" i="14"/>
  <c r="S2012" i="14"/>
  <c r="H2013" i="14"/>
  <c r="I2013" i="14" s="1"/>
  <c r="N2013" i="14" s="1"/>
  <c r="P2013" i="14"/>
  <c r="R2013" i="14"/>
  <c r="S2013" i="14"/>
  <c r="S2014" i="14"/>
  <c r="S2015" i="14"/>
  <c r="S2016" i="14"/>
  <c r="H2017" i="14"/>
  <c r="I2017" i="14" s="1"/>
  <c r="N2017" i="14" s="1"/>
  <c r="P2017" i="14"/>
  <c r="R2017" i="14"/>
  <c r="S2017" i="14"/>
  <c r="I2018" i="14"/>
  <c r="N2018" i="14"/>
  <c r="S2018" i="14"/>
  <c r="S2019" i="14"/>
  <c r="H2020" i="14"/>
  <c r="I2020" i="14" s="1"/>
  <c r="N2020" i="14" s="1"/>
  <c r="P2020" i="14"/>
  <c r="R2020" i="14"/>
  <c r="S2020" i="14"/>
  <c r="S2021" i="14"/>
  <c r="S2022" i="14"/>
  <c r="S2023" i="14"/>
  <c r="S2024" i="14"/>
  <c r="S2025" i="14"/>
  <c r="S2026" i="14"/>
  <c r="P2027" i="14"/>
  <c r="R2027" i="14"/>
  <c r="S2027" i="14"/>
  <c r="S2028" i="14"/>
  <c r="S2029" i="14"/>
  <c r="S2030" i="14"/>
  <c r="S2031" i="14"/>
  <c r="S2032" i="14"/>
  <c r="S2033" i="14"/>
  <c r="S2034" i="14"/>
  <c r="S2035" i="14"/>
  <c r="S2036" i="14"/>
  <c r="S2037" i="14"/>
  <c r="S2038" i="14"/>
  <c r="S2039" i="14"/>
  <c r="S2040" i="14"/>
  <c r="S2041" i="14"/>
  <c r="S2042" i="14"/>
  <c r="S2043" i="14"/>
  <c r="S2044" i="14"/>
  <c r="S2045" i="14"/>
  <c r="S2046" i="14"/>
  <c r="S2047" i="14"/>
  <c r="S2048" i="14"/>
  <c r="S2049" i="14"/>
  <c r="S2050" i="14"/>
  <c r="S2051" i="14"/>
  <c r="S2052" i="14"/>
  <c r="S2053" i="14"/>
  <c r="S2054" i="14"/>
  <c r="S2055" i="14"/>
  <c r="S2056" i="14"/>
  <c r="S2057" i="14"/>
  <c r="S2058" i="14"/>
  <c r="S2059" i="14"/>
  <c r="S2060" i="14"/>
  <c r="S2061" i="14"/>
  <c r="S2062" i="14"/>
  <c r="S2064" i="14"/>
  <c r="S2065" i="14"/>
  <c r="S2066" i="14"/>
  <c r="S2067" i="14"/>
  <c r="S2068" i="14"/>
  <c r="S2069" i="14"/>
  <c r="S2070" i="14"/>
  <c r="S2071" i="14"/>
  <c r="S2072" i="14"/>
  <c r="S2073" i="14"/>
  <c r="S2074" i="14"/>
  <c r="S2075" i="14"/>
  <c r="S2076" i="14"/>
  <c r="S2077" i="14"/>
  <c r="S2078" i="14"/>
  <c r="S2079" i="14"/>
  <c r="S2080" i="14"/>
  <c r="S2081" i="14"/>
  <c r="S2082" i="14"/>
  <c r="S2083" i="14"/>
  <c r="S2084" i="14"/>
  <c r="S2085" i="14"/>
  <c r="S2086" i="14"/>
  <c r="S2087" i="14"/>
  <c r="S2088" i="14"/>
  <c r="S2089" i="14"/>
  <c r="S2090" i="14"/>
  <c r="S2091" i="14"/>
  <c r="S2092" i="14"/>
  <c r="S2093" i="14"/>
  <c r="S2094" i="14"/>
  <c r="S2095" i="14"/>
  <c r="S2096" i="14"/>
  <c r="S2097" i="14"/>
  <c r="S2098" i="14"/>
  <c r="S2099" i="14"/>
  <c r="S2100" i="14"/>
  <c r="S2101" i="14"/>
  <c r="S2102" i="14"/>
  <c r="S2103" i="14"/>
  <c r="S2104" i="14"/>
  <c r="S2106" i="14"/>
  <c r="S2107" i="14"/>
  <c r="S2108" i="14"/>
  <c r="S2109" i="14"/>
  <c r="S2110" i="14"/>
  <c r="S2111" i="14"/>
  <c r="S2112" i="14"/>
  <c r="S2113" i="14"/>
  <c r="S2114" i="14"/>
  <c r="S2115" i="14"/>
  <c r="S2116" i="14"/>
  <c r="S2117" i="14"/>
  <c r="S2118" i="14"/>
  <c r="S2119" i="14"/>
  <c r="S2120" i="14"/>
  <c r="S2121" i="14"/>
  <c r="S2122" i="14"/>
  <c r="S2123" i="14"/>
  <c r="S2124" i="14"/>
  <c r="S2125" i="14"/>
  <c r="S2126" i="14"/>
  <c r="S2127" i="14"/>
  <c r="S2128" i="14"/>
  <c r="S2129" i="14"/>
  <c r="S2130" i="14"/>
  <c r="S2131" i="14"/>
  <c r="P2132" i="14"/>
  <c r="R2132" i="14"/>
  <c r="S2132" i="14"/>
  <c r="S2133" i="14"/>
  <c r="S2134" i="14"/>
  <c r="S2135" i="14"/>
  <c r="S2136" i="14"/>
  <c r="S2137" i="14"/>
  <c r="S2138" i="14"/>
  <c r="S2139" i="14"/>
  <c r="I2140" i="14"/>
  <c r="N2140" i="14"/>
  <c r="S2140" i="14"/>
  <c r="S2141" i="14"/>
  <c r="S2142" i="14"/>
  <c r="I2143" i="14"/>
  <c r="N2143" i="14"/>
  <c r="S2143" i="14"/>
  <c r="S2144" i="14"/>
  <c r="S2145" i="14"/>
  <c r="S2146" i="14"/>
  <c r="S2147" i="14"/>
  <c r="S2148" i="14"/>
  <c r="S2149" i="14"/>
  <c r="S2150" i="14"/>
  <c r="S2151" i="14"/>
  <c r="S2152" i="14"/>
  <c r="S2153" i="14"/>
  <c r="S2154" i="14"/>
  <c r="S2155" i="14"/>
  <c r="S2156" i="14"/>
  <c r="S2157" i="14"/>
  <c r="S2158" i="14"/>
  <c r="S2159" i="14"/>
  <c r="P2160" i="14"/>
  <c r="R2160" i="14"/>
  <c r="S2160" i="14"/>
  <c r="S2161" i="14"/>
  <c r="S2162" i="14"/>
  <c r="S2163" i="14"/>
  <c r="S2164" i="14"/>
  <c r="S2165" i="14"/>
  <c r="S2166" i="14"/>
  <c r="S2167" i="14"/>
  <c r="S2168" i="14"/>
  <c r="S2169" i="14"/>
  <c r="S2170" i="14"/>
  <c r="S2171" i="14"/>
  <c r="H2172" i="14"/>
  <c r="I2172" i="14" s="1"/>
  <c r="N2172" i="14" s="1"/>
  <c r="S2172" i="14"/>
  <c r="S2173" i="14"/>
  <c r="H2174" i="14"/>
  <c r="I2174" i="14" s="1"/>
  <c r="N2174" i="14" s="1"/>
  <c r="P2174" i="14"/>
  <c r="R2174" i="14"/>
  <c r="S2174" i="14"/>
  <c r="S2175" i="14"/>
  <c r="S2176" i="14"/>
  <c r="S2177" i="14"/>
  <c r="P2178" i="14"/>
  <c r="R2178" i="14"/>
  <c r="S2178" i="14"/>
  <c r="S2179" i="14"/>
  <c r="S2180" i="14"/>
  <c r="H2181" i="14"/>
  <c r="I2181" i="14" s="1"/>
  <c r="N2181" i="14" s="1"/>
  <c r="P2181" i="14"/>
  <c r="R2181" i="14"/>
  <c r="S2181" i="14"/>
  <c r="S2182" i="14"/>
  <c r="S2183" i="14"/>
  <c r="S2184" i="14"/>
  <c r="P2185" i="14"/>
  <c r="R2185" i="14"/>
  <c r="S2185" i="14"/>
  <c r="S2186" i="14"/>
  <c r="S2187" i="14"/>
  <c r="H2188" i="14"/>
  <c r="I2188" i="14" s="1"/>
  <c r="N2188" i="14" s="1"/>
  <c r="P2188" i="14"/>
  <c r="R2188" i="14"/>
  <c r="S2188" i="14"/>
  <c r="S2189" i="14"/>
  <c r="S2190" i="14"/>
  <c r="S2191" i="14"/>
  <c r="H2192" i="14"/>
  <c r="I2192" i="14" s="1"/>
  <c r="N2192" i="14" s="1"/>
  <c r="P2192" i="14"/>
  <c r="R2192" i="14"/>
  <c r="S2192" i="14"/>
  <c r="S2193" i="14"/>
  <c r="S2194" i="14"/>
  <c r="P2195" i="14"/>
  <c r="R2195" i="14"/>
  <c r="S2195" i="14"/>
  <c r="S2196" i="14"/>
  <c r="S2197" i="14"/>
  <c r="S2198" i="14"/>
  <c r="S2199" i="14"/>
  <c r="H2200" i="14"/>
  <c r="I2200" i="14" s="1"/>
  <c r="N2200" i="14" s="1"/>
  <c r="S2200" i="14"/>
  <c r="S2201" i="14"/>
  <c r="H2202" i="14"/>
  <c r="I2202" i="14" s="1"/>
  <c r="N2202" i="14" s="1"/>
  <c r="P2202" i="14"/>
  <c r="R2202" i="14"/>
  <c r="S2202" i="14"/>
  <c r="S2203" i="14"/>
  <c r="I1615" i="14"/>
  <c r="S1522" i="14"/>
  <c r="I1497" i="14"/>
  <c r="N1497" i="14"/>
  <c r="S1490" i="14"/>
  <c r="S1491" i="14"/>
  <c r="H1492" i="14"/>
  <c r="I1492" i="14" s="1"/>
  <c r="N1492" i="14" s="1"/>
  <c r="P1492" i="14"/>
  <c r="R1492" i="14"/>
  <c r="S1492" i="14"/>
  <c r="S1493" i="14"/>
  <c r="H1494" i="14"/>
  <c r="I1494" i="14" s="1"/>
  <c r="N1494" i="14" s="1"/>
  <c r="P1494" i="14"/>
  <c r="R1494" i="14"/>
  <c r="S1494" i="14"/>
  <c r="S1495" i="14"/>
  <c r="H1496" i="14"/>
  <c r="I1496" i="14" s="1"/>
  <c r="N1496" i="14" s="1"/>
  <c r="P1496" i="14"/>
  <c r="R1496" i="14"/>
  <c r="S1496" i="14"/>
  <c r="S1497" i="14"/>
  <c r="S1498" i="14"/>
  <c r="S1499" i="14"/>
  <c r="S1500" i="14"/>
  <c r="S1501" i="14"/>
  <c r="S1502" i="14"/>
  <c r="S1503" i="14"/>
  <c r="S1504" i="14"/>
  <c r="H1505" i="14"/>
  <c r="I1505" i="14" s="1"/>
  <c r="N1505" i="14" s="1"/>
  <c r="P1505" i="14"/>
  <c r="R1505" i="14"/>
  <c r="S1505" i="14"/>
  <c r="S1506" i="14"/>
  <c r="S1507" i="14"/>
  <c r="S1508" i="14"/>
  <c r="S1509" i="14"/>
  <c r="S1510" i="14"/>
  <c r="S1511" i="14"/>
  <c r="S1512" i="14"/>
  <c r="S1513" i="14"/>
  <c r="S1514" i="14"/>
  <c r="S1515" i="14"/>
  <c r="S1516" i="14"/>
  <c r="H1517" i="14"/>
  <c r="I1517" i="14" s="1"/>
  <c r="N1517" i="14" s="1"/>
  <c r="P1517" i="14"/>
  <c r="R1517" i="14"/>
  <c r="S1517" i="14"/>
  <c r="S1518" i="14"/>
  <c r="S1519" i="14"/>
  <c r="S1520" i="14"/>
  <c r="S1521" i="14"/>
  <c r="S1523" i="14"/>
  <c r="S1524" i="14"/>
  <c r="S1525" i="14"/>
  <c r="S1526" i="14"/>
  <c r="I1527" i="14"/>
  <c r="N1527" i="14"/>
  <c r="S1527" i="14"/>
  <c r="S1528" i="14"/>
  <c r="S1529" i="14"/>
  <c r="H1530" i="14"/>
  <c r="I1530" i="14" s="1"/>
  <c r="N1530" i="14" s="1"/>
  <c r="P1530" i="14"/>
  <c r="R1530" i="14"/>
  <c r="S1530" i="14"/>
  <c r="S1531" i="14"/>
  <c r="H1532" i="14"/>
  <c r="I1532" i="14" s="1"/>
  <c r="N1532" i="14" s="1"/>
  <c r="P1532" i="14"/>
  <c r="R1532" i="14"/>
  <c r="S1532" i="14"/>
  <c r="S1533" i="14"/>
  <c r="S1534" i="14"/>
  <c r="S1535" i="14"/>
  <c r="S1537" i="14"/>
  <c r="S1538" i="14"/>
  <c r="S1539" i="14"/>
  <c r="S1540" i="14"/>
  <c r="H1541" i="14"/>
  <c r="I1541" i="14" s="1"/>
  <c r="N1541" i="14" s="1"/>
  <c r="P1541" i="14"/>
  <c r="R1541" i="14"/>
  <c r="S1541" i="14"/>
  <c r="S1542" i="14"/>
  <c r="S1543" i="14"/>
  <c r="S1544" i="14"/>
  <c r="S1545" i="14"/>
  <c r="S1546" i="14"/>
  <c r="S1547" i="14"/>
  <c r="S1548" i="14"/>
  <c r="S1549" i="14"/>
  <c r="S1550" i="14"/>
  <c r="S1551" i="14"/>
  <c r="S1552" i="14"/>
  <c r="S1553" i="14"/>
  <c r="S1554" i="14"/>
  <c r="S1555" i="14"/>
  <c r="S1556" i="14"/>
  <c r="S1557" i="14"/>
  <c r="S1559" i="14"/>
  <c r="S1560" i="14"/>
  <c r="S1561" i="14"/>
  <c r="S1562" i="14"/>
  <c r="S1563" i="14"/>
  <c r="S1564" i="14"/>
  <c r="S1565" i="14"/>
  <c r="S1566" i="14"/>
  <c r="S1567" i="14"/>
  <c r="S1568" i="14"/>
  <c r="S1569" i="14"/>
  <c r="S1570" i="14"/>
  <c r="S1571" i="14"/>
  <c r="S1572" i="14"/>
  <c r="S1573" i="14"/>
  <c r="S1574" i="14"/>
  <c r="S1575" i="14"/>
  <c r="S1576" i="14"/>
  <c r="S1577" i="14"/>
  <c r="S1578" i="14"/>
  <c r="S1579" i="14"/>
  <c r="S1580" i="14"/>
  <c r="S1581" i="14"/>
  <c r="S1582" i="14"/>
  <c r="S1583" i="14"/>
  <c r="S1584" i="14"/>
  <c r="S1585" i="14"/>
  <c r="S1586" i="14"/>
  <c r="S1587" i="14"/>
  <c r="S1588" i="14"/>
  <c r="S1589" i="14"/>
  <c r="S1590" i="14"/>
  <c r="S1591" i="14"/>
  <c r="S1592" i="14"/>
  <c r="S1593" i="14"/>
  <c r="S1594" i="14"/>
  <c r="S1595" i="14"/>
  <c r="S1596" i="14"/>
  <c r="S1597" i="14"/>
  <c r="S1598" i="14"/>
  <c r="S1599" i="14"/>
  <c r="S1600" i="14"/>
  <c r="S1601" i="14"/>
  <c r="S1602" i="14"/>
  <c r="H1603" i="14"/>
  <c r="I1603" i="14" s="1"/>
  <c r="N1603" i="14" s="1"/>
  <c r="P1603" i="14"/>
  <c r="R1603" i="14"/>
  <c r="S1603" i="14"/>
  <c r="S1604" i="14"/>
  <c r="S1605" i="14"/>
  <c r="S1606" i="14"/>
  <c r="H1607" i="14"/>
  <c r="I1607" i="14" s="1"/>
  <c r="N1607" i="14" s="1"/>
  <c r="S1607" i="14"/>
  <c r="S1608" i="14"/>
  <c r="S1609" i="14"/>
  <c r="S1610" i="14"/>
  <c r="S1611" i="14"/>
  <c r="S1612" i="14"/>
  <c r="S1613" i="14"/>
  <c r="S1614" i="14"/>
  <c r="S1615" i="14"/>
  <c r="S1616" i="14"/>
  <c r="H1617" i="14"/>
  <c r="I1617" i="14" s="1"/>
  <c r="N1617" i="14" s="1"/>
  <c r="S1617" i="14"/>
  <c r="S1618" i="14"/>
  <c r="S1619" i="14"/>
  <c r="S1620" i="14"/>
  <c r="S1621" i="14"/>
  <c r="S1622" i="14"/>
  <c r="S1623" i="14"/>
  <c r="H1624" i="14"/>
  <c r="I1624" i="14" s="1"/>
  <c r="N1624" i="14" s="1"/>
  <c r="P1624" i="14"/>
  <c r="R1624" i="14"/>
  <c r="S1624" i="14"/>
  <c r="S1626" i="14"/>
  <c r="S1627" i="14"/>
  <c r="S1628" i="14"/>
  <c r="S1629" i="14"/>
  <c r="S1630" i="14"/>
  <c r="S1631" i="14"/>
  <c r="S1632" i="14"/>
  <c r="S1633" i="14"/>
  <c r="P1634" i="14"/>
  <c r="R1634" i="14"/>
  <c r="S1634" i="14"/>
  <c r="P1636" i="14"/>
  <c r="R1636" i="14"/>
  <c r="S1636" i="14"/>
  <c r="S1637" i="14"/>
  <c r="P1638" i="14"/>
  <c r="R1638" i="14"/>
  <c r="S1638" i="14"/>
  <c r="S1639" i="14"/>
  <c r="P1640" i="14"/>
  <c r="R1640" i="14"/>
  <c r="S1641" i="14"/>
  <c r="S1642" i="14"/>
  <c r="S1643" i="14"/>
  <c r="S1644" i="14"/>
  <c r="S1645" i="14"/>
  <c r="S1646" i="14"/>
  <c r="S1647" i="14"/>
  <c r="H1648" i="14"/>
  <c r="I1648" i="14" s="1"/>
  <c r="N1648" i="14" s="1"/>
  <c r="P1648" i="14"/>
  <c r="R1648" i="14"/>
  <c r="S1648" i="14"/>
  <c r="S1649" i="14"/>
  <c r="H1650" i="14"/>
  <c r="I1650" i="14" s="1"/>
  <c r="N1650" i="14" s="1"/>
  <c r="P1650" i="14"/>
  <c r="R1650" i="14"/>
  <c r="S1650" i="14"/>
  <c r="S1652" i="14"/>
  <c r="S1653" i="14"/>
  <c r="S1654" i="14"/>
  <c r="S1655" i="14"/>
  <c r="S1656" i="14"/>
  <c r="S1657" i="14"/>
  <c r="S1658" i="14"/>
  <c r="S1659" i="14"/>
  <c r="S1660" i="14"/>
  <c r="S1661" i="14"/>
  <c r="H1662" i="14"/>
  <c r="I1662" i="14" s="1"/>
  <c r="N1662" i="14" s="1"/>
  <c r="P1662" i="14"/>
  <c r="R1662" i="14"/>
  <c r="S1662" i="14"/>
  <c r="H1664" i="14"/>
  <c r="I1664" i="14" s="1"/>
  <c r="N1664" i="14" s="1"/>
  <c r="P1664" i="14"/>
  <c r="R1664" i="14"/>
  <c r="S1664" i="14"/>
  <c r="S1665" i="14"/>
  <c r="S1666" i="14"/>
  <c r="S1667" i="14"/>
  <c r="S1668" i="14"/>
  <c r="S1669" i="14"/>
  <c r="S1670" i="14"/>
  <c r="S1671" i="14"/>
  <c r="S1672" i="14"/>
  <c r="S1673" i="14"/>
  <c r="S1674" i="14"/>
  <c r="S1675" i="14"/>
  <c r="P1676" i="14"/>
  <c r="R1676" i="14"/>
  <c r="S1676" i="14"/>
  <c r="S1677" i="14"/>
  <c r="P1678" i="14"/>
  <c r="R1678" i="14"/>
  <c r="S1678" i="14"/>
  <c r="S1679" i="14"/>
  <c r="S1680" i="14"/>
  <c r="S1681" i="14"/>
  <c r="S1682" i="14"/>
  <c r="P1683" i="14"/>
  <c r="R1683" i="14"/>
  <c r="S1683" i="14"/>
  <c r="S1684" i="14"/>
  <c r="S1685" i="14"/>
  <c r="S1686" i="14"/>
  <c r="S1687" i="14"/>
  <c r="S1688" i="14"/>
  <c r="S1689" i="14"/>
  <c r="H1690" i="14"/>
  <c r="I1690" i="14" s="1"/>
  <c r="N1690" i="14" s="1"/>
  <c r="P1690" i="14"/>
  <c r="R1690" i="14"/>
  <c r="S1690" i="14"/>
  <c r="S1691" i="14"/>
  <c r="H1692" i="14"/>
  <c r="I1692" i="14"/>
  <c r="N1692" i="14" s="1"/>
  <c r="P1692" i="14"/>
  <c r="R1692" i="14"/>
  <c r="S1692" i="14"/>
  <c r="S1693" i="14"/>
  <c r="S1694" i="14"/>
  <c r="S1695" i="14"/>
  <c r="S1696" i="14"/>
  <c r="P1697" i="14"/>
  <c r="R1697" i="14"/>
  <c r="S1697" i="14"/>
  <c r="S1698" i="14"/>
  <c r="P1699" i="14"/>
  <c r="R1699" i="14"/>
  <c r="S1699" i="14"/>
  <c r="S1700" i="14"/>
  <c r="S1702" i="14"/>
  <c r="S1703" i="14"/>
  <c r="S1704" i="14"/>
  <c r="S1705" i="14"/>
  <c r="S1706" i="14"/>
  <c r="S1707" i="14"/>
  <c r="S1708" i="14"/>
  <c r="S1709" i="14"/>
  <c r="S1710" i="14"/>
  <c r="H1711" i="14"/>
  <c r="I1711" i="14" s="1"/>
  <c r="N1711" i="14" s="1"/>
  <c r="P1711" i="14"/>
  <c r="R1711" i="14"/>
  <c r="S1711" i="14"/>
  <c r="H1713" i="14"/>
  <c r="I1713" i="14" s="1"/>
  <c r="N1713" i="14" s="1"/>
  <c r="P1713" i="14"/>
  <c r="R1713" i="14"/>
  <c r="S1713" i="14"/>
  <c r="S1714" i="14"/>
  <c r="S1715" i="14"/>
  <c r="S1716" i="14"/>
  <c r="S1717" i="14"/>
  <c r="S1718" i="14"/>
  <c r="S1719" i="14"/>
  <c r="P1720" i="14"/>
  <c r="R1720" i="14"/>
  <c r="S1720" i="14"/>
  <c r="S1721" i="14"/>
  <c r="S1722" i="14"/>
  <c r="S1723" i="14"/>
  <c r="S1724" i="14"/>
  <c r="S1725" i="14"/>
  <c r="S1726" i="14"/>
  <c r="S1727" i="14"/>
  <c r="S1728" i="14"/>
  <c r="S1729" i="14"/>
  <c r="S1730" i="14"/>
  <c r="S1731" i="14"/>
  <c r="S1732" i="14"/>
  <c r="S1733" i="14"/>
  <c r="S1734" i="14"/>
  <c r="S1735" i="14"/>
  <c r="S1736" i="14"/>
  <c r="S1737" i="14"/>
  <c r="S1738" i="14"/>
  <c r="H1739" i="14"/>
  <c r="I1739" i="14" s="1"/>
  <c r="N1739" i="14" s="1"/>
  <c r="P1739" i="14"/>
  <c r="R1739" i="14"/>
  <c r="S1739" i="14"/>
  <c r="S1740" i="14"/>
  <c r="S1741" i="14"/>
  <c r="S1742" i="14"/>
  <c r="S1743" i="14"/>
  <c r="S1744" i="14"/>
  <c r="S1745" i="14"/>
  <c r="S1746" i="14"/>
  <c r="S1747" i="14"/>
  <c r="S1748" i="14"/>
  <c r="S1749" i="14"/>
  <c r="P1750" i="14"/>
  <c r="R1750" i="14"/>
  <c r="S1750" i="14"/>
  <c r="S1751" i="14"/>
  <c r="S1752" i="14"/>
  <c r="H1753" i="14"/>
  <c r="I1753" i="14" s="1"/>
  <c r="N1753" i="14" s="1"/>
  <c r="P1753" i="14"/>
  <c r="R1753" i="14"/>
  <c r="S1753" i="14"/>
  <c r="S1754" i="14"/>
  <c r="I1755" i="14"/>
  <c r="N1755" i="14"/>
  <c r="S1755" i="14"/>
  <c r="S1756" i="14"/>
  <c r="S1757" i="14"/>
  <c r="S1758" i="14"/>
  <c r="S1759" i="14"/>
  <c r="S1760" i="14"/>
  <c r="S1761" i="14"/>
  <c r="S1762" i="14"/>
  <c r="S1763" i="14"/>
  <c r="S1764" i="14"/>
  <c r="S1765" i="14"/>
  <c r="S1766" i="14"/>
  <c r="S1767" i="14"/>
  <c r="S1768" i="14"/>
  <c r="S1769" i="14"/>
  <c r="S1770" i="14"/>
  <c r="S1771" i="14"/>
  <c r="S1772" i="14"/>
  <c r="S1773" i="14"/>
  <c r="S1774" i="14"/>
  <c r="S1775" i="14"/>
  <c r="S1776" i="14"/>
  <c r="S1777" i="14"/>
  <c r="S1778" i="14"/>
  <c r="S1779" i="14"/>
  <c r="S1780" i="14"/>
  <c r="S1781" i="14"/>
  <c r="S1782" i="14"/>
  <c r="S1783" i="14"/>
  <c r="S1784" i="14"/>
  <c r="S1785" i="14"/>
  <c r="S1786" i="14"/>
  <c r="S1787" i="14"/>
  <c r="S1788" i="14"/>
  <c r="S1789" i="14"/>
  <c r="S1790" i="14"/>
  <c r="S1791" i="14"/>
  <c r="S1792" i="14"/>
  <c r="S1793" i="14"/>
  <c r="S1794" i="14"/>
  <c r="S1795" i="14"/>
  <c r="S1796" i="14"/>
  <c r="S1797" i="14"/>
  <c r="S1798" i="14"/>
  <c r="S1799" i="14"/>
  <c r="S1800" i="14"/>
  <c r="S1801" i="14"/>
  <c r="H1802" i="14"/>
  <c r="I1802" i="14" s="1"/>
  <c r="N1802" i="14" s="1"/>
  <c r="S1802" i="14"/>
  <c r="S1803" i="14"/>
  <c r="S1804" i="14"/>
  <c r="S1805" i="14"/>
  <c r="S1806" i="14"/>
  <c r="S1807" i="14"/>
  <c r="S1808" i="14"/>
  <c r="S1809" i="14"/>
  <c r="S1810" i="14"/>
  <c r="S1811" i="14"/>
  <c r="S1812" i="14"/>
  <c r="S1813" i="14"/>
  <c r="S1814" i="14"/>
  <c r="S1815" i="14"/>
  <c r="S1816" i="14"/>
  <c r="S1817" i="14"/>
  <c r="I1818" i="14"/>
  <c r="N1818" i="14"/>
  <c r="S1818" i="14"/>
  <c r="S1819" i="14"/>
  <c r="S1820" i="14"/>
  <c r="S1821" i="14"/>
  <c r="S1822" i="14"/>
  <c r="H1823" i="14"/>
  <c r="I1823" i="14" s="1"/>
  <c r="N1823" i="14" s="1"/>
  <c r="P1823" i="14"/>
  <c r="R1823" i="14"/>
  <c r="S1823" i="14"/>
  <c r="S1824" i="14"/>
  <c r="H1825" i="14"/>
  <c r="I1825" i="14" s="1"/>
  <c r="N1825" i="14" s="1"/>
  <c r="P1825" i="14"/>
  <c r="R1825" i="14"/>
  <c r="S1825" i="14"/>
  <c r="S1826" i="14"/>
  <c r="S1827" i="14"/>
  <c r="S1828" i="14"/>
  <c r="S1829" i="14"/>
  <c r="S1830" i="14"/>
  <c r="S1831" i="14"/>
  <c r="H1832" i="14"/>
  <c r="I1832" i="14" s="1"/>
  <c r="N1832" i="14" s="1"/>
  <c r="P1832" i="14"/>
  <c r="R1832" i="14"/>
  <c r="S1832" i="14"/>
  <c r="S1833" i="14"/>
  <c r="S1834" i="14"/>
  <c r="S1835" i="14"/>
  <c r="S1836" i="14"/>
  <c r="H1837" i="14"/>
  <c r="I1837" i="14" s="1"/>
  <c r="N1837" i="14" s="1"/>
  <c r="P1837" i="14"/>
  <c r="R1837" i="14"/>
  <c r="S1837" i="14"/>
  <c r="S1838" i="14"/>
  <c r="H1839" i="14"/>
  <c r="I1839" i="14"/>
  <c r="N1839" i="14" s="1"/>
  <c r="P1839" i="14"/>
  <c r="R1839" i="14"/>
  <c r="S1839" i="14"/>
  <c r="B1483" i="14"/>
  <c r="B1490" i="14"/>
  <c r="B1497" i="14"/>
  <c r="B1504" i="14"/>
  <c r="B1511" i="14"/>
  <c r="B1518" i="14"/>
  <c r="B1525" i="14"/>
  <c r="B1532" i="14"/>
  <c r="B1539" i="14"/>
  <c r="B1546" i="14"/>
  <c r="B1553" i="14"/>
  <c r="B1560" i="14"/>
  <c r="B1567" i="14"/>
  <c r="B1574" i="14"/>
  <c r="B1581" i="14"/>
  <c r="B1588" i="14"/>
  <c r="B1595" i="14"/>
  <c r="B1602" i="14"/>
  <c r="B1609" i="14"/>
  <c r="B1616" i="14"/>
  <c r="B1623" i="14"/>
  <c r="B1630" i="14"/>
  <c r="B1637" i="14"/>
  <c r="B1644" i="14"/>
  <c r="B1651" i="14"/>
  <c r="B1658" i="14"/>
  <c r="B1665" i="14"/>
  <c r="B1672" i="14"/>
  <c r="B1679" i="14"/>
  <c r="B1686" i="14"/>
  <c r="B1693" i="14"/>
  <c r="B1700" i="14"/>
  <c r="B1707" i="14"/>
  <c r="B1714" i="14"/>
  <c r="B1721" i="14"/>
  <c r="B1728" i="14"/>
  <c r="B1735" i="14"/>
  <c r="B1742" i="14"/>
  <c r="B1749" i="14"/>
  <c r="B1756" i="14"/>
  <c r="B1763" i="14"/>
  <c r="B1770" i="14"/>
  <c r="B1777" i="14"/>
  <c r="B1784" i="14"/>
  <c r="B1791" i="14"/>
  <c r="B1798" i="14"/>
  <c r="B1805" i="14"/>
  <c r="B1812" i="14"/>
  <c r="B1819" i="14"/>
  <c r="B1826" i="14"/>
  <c r="S1476" i="14"/>
  <c r="S1477" i="14"/>
  <c r="P1478" i="14"/>
  <c r="R1478" i="14"/>
  <c r="S1478" i="14"/>
  <c r="S1479" i="14"/>
  <c r="S1480" i="14"/>
  <c r="S1481" i="14"/>
  <c r="S1482" i="14"/>
  <c r="S1483" i="14"/>
  <c r="S1484" i="14"/>
  <c r="P1485" i="14"/>
  <c r="R1485" i="14"/>
  <c r="S1485" i="14"/>
  <c r="S1486" i="14"/>
  <c r="P1487" i="14"/>
  <c r="R1487" i="14"/>
  <c r="S1487" i="14"/>
  <c r="S1488" i="14"/>
  <c r="P1489" i="14"/>
  <c r="R1489" i="14"/>
  <c r="S1489" i="14"/>
  <c r="H1252" i="14"/>
  <c r="I1252" i="14" s="1"/>
  <c r="N1252" i="14" s="1"/>
  <c r="H1253" i="14"/>
  <c r="I1253" i="14" s="1"/>
  <c r="N1253" i="14" s="1"/>
  <c r="H1244" i="14"/>
  <c r="I1244" i="14" s="1"/>
  <c r="N1244" i="14" s="1"/>
  <c r="I1741" i="14"/>
  <c r="N1741" i="14"/>
  <c r="S1054" i="14"/>
  <c r="P1507" i="14"/>
  <c r="R1507" i="14"/>
  <c r="H1001" i="14"/>
  <c r="S1406" i="14"/>
  <c r="S1407" i="14"/>
  <c r="S1408" i="14"/>
  <c r="S1409" i="14"/>
  <c r="S1410" i="14"/>
  <c r="S1411" i="14"/>
  <c r="S1412" i="14"/>
  <c r="S1413" i="14"/>
  <c r="S1414" i="14"/>
  <c r="S1415" i="14"/>
  <c r="S1416" i="14"/>
  <c r="S1417" i="14"/>
  <c r="S1418" i="14"/>
  <c r="S1419" i="14"/>
  <c r="S1420" i="14"/>
  <c r="S1421" i="14"/>
  <c r="S1422" i="14"/>
  <c r="S1423" i="14"/>
  <c r="S1424" i="14"/>
  <c r="S1425" i="14"/>
  <c r="S1426" i="14"/>
  <c r="S1427" i="14"/>
  <c r="S1428" i="14"/>
  <c r="S1429" i="14"/>
  <c r="S1430" i="14"/>
  <c r="S1431" i="14"/>
  <c r="S1432" i="14"/>
  <c r="S1433" i="14"/>
  <c r="S1434" i="14"/>
  <c r="S1435" i="14"/>
  <c r="S1436" i="14"/>
  <c r="S1437" i="14"/>
  <c r="S1438" i="14"/>
  <c r="S1439" i="14"/>
  <c r="S1440" i="14"/>
  <c r="S1441" i="14"/>
  <c r="S1442" i="14"/>
  <c r="S1443" i="14"/>
  <c r="S1444" i="14"/>
  <c r="S1445" i="14"/>
  <c r="S1446" i="14"/>
  <c r="S1447" i="14"/>
  <c r="S1448" i="14"/>
  <c r="S1449" i="14"/>
  <c r="S1450" i="14"/>
  <c r="S1451" i="14"/>
  <c r="S1452" i="14"/>
  <c r="S1453" i="14"/>
  <c r="S1454" i="14"/>
  <c r="S1455" i="14"/>
  <c r="S1456" i="14"/>
  <c r="S1457" i="14"/>
  <c r="S1458" i="14"/>
  <c r="S1459" i="14"/>
  <c r="S1460" i="14"/>
  <c r="S1461" i="14"/>
  <c r="S1462" i="14"/>
  <c r="S1463" i="14"/>
  <c r="S1464" i="14"/>
  <c r="S1465" i="14"/>
  <c r="S1466" i="14"/>
  <c r="S1467" i="14"/>
  <c r="S1468" i="14"/>
  <c r="S1469" i="14"/>
  <c r="S1470" i="14"/>
  <c r="S1471" i="14"/>
  <c r="P1472" i="14"/>
  <c r="R1472" i="14"/>
  <c r="S1472" i="14"/>
  <c r="S1473" i="14"/>
  <c r="S1474" i="14"/>
  <c r="S1475" i="14"/>
  <c r="S1126" i="14"/>
  <c r="S1127" i="14"/>
  <c r="S1128" i="14"/>
  <c r="S1129" i="14"/>
  <c r="S1130" i="14"/>
  <c r="H1131" i="14"/>
  <c r="I1131" i="14" s="1"/>
  <c r="N1131" i="14" s="1"/>
  <c r="S1131" i="14"/>
  <c r="S1132" i="14"/>
  <c r="S1133" i="14"/>
  <c r="S1134" i="14"/>
  <c r="S1135" i="14"/>
  <c r="S1136" i="14"/>
  <c r="S1137" i="14"/>
  <c r="H1138" i="14"/>
  <c r="I1138" i="14" s="1"/>
  <c r="N1138" i="14" s="1"/>
  <c r="P1138" i="14"/>
  <c r="R1138" i="14"/>
  <c r="S1138" i="14"/>
  <c r="S1139" i="14"/>
  <c r="H1140" i="14"/>
  <c r="I1140" i="14" s="1"/>
  <c r="N1140" i="14" s="1"/>
  <c r="P1140" i="14"/>
  <c r="R1140" i="14"/>
  <c r="S1140" i="14"/>
  <c r="S1141" i="14"/>
  <c r="S1142" i="14"/>
  <c r="S1143" i="14"/>
  <c r="S1144" i="14"/>
  <c r="H1145" i="14"/>
  <c r="I1145" i="14" s="1"/>
  <c r="N1145" i="14" s="1"/>
  <c r="P1145" i="14"/>
  <c r="R1145" i="14"/>
  <c r="S1145" i="14"/>
  <c r="S1146" i="14"/>
  <c r="S1147" i="14"/>
  <c r="S1148" i="14"/>
  <c r="S1149" i="14"/>
  <c r="S1150" i="14"/>
  <c r="S1151" i="14"/>
  <c r="S1152" i="14"/>
  <c r="S1153" i="14"/>
  <c r="H1154" i="14"/>
  <c r="I1154" i="14" s="1"/>
  <c r="N1154" i="14" s="1"/>
  <c r="P1154" i="14"/>
  <c r="R1154" i="14"/>
  <c r="S1154" i="14"/>
  <c r="S1155" i="14"/>
  <c r="S1156" i="14"/>
  <c r="S1157" i="14"/>
  <c r="S1158" i="14"/>
  <c r="S1159" i="14"/>
  <c r="S1160" i="14"/>
  <c r="S1161" i="14"/>
  <c r="S1162" i="14"/>
  <c r="S1163" i="14"/>
  <c r="S1164" i="14"/>
  <c r="S1165" i="14"/>
  <c r="S1166" i="14"/>
  <c r="S1167" i="14"/>
  <c r="S1169" i="14"/>
  <c r="S1170" i="14"/>
  <c r="S1171" i="14"/>
  <c r="S1172" i="14"/>
  <c r="S1173" i="14"/>
  <c r="S1174" i="14"/>
  <c r="S1175" i="14"/>
  <c r="S1176" i="14"/>
  <c r="S1177" i="14"/>
  <c r="S1178" i="14"/>
  <c r="S1179" i="14"/>
  <c r="S1180" i="14"/>
  <c r="S1181" i="14"/>
  <c r="S1182" i="14"/>
  <c r="S1183" i="14"/>
  <c r="S1184" i="14"/>
  <c r="S1185" i="14"/>
  <c r="S1186" i="14"/>
  <c r="S1187" i="14"/>
  <c r="S1188" i="14"/>
  <c r="S1189" i="14"/>
  <c r="S1190" i="14"/>
  <c r="S1191" i="14"/>
  <c r="H1192" i="14"/>
  <c r="I1192" i="14" s="1"/>
  <c r="N1192" i="14" s="1"/>
  <c r="P1192" i="14"/>
  <c r="R1192" i="14"/>
  <c r="S1192" i="14"/>
  <c r="S1193" i="14"/>
  <c r="H1194" i="14"/>
  <c r="I1194" i="14" s="1"/>
  <c r="N1194" i="14" s="1"/>
  <c r="P1194" i="14"/>
  <c r="R1194" i="14"/>
  <c r="S1194" i="14"/>
  <c r="I1195" i="14"/>
  <c r="N1195" i="14"/>
  <c r="P1195" i="14"/>
  <c r="R1195" i="14"/>
  <c r="S1195" i="14"/>
  <c r="S1196" i="14"/>
  <c r="H1197" i="14"/>
  <c r="I1197" i="14" s="1"/>
  <c r="N1197" i="14" s="1"/>
  <c r="P1197" i="14"/>
  <c r="R1197" i="14"/>
  <c r="S1197" i="14"/>
  <c r="I1198" i="14"/>
  <c r="N1198" i="14"/>
  <c r="S1198" i="14"/>
  <c r="H1199" i="14"/>
  <c r="I1199" i="14" s="1"/>
  <c r="N1199" i="14" s="1"/>
  <c r="P1199" i="14"/>
  <c r="R1199" i="14"/>
  <c r="S1199" i="14"/>
  <c r="S1200" i="14"/>
  <c r="P1201" i="14"/>
  <c r="R1201" i="14"/>
  <c r="S1201" i="14"/>
  <c r="S1202" i="14"/>
  <c r="P1203" i="14"/>
  <c r="R1203" i="14"/>
  <c r="S1203" i="14"/>
  <c r="S1204" i="14"/>
  <c r="H1205" i="14"/>
  <c r="I1205" i="14" s="1"/>
  <c r="N1205" i="14" s="1"/>
  <c r="S1205" i="14"/>
  <c r="S1206" i="14"/>
  <c r="H1207" i="14"/>
  <c r="I1207" i="14" s="1"/>
  <c r="N1207" i="14" s="1"/>
  <c r="S1207" i="14"/>
  <c r="S1208" i="14"/>
  <c r="H1209" i="14"/>
  <c r="I1209" i="14" s="1"/>
  <c r="N1209" i="14" s="1"/>
  <c r="S1209" i="14"/>
  <c r="H1210" i="14"/>
  <c r="I1210" i="14" s="1"/>
  <c r="N1210" i="14" s="1"/>
  <c r="S1210" i="14"/>
  <c r="S1211" i="14"/>
  <c r="S1212" i="14"/>
  <c r="S1213" i="14"/>
  <c r="H1214" i="14"/>
  <c r="I1214" i="14" s="1"/>
  <c r="N1214" i="14" s="1"/>
  <c r="S1214" i="14"/>
  <c r="S1215" i="14"/>
  <c r="H1216" i="14"/>
  <c r="I1216" i="14" s="1"/>
  <c r="N1216" i="14" s="1"/>
  <c r="S1216" i="14"/>
  <c r="S1217" i="14"/>
  <c r="S1218" i="14"/>
  <c r="S1219" i="14"/>
  <c r="S1220" i="14"/>
  <c r="S1221" i="14"/>
  <c r="S1222" i="14"/>
  <c r="H1223" i="14"/>
  <c r="I1223" i="14" s="1"/>
  <c r="N1223" i="14" s="1"/>
  <c r="P1223" i="14"/>
  <c r="R1223" i="14"/>
  <c r="S1223" i="14"/>
  <c r="S1224" i="14"/>
  <c r="S1225" i="14"/>
  <c r="S1226" i="14"/>
  <c r="S1227" i="14"/>
  <c r="S1228" i="14"/>
  <c r="S1229" i="14"/>
  <c r="S1230" i="14"/>
  <c r="S1231" i="14"/>
  <c r="S1232" i="14"/>
  <c r="P1233" i="14"/>
  <c r="R1233" i="14"/>
  <c r="S1233" i="14"/>
  <c r="S1234" i="14"/>
  <c r="H1235" i="14"/>
  <c r="I1235" i="14" s="1"/>
  <c r="N1235" i="14" s="1"/>
  <c r="P1235" i="14"/>
  <c r="R1235" i="14"/>
  <c r="S1235" i="14"/>
  <c r="H1237" i="14"/>
  <c r="I1237" i="14" s="1"/>
  <c r="N1237" i="14" s="1"/>
  <c r="P1237" i="14"/>
  <c r="R1237" i="14"/>
  <c r="S1237" i="14"/>
  <c r="S1238" i="14"/>
  <c r="H1239" i="14"/>
  <c r="I1239" i="14" s="1"/>
  <c r="N1239" i="14" s="1"/>
  <c r="P1239" i="14"/>
  <c r="R1239" i="14"/>
  <c r="S1239" i="14"/>
  <c r="S1240" i="14"/>
  <c r="H1241" i="14"/>
  <c r="I1241" i="14" s="1"/>
  <c r="N1241" i="14" s="1"/>
  <c r="P1241" i="14"/>
  <c r="R1241" i="14"/>
  <c r="S1241" i="14"/>
  <c r="S1242" i="14"/>
  <c r="H1243" i="14"/>
  <c r="I1243" i="14" s="1"/>
  <c r="N1243" i="14" s="1"/>
  <c r="P1243" i="14"/>
  <c r="R1243" i="14"/>
  <c r="S1243" i="14"/>
  <c r="S1244" i="14"/>
  <c r="S1245" i="14"/>
  <c r="S1246" i="14"/>
  <c r="I1247" i="14"/>
  <c r="N1247" i="14"/>
  <c r="S1247" i="14"/>
  <c r="S1248" i="14"/>
  <c r="H1249" i="14"/>
  <c r="I1249" i="14" s="1"/>
  <c r="N1249" i="14" s="1"/>
  <c r="P1249" i="14"/>
  <c r="R1249" i="14"/>
  <c r="S1249" i="14"/>
  <c r="S1250" i="14"/>
  <c r="H1251" i="14"/>
  <c r="I1251" i="14" s="1"/>
  <c r="N1251" i="14" s="1"/>
  <c r="P1251" i="14"/>
  <c r="R1251" i="14"/>
  <c r="S1251" i="14"/>
  <c r="S1252" i="14"/>
  <c r="P1253" i="14"/>
  <c r="R1253" i="14"/>
  <c r="S1253" i="14"/>
  <c r="S1254" i="14"/>
  <c r="I1255" i="14"/>
  <c r="N1255" i="14"/>
  <c r="S1255" i="14"/>
  <c r="S1256" i="14"/>
  <c r="I1257" i="14"/>
  <c r="N1257" i="14"/>
  <c r="S1257" i="14"/>
  <c r="S1258" i="14"/>
  <c r="H1259" i="14"/>
  <c r="I1259" i="14" s="1"/>
  <c r="N1259" i="14" s="1"/>
  <c r="P1259" i="14"/>
  <c r="R1259" i="14"/>
  <c r="S1259" i="14"/>
  <c r="S1260" i="14"/>
  <c r="H1261" i="14"/>
  <c r="I1261" i="14" s="1"/>
  <c r="N1261" i="14" s="1"/>
  <c r="P1261" i="14"/>
  <c r="R1261" i="14"/>
  <c r="S1261" i="14"/>
  <c r="S1262" i="14"/>
  <c r="I1263" i="14"/>
  <c r="N1263" i="14"/>
  <c r="P1263" i="14"/>
  <c r="R1263" i="14"/>
  <c r="S1263" i="14"/>
  <c r="S1264" i="14"/>
  <c r="S1265" i="14"/>
  <c r="S1266" i="14"/>
  <c r="S1267" i="14"/>
  <c r="S1268" i="14"/>
  <c r="S1269" i="14"/>
  <c r="S1270" i="14"/>
  <c r="S1271" i="14"/>
  <c r="S1272" i="14"/>
  <c r="S1273" i="14"/>
  <c r="S1274" i="14"/>
  <c r="S1275" i="14"/>
  <c r="S1276" i="14"/>
  <c r="S1277" i="14"/>
  <c r="S1278" i="14"/>
  <c r="S1279" i="14"/>
  <c r="S1280" i="14"/>
  <c r="S1281" i="14"/>
  <c r="S1282" i="14"/>
  <c r="S1283" i="14"/>
  <c r="S1284" i="14"/>
  <c r="S1285" i="14"/>
  <c r="S1286" i="14"/>
  <c r="S1287" i="14"/>
  <c r="S1288" i="14"/>
  <c r="S1289" i="14"/>
  <c r="S1290" i="14"/>
  <c r="S1291" i="14"/>
  <c r="S1292" i="14"/>
  <c r="S1293" i="14"/>
  <c r="S1294" i="14"/>
  <c r="S1295" i="14"/>
  <c r="S1296" i="14"/>
  <c r="S1297" i="14"/>
  <c r="S1298" i="14"/>
  <c r="S1299" i="14"/>
  <c r="S1300" i="14"/>
  <c r="S1301" i="14"/>
  <c r="S1302" i="14"/>
  <c r="S1303" i="14"/>
  <c r="S1304" i="14"/>
  <c r="S1305" i="14"/>
  <c r="S1306" i="14"/>
  <c r="S1307" i="14"/>
  <c r="S1308" i="14"/>
  <c r="S1309" i="14"/>
  <c r="S1310" i="14"/>
  <c r="S1311" i="14"/>
  <c r="S1312" i="14"/>
  <c r="S1313" i="14"/>
  <c r="S1314" i="14"/>
  <c r="S1315" i="14"/>
  <c r="S1316" i="14"/>
  <c r="S1317" i="14"/>
  <c r="S1318" i="14"/>
  <c r="S1319" i="14"/>
  <c r="S1320" i="14"/>
  <c r="S1321" i="14"/>
  <c r="S1322" i="14"/>
  <c r="S1323" i="14"/>
  <c r="S1324" i="14"/>
  <c r="S1325" i="14"/>
  <c r="S1326" i="14"/>
  <c r="S1327" i="14"/>
  <c r="S1328" i="14"/>
  <c r="S1329" i="14"/>
  <c r="S1330" i="14"/>
  <c r="S1331" i="14"/>
  <c r="S1332" i="14"/>
  <c r="S1333" i="14"/>
  <c r="S1334" i="14"/>
  <c r="S1335" i="14"/>
  <c r="S1336" i="14"/>
  <c r="S1337" i="14"/>
  <c r="S1338" i="14"/>
  <c r="S1339" i="14"/>
  <c r="S1340" i="14"/>
  <c r="S1341" i="14"/>
  <c r="S1342" i="14"/>
  <c r="S1343" i="14"/>
  <c r="S1344" i="14"/>
  <c r="S1345" i="14"/>
  <c r="S1346" i="14"/>
  <c r="S1347" i="14"/>
  <c r="S1348" i="14"/>
  <c r="S1349" i="14"/>
  <c r="H1350" i="14"/>
  <c r="I1350" i="14" s="1"/>
  <c r="N1350" i="14" s="1"/>
  <c r="S1350" i="14"/>
  <c r="S1351" i="14"/>
  <c r="S1352" i="14"/>
  <c r="S1353" i="14"/>
  <c r="S1354" i="14"/>
  <c r="S1355" i="14"/>
  <c r="S1356" i="14"/>
  <c r="S1357" i="14"/>
  <c r="S1358" i="14"/>
  <c r="S1359" i="14"/>
  <c r="S1360" i="14"/>
  <c r="S1361" i="14"/>
  <c r="S1362" i="14"/>
  <c r="H1364" i="14"/>
  <c r="I1364" i="14" s="1"/>
  <c r="N1364" i="14" s="1"/>
  <c r="S1364" i="14"/>
  <c r="S1365" i="14"/>
  <c r="S1366" i="14"/>
  <c r="S1367" i="14"/>
  <c r="S1368" i="14"/>
  <c r="S1369" i="14"/>
  <c r="S1370" i="14"/>
  <c r="S1371" i="14"/>
  <c r="S1372" i="14"/>
  <c r="S1373" i="14"/>
  <c r="S1374" i="14"/>
  <c r="S1375" i="14"/>
  <c r="S1377" i="14"/>
  <c r="S1378" i="14"/>
  <c r="S1379" i="14"/>
  <c r="S1380" i="14"/>
  <c r="S1381" i="14"/>
  <c r="S1382" i="14"/>
  <c r="S1383" i="14"/>
  <c r="S1384" i="14"/>
  <c r="S1385" i="14"/>
  <c r="S1386" i="14"/>
  <c r="S1387" i="14"/>
  <c r="S1388" i="14"/>
  <c r="S1389" i="14"/>
  <c r="S1390" i="14"/>
  <c r="S1391" i="14"/>
  <c r="S1392" i="14"/>
  <c r="S1393" i="14"/>
  <c r="S1394" i="14"/>
  <c r="S1395" i="14"/>
  <c r="S1396" i="14"/>
  <c r="S1397" i="14"/>
  <c r="S1398" i="14"/>
  <c r="S1400" i="14"/>
  <c r="S1401" i="14"/>
  <c r="S1402" i="14"/>
  <c r="S1403" i="14"/>
  <c r="S1404" i="14"/>
  <c r="S1405" i="14"/>
  <c r="I1231" i="14"/>
  <c r="N1231" i="14"/>
  <c r="I1196" i="14"/>
  <c r="N1196" i="14"/>
  <c r="I1245" i="14"/>
  <c r="N1245" i="14"/>
  <c r="H734" i="14"/>
  <c r="I734" i="14"/>
  <c r="N734" i="14" s="1"/>
  <c r="H735" i="14"/>
  <c r="I735" i="14" s="1"/>
  <c r="N735" i="14" s="1"/>
  <c r="H736" i="14"/>
  <c r="I736" i="14" s="1"/>
  <c r="N736" i="14" s="1"/>
  <c r="H738" i="14"/>
  <c r="I738" i="14" s="1"/>
  <c r="N738" i="14" s="1"/>
  <c r="H740" i="14"/>
  <c r="I740" i="14" s="1"/>
  <c r="N740" i="14" s="1"/>
  <c r="H727" i="14"/>
  <c r="I727" i="14" s="1"/>
  <c r="N727" i="14" s="1"/>
  <c r="H728" i="14"/>
  <c r="I728" i="14" s="1"/>
  <c r="N728" i="14"/>
  <c r="H730" i="14"/>
  <c r="I730" i="14" s="1"/>
  <c r="N730" i="14" s="1"/>
  <c r="H732" i="14"/>
  <c r="I732" i="14" s="1"/>
  <c r="N732" i="14" s="1"/>
  <c r="H720" i="14"/>
  <c r="I720" i="14" s="1"/>
  <c r="N720" i="14" s="1"/>
  <c r="H721" i="14"/>
  <c r="I721" i="14" s="1"/>
  <c r="N721" i="14" s="1"/>
  <c r="H722" i="14"/>
  <c r="I722" i="14" s="1"/>
  <c r="N722" i="14" s="1"/>
  <c r="H723" i="14"/>
  <c r="I723" i="14" s="1"/>
  <c r="N723" i="14" s="1"/>
  <c r="H725" i="14"/>
  <c r="I725" i="14" s="1"/>
  <c r="N725" i="14" s="1"/>
  <c r="H713" i="14"/>
  <c r="I713" i="14" s="1"/>
  <c r="N713" i="14" s="1"/>
  <c r="H715" i="14"/>
  <c r="I715" i="14" s="1"/>
  <c r="N715" i="14" s="1"/>
  <c r="H716" i="14"/>
  <c r="I716" i="14" s="1"/>
  <c r="N716" i="14" s="1"/>
  <c r="H717" i="14"/>
  <c r="I717" i="14" s="1"/>
  <c r="N717" i="14" s="1"/>
  <c r="H718" i="14"/>
  <c r="I718" i="14" s="1"/>
  <c r="N718" i="14" s="1"/>
  <c r="H719" i="14"/>
  <c r="I719" i="14" s="1"/>
  <c r="N719" i="14" s="1"/>
  <c r="H706" i="14"/>
  <c r="I706" i="14" s="1"/>
  <c r="N706" i="14" s="1"/>
  <c r="H707" i="14"/>
  <c r="I707" i="14" s="1"/>
  <c r="N707" i="14" s="1"/>
  <c r="H709" i="14"/>
  <c r="I709" i="14" s="1"/>
  <c r="N709" i="14" s="1"/>
  <c r="H711" i="14"/>
  <c r="I711" i="14" s="1"/>
  <c r="N711" i="14" s="1"/>
  <c r="H699" i="14"/>
  <c r="I699" i="14" s="1"/>
  <c r="N699" i="14" s="1"/>
  <c r="H701" i="14"/>
  <c r="I701" i="14" s="1"/>
  <c r="N701" i="14" s="1"/>
  <c r="H702" i="14"/>
  <c r="I702" i="14" s="1"/>
  <c r="N702" i="14" s="1"/>
  <c r="H703" i="14"/>
  <c r="I703" i="14" s="1"/>
  <c r="N703" i="14" s="1"/>
  <c r="H704" i="14"/>
  <c r="I704" i="14" s="1"/>
  <c r="N704" i="14" s="1"/>
  <c r="H692" i="14"/>
  <c r="I692" i="14" s="1"/>
  <c r="N692" i="14" s="1"/>
  <c r="H694" i="14"/>
  <c r="I694" i="14" s="1"/>
  <c r="N694" i="14" s="1"/>
  <c r="H696" i="14"/>
  <c r="I696" i="14" s="1"/>
  <c r="N696" i="14" s="1"/>
  <c r="H697" i="14"/>
  <c r="I697" i="14"/>
  <c r="N697" i="14" s="1"/>
  <c r="H685" i="14"/>
  <c r="I685" i="14" s="1"/>
  <c r="N685" i="14" s="1"/>
  <c r="H686" i="14"/>
  <c r="I686" i="14" s="1"/>
  <c r="N686" i="14" s="1"/>
  <c r="H688" i="14"/>
  <c r="I688" i="14" s="1"/>
  <c r="N688" i="14" s="1"/>
  <c r="H690" i="14"/>
  <c r="I690" i="14" s="1"/>
  <c r="N690" i="14" s="1"/>
  <c r="H678" i="14"/>
  <c r="I678" i="14" s="1"/>
  <c r="N678" i="14" s="1"/>
  <c r="H679" i="14"/>
  <c r="I679" i="14" s="1"/>
  <c r="N679" i="14" s="1"/>
  <c r="H682" i="14"/>
  <c r="I682" i="14" s="1"/>
  <c r="N682" i="14" s="1"/>
  <c r="H683" i="14"/>
  <c r="I683" i="14" s="1"/>
  <c r="N683" i="14" s="1"/>
  <c r="H671" i="14"/>
  <c r="I671" i="14"/>
  <c r="N671" i="14" s="1"/>
  <c r="H673" i="14"/>
  <c r="I673" i="14" s="1"/>
  <c r="N673" i="14" s="1"/>
  <c r="H674" i="14"/>
  <c r="I674" i="14" s="1"/>
  <c r="N674" i="14" s="1"/>
  <c r="H676" i="14"/>
  <c r="I676" i="14" s="1"/>
  <c r="N676" i="14" s="1"/>
  <c r="H664" i="14"/>
  <c r="I664" i="14" s="1"/>
  <c r="N664" i="14" s="1"/>
  <c r="H665" i="14"/>
  <c r="I665" i="14" s="1"/>
  <c r="N665" i="14" s="1"/>
  <c r="H666" i="14"/>
  <c r="I666" i="14" s="1"/>
  <c r="N666" i="14" s="1"/>
  <c r="H667" i="14"/>
  <c r="I667" i="14" s="1"/>
  <c r="N667" i="14" s="1"/>
  <c r="H668" i="14"/>
  <c r="I668" i="14"/>
  <c r="N668" i="14" s="1"/>
  <c r="H670" i="14"/>
  <c r="I670" i="14" s="1"/>
  <c r="N670" i="14" s="1"/>
  <c r="H657" i="14"/>
  <c r="I657" i="14" s="1"/>
  <c r="N657" i="14" s="1"/>
  <c r="H659" i="14"/>
  <c r="I659" i="14" s="1"/>
  <c r="N659" i="14" s="1"/>
  <c r="H661" i="14"/>
  <c r="I661" i="14" s="1"/>
  <c r="N661" i="14" s="1"/>
  <c r="H662" i="14"/>
  <c r="I662" i="14" s="1"/>
  <c r="N662" i="14" s="1"/>
  <c r="H650" i="14"/>
  <c r="I650" i="14" s="1"/>
  <c r="N650" i="14" s="1"/>
  <c r="H652" i="14"/>
  <c r="I652" i="14" s="1"/>
  <c r="N652" i="14" s="1"/>
  <c r="H653" i="14"/>
  <c r="I653" i="14" s="1"/>
  <c r="N653" i="14" s="1"/>
  <c r="H655" i="14"/>
  <c r="H643" i="14"/>
  <c r="I643" i="14" s="1"/>
  <c r="N643" i="14" s="1"/>
  <c r="H645" i="14"/>
  <c r="I645" i="14" s="1"/>
  <c r="N645" i="14" s="1"/>
  <c r="H646" i="14"/>
  <c r="I646" i="14" s="1"/>
  <c r="N646" i="14" s="1"/>
  <c r="H648" i="14"/>
  <c r="I648" i="14" s="1"/>
  <c r="N648" i="14" s="1"/>
  <c r="H636" i="14"/>
  <c r="I636" i="14"/>
  <c r="N636" i="14" s="1"/>
  <c r="H638" i="14"/>
  <c r="I638" i="14" s="1"/>
  <c r="N638" i="14" s="1"/>
  <c r="H640" i="14"/>
  <c r="I640" i="14" s="1"/>
  <c r="N640" i="14" s="1"/>
  <c r="H642" i="14"/>
  <c r="I642" i="14" s="1"/>
  <c r="N642" i="14" s="1"/>
  <c r="H629" i="14"/>
  <c r="I629" i="14" s="1"/>
  <c r="N629" i="14" s="1"/>
  <c r="H630" i="14"/>
  <c r="I630" i="14" s="1"/>
  <c r="N630" i="14" s="1"/>
  <c r="H632" i="14"/>
  <c r="I632" i="14" s="1"/>
  <c r="N632" i="14" s="1"/>
  <c r="H633" i="14"/>
  <c r="I633" i="14"/>
  <c r="N633" i="14" s="1"/>
  <c r="H635" i="14"/>
  <c r="I635" i="14" s="1"/>
  <c r="N635" i="14" s="1"/>
  <c r="H622" i="14"/>
  <c r="I622" i="14" s="1"/>
  <c r="N622" i="14" s="1"/>
  <c r="H623" i="14"/>
  <c r="I623" i="14" s="1"/>
  <c r="N623" i="14" s="1"/>
  <c r="H625" i="14"/>
  <c r="I625" i="14" s="1"/>
  <c r="N625" i="14" s="1"/>
  <c r="H627" i="14"/>
  <c r="I627" i="14" s="1"/>
  <c r="N627" i="14" s="1"/>
  <c r="H615" i="14"/>
  <c r="I615" i="14" s="1"/>
  <c r="N615" i="14" s="1"/>
  <c r="H618" i="14"/>
  <c r="I618" i="14" s="1"/>
  <c r="N618" i="14" s="1"/>
  <c r="H620" i="14"/>
  <c r="I620" i="14"/>
  <c r="N620" i="14" s="1"/>
  <c r="H608" i="14"/>
  <c r="I608" i="14" s="1"/>
  <c r="N608" i="14" s="1"/>
  <c r="H611" i="14"/>
  <c r="I611" i="14" s="1"/>
  <c r="N611" i="14" s="1"/>
  <c r="H613" i="14"/>
  <c r="I613" i="14" s="1"/>
  <c r="N613" i="14" s="1"/>
  <c r="H601" i="14"/>
  <c r="I601" i="14" s="1"/>
  <c r="N601" i="14" s="1"/>
  <c r="H604" i="14"/>
  <c r="I604" i="14" s="1"/>
  <c r="N604" i="14" s="1"/>
  <c r="H606" i="14"/>
  <c r="I606" i="14" s="1"/>
  <c r="N606" i="14" s="1"/>
  <c r="H594" i="14"/>
  <c r="I594" i="14" s="1"/>
  <c r="N594" i="14" s="1"/>
  <c r="H595" i="14"/>
  <c r="I595" i="14" s="1"/>
  <c r="N595" i="14" s="1"/>
  <c r="H596" i="14"/>
  <c r="I596" i="14" s="1"/>
  <c r="N596" i="14" s="1"/>
  <c r="H598" i="14"/>
  <c r="I598" i="14" s="1"/>
  <c r="N598" i="14" s="1"/>
  <c r="H599" i="14"/>
  <c r="I599" i="14" s="1"/>
  <c r="N599" i="14" s="1"/>
  <c r="H587" i="14"/>
  <c r="I587" i="14" s="1"/>
  <c r="N587" i="14" s="1"/>
  <c r="H588" i="14"/>
  <c r="I588" i="14" s="1"/>
  <c r="N588" i="14" s="1"/>
  <c r="H590" i="14"/>
  <c r="I590" i="14" s="1"/>
  <c r="N590" i="14" s="1"/>
  <c r="H592" i="14"/>
  <c r="I592" i="14" s="1"/>
  <c r="N592" i="14" s="1"/>
  <c r="H593" i="14"/>
  <c r="I593" i="14" s="1"/>
  <c r="N593" i="14" s="1"/>
  <c r="H580" i="14"/>
  <c r="I580" i="14" s="1"/>
  <c r="N580" i="14" s="1"/>
  <c r="H582" i="14"/>
  <c r="I582" i="14" s="1"/>
  <c r="N582" i="14" s="1"/>
  <c r="H583" i="14"/>
  <c r="I583" i="14" s="1"/>
  <c r="N583" i="14" s="1"/>
  <c r="H585" i="14"/>
  <c r="I585" i="14"/>
  <c r="N585" i="14" s="1"/>
  <c r="H573" i="14"/>
  <c r="I573" i="14" s="1"/>
  <c r="N573" i="14" s="1"/>
  <c r="H574" i="14"/>
  <c r="I574" i="14" s="1"/>
  <c r="N574" i="14" s="1"/>
  <c r="H576" i="14"/>
  <c r="I576" i="14" s="1"/>
  <c r="N576" i="14" s="1"/>
  <c r="H577" i="14"/>
  <c r="I577" i="14" s="1"/>
  <c r="N577" i="14" s="1"/>
  <c r="H579" i="14"/>
  <c r="I579" i="14" s="1"/>
  <c r="N579" i="14" s="1"/>
  <c r="H566" i="14"/>
  <c r="I566" i="14" s="1"/>
  <c r="N566" i="14" s="1"/>
  <c r="H567" i="14"/>
  <c r="I567" i="14" s="1"/>
  <c r="N567" i="14" s="1"/>
  <c r="H568" i="14"/>
  <c r="I568" i="14" s="1"/>
  <c r="N568" i="14" s="1"/>
  <c r="H569" i="14"/>
  <c r="I569" i="14" s="1"/>
  <c r="N569" i="14" s="1"/>
  <c r="H570" i="14"/>
  <c r="I570" i="14" s="1"/>
  <c r="N570" i="14" s="1"/>
  <c r="H571" i="14"/>
  <c r="I571" i="14"/>
  <c r="N571" i="14" s="1"/>
  <c r="H559" i="14"/>
  <c r="I559" i="14" s="1"/>
  <c r="N559" i="14" s="1"/>
  <c r="H562" i="14"/>
  <c r="I562" i="14" s="1"/>
  <c r="N562" i="14" s="1"/>
  <c r="H563" i="14"/>
  <c r="I563" i="14" s="1"/>
  <c r="N563" i="14" s="1"/>
  <c r="H564" i="14"/>
  <c r="I564" i="14"/>
  <c r="N564" i="14" s="1"/>
  <c r="H565" i="14"/>
  <c r="I565" i="14" s="1"/>
  <c r="N565" i="14" s="1"/>
  <c r="H552" i="14"/>
  <c r="I552" i="14" s="1"/>
  <c r="N552" i="14" s="1"/>
  <c r="H553" i="14"/>
  <c r="I553" i="14" s="1"/>
  <c r="N553" i="14" s="1"/>
  <c r="H555" i="14"/>
  <c r="I555" i="14" s="1"/>
  <c r="N555" i="14" s="1"/>
  <c r="H556" i="14"/>
  <c r="I556" i="14" s="1"/>
  <c r="N556" i="14" s="1"/>
  <c r="H558" i="14"/>
  <c r="I558" i="14"/>
  <c r="N558" i="14" s="1"/>
  <c r="H545" i="14"/>
  <c r="I545" i="14"/>
  <c r="N545" i="14" s="1"/>
  <c r="H546" i="14"/>
  <c r="I546" i="14" s="1"/>
  <c r="N546" i="14" s="1"/>
  <c r="H547" i="14"/>
  <c r="I547" i="14" s="1"/>
  <c r="N547" i="14" s="1"/>
  <c r="H548" i="14"/>
  <c r="I548" i="14" s="1"/>
  <c r="N548" i="14" s="1"/>
  <c r="H549" i="14"/>
  <c r="I549" i="14" s="1"/>
  <c r="N549" i="14" s="1"/>
  <c r="H550" i="14"/>
  <c r="I550" i="14" s="1"/>
  <c r="N550" i="14" s="1"/>
  <c r="H539" i="14"/>
  <c r="I539" i="14" s="1"/>
  <c r="N539" i="14" s="1"/>
  <c r="H541" i="14"/>
  <c r="I541" i="14" s="1"/>
  <c r="N541" i="14" s="1"/>
  <c r="H543" i="14"/>
  <c r="I543" i="14" s="1"/>
  <c r="N543" i="14" s="1"/>
  <c r="H544" i="14"/>
  <c r="I544" i="14" s="1"/>
  <c r="N544" i="14" s="1"/>
  <c r="H531" i="14"/>
  <c r="I531" i="14" s="1"/>
  <c r="N531" i="14" s="1"/>
  <c r="H532" i="14"/>
  <c r="I532" i="14" s="1"/>
  <c r="N532" i="14"/>
  <c r="H533" i="14"/>
  <c r="I533" i="14" s="1"/>
  <c r="N533" i="14" s="1"/>
  <c r="H534" i="14"/>
  <c r="I534" i="14" s="1"/>
  <c r="N534" i="14" s="1"/>
  <c r="H535" i="14"/>
  <c r="I535" i="14" s="1"/>
  <c r="N535" i="14" s="1"/>
  <c r="H536" i="14"/>
  <c r="I536" i="14" s="1"/>
  <c r="N536" i="14" s="1"/>
  <c r="H537" i="14"/>
  <c r="I537" i="14" s="1"/>
  <c r="N537" i="14" s="1"/>
  <c r="H524" i="14"/>
  <c r="I524" i="14" s="1"/>
  <c r="N524" i="14" s="1"/>
  <c r="H525" i="14"/>
  <c r="I525" i="14" s="1"/>
  <c r="N525" i="14" s="1"/>
  <c r="H527" i="14"/>
  <c r="I527" i="14" s="1"/>
  <c r="N527" i="14" s="1"/>
  <c r="H529" i="14"/>
  <c r="I529" i="14" s="1"/>
  <c r="N529" i="14" s="1"/>
  <c r="H517" i="14"/>
  <c r="I517" i="14" s="1"/>
  <c r="N517" i="14" s="1"/>
  <c r="H520" i="14"/>
  <c r="I520" i="14" s="1"/>
  <c r="N520" i="14" s="1"/>
  <c r="H521" i="14"/>
  <c r="I521" i="14" s="1"/>
  <c r="N521" i="14" s="1"/>
  <c r="H522" i="14"/>
  <c r="I522" i="14" s="1"/>
  <c r="N522" i="14" s="1"/>
  <c r="H510" i="14"/>
  <c r="I510" i="14" s="1"/>
  <c r="N510" i="14" s="1"/>
  <c r="H513" i="14"/>
  <c r="I513" i="14"/>
  <c r="N513" i="14" s="1"/>
  <c r="H503" i="14"/>
  <c r="I503" i="14" s="1"/>
  <c r="N503" i="14" s="1"/>
  <c r="H506" i="14"/>
  <c r="I506" i="14" s="1"/>
  <c r="N506" i="14" s="1"/>
  <c r="H499" i="14"/>
  <c r="I499" i="14" s="1"/>
  <c r="N499" i="14" s="1"/>
  <c r="H501" i="14"/>
  <c r="I501" i="14" s="1"/>
  <c r="N501" i="14" s="1"/>
  <c r="H489" i="14"/>
  <c r="I489" i="14" s="1"/>
  <c r="N489" i="14" s="1"/>
  <c r="H490" i="14"/>
  <c r="I490" i="14" s="1"/>
  <c r="N490" i="14" s="1"/>
  <c r="H493" i="14"/>
  <c r="I493" i="14" s="1"/>
  <c r="N493" i="14" s="1"/>
  <c r="H495" i="14"/>
  <c r="I495" i="14" s="1"/>
  <c r="N495" i="14" s="1"/>
  <c r="H482" i="14"/>
  <c r="I482" i="14" s="1"/>
  <c r="N482" i="14" s="1"/>
  <c r="H488" i="14"/>
  <c r="I488" i="14" s="1"/>
  <c r="N488" i="14" s="1"/>
  <c r="H477" i="14"/>
  <c r="I477" i="14" s="1"/>
  <c r="N477" i="14" s="1"/>
  <c r="H480" i="14"/>
  <c r="I480" i="14" s="1"/>
  <c r="N480" i="14" s="1"/>
  <c r="H468" i="14"/>
  <c r="I468" i="14" s="1"/>
  <c r="N468" i="14" s="1"/>
  <c r="H473" i="14"/>
  <c r="I473" i="14" s="1"/>
  <c r="N473" i="14" s="1"/>
  <c r="H461" i="14"/>
  <c r="I461" i="14" s="1"/>
  <c r="N461" i="14" s="1"/>
  <c r="H464" i="14"/>
  <c r="I464" i="14" s="1"/>
  <c r="N464" i="14" s="1"/>
  <c r="H466" i="14"/>
  <c r="I466" i="14" s="1"/>
  <c r="N466" i="14" s="1"/>
  <c r="H454" i="14"/>
  <c r="I454" i="14" s="1"/>
  <c r="N454" i="14" s="1"/>
  <c r="H460" i="14"/>
  <c r="I460" i="14" s="1"/>
  <c r="N460" i="14" s="1"/>
  <c r="H447" i="14"/>
  <c r="I447" i="14" s="1"/>
  <c r="N447" i="14" s="1"/>
  <c r="H450" i="14"/>
  <c r="I450" i="14" s="1"/>
  <c r="N450" i="14" s="1"/>
  <c r="H440" i="14"/>
  <c r="I440" i="14" s="1"/>
  <c r="N440" i="14" s="1"/>
  <c r="H446" i="14"/>
  <c r="I446" i="14" s="1"/>
  <c r="N446" i="14" s="1"/>
  <c r="H433" i="14"/>
  <c r="I433" i="14" s="1"/>
  <c r="N433" i="14" s="1"/>
  <c r="H434" i="14"/>
  <c r="I434" i="14" s="1"/>
  <c r="N434" i="14" s="1"/>
  <c r="H436" i="14"/>
  <c r="I436" i="14" s="1"/>
  <c r="N436" i="14" s="1"/>
  <c r="H437" i="14"/>
  <c r="I437" i="14" s="1"/>
  <c r="N437" i="14" s="1"/>
  <c r="H438" i="14"/>
  <c r="I438" i="14" s="1"/>
  <c r="N438" i="14" s="1"/>
  <c r="H439" i="14"/>
  <c r="I439" i="14" s="1"/>
  <c r="N439" i="14" s="1"/>
  <c r="H426" i="14"/>
  <c r="I426" i="14" s="1"/>
  <c r="N426" i="14" s="1"/>
  <c r="H429" i="14"/>
  <c r="I429" i="14" s="1"/>
  <c r="N429" i="14" s="1"/>
  <c r="H431" i="14"/>
  <c r="I431" i="14" s="1"/>
  <c r="N431" i="14" s="1"/>
  <c r="H419" i="14"/>
  <c r="I419" i="14" s="1"/>
  <c r="N419" i="14" s="1"/>
  <c r="H422" i="14"/>
  <c r="I422" i="14" s="1"/>
  <c r="N422" i="14" s="1"/>
  <c r="H424" i="14"/>
  <c r="I424" i="14" s="1"/>
  <c r="N424" i="14" s="1"/>
  <c r="H413" i="14"/>
  <c r="H415" i="14"/>
  <c r="I415" i="14" s="1"/>
  <c r="N415" i="14" s="1"/>
  <c r="H417" i="14"/>
  <c r="I417" i="14" s="1"/>
  <c r="N417" i="14" s="1"/>
  <c r="H405" i="14"/>
  <c r="I405" i="14" s="1"/>
  <c r="N405" i="14" s="1"/>
  <c r="H408" i="14"/>
  <c r="I408" i="14" s="1"/>
  <c r="N408" i="14" s="1"/>
  <c r="H411" i="14"/>
  <c r="I411" i="14" s="1"/>
  <c r="N411" i="14" s="1"/>
  <c r="H398" i="14"/>
  <c r="I398" i="14" s="1"/>
  <c r="N398" i="14" s="1"/>
  <c r="H399" i="14"/>
  <c r="I399" i="14" s="1"/>
  <c r="N399" i="14" s="1"/>
  <c r="H401" i="14"/>
  <c r="I401" i="14" s="1"/>
  <c r="N401" i="14" s="1"/>
  <c r="H403" i="14"/>
  <c r="I403" i="14" s="1"/>
  <c r="N403" i="14" s="1"/>
  <c r="H391" i="14"/>
  <c r="I391" i="14" s="1"/>
  <c r="N391" i="14" s="1"/>
  <c r="H394" i="14"/>
  <c r="I394" i="14" s="1"/>
  <c r="N394" i="14" s="1"/>
  <c r="H396" i="14"/>
  <c r="I396" i="14" s="1"/>
  <c r="N396" i="14" s="1"/>
  <c r="H384" i="14"/>
  <c r="I384" i="14" s="1"/>
  <c r="N384" i="14" s="1"/>
  <c r="H387" i="14"/>
  <c r="I387" i="14"/>
  <c r="N387" i="14" s="1"/>
  <c r="H388" i="14"/>
  <c r="I388" i="14" s="1"/>
  <c r="N388" i="14"/>
  <c r="H378" i="14"/>
  <c r="H379" i="14"/>
  <c r="H381" i="14"/>
  <c r="I381" i="14" s="1"/>
  <c r="N381" i="14" s="1"/>
  <c r="H370" i="14"/>
  <c r="I370" i="14" s="1"/>
  <c r="N370" i="14" s="1"/>
  <c r="H371" i="14"/>
  <c r="I371" i="14" s="1"/>
  <c r="N371" i="14" s="1"/>
  <c r="H372" i="14"/>
  <c r="I372" i="14" s="1"/>
  <c r="N372" i="14" s="1"/>
  <c r="H374" i="14"/>
  <c r="I374" i="14"/>
  <c r="N374" i="14" s="1"/>
  <c r="H376" i="14"/>
  <c r="I376" i="14" s="1"/>
  <c r="N376" i="14" s="1"/>
  <c r="H363" i="14"/>
  <c r="I363" i="14" s="1"/>
  <c r="N363" i="14" s="1"/>
  <c r="H366" i="14"/>
  <c r="I366" i="14" s="1"/>
  <c r="N366" i="14" s="1"/>
  <c r="H367" i="14"/>
  <c r="I367" i="14" s="1"/>
  <c r="N367" i="14" s="1"/>
  <c r="H369" i="14"/>
  <c r="H356" i="14"/>
  <c r="I356" i="14" s="1"/>
  <c r="N356" i="14" s="1"/>
  <c r="H357" i="14"/>
  <c r="I357" i="14" s="1"/>
  <c r="N357" i="14" s="1"/>
  <c r="H359" i="14"/>
  <c r="I359" i="14" s="1"/>
  <c r="N359" i="14" s="1"/>
  <c r="H361" i="14"/>
  <c r="I361" i="14" s="1"/>
  <c r="N361" i="14" s="1"/>
  <c r="H349" i="14"/>
  <c r="I349" i="14"/>
  <c r="N349" i="14" s="1"/>
  <c r="H351" i="14"/>
  <c r="I351" i="14" s="1"/>
  <c r="N351" i="14" s="1"/>
  <c r="H353" i="14"/>
  <c r="I353" i="14" s="1"/>
  <c r="N353" i="14" s="1"/>
  <c r="H354" i="14"/>
  <c r="I354" i="14" s="1"/>
  <c r="N354" i="14" s="1"/>
  <c r="H342" i="14"/>
  <c r="I342" i="14" s="1"/>
  <c r="N342" i="14" s="1"/>
  <c r="H345" i="14"/>
  <c r="I345" i="14" s="1"/>
  <c r="N345" i="14" s="1"/>
  <c r="H347" i="14"/>
  <c r="I347" i="14" s="1"/>
  <c r="N347" i="14" s="1"/>
  <c r="H335" i="14"/>
  <c r="I335" i="14" s="1"/>
  <c r="N335" i="14" s="1"/>
  <c r="H336" i="14"/>
  <c r="I336" i="14" s="1"/>
  <c r="N336" i="14" s="1"/>
  <c r="H338" i="14"/>
  <c r="I338" i="14" s="1"/>
  <c r="N338" i="14" s="1"/>
  <c r="H339" i="14"/>
  <c r="I339" i="14" s="1"/>
  <c r="N339" i="14" s="1"/>
  <c r="H341" i="14"/>
  <c r="I341" i="14" s="1"/>
  <c r="N341" i="14" s="1"/>
  <c r="H328" i="14"/>
  <c r="I328" i="14" s="1"/>
  <c r="N328" i="14" s="1"/>
  <c r="H331" i="14"/>
  <c r="I331" i="14" s="1"/>
  <c r="N331" i="14" s="1"/>
  <c r="H333" i="14"/>
  <c r="I333" i="14" s="1"/>
  <c r="N333" i="14" s="1"/>
  <c r="H321" i="14"/>
  <c r="I321" i="14" s="1"/>
  <c r="N321" i="14" s="1"/>
  <c r="H326" i="14"/>
  <c r="I326" i="14" s="1"/>
  <c r="N326" i="14" s="1"/>
  <c r="H314" i="14"/>
  <c r="I314" i="14" s="1"/>
  <c r="N314" i="14" s="1"/>
  <c r="H316" i="14"/>
  <c r="H318" i="14"/>
  <c r="I318" i="14" s="1"/>
  <c r="N318" i="14" s="1"/>
  <c r="H320" i="14"/>
  <c r="I320" i="14" s="1"/>
  <c r="N320" i="14" s="1"/>
  <c r="H307" i="14"/>
  <c r="I307" i="14" s="1"/>
  <c r="N307" i="14" s="1"/>
  <c r="H309" i="14"/>
  <c r="I309" i="14"/>
  <c r="N309" i="14" s="1"/>
  <c r="H310" i="14"/>
  <c r="I310" i="14" s="1"/>
  <c r="N310" i="14" s="1"/>
  <c r="H311" i="14"/>
  <c r="I311" i="14" s="1"/>
  <c r="N311" i="14" s="1"/>
  <c r="H312" i="14"/>
  <c r="I312" i="14" s="1"/>
  <c r="N312" i="14" s="1"/>
  <c r="H301" i="14"/>
  <c r="I301" i="14" s="1"/>
  <c r="N301" i="14" s="1"/>
  <c r="H303" i="14"/>
  <c r="I303" i="14" s="1"/>
  <c r="N303" i="14" s="1"/>
  <c r="H305" i="14"/>
  <c r="I305" i="14" s="1"/>
  <c r="N305" i="14" s="1"/>
  <c r="H293" i="14"/>
  <c r="I293" i="14" s="1"/>
  <c r="N293" i="14" s="1"/>
  <c r="H295" i="14"/>
  <c r="I295" i="14" s="1"/>
  <c r="N295" i="14" s="1"/>
  <c r="H297" i="14"/>
  <c r="I297" i="14" s="1"/>
  <c r="N297" i="14" s="1"/>
  <c r="H299" i="14"/>
  <c r="I299" i="14" s="1"/>
  <c r="N299" i="14" s="1"/>
  <c r="H287" i="14"/>
  <c r="I287" i="14" s="1"/>
  <c r="N287" i="14" s="1"/>
  <c r="H289" i="14"/>
  <c r="I289" i="14" s="1"/>
  <c r="N289" i="14" s="1"/>
  <c r="I275" i="14"/>
  <c r="N275" i="14"/>
  <c r="H279" i="14"/>
  <c r="I279" i="14" s="1"/>
  <c r="N279" i="14" s="1"/>
  <c r="H280" i="14"/>
  <c r="I280" i="14"/>
  <c r="N280" i="14" s="1"/>
  <c r="H282" i="14"/>
  <c r="I282" i="14" s="1"/>
  <c r="N282" i="14" s="1"/>
  <c r="H285" i="14"/>
  <c r="I285" i="14" s="1"/>
  <c r="N285" i="14" s="1"/>
  <c r="H272" i="14"/>
  <c r="I272" i="14" s="1"/>
  <c r="N272" i="14" s="1"/>
  <c r="H273" i="14"/>
  <c r="H274" i="14"/>
  <c r="I274" i="14" s="1"/>
  <c r="N274" i="14" s="1"/>
  <c r="H278" i="14"/>
  <c r="I278" i="14" s="1"/>
  <c r="N278" i="14" s="1"/>
  <c r="H266" i="14"/>
  <c r="I266" i="14" s="1"/>
  <c r="N266" i="14" s="1"/>
  <c r="H268" i="14"/>
  <c r="I268" i="14" s="1"/>
  <c r="N268" i="14" s="1"/>
  <c r="H269" i="14"/>
  <c r="I269" i="14" s="1"/>
  <c r="N269" i="14" s="1"/>
  <c r="H258" i="14"/>
  <c r="I258" i="14" s="1"/>
  <c r="N258" i="14" s="1"/>
  <c r="H259" i="14"/>
  <c r="I259" i="14" s="1"/>
  <c r="N259" i="14" s="1"/>
  <c r="H261" i="14"/>
  <c r="I261" i="14" s="1"/>
  <c r="N261" i="14" s="1"/>
  <c r="H264" i="14"/>
  <c r="I264" i="14" s="1"/>
  <c r="N264" i="14" s="1"/>
  <c r="H252" i="14"/>
  <c r="I252" i="14"/>
  <c r="N252" i="14" s="1"/>
  <c r="H254" i="14"/>
  <c r="I254" i="14" s="1"/>
  <c r="N254" i="14" s="1"/>
  <c r="H244" i="14"/>
  <c r="I244" i="14" s="1"/>
  <c r="N244" i="14" s="1"/>
  <c r="H250" i="14"/>
  <c r="I250" i="14" s="1"/>
  <c r="N250" i="14" s="1"/>
  <c r="H237" i="14"/>
  <c r="I237" i="14" s="1"/>
  <c r="N237" i="14" s="1"/>
  <c r="H242" i="14"/>
  <c r="I242" i="14" s="1"/>
  <c r="N242" i="14" s="1"/>
  <c r="H230" i="14"/>
  <c r="I230" i="14" s="1"/>
  <c r="N230" i="14" s="1"/>
  <c r="H233" i="14"/>
  <c r="I233" i="14" s="1"/>
  <c r="N233" i="14"/>
  <c r="H223" i="14"/>
  <c r="I223" i="14" s="1"/>
  <c r="N223" i="14" s="1"/>
  <c r="H225" i="14"/>
  <c r="I225" i="14" s="1"/>
  <c r="N225" i="14" s="1"/>
  <c r="H228" i="14"/>
  <c r="I228" i="14" s="1"/>
  <c r="N228" i="14" s="1"/>
  <c r="H216" i="14"/>
  <c r="H221" i="14"/>
  <c r="I221" i="14"/>
  <c r="N221" i="14" s="1"/>
  <c r="S931" i="14"/>
  <c r="H928" i="14"/>
  <c r="I928" i="14" s="1"/>
  <c r="N928" i="14" s="1"/>
  <c r="H743" i="14"/>
  <c r="I743" i="14" s="1"/>
  <c r="N743" i="14" s="1"/>
  <c r="H745" i="14"/>
  <c r="I745" i="14" s="1"/>
  <c r="N745" i="14" s="1"/>
  <c r="H747" i="14"/>
  <c r="I747" i="14" s="1"/>
  <c r="N747" i="14" s="1"/>
  <c r="H749" i="14"/>
  <c r="I749" i="14" s="1"/>
  <c r="N749" i="14" s="1"/>
  <c r="H750" i="14"/>
  <c r="I750" i="14" s="1"/>
  <c r="N750" i="14" s="1"/>
  <c r="H751" i="14"/>
  <c r="H754" i="14"/>
  <c r="I754" i="14" s="1"/>
  <c r="N754" i="14" s="1"/>
  <c r="H755" i="14"/>
  <c r="I755" i="14" s="1"/>
  <c r="N755" i="14" s="1"/>
  <c r="H757" i="14"/>
  <c r="I757" i="14" s="1"/>
  <c r="N757" i="14" s="1"/>
  <c r="H759" i="14"/>
  <c r="I759" i="14" s="1"/>
  <c r="N759" i="14" s="1"/>
  <c r="H760" i="14"/>
  <c r="I760" i="14" s="1"/>
  <c r="N760" i="14" s="1"/>
  <c r="H762" i="14"/>
  <c r="I762" i="14" s="1"/>
  <c r="N762" i="14" s="1"/>
  <c r="H764" i="14"/>
  <c r="I764" i="14" s="1"/>
  <c r="N764" i="14" s="1"/>
  <c r="H765" i="14"/>
  <c r="I765" i="14" s="1"/>
  <c r="N765" i="14" s="1"/>
  <c r="H767" i="14"/>
  <c r="I767" i="14" s="1"/>
  <c r="N767" i="14" s="1"/>
  <c r="H769" i="14"/>
  <c r="I769" i="14" s="1"/>
  <c r="N769" i="14" s="1"/>
  <c r="H772" i="14"/>
  <c r="I772" i="14" s="1"/>
  <c r="N772" i="14" s="1"/>
  <c r="H774" i="14"/>
  <c r="I774" i="14" s="1"/>
  <c r="N774" i="14" s="1"/>
  <c r="H776" i="14"/>
  <c r="I776" i="14" s="1"/>
  <c r="N776" i="14" s="1"/>
  <c r="H778" i="14"/>
  <c r="I778" i="14" s="1"/>
  <c r="N778" i="14" s="1"/>
  <c r="H780" i="14"/>
  <c r="I780" i="14" s="1"/>
  <c r="N780" i="14" s="1"/>
  <c r="H782" i="14"/>
  <c r="I782" i="14" s="1"/>
  <c r="N782" i="14" s="1"/>
  <c r="H783" i="14"/>
  <c r="I783" i="14" s="1"/>
  <c r="N783" i="14" s="1"/>
  <c r="H785" i="14"/>
  <c r="I785" i="14" s="1"/>
  <c r="N785" i="14" s="1"/>
  <c r="H788" i="14"/>
  <c r="I788" i="14" s="1"/>
  <c r="N788" i="14" s="1"/>
  <c r="H790" i="14"/>
  <c r="I790" i="14" s="1"/>
  <c r="N790" i="14" s="1"/>
  <c r="H792" i="14"/>
  <c r="I792" i="14" s="1"/>
  <c r="N792" i="14" s="1"/>
  <c r="H793" i="14"/>
  <c r="I793" i="14" s="1"/>
  <c r="N793" i="14" s="1"/>
  <c r="H794" i="14"/>
  <c r="H795" i="14"/>
  <c r="I795" i="14" s="1"/>
  <c r="N795" i="14" s="1"/>
  <c r="H797" i="14"/>
  <c r="I797" i="14" s="1"/>
  <c r="N797" i="14" s="1"/>
  <c r="H798" i="14"/>
  <c r="I798" i="14" s="1"/>
  <c r="N798" i="14" s="1"/>
  <c r="H800" i="14"/>
  <c r="I800" i="14" s="1"/>
  <c r="N800" i="14"/>
  <c r="H801" i="14"/>
  <c r="I801" i="14" s="1"/>
  <c r="N801" i="14" s="1"/>
  <c r="H802" i="14"/>
  <c r="I802" i="14" s="1"/>
  <c r="N802" i="14" s="1"/>
  <c r="H804" i="14"/>
  <c r="H805" i="14"/>
  <c r="I805" i="14" s="1"/>
  <c r="N805" i="14" s="1"/>
  <c r="H807" i="14"/>
  <c r="I807" i="14" s="1"/>
  <c r="N807" i="14" s="1"/>
  <c r="H809" i="14"/>
  <c r="I809" i="14" s="1"/>
  <c r="N809" i="14" s="1"/>
  <c r="H812" i="14"/>
  <c r="I812" i="14" s="1"/>
  <c r="N812" i="14" s="1"/>
  <c r="H814" i="14"/>
  <c r="I814" i="14" s="1"/>
  <c r="N814" i="14" s="1"/>
  <c r="H818" i="14"/>
  <c r="I818" i="14" s="1"/>
  <c r="N818" i="14" s="1"/>
  <c r="H820" i="14"/>
  <c r="I820" i="14" s="1"/>
  <c r="N820" i="14" s="1"/>
  <c r="H823" i="14"/>
  <c r="H825" i="14"/>
  <c r="I825" i="14" s="1"/>
  <c r="N825" i="14" s="1"/>
  <c r="H827" i="14"/>
  <c r="I827" i="14" s="1"/>
  <c r="N827" i="14" s="1"/>
  <c r="H832" i="14"/>
  <c r="I832" i="14" s="1"/>
  <c r="N832" i="14" s="1"/>
  <c r="H833" i="14"/>
  <c r="I833" i="14" s="1"/>
  <c r="N833" i="14" s="1"/>
  <c r="H835" i="14"/>
  <c r="I835" i="14" s="1"/>
  <c r="N835" i="14" s="1"/>
  <c r="H837" i="14"/>
  <c r="I837" i="14" s="1"/>
  <c r="N837" i="14" s="1"/>
  <c r="H839" i="14"/>
  <c r="H841" i="14"/>
  <c r="I841" i="14"/>
  <c r="N841" i="14" s="1"/>
  <c r="H844" i="14"/>
  <c r="I844" i="14" s="1"/>
  <c r="N844" i="14" s="1"/>
  <c r="H846" i="14"/>
  <c r="I846" i="14" s="1"/>
  <c r="N846" i="14" s="1"/>
  <c r="H848" i="14"/>
  <c r="I848" i="14" s="1"/>
  <c r="N848" i="14" s="1"/>
  <c r="H851" i="14"/>
  <c r="I851" i="14" s="1"/>
  <c r="N851" i="14" s="1"/>
  <c r="H853" i="14"/>
  <c r="I853" i="14" s="1"/>
  <c r="N853" i="14" s="1"/>
  <c r="H855" i="14"/>
  <c r="I855" i="14" s="1"/>
  <c r="N855" i="14" s="1"/>
  <c r="H858" i="14"/>
  <c r="I858" i="14" s="1"/>
  <c r="N858" i="14" s="1"/>
  <c r="H860" i="14"/>
  <c r="I860" i="14" s="1"/>
  <c r="N860" i="14" s="1"/>
  <c r="H861" i="14"/>
  <c r="I861" i="14" s="1"/>
  <c r="N861" i="14" s="1"/>
  <c r="H863" i="14"/>
  <c r="I863" i="14" s="1"/>
  <c r="N863" i="14" s="1"/>
  <c r="H865" i="14"/>
  <c r="I865" i="14" s="1"/>
  <c r="N865" i="14" s="1"/>
  <c r="H867" i="14"/>
  <c r="I867" i="14" s="1"/>
  <c r="N867" i="14" s="1"/>
  <c r="H869" i="14"/>
  <c r="I869" i="14" s="1"/>
  <c r="N869" i="14" s="1"/>
  <c r="H872" i="14"/>
  <c r="I872" i="14" s="1"/>
  <c r="N872" i="14" s="1"/>
  <c r="H874" i="14"/>
  <c r="I874" i="14" s="1"/>
  <c r="N874" i="14" s="1"/>
  <c r="H876" i="14"/>
  <c r="I876" i="14" s="1"/>
  <c r="N876" i="14" s="1"/>
  <c r="H879" i="14"/>
  <c r="I879" i="14" s="1"/>
  <c r="N879" i="14" s="1"/>
  <c r="H881" i="14"/>
  <c r="I881" i="14" s="1"/>
  <c r="N881" i="14" s="1"/>
  <c r="H883" i="14"/>
  <c r="I883" i="14" s="1"/>
  <c r="N883" i="14" s="1"/>
  <c r="H884" i="14"/>
  <c r="I884" i="14"/>
  <c r="N884" i="14" s="1"/>
  <c r="H888" i="14"/>
  <c r="I888" i="14" s="1"/>
  <c r="N888" i="14" s="1"/>
  <c r="H890" i="14"/>
  <c r="I890" i="14" s="1"/>
  <c r="N890" i="14" s="1"/>
  <c r="H892" i="14"/>
  <c r="I892" i="14" s="1"/>
  <c r="N892" i="14" s="1"/>
  <c r="H894" i="14"/>
  <c r="I894" i="14" s="1"/>
  <c r="N894" i="14" s="1"/>
  <c r="H896" i="14"/>
  <c r="I896" i="14" s="1"/>
  <c r="N896" i="14" s="1"/>
  <c r="H898" i="14"/>
  <c r="I898" i="14" s="1"/>
  <c r="N898" i="14" s="1"/>
  <c r="H900" i="14"/>
  <c r="I900" i="14" s="1"/>
  <c r="N900" i="14" s="1"/>
  <c r="H902" i="14"/>
  <c r="I902" i="14" s="1"/>
  <c r="N902" i="14" s="1"/>
  <c r="H904" i="14"/>
  <c r="I904" i="14" s="1"/>
  <c r="N904" i="14" s="1"/>
  <c r="H907" i="14"/>
  <c r="I907" i="14"/>
  <c r="N907" i="14" s="1"/>
  <c r="H909" i="14"/>
  <c r="I909" i="14" s="1"/>
  <c r="N909" i="14"/>
  <c r="H911" i="14"/>
  <c r="I911" i="14" s="1"/>
  <c r="N911" i="14" s="1"/>
  <c r="H913" i="14"/>
  <c r="I913" i="14" s="1"/>
  <c r="N913" i="14" s="1"/>
  <c r="H916" i="14"/>
  <c r="I916" i="14" s="1"/>
  <c r="N916" i="14" s="1"/>
  <c r="H917" i="14"/>
  <c r="I917" i="14" s="1"/>
  <c r="N917" i="14" s="1"/>
  <c r="H918" i="14"/>
  <c r="I918" i="14" s="1"/>
  <c r="N918" i="14" s="1"/>
  <c r="H920" i="14"/>
  <c r="I920" i="14" s="1"/>
  <c r="N920" i="14" s="1"/>
  <c r="H922" i="14"/>
  <c r="I922" i="14"/>
  <c r="N922" i="14" s="1"/>
  <c r="H923" i="14"/>
  <c r="I923" i="14" s="1"/>
  <c r="N923" i="14" s="1"/>
  <c r="H925" i="14"/>
  <c r="I925" i="14" s="1"/>
  <c r="N925" i="14" s="1"/>
  <c r="H926" i="14"/>
  <c r="I926" i="14" s="1"/>
  <c r="N926" i="14" s="1"/>
  <c r="H930" i="14"/>
  <c r="I930" i="14" s="1"/>
  <c r="N930" i="14" s="1"/>
  <c r="H932" i="14"/>
  <c r="I932" i="14" s="1"/>
  <c r="N932" i="14" s="1"/>
  <c r="H933" i="14"/>
  <c r="I933" i="14" s="1"/>
  <c r="N933" i="14" s="1"/>
  <c r="H935" i="14"/>
  <c r="I935" i="14" s="1"/>
  <c r="N935" i="14" s="1"/>
  <c r="H937" i="14"/>
  <c r="I937" i="14"/>
  <c r="N937" i="14" s="1"/>
  <c r="H939" i="14"/>
  <c r="I939" i="14" s="1"/>
  <c r="N939" i="14" s="1"/>
  <c r="H940" i="14"/>
  <c r="I940" i="14" s="1"/>
  <c r="N940" i="14" s="1"/>
  <c r="H942" i="14"/>
  <c r="I942" i="14" s="1"/>
  <c r="N942" i="14" s="1"/>
  <c r="H944" i="14"/>
  <c r="I944" i="14" s="1"/>
  <c r="N944" i="14" s="1"/>
  <c r="H945" i="14"/>
  <c r="I945" i="14" s="1"/>
  <c r="N945" i="14" s="1"/>
  <c r="H946" i="14"/>
  <c r="H948" i="14"/>
  <c r="I948" i="14" s="1"/>
  <c r="N948" i="14"/>
  <c r="H951" i="14"/>
  <c r="I951" i="14" s="1"/>
  <c r="N951" i="14" s="1"/>
  <c r="H953" i="14"/>
  <c r="I953" i="14" s="1"/>
  <c r="N953" i="14" s="1"/>
  <c r="H956" i="14"/>
  <c r="I956" i="14" s="1"/>
  <c r="N956" i="14" s="1"/>
  <c r="H958" i="14"/>
  <c r="I958" i="14" s="1"/>
  <c r="N958" i="14" s="1"/>
  <c r="I960" i="14"/>
  <c r="N960" i="14"/>
  <c r="H961" i="14"/>
  <c r="H963" i="14"/>
  <c r="I963" i="14" s="1"/>
  <c r="N963" i="14" s="1"/>
  <c r="H965" i="14"/>
  <c r="I965" i="14" s="1"/>
  <c r="N965" i="14" s="1"/>
  <c r="H968" i="14"/>
  <c r="I968" i="14" s="1"/>
  <c r="N968" i="14" s="1"/>
  <c r="H970" i="14"/>
  <c r="I970" i="14" s="1"/>
  <c r="N970" i="14" s="1"/>
  <c r="H972" i="14"/>
  <c r="I972" i="14" s="1"/>
  <c r="N972" i="14" s="1"/>
  <c r="I975" i="14"/>
  <c r="N975" i="14"/>
  <c r="I977" i="14"/>
  <c r="N977" i="14"/>
  <c r="H979" i="14"/>
  <c r="I979" i="14" s="1"/>
  <c r="N979" i="14" s="1"/>
  <c r="H981" i="14"/>
  <c r="I981" i="14" s="1"/>
  <c r="N981" i="14" s="1"/>
  <c r="H984" i="14"/>
  <c r="I984" i="14" s="1"/>
  <c r="N984" i="14" s="1"/>
  <c r="H986" i="14"/>
  <c r="I986" i="14" s="1"/>
  <c r="N986" i="14" s="1"/>
  <c r="H988" i="14"/>
  <c r="I988" i="14" s="1"/>
  <c r="N988" i="14" s="1"/>
  <c r="I991" i="14"/>
  <c r="N991" i="14"/>
  <c r="H993" i="14"/>
  <c r="I993" i="14" s="1"/>
  <c r="N993" i="14" s="1"/>
  <c r="H998" i="14"/>
  <c r="I998" i="14" s="1"/>
  <c r="N998" i="14" s="1"/>
  <c r="H1000" i="14"/>
  <c r="I1000" i="14" s="1"/>
  <c r="N1000" i="14" s="1"/>
  <c r="H1005" i="14"/>
  <c r="I1005" i="14" s="1"/>
  <c r="N1005" i="14" s="1"/>
  <c r="H1007" i="14"/>
  <c r="I1007" i="14" s="1"/>
  <c r="N1007" i="14" s="1"/>
  <c r="H1012" i="14"/>
  <c r="I1012" i="14" s="1"/>
  <c r="N1012" i="14" s="1"/>
  <c r="H1014" i="14"/>
  <c r="I1014" i="14" s="1"/>
  <c r="N1014" i="14" s="1"/>
  <c r="H1016" i="14"/>
  <c r="H1021" i="14"/>
  <c r="I1021" i="14" s="1"/>
  <c r="N1021" i="14" s="1"/>
  <c r="H1023" i="14"/>
  <c r="I1023" i="14" s="1"/>
  <c r="N1023" i="14" s="1"/>
  <c r="H1026" i="14"/>
  <c r="I1026" i="14" s="1"/>
  <c r="N1026" i="14" s="1"/>
  <c r="H1028" i="14"/>
  <c r="I1028" i="14" s="1"/>
  <c r="N1028" i="14" s="1"/>
  <c r="H1030" i="14"/>
  <c r="I1030" i="14" s="1"/>
  <c r="N1030" i="14" s="1"/>
  <c r="H1032" i="14"/>
  <c r="I1032" i="14"/>
  <c r="N1032" i="14" s="1"/>
  <c r="I1034" i="14"/>
  <c r="N1034" i="14"/>
  <c r="I1036" i="14"/>
  <c r="N1036" i="14"/>
  <c r="H1038" i="14"/>
  <c r="I1038" i="14" s="1"/>
  <c r="N1038" i="14" s="1"/>
  <c r="H1040" i="14"/>
  <c r="I1040" i="14" s="1"/>
  <c r="N1040" i="14" s="1"/>
  <c r="H1042" i="14"/>
  <c r="I1042" i="14" s="1"/>
  <c r="N1042" i="14" s="1"/>
  <c r="H1043" i="14"/>
  <c r="I1043" i="14" s="1"/>
  <c r="N1043" i="14" s="1"/>
  <c r="H1045" i="14"/>
  <c r="H1047" i="14"/>
  <c r="I1047" i="14" s="1"/>
  <c r="N1047" i="14" s="1"/>
  <c r="H1049" i="14"/>
  <c r="I1049" i="14" s="1"/>
  <c r="N1049" i="14" s="1"/>
  <c r="I1051" i="14"/>
  <c r="N1051" i="14"/>
  <c r="H1053" i="14"/>
  <c r="I1053" i="14" s="1"/>
  <c r="N1053" i="14" s="1"/>
  <c r="H1055" i="14"/>
  <c r="I1055" i="14" s="1"/>
  <c r="N1055" i="14" s="1"/>
  <c r="H1063" i="14"/>
  <c r="I1063" i="14" s="1"/>
  <c r="N1063" i="14" s="1"/>
  <c r="I1065" i="14"/>
  <c r="N1065" i="14"/>
  <c r="I1067" i="14"/>
  <c r="N1067" i="14"/>
  <c r="I1069" i="14"/>
  <c r="N1069" i="14"/>
  <c r="I1071" i="14"/>
  <c r="N1071" i="14"/>
  <c r="I1073" i="14"/>
  <c r="N1073" i="14"/>
  <c r="I1075" i="14"/>
  <c r="N1075" i="14"/>
  <c r="I1077" i="14"/>
  <c r="N1077" i="14"/>
  <c r="I1079" i="14"/>
  <c r="N1079" i="14"/>
  <c r="H1081" i="14"/>
  <c r="I1083" i="14"/>
  <c r="N1083" i="14"/>
  <c r="I1085" i="14"/>
  <c r="N1085" i="14"/>
  <c r="I1087" i="14"/>
  <c r="N1087" i="14"/>
  <c r="H1089" i="14"/>
  <c r="I1089" i="14" s="1"/>
  <c r="N1089" i="14" s="1"/>
  <c r="H1091" i="14"/>
  <c r="I1093" i="14"/>
  <c r="N1093" i="14"/>
  <c r="H1095" i="14"/>
  <c r="I1095" i="14" s="1"/>
  <c r="N1095" i="14" s="1"/>
  <c r="H1097" i="14"/>
  <c r="I1097" i="14"/>
  <c r="N1097" i="14" s="1"/>
  <c r="H1099" i="14"/>
  <c r="I1099" i="14"/>
  <c r="N1099" i="14" s="1"/>
  <c r="H1101" i="14"/>
  <c r="I1101" i="14" s="1"/>
  <c r="N1101" i="14" s="1"/>
  <c r="H1103" i="14"/>
  <c r="I1103" i="14" s="1"/>
  <c r="N1103" i="14" s="1"/>
  <c r="H1105" i="14"/>
  <c r="B1107" i="14" s="1"/>
  <c r="H1107" i="14"/>
  <c r="I1107" i="14" s="1"/>
  <c r="N1107" i="14" s="1"/>
  <c r="I924" i="14"/>
  <c r="S1125" i="14"/>
  <c r="I148" i="14"/>
  <c r="S871" i="14"/>
  <c r="S873" i="14"/>
  <c r="S875" i="14"/>
  <c r="S877" i="14"/>
  <c r="S878" i="14"/>
  <c r="S880" i="14"/>
  <c r="S882" i="14"/>
  <c r="I952" i="14"/>
  <c r="N952" i="14"/>
  <c r="I947" i="14"/>
  <c r="I949" i="14"/>
  <c r="N949" i="14"/>
  <c r="I941" i="14"/>
  <c r="N941" i="14"/>
  <c r="I943" i="14"/>
  <c r="N943" i="14"/>
  <c r="I931" i="14"/>
  <c r="I936" i="14"/>
  <c r="N936" i="14"/>
  <c r="I712" i="14"/>
  <c r="N712" i="14"/>
  <c r="H741" i="14"/>
  <c r="I741" i="14" s="1"/>
  <c r="N741" i="14" s="1"/>
  <c r="S866" i="14"/>
  <c r="I866" i="14"/>
  <c r="N866" i="14"/>
  <c r="S868" i="14"/>
  <c r="I868" i="14"/>
  <c r="N868" i="14"/>
  <c r="S870" i="14"/>
  <c r="I870" i="14"/>
  <c r="N870" i="14"/>
  <c r="I871" i="14"/>
  <c r="N871" i="14"/>
  <c r="I873" i="14"/>
  <c r="N873" i="14"/>
  <c r="I875" i="14"/>
  <c r="N875" i="14"/>
  <c r="I877" i="14"/>
  <c r="N877" i="14"/>
  <c r="I878" i="14"/>
  <c r="N878" i="14"/>
  <c r="I880" i="14"/>
  <c r="N880" i="14"/>
  <c r="I882" i="14"/>
  <c r="N882" i="14"/>
  <c r="I885" i="14"/>
  <c r="N885" i="14"/>
  <c r="I886" i="14"/>
  <c r="N886" i="14"/>
  <c r="I891" i="14"/>
  <c r="N891" i="14"/>
  <c r="I893" i="14"/>
  <c r="N893" i="14"/>
  <c r="I895" i="14"/>
  <c r="N895" i="14"/>
  <c r="I910" i="14"/>
  <c r="N910" i="14"/>
  <c r="I914" i="14"/>
  <c r="N914" i="14"/>
  <c r="I915" i="14"/>
  <c r="N915" i="14"/>
  <c r="I921" i="14"/>
  <c r="N921" i="14"/>
  <c r="I927" i="14"/>
  <c r="N927" i="14"/>
  <c r="I929" i="14"/>
  <c r="N929" i="14"/>
  <c r="S912" i="14"/>
  <c r="S914" i="14"/>
  <c r="S915" i="14"/>
  <c r="S919" i="14"/>
  <c r="S921" i="14"/>
  <c r="S924" i="14"/>
  <c r="S927" i="14"/>
  <c r="S929" i="14"/>
  <c r="S934" i="14"/>
  <c r="S936" i="14"/>
  <c r="S938" i="14"/>
  <c r="S941" i="14"/>
  <c r="S943" i="14"/>
  <c r="S947" i="14"/>
  <c r="S949" i="14"/>
  <c r="S950" i="14"/>
  <c r="S952" i="14"/>
  <c r="S954" i="14"/>
  <c r="I1110" i="14"/>
  <c r="N1110" i="14"/>
  <c r="H1112" i="14"/>
  <c r="I1112" i="14" s="1"/>
  <c r="N1112" i="14" s="1"/>
  <c r="I1115" i="14"/>
  <c r="N1115" i="14"/>
  <c r="H1117" i="14"/>
  <c r="I1117" i="14" s="1"/>
  <c r="N1117" i="14" s="1"/>
  <c r="H1119" i="14"/>
  <c r="I1119" i="14" s="1"/>
  <c r="N1119" i="14" s="1"/>
  <c r="I1122" i="14"/>
  <c r="N1122" i="14"/>
  <c r="H1124" i="14"/>
  <c r="I1124" i="14"/>
  <c r="N1124" i="14" s="1"/>
  <c r="S1026" i="14"/>
  <c r="S13" i="14"/>
  <c r="S14" i="14"/>
  <c r="S15" i="14"/>
  <c r="S16" i="14"/>
  <c r="S17" i="14"/>
  <c r="S18" i="14"/>
  <c r="S19" i="14"/>
  <c r="S20" i="14"/>
  <c r="S21" i="14"/>
  <c r="S22" i="14"/>
  <c r="S23" i="14"/>
  <c r="S24" i="14"/>
  <c r="S25" i="14"/>
  <c r="S26" i="14"/>
  <c r="S27" i="14"/>
  <c r="S28" i="14"/>
  <c r="S29" i="14"/>
  <c r="S30" i="14"/>
  <c r="S31" i="14"/>
  <c r="S32" i="14"/>
  <c r="S33" i="14"/>
  <c r="S34" i="14"/>
  <c r="S35" i="14"/>
  <c r="S36" i="14"/>
  <c r="S37" i="14"/>
  <c r="S38" i="14"/>
  <c r="S39" i="14"/>
  <c r="S40" i="14"/>
  <c r="S41" i="14"/>
  <c r="S42" i="14"/>
  <c r="S43" i="14"/>
  <c r="S44" i="14"/>
  <c r="S45" i="14"/>
  <c r="S46" i="14"/>
  <c r="S47" i="14"/>
  <c r="S48" i="14"/>
  <c r="S49" i="14"/>
  <c r="S50" i="14"/>
  <c r="S51" i="14"/>
  <c r="S52" i="14"/>
  <c r="S53" i="14"/>
  <c r="S54" i="14"/>
  <c r="S55" i="14"/>
  <c r="S56" i="14"/>
  <c r="S57" i="14"/>
  <c r="S58" i="14"/>
  <c r="S59" i="14"/>
  <c r="S60" i="14"/>
  <c r="S61" i="14"/>
  <c r="S62" i="14"/>
  <c r="S63" i="14"/>
  <c r="S64" i="14"/>
  <c r="S65" i="14"/>
  <c r="S66" i="14"/>
  <c r="S67" i="14"/>
  <c r="S68" i="14"/>
  <c r="S69" i="14"/>
  <c r="S70" i="14"/>
  <c r="S71" i="14"/>
  <c r="S72" i="14"/>
  <c r="S73" i="14"/>
  <c r="S74" i="14"/>
  <c r="S75" i="14"/>
  <c r="S76" i="14"/>
  <c r="S77" i="14"/>
  <c r="S78" i="14"/>
  <c r="S79" i="14"/>
  <c r="S80" i="14"/>
  <c r="S81" i="14"/>
  <c r="S82" i="14"/>
  <c r="S83" i="14"/>
  <c r="S84" i="14"/>
  <c r="S85" i="14"/>
  <c r="S86" i="14"/>
  <c r="S87" i="14"/>
  <c r="S88" i="14"/>
  <c r="S89" i="14"/>
  <c r="S90" i="14"/>
  <c r="S91" i="14"/>
  <c r="S92" i="14"/>
  <c r="S93" i="14"/>
  <c r="S94" i="14"/>
  <c r="S95" i="14"/>
  <c r="S96" i="14"/>
  <c r="S97" i="14"/>
  <c r="S98" i="14"/>
  <c r="S99" i="14"/>
  <c r="S100" i="14"/>
  <c r="S101" i="14"/>
  <c r="S102" i="14"/>
  <c r="S103" i="14"/>
  <c r="S104" i="14"/>
  <c r="S105" i="14"/>
  <c r="S106" i="14"/>
  <c r="S107" i="14"/>
  <c r="S108" i="14"/>
  <c r="S109" i="14"/>
  <c r="S111" i="14"/>
  <c r="S112" i="14"/>
  <c r="S113" i="14"/>
  <c r="S114" i="14"/>
  <c r="S115" i="14"/>
  <c r="S116" i="14"/>
  <c r="S117" i="14"/>
  <c r="S118" i="14"/>
  <c r="S119" i="14"/>
  <c r="S120" i="14"/>
  <c r="S122" i="14"/>
  <c r="S123" i="14"/>
  <c r="S125" i="14"/>
  <c r="S126" i="14"/>
  <c r="S127" i="14"/>
  <c r="S128" i="14"/>
  <c r="S129" i="14"/>
  <c r="S130" i="14"/>
  <c r="S131" i="14"/>
  <c r="S132" i="14"/>
  <c r="S133" i="14"/>
  <c r="S134" i="14"/>
  <c r="S135" i="14"/>
  <c r="S137" i="14"/>
  <c r="S138" i="14"/>
  <c r="S139" i="14"/>
  <c r="S140" i="14"/>
  <c r="S141" i="14"/>
  <c r="S142" i="14"/>
  <c r="S143" i="14"/>
  <c r="S144" i="14"/>
  <c r="S145" i="14"/>
  <c r="S147" i="14"/>
  <c r="S149" i="14"/>
  <c r="S150" i="14"/>
  <c r="S151" i="14"/>
  <c r="S152" i="14"/>
  <c r="S153" i="14"/>
  <c r="S154" i="14"/>
  <c r="S155" i="14"/>
  <c r="S156" i="14"/>
  <c r="S157" i="14"/>
  <c r="S158" i="14"/>
  <c r="S159" i="14"/>
  <c r="S160" i="14"/>
  <c r="S161" i="14"/>
  <c r="S162" i="14"/>
  <c r="S163" i="14"/>
  <c r="S164" i="14"/>
  <c r="S165" i="14"/>
  <c r="S166" i="14"/>
  <c r="S167" i="14"/>
  <c r="S168" i="14"/>
  <c r="S169" i="14"/>
  <c r="S170" i="14"/>
  <c r="S171" i="14"/>
  <c r="S172" i="14"/>
  <c r="S173" i="14"/>
  <c r="S174" i="14"/>
  <c r="S175" i="14"/>
  <c r="S176" i="14"/>
  <c r="S177" i="14"/>
  <c r="S178" i="14"/>
  <c r="S179" i="14"/>
  <c r="S180" i="14"/>
  <c r="S181" i="14"/>
  <c r="S182" i="14"/>
  <c r="S183" i="14"/>
  <c r="S184" i="14"/>
  <c r="S185" i="14"/>
  <c r="S186" i="14"/>
  <c r="S187" i="14"/>
  <c r="S188" i="14"/>
  <c r="S189" i="14"/>
  <c r="S190" i="14"/>
  <c r="S191" i="14"/>
  <c r="S192" i="14"/>
  <c r="S193" i="14"/>
  <c r="S194" i="14"/>
  <c r="S195" i="14"/>
  <c r="S196" i="14"/>
  <c r="S197" i="14"/>
  <c r="S198" i="14"/>
  <c r="S199" i="14"/>
  <c r="S200" i="14"/>
  <c r="S202" i="14"/>
  <c r="S203" i="14"/>
  <c r="S204" i="14"/>
  <c r="S205" i="14"/>
  <c r="S206" i="14"/>
  <c r="S207" i="14"/>
  <c r="S208" i="14"/>
  <c r="S209" i="14"/>
  <c r="S210" i="14"/>
  <c r="S211" i="14"/>
  <c r="S212" i="14"/>
  <c r="S214" i="14"/>
  <c r="S215" i="14"/>
  <c r="S216" i="14"/>
  <c r="S217" i="14"/>
  <c r="S218" i="14"/>
  <c r="S219" i="14"/>
  <c r="S220" i="14"/>
  <c r="S221" i="14"/>
  <c r="S222" i="14"/>
  <c r="S223" i="14"/>
  <c r="S224" i="14"/>
  <c r="S225" i="14"/>
  <c r="S226" i="14"/>
  <c r="S227" i="14"/>
  <c r="S228" i="14"/>
  <c r="S229" i="14"/>
  <c r="S230" i="14"/>
  <c r="S231" i="14"/>
  <c r="S232" i="14"/>
  <c r="S233" i="14"/>
  <c r="S234" i="14"/>
  <c r="S235" i="14"/>
  <c r="S236" i="14"/>
  <c r="S237" i="14"/>
  <c r="S238" i="14"/>
  <c r="S239" i="14"/>
  <c r="S240" i="14"/>
  <c r="S241" i="14"/>
  <c r="S242" i="14"/>
  <c r="S243" i="14"/>
  <c r="S244" i="14"/>
  <c r="S245" i="14"/>
  <c r="S246" i="14"/>
  <c r="S247" i="14"/>
  <c r="S248" i="14"/>
  <c r="S249" i="14"/>
  <c r="S250" i="14"/>
  <c r="S251" i="14"/>
  <c r="S252" i="14"/>
  <c r="S253" i="14"/>
  <c r="S254" i="14"/>
  <c r="S255" i="14"/>
  <c r="S256" i="14"/>
  <c r="S257" i="14"/>
  <c r="S258" i="14"/>
  <c r="S259" i="14"/>
  <c r="S260" i="14"/>
  <c r="S261" i="14"/>
  <c r="S262" i="14"/>
  <c r="S263" i="14"/>
  <c r="S264" i="14"/>
  <c r="S265" i="14"/>
  <c r="S266" i="14"/>
  <c r="S267" i="14"/>
  <c r="S268" i="14"/>
  <c r="S269" i="14"/>
  <c r="S270" i="14"/>
  <c r="S271" i="14"/>
  <c r="S272" i="14"/>
  <c r="S273" i="14"/>
  <c r="S274" i="14"/>
  <c r="S275" i="14"/>
  <c r="S276" i="14"/>
  <c r="S277" i="14"/>
  <c r="S278" i="14"/>
  <c r="S279" i="14"/>
  <c r="S280" i="14"/>
  <c r="S282" i="14"/>
  <c r="S283" i="14"/>
  <c r="S284" i="14"/>
  <c r="S285" i="14"/>
  <c r="S286" i="14"/>
  <c r="S287" i="14"/>
  <c r="S288" i="14"/>
  <c r="S289" i="14"/>
  <c r="S290" i="14"/>
  <c r="S291" i="14"/>
  <c r="S292" i="14"/>
  <c r="S293" i="14"/>
  <c r="S294" i="14"/>
  <c r="S295" i="14"/>
  <c r="S296" i="14"/>
  <c r="S297" i="14"/>
  <c r="S298" i="14"/>
  <c r="S299" i="14"/>
  <c r="S300" i="14"/>
  <c r="S301" i="14"/>
  <c r="S302" i="14"/>
  <c r="S303" i="14"/>
  <c r="S304" i="14"/>
  <c r="S305" i="14"/>
  <c r="S306" i="14"/>
  <c r="S307" i="14"/>
  <c r="S308" i="14"/>
  <c r="S309" i="14"/>
  <c r="S310" i="14"/>
  <c r="S311" i="14"/>
  <c r="S312" i="14"/>
  <c r="S313" i="14"/>
  <c r="S314" i="14"/>
  <c r="S315" i="14"/>
  <c r="S316" i="14"/>
  <c r="S317" i="14"/>
  <c r="S318" i="14"/>
  <c r="S319" i="14"/>
  <c r="S320" i="14"/>
  <c r="S321" i="14"/>
  <c r="S322" i="14"/>
  <c r="S323" i="14"/>
  <c r="S324" i="14"/>
  <c r="S325" i="14"/>
  <c r="S326" i="14"/>
  <c r="S327" i="14"/>
  <c r="S328" i="14"/>
  <c r="S329" i="14"/>
  <c r="S330" i="14"/>
  <c r="S331" i="14"/>
  <c r="S332" i="14"/>
  <c r="S333" i="14"/>
  <c r="S334" i="14"/>
  <c r="S335" i="14"/>
  <c r="S336" i="14"/>
  <c r="S337" i="14"/>
  <c r="S338" i="14"/>
  <c r="S339" i="14"/>
  <c r="S341" i="14"/>
  <c r="S342" i="14"/>
  <c r="S343" i="14"/>
  <c r="S344" i="14"/>
  <c r="S345" i="14"/>
  <c r="S346" i="14"/>
  <c r="S347" i="14"/>
  <c r="S348" i="14"/>
  <c r="S349" i="14"/>
  <c r="S350" i="14"/>
  <c r="S351" i="14"/>
  <c r="S352" i="14"/>
  <c r="S353" i="14"/>
  <c r="S354" i="14"/>
  <c r="S355" i="14"/>
  <c r="S356" i="14"/>
  <c r="S357" i="14"/>
  <c r="S358" i="14"/>
  <c r="S359" i="14"/>
  <c r="S360" i="14"/>
  <c r="S361" i="14"/>
  <c r="S362" i="14"/>
  <c r="S363" i="14"/>
  <c r="S364" i="14"/>
  <c r="S365" i="14"/>
  <c r="S366" i="14"/>
  <c r="S367" i="14"/>
  <c r="S368" i="14"/>
  <c r="S369" i="14"/>
  <c r="S370" i="14"/>
  <c r="S371" i="14"/>
  <c r="S372" i="14"/>
  <c r="S373" i="14"/>
  <c r="S374" i="14"/>
  <c r="S375" i="14"/>
  <c r="S376" i="14"/>
  <c r="S377" i="14"/>
  <c r="S378" i="14"/>
  <c r="S379" i="14"/>
  <c r="S380" i="14"/>
  <c r="S381" i="14"/>
  <c r="S382" i="14"/>
  <c r="S383" i="14"/>
  <c r="S384" i="14"/>
  <c r="S385" i="14"/>
  <c r="S386" i="14"/>
  <c r="S387" i="14"/>
  <c r="S388" i="14"/>
  <c r="S389" i="14"/>
  <c r="S390" i="14"/>
  <c r="S391" i="14"/>
  <c r="S392" i="14"/>
  <c r="S393" i="14"/>
  <c r="S394" i="14"/>
  <c r="S395" i="14"/>
  <c r="S396" i="14"/>
  <c r="S397" i="14"/>
  <c r="S398" i="14"/>
  <c r="S399" i="14"/>
  <c r="S400" i="14"/>
  <c r="S401" i="14"/>
  <c r="S402" i="14"/>
  <c r="S403" i="14"/>
  <c r="S404" i="14"/>
  <c r="S405" i="14"/>
  <c r="S406" i="14"/>
  <c r="S407" i="14"/>
  <c r="S408" i="14"/>
  <c r="S409" i="14"/>
  <c r="S410" i="14"/>
  <c r="S411" i="14"/>
  <c r="S412" i="14"/>
  <c r="S413" i="14"/>
  <c r="S414" i="14"/>
  <c r="S415" i="14"/>
  <c r="S416" i="14"/>
  <c r="S417" i="14"/>
  <c r="S418" i="14"/>
  <c r="S419" i="14"/>
  <c r="S420" i="14"/>
  <c r="S421" i="14"/>
  <c r="S422" i="14"/>
  <c r="S423" i="14"/>
  <c r="S424" i="14"/>
  <c r="S425" i="14"/>
  <c r="S426" i="14"/>
  <c r="S427" i="14"/>
  <c r="S428" i="14"/>
  <c r="S429" i="14"/>
  <c r="S430" i="14"/>
  <c r="S431" i="14"/>
  <c r="S432" i="14"/>
  <c r="S433" i="14"/>
  <c r="S434" i="14"/>
  <c r="S435" i="14"/>
  <c r="S436" i="14"/>
  <c r="S437" i="14"/>
  <c r="S438" i="14"/>
  <c r="S439" i="14"/>
  <c r="S440" i="14"/>
  <c r="S441" i="14"/>
  <c r="S442" i="14"/>
  <c r="S443" i="14"/>
  <c r="S444" i="14"/>
  <c r="S445" i="14"/>
  <c r="S446" i="14"/>
  <c r="S447" i="14"/>
  <c r="S448" i="14"/>
  <c r="S449" i="14"/>
  <c r="S450" i="14"/>
  <c r="S451" i="14"/>
  <c r="S452" i="14"/>
  <c r="S453" i="14"/>
  <c r="S454" i="14"/>
  <c r="S455" i="14"/>
  <c r="S456" i="14"/>
  <c r="S457" i="14"/>
  <c r="S458" i="14"/>
  <c r="S459" i="14"/>
  <c r="S460" i="14"/>
  <c r="S461" i="14"/>
  <c r="S462" i="14"/>
  <c r="S463" i="14"/>
  <c r="S464" i="14"/>
  <c r="S465" i="14"/>
  <c r="S466" i="14"/>
  <c r="S467" i="14"/>
  <c r="S468" i="14"/>
  <c r="S469" i="14"/>
  <c r="S470" i="14"/>
  <c r="S471" i="14"/>
  <c r="S472" i="14"/>
  <c r="S473" i="14"/>
  <c r="S474" i="14"/>
  <c r="S475" i="14"/>
  <c r="S476" i="14"/>
  <c r="S477" i="14"/>
  <c r="S478" i="14"/>
  <c r="S479" i="14"/>
  <c r="S480" i="14"/>
  <c r="S481" i="14"/>
  <c r="S482" i="14"/>
  <c r="S483" i="14"/>
  <c r="S484" i="14"/>
  <c r="S485" i="14"/>
  <c r="S486" i="14"/>
  <c r="S487" i="14"/>
  <c r="S488" i="14"/>
  <c r="S489" i="14"/>
  <c r="S490" i="14"/>
  <c r="S491" i="14"/>
  <c r="S492" i="14"/>
  <c r="S493" i="14"/>
  <c r="S494" i="14"/>
  <c r="S495" i="14"/>
  <c r="S496" i="14"/>
  <c r="S497" i="14"/>
  <c r="S498" i="14"/>
  <c r="S499" i="14"/>
  <c r="S500" i="14"/>
  <c r="S501" i="14"/>
  <c r="S502" i="14"/>
  <c r="S503" i="14"/>
  <c r="S504" i="14"/>
  <c r="S505" i="14"/>
  <c r="S506" i="14"/>
  <c r="S507" i="14"/>
  <c r="S508" i="14"/>
  <c r="S509" i="14"/>
  <c r="S510" i="14"/>
  <c r="S511" i="14"/>
  <c r="S512" i="14"/>
  <c r="S513" i="14"/>
  <c r="S514" i="14"/>
  <c r="S515" i="14"/>
  <c r="S516" i="14"/>
  <c r="S517" i="14"/>
  <c r="S518" i="14"/>
  <c r="S519" i="14"/>
  <c r="S520" i="14"/>
  <c r="S521" i="14"/>
  <c r="S522" i="14"/>
  <c r="S523" i="14"/>
  <c r="S524" i="14"/>
  <c r="S525" i="14"/>
  <c r="S526" i="14"/>
  <c r="S527" i="14"/>
  <c r="S528" i="14"/>
  <c r="S529" i="14"/>
  <c r="S530" i="14"/>
  <c r="S531" i="14"/>
  <c r="S532" i="14"/>
  <c r="S533" i="14"/>
  <c r="S534" i="14"/>
  <c r="S535" i="14"/>
  <c r="S536" i="14"/>
  <c r="S537" i="14"/>
  <c r="S538" i="14"/>
  <c r="S539" i="14"/>
  <c r="S540" i="14"/>
  <c r="S541" i="14"/>
  <c r="S542" i="14"/>
  <c r="S543" i="14"/>
  <c r="S544" i="14"/>
  <c r="S545" i="14"/>
  <c r="S546" i="14"/>
  <c r="S547" i="14"/>
  <c r="S548" i="14"/>
  <c r="S549" i="14"/>
  <c r="S550" i="14"/>
  <c r="S551" i="14"/>
  <c r="S552" i="14"/>
  <c r="S553" i="14"/>
  <c r="S554" i="14"/>
  <c r="S555" i="14"/>
  <c r="S556" i="14"/>
  <c r="S557" i="14"/>
  <c r="S558" i="14"/>
  <c r="S559" i="14"/>
  <c r="S560" i="14"/>
  <c r="S561" i="14"/>
  <c r="S562" i="14"/>
  <c r="S563" i="14"/>
  <c r="S564" i="14"/>
  <c r="S565" i="14"/>
  <c r="S566" i="14"/>
  <c r="S567" i="14"/>
  <c r="S568" i="14"/>
  <c r="S569" i="14"/>
  <c r="S570" i="14"/>
  <c r="S571" i="14"/>
  <c r="S572" i="14"/>
  <c r="S573" i="14"/>
  <c r="S574" i="14"/>
  <c r="S575" i="14"/>
  <c r="S576" i="14"/>
  <c r="S577" i="14"/>
  <c r="S578" i="14"/>
  <c r="S579" i="14"/>
  <c r="S580" i="14"/>
  <c r="S581" i="14"/>
  <c r="S582" i="14"/>
  <c r="S583" i="14"/>
  <c r="S584" i="14"/>
  <c r="S585" i="14"/>
  <c r="S586" i="14"/>
  <c r="S587" i="14"/>
  <c r="S588" i="14"/>
  <c r="S589" i="14"/>
  <c r="S590" i="14"/>
  <c r="S591" i="14"/>
  <c r="S592" i="14"/>
  <c r="S593" i="14"/>
  <c r="S594" i="14"/>
  <c r="S595" i="14"/>
  <c r="S596" i="14"/>
  <c r="S597" i="14"/>
  <c r="S598" i="14"/>
  <c r="S599" i="14"/>
  <c r="S600" i="14"/>
  <c r="S601" i="14"/>
  <c r="S602" i="14"/>
  <c r="S603" i="14"/>
  <c r="S604" i="14"/>
  <c r="S605" i="14"/>
  <c r="S606" i="14"/>
  <c r="S607" i="14"/>
  <c r="S608" i="14"/>
  <c r="S609" i="14"/>
  <c r="S610" i="14"/>
  <c r="S611" i="14"/>
  <c r="S612" i="14"/>
  <c r="S613" i="14"/>
  <c r="S614" i="14"/>
  <c r="S615" i="14"/>
  <c r="S617" i="14"/>
  <c r="S618" i="14"/>
  <c r="S619" i="14"/>
  <c r="S620" i="14"/>
  <c r="S621" i="14"/>
  <c r="S622" i="14"/>
  <c r="S623" i="14"/>
  <c r="S624" i="14"/>
  <c r="S625" i="14"/>
  <c r="S626" i="14"/>
  <c r="S627" i="14"/>
  <c r="S628" i="14"/>
  <c r="S629" i="14"/>
  <c r="S630" i="14"/>
  <c r="S631" i="14"/>
  <c r="S632" i="14"/>
  <c r="S633" i="14"/>
  <c r="S634" i="14"/>
  <c r="S635" i="14"/>
  <c r="S636" i="14"/>
  <c r="S637" i="14"/>
  <c r="S638" i="14"/>
  <c r="S639" i="14"/>
  <c r="S640" i="14"/>
  <c r="S641" i="14"/>
  <c r="S642" i="14"/>
  <c r="S643" i="14"/>
  <c r="S644" i="14"/>
  <c r="S645" i="14"/>
  <c r="S646" i="14"/>
  <c r="S647" i="14"/>
  <c r="S648" i="14"/>
  <c r="S649" i="14"/>
  <c r="S650" i="14"/>
  <c r="S651" i="14"/>
  <c r="S652" i="14"/>
  <c r="S653" i="14"/>
  <c r="S654" i="14"/>
  <c r="S655" i="14"/>
  <c r="S656" i="14"/>
  <c r="S657" i="14"/>
  <c r="S658" i="14"/>
  <c r="S659" i="14"/>
  <c r="S660" i="14"/>
  <c r="S661" i="14"/>
  <c r="S662" i="14"/>
  <c r="S663" i="14"/>
  <c r="S664" i="14"/>
  <c r="S665" i="14"/>
  <c r="S666" i="14"/>
  <c r="S667" i="14"/>
  <c r="S668" i="14"/>
  <c r="S669" i="14"/>
  <c r="S670" i="14"/>
  <c r="S671" i="14"/>
  <c r="S672" i="14"/>
  <c r="S673" i="14"/>
  <c r="S674" i="14"/>
  <c r="S675" i="14"/>
  <c r="S676" i="14"/>
  <c r="S677" i="14"/>
  <c r="S678" i="14"/>
  <c r="S679" i="14"/>
  <c r="S680" i="14"/>
  <c r="S681" i="14"/>
  <c r="S682" i="14"/>
  <c r="S683" i="14"/>
  <c r="S684" i="14"/>
  <c r="S685" i="14"/>
  <c r="S686" i="14"/>
  <c r="S687" i="14"/>
  <c r="S688" i="14"/>
  <c r="S689" i="14"/>
  <c r="S690" i="14"/>
  <c r="S691" i="14"/>
  <c r="S692" i="14"/>
  <c r="S693" i="14"/>
  <c r="S694" i="14"/>
  <c r="S695" i="14"/>
  <c r="S696" i="14"/>
  <c r="S697" i="14"/>
  <c r="S698" i="14"/>
  <c r="S699" i="14"/>
  <c r="S700" i="14"/>
  <c r="S701" i="14"/>
  <c r="S702" i="14"/>
  <c r="S703" i="14"/>
  <c r="S704" i="14"/>
  <c r="S705" i="14"/>
  <c r="S706" i="14"/>
  <c r="S707" i="14"/>
  <c r="S708" i="14"/>
  <c r="S709" i="14"/>
  <c r="S710" i="14"/>
  <c r="S711" i="14"/>
  <c r="S712" i="14"/>
  <c r="S713" i="14"/>
  <c r="S714" i="14"/>
  <c r="S715" i="14"/>
  <c r="S716" i="14"/>
  <c r="S717" i="14"/>
  <c r="S718" i="14"/>
  <c r="S719" i="14"/>
  <c r="S720" i="14"/>
  <c r="S721" i="14"/>
  <c r="S722" i="14"/>
  <c r="S723" i="14"/>
  <c r="S724" i="14"/>
  <c r="S725" i="14"/>
  <c r="S726" i="14"/>
  <c r="S727" i="14"/>
  <c r="S728" i="14"/>
  <c r="S729" i="14"/>
  <c r="S730" i="14"/>
  <c r="S731" i="14"/>
  <c r="S732" i="14"/>
  <c r="S733" i="14"/>
  <c r="S734" i="14"/>
  <c r="S735" i="14"/>
  <c r="S736" i="14"/>
  <c r="S737" i="14"/>
  <c r="S738" i="14"/>
  <c r="S739" i="14"/>
  <c r="S740" i="14"/>
  <c r="S741" i="14"/>
  <c r="S742" i="14"/>
  <c r="S743" i="14"/>
  <c r="S744" i="14"/>
  <c r="S745" i="14"/>
  <c r="S746" i="14"/>
  <c r="S747" i="14"/>
  <c r="S748" i="14"/>
  <c r="S749" i="14"/>
  <c r="S750" i="14"/>
  <c r="S751" i="14"/>
  <c r="S752" i="14"/>
  <c r="S753" i="14"/>
  <c r="S754" i="14"/>
  <c r="S755" i="14"/>
  <c r="S756" i="14"/>
  <c r="S757" i="14"/>
  <c r="S758" i="14"/>
  <c r="S759" i="14"/>
  <c r="S760" i="14"/>
  <c r="S761" i="14"/>
  <c r="S762" i="14"/>
  <c r="S763" i="14"/>
  <c r="S764" i="14"/>
  <c r="S765" i="14"/>
  <c r="S766" i="14"/>
  <c r="S767" i="14"/>
  <c r="S768" i="14"/>
  <c r="S769" i="14"/>
  <c r="S770" i="14"/>
  <c r="S771" i="14"/>
  <c r="S772" i="14"/>
  <c r="S773" i="14"/>
  <c r="S774" i="14"/>
  <c r="S775" i="14"/>
  <c r="S776" i="14"/>
  <c r="S777" i="14"/>
  <c r="S778" i="14"/>
  <c r="S779" i="14"/>
  <c r="S780" i="14"/>
  <c r="S781" i="14"/>
  <c r="S782" i="14"/>
  <c r="S783" i="14"/>
  <c r="S784" i="14"/>
  <c r="S785" i="14"/>
  <c r="S786" i="14"/>
  <c r="S787" i="14"/>
  <c r="S788" i="14"/>
  <c r="S789" i="14"/>
  <c r="S790" i="14"/>
  <c r="S791" i="14"/>
  <c r="S792" i="14"/>
  <c r="S793" i="14"/>
  <c r="S794" i="14"/>
  <c r="S795" i="14"/>
  <c r="S796" i="14"/>
  <c r="S797" i="14"/>
  <c r="S798" i="14"/>
  <c r="S799" i="14"/>
  <c r="S800" i="14"/>
  <c r="S801" i="14"/>
  <c r="S802" i="14"/>
  <c r="S803" i="14"/>
  <c r="S804" i="14"/>
  <c r="S805" i="14"/>
  <c r="S806" i="14"/>
  <c r="S807" i="14"/>
  <c r="S808" i="14"/>
  <c r="S809" i="14"/>
  <c r="S810" i="14"/>
  <c r="S811" i="14"/>
  <c r="S812" i="14"/>
  <c r="S813" i="14"/>
  <c r="S814" i="14"/>
  <c r="S815" i="14"/>
  <c r="S816" i="14"/>
  <c r="S817" i="14"/>
  <c r="S818" i="14"/>
  <c r="S819" i="14"/>
  <c r="S820" i="14"/>
  <c r="S821" i="14"/>
  <c r="S822" i="14"/>
  <c r="S823" i="14"/>
  <c r="S824" i="14"/>
  <c r="S825" i="14"/>
  <c r="S826" i="14"/>
  <c r="S827" i="14"/>
  <c r="S828" i="14"/>
  <c r="S829" i="14"/>
  <c r="S830" i="14"/>
  <c r="S831" i="14"/>
  <c r="S832" i="14"/>
  <c r="S833" i="14"/>
  <c r="S834" i="14"/>
  <c r="S835" i="14"/>
  <c r="S836" i="14"/>
  <c r="S837" i="14"/>
  <c r="S838" i="14"/>
  <c r="S839" i="14"/>
  <c r="S840" i="14"/>
  <c r="S841" i="14"/>
  <c r="S842" i="14"/>
  <c r="S843" i="14"/>
  <c r="S844" i="14"/>
  <c r="S845" i="14"/>
  <c r="S846" i="14"/>
  <c r="S847" i="14"/>
  <c r="S848" i="14"/>
  <c r="S849" i="14"/>
  <c r="S850" i="14"/>
  <c r="S851" i="14"/>
  <c r="S852" i="14"/>
  <c r="S853" i="14"/>
  <c r="S854" i="14"/>
  <c r="S855" i="14"/>
  <c r="S856" i="14"/>
  <c r="S857" i="14"/>
  <c r="S858" i="14"/>
  <c r="S859" i="14"/>
  <c r="S860" i="14"/>
  <c r="S861" i="14"/>
  <c r="S862" i="14"/>
  <c r="S863" i="14"/>
  <c r="S864" i="14"/>
  <c r="S865" i="14"/>
  <c r="S867" i="14"/>
  <c r="S869" i="14"/>
  <c r="S872" i="14"/>
  <c r="S874" i="14"/>
  <c r="S876" i="14"/>
  <c r="S879" i="14"/>
  <c r="S881" i="14"/>
  <c r="S883" i="14"/>
  <c r="S884" i="14"/>
  <c r="S885" i="14"/>
  <c r="S886" i="14"/>
  <c r="S887" i="14"/>
  <c r="S888" i="14"/>
  <c r="S889" i="14"/>
  <c r="S890" i="14"/>
  <c r="S891" i="14"/>
  <c r="S892" i="14"/>
  <c r="S893" i="14"/>
  <c r="S894" i="14"/>
  <c r="S895" i="14"/>
  <c r="S896" i="14"/>
  <c r="S897" i="14"/>
  <c r="S898" i="14"/>
  <c r="S899" i="14"/>
  <c r="S900" i="14"/>
  <c r="S901" i="14"/>
  <c r="S902" i="14"/>
  <c r="S903" i="14"/>
  <c r="S904" i="14"/>
  <c r="S905" i="14"/>
  <c r="S906" i="14"/>
  <c r="S907" i="14"/>
  <c r="S908" i="14"/>
  <c r="S909" i="14"/>
  <c r="S910" i="14"/>
  <c r="S911" i="14"/>
  <c r="S913" i="14"/>
  <c r="S916" i="14"/>
  <c r="S917" i="14"/>
  <c r="S918" i="14"/>
  <c r="S920" i="14"/>
  <c r="S922" i="14"/>
  <c r="S923" i="14"/>
  <c r="S925" i="14"/>
  <c r="S926" i="14"/>
  <c r="S928" i="14"/>
  <c r="S930" i="14"/>
  <c r="S932" i="14"/>
  <c r="S933" i="14"/>
  <c r="S935" i="14"/>
  <c r="S937" i="14"/>
  <c r="S939" i="14"/>
  <c r="S940" i="14"/>
  <c r="S942" i="14"/>
  <c r="S944" i="14"/>
  <c r="S945" i="14"/>
  <c r="S946" i="14"/>
  <c r="S948" i="14"/>
  <c r="S951" i="14"/>
  <c r="S953" i="14"/>
  <c r="S955" i="14"/>
  <c r="S956" i="14"/>
  <c r="S957" i="14"/>
  <c r="S958" i="14"/>
  <c r="S959" i="14"/>
  <c r="S960" i="14"/>
  <c r="S961" i="14"/>
  <c r="S962" i="14"/>
  <c r="S963" i="14"/>
  <c r="S964" i="14"/>
  <c r="S965" i="14"/>
  <c r="S966" i="14"/>
  <c r="S967" i="14"/>
  <c r="S968" i="14"/>
  <c r="S969" i="14"/>
  <c r="S970" i="14"/>
  <c r="S971" i="14"/>
  <c r="S972" i="14"/>
  <c r="S973" i="14"/>
  <c r="S974" i="14"/>
  <c r="S975" i="14"/>
  <c r="S976" i="14"/>
  <c r="S977" i="14"/>
  <c r="S978" i="14"/>
  <c r="S979" i="14"/>
  <c r="S980" i="14"/>
  <c r="S981" i="14"/>
  <c r="S982" i="14"/>
  <c r="S983" i="14"/>
  <c r="S984" i="14"/>
  <c r="S985" i="14"/>
  <c r="S986" i="14"/>
  <c r="S987" i="14"/>
  <c r="S988" i="14"/>
  <c r="S989" i="14"/>
  <c r="S990" i="14"/>
  <c r="S991" i="14"/>
  <c r="S992" i="14"/>
  <c r="S993" i="14"/>
  <c r="S994" i="14"/>
  <c r="S995" i="14"/>
  <c r="S996" i="14"/>
  <c r="S997" i="14"/>
  <c r="S998" i="14"/>
  <c r="S999" i="14"/>
  <c r="S1000" i="14"/>
  <c r="S1001" i="14"/>
  <c r="S1002" i="14"/>
  <c r="S1003" i="14"/>
  <c r="S1004" i="14"/>
  <c r="S1005" i="14"/>
  <c r="S1006" i="14"/>
  <c r="S1007" i="14"/>
  <c r="S1008" i="14"/>
  <c r="S1009" i="14"/>
  <c r="S1010" i="14"/>
  <c r="S1011" i="14"/>
  <c r="S1012" i="14"/>
  <c r="S1013" i="14"/>
  <c r="S1014" i="14"/>
  <c r="S1015" i="14"/>
  <c r="S1016" i="14"/>
  <c r="S1017" i="14"/>
  <c r="S1018" i="14"/>
  <c r="S1019" i="14"/>
  <c r="S1020" i="14"/>
  <c r="S1021" i="14"/>
  <c r="S1022" i="14"/>
  <c r="S1023" i="14"/>
  <c r="S1024" i="14"/>
  <c r="S1025" i="14"/>
  <c r="S1027" i="14"/>
  <c r="S1028" i="14"/>
  <c r="S1029" i="14"/>
  <c r="S1030" i="14"/>
  <c r="S1031" i="14"/>
  <c r="S1032" i="14"/>
  <c r="S1033" i="14"/>
  <c r="S1034" i="14"/>
  <c r="S1035" i="14"/>
  <c r="S1036" i="14"/>
  <c r="S1037" i="14"/>
  <c r="S1038" i="14"/>
  <c r="S1039" i="14"/>
  <c r="S1040" i="14"/>
  <c r="S1041" i="14"/>
  <c r="S1042" i="14"/>
  <c r="S1043" i="14"/>
  <c r="S1044" i="14"/>
  <c r="S1045" i="14"/>
  <c r="S1046" i="14"/>
  <c r="S1047" i="14"/>
  <c r="S1048" i="14"/>
  <c r="S1049" i="14"/>
  <c r="S1050" i="14"/>
  <c r="S1051" i="14"/>
  <c r="S1052" i="14"/>
  <c r="S1053" i="14"/>
  <c r="S1055" i="14"/>
  <c r="S1056" i="14"/>
  <c r="S1057" i="14"/>
  <c r="S1058" i="14"/>
  <c r="S1059" i="14"/>
  <c r="S1060" i="14"/>
  <c r="S1061" i="14"/>
  <c r="S1062" i="14"/>
  <c r="S1063" i="14"/>
  <c r="S1064" i="14"/>
  <c r="S1065" i="14"/>
  <c r="S1066" i="14"/>
  <c r="S1067" i="14"/>
  <c r="S1068" i="14"/>
  <c r="S1069" i="14"/>
  <c r="S1070" i="14"/>
  <c r="S1071" i="14"/>
  <c r="S1072" i="14"/>
  <c r="S1073" i="14"/>
  <c r="S1074" i="14"/>
  <c r="S1075" i="14"/>
  <c r="S1076" i="14"/>
  <c r="S1077" i="14"/>
  <c r="S1078" i="14"/>
  <c r="S1079" i="14"/>
  <c r="S1080" i="14"/>
  <c r="S1081" i="14"/>
  <c r="S1082" i="14"/>
  <c r="S1083" i="14"/>
  <c r="S1084" i="14"/>
  <c r="S1085" i="14"/>
  <c r="S1086" i="14"/>
  <c r="S1087" i="14"/>
  <c r="S1088" i="14"/>
  <c r="S1089" i="14"/>
  <c r="S1090" i="14"/>
  <c r="S1091" i="14"/>
  <c r="S1092" i="14"/>
  <c r="S1093" i="14"/>
  <c r="S1094" i="14"/>
  <c r="S1095" i="14"/>
  <c r="S1096" i="14"/>
  <c r="S1097" i="14"/>
  <c r="S1098" i="14"/>
  <c r="S1099" i="14"/>
  <c r="S1100" i="14"/>
  <c r="S1101" i="14"/>
  <c r="S1102" i="14"/>
  <c r="S1103" i="14"/>
  <c r="S1104" i="14"/>
  <c r="S1105" i="14"/>
  <c r="S1106" i="14"/>
  <c r="S1107" i="14"/>
  <c r="S1108" i="14"/>
  <c r="S1109" i="14"/>
  <c r="S1110" i="14"/>
  <c r="S1111" i="14"/>
  <c r="S1112" i="14"/>
  <c r="S1113" i="14"/>
  <c r="S1114" i="14"/>
  <c r="S1115" i="14"/>
  <c r="S1116" i="14"/>
  <c r="S1117" i="14"/>
  <c r="S1118" i="14"/>
  <c r="S1119" i="14"/>
  <c r="S1120" i="14"/>
  <c r="S1121" i="14"/>
  <c r="S1122" i="14"/>
  <c r="S1124" i="14"/>
  <c r="H2489" i="14"/>
  <c r="I2489" i="14" s="1"/>
  <c r="N2489" i="14" s="1"/>
  <c r="I377" i="14"/>
  <c r="N377" i="14"/>
  <c r="B1119" i="14"/>
  <c r="B1126" i="14"/>
  <c r="B1133" i="14"/>
  <c r="B1140" i="14"/>
  <c r="B1147" i="14"/>
  <c r="B1154" i="14"/>
  <c r="B1161" i="14"/>
  <c r="B1168" i="14"/>
  <c r="B1175" i="14"/>
  <c r="B1182" i="14"/>
  <c r="B1189" i="14"/>
  <c r="B1196" i="14"/>
  <c r="B1203" i="14"/>
  <c r="B1210" i="14"/>
  <c r="B1217" i="14"/>
  <c r="B1224" i="14"/>
  <c r="B1231" i="14"/>
  <c r="B1238" i="14"/>
  <c r="B1245" i="14"/>
  <c r="B1252" i="14"/>
  <c r="B1259" i="14"/>
  <c r="B1266" i="14"/>
  <c r="B1273" i="14"/>
  <c r="B1280" i="14"/>
  <c r="B1287" i="14"/>
  <c r="B1294" i="14"/>
  <c r="B1301" i="14"/>
  <c r="B1308" i="14"/>
  <c r="B1315" i="14"/>
  <c r="B1322" i="14"/>
  <c r="B1329" i="14"/>
  <c r="B1336" i="14"/>
  <c r="B1343" i="14"/>
  <c r="B1350" i="14"/>
  <c r="B1357" i="14"/>
  <c r="B1364" i="14"/>
  <c r="B1371" i="14"/>
  <c r="B1378" i="14"/>
  <c r="B1385" i="14"/>
  <c r="B1392" i="14"/>
  <c r="B1399" i="14"/>
  <c r="B1406" i="14"/>
  <c r="B1413" i="14"/>
  <c r="B1420" i="14"/>
  <c r="B1427" i="14"/>
  <c r="B1434" i="14"/>
  <c r="B1441" i="14"/>
  <c r="B1448" i="14"/>
  <c r="B1455" i="14"/>
  <c r="B1462" i="14"/>
  <c r="B17" i="14"/>
  <c r="B15" i="14"/>
  <c r="B24" i="14"/>
  <c r="B22" i="14"/>
  <c r="B31" i="14"/>
  <c r="B29" i="14"/>
  <c r="B38" i="14"/>
  <c r="B36" i="14"/>
  <c r="B45" i="14"/>
  <c r="B43" i="14"/>
  <c r="B52" i="14"/>
  <c r="B50" i="14"/>
  <c r="B59" i="14"/>
  <c r="B57" i="14"/>
  <c r="B66" i="14"/>
  <c r="B64" i="14"/>
  <c r="B73" i="14"/>
  <c r="B71" i="14"/>
  <c r="B80" i="14"/>
  <c r="B78" i="14"/>
  <c r="B94" i="14"/>
  <c r="B108" i="14"/>
  <c r="B115" i="14"/>
  <c r="B122" i="14"/>
  <c r="B129" i="14"/>
  <c r="B136" i="14"/>
  <c r="B143" i="14"/>
  <c r="B150" i="14"/>
  <c r="B157" i="14"/>
  <c r="B164" i="14"/>
  <c r="B171" i="14"/>
  <c r="B178" i="14"/>
  <c r="B185" i="14"/>
  <c r="B192" i="14"/>
  <c r="B199" i="14"/>
  <c r="B206" i="14"/>
  <c r="B213" i="14"/>
  <c r="B220" i="14"/>
  <c r="B227" i="14"/>
  <c r="B234" i="14"/>
  <c r="B241" i="14"/>
  <c r="B248" i="14"/>
  <c r="B255" i="14"/>
  <c r="B262" i="14"/>
  <c r="B269" i="14"/>
  <c r="B276" i="14"/>
  <c r="B283" i="14"/>
  <c r="B297" i="14"/>
  <c r="B304" i="14"/>
  <c r="B311" i="14"/>
  <c r="B318" i="14"/>
  <c r="B325" i="14"/>
  <c r="B332" i="14"/>
  <c r="B339" i="14"/>
  <c r="B346" i="14"/>
  <c r="B353" i="14"/>
  <c r="B360" i="14"/>
  <c r="B367" i="14"/>
  <c r="B374" i="14"/>
  <c r="P743" i="14"/>
  <c r="R743" i="14"/>
  <c r="P745" i="14"/>
  <c r="R745" i="14"/>
  <c r="P749" i="14"/>
  <c r="R749" i="14"/>
  <c r="P750" i="14"/>
  <c r="R750" i="14"/>
  <c r="P752" i="14"/>
  <c r="R752" i="14"/>
  <c r="P754" i="14"/>
  <c r="R754" i="14"/>
  <c r="P755" i="14"/>
  <c r="R755" i="14"/>
  <c r="P757" i="14"/>
  <c r="R757" i="14"/>
  <c r="P759" i="14"/>
  <c r="R759" i="14"/>
  <c r="P767" i="14"/>
  <c r="R767" i="14"/>
  <c r="P769" i="14"/>
  <c r="R769" i="14"/>
  <c r="P853" i="14"/>
  <c r="R853" i="14"/>
  <c r="P874" i="14"/>
  <c r="R874" i="14"/>
  <c r="P881" i="14"/>
  <c r="R881" i="14"/>
  <c r="P883" i="14"/>
  <c r="R883" i="14"/>
  <c r="P909" i="14"/>
  <c r="R909" i="14"/>
  <c r="P911" i="14"/>
  <c r="R911" i="14"/>
  <c r="P930" i="14"/>
  <c r="R930" i="14"/>
  <c r="P935" i="14"/>
  <c r="R935" i="14"/>
  <c r="P956" i="14"/>
  <c r="R956" i="14"/>
  <c r="P958" i="14"/>
  <c r="R958" i="14"/>
  <c r="P1005" i="14"/>
  <c r="R1005" i="14"/>
  <c r="P1014" i="14"/>
  <c r="R1014" i="14"/>
  <c r="P1023" i="14"/>
  <c r="R1023" i="14"/>
  <c r="P1026" i="14"/>
  <c r="R1026" i="14"/>
  <c r="P1041" i="14"/>
  <c r="R1041" i="14"/>
  <c r="P1042" i="14"/>
  <c r="R1042" i="14"/>
  <c r="P1043" i="14"/>
  <c r="R1043" i="14"/>
  <c r="P1049" i="14"/>
  <c r="R1049" i="14"/>
  <c r="P1053" i="14"/>
  <c r="R1053" i="14"/>
  <c r="P1063" i="14"/>
  <c r="R1063" i="14"/>
  <c r="P1105" i="14"/>
  <c r="R1105" i="14"/>
  <c r="P1107" i="14"/>
  <c r="R1107" i="14"/>
  <c r="P1112" i="14"/>
  <c r="R1112" i="14"/>
  <c r="P1117" i="14"/>
  <c r="R1117" i="14"/>
  <c r="P1119" i="14"/>
  <c r="R1119" i="14"/>
  <c r="P1124" i="14"/>
  <c r="R1124" i="14"/>
  <c r="I752" i="14"/>
  <c r="N752" i="14"/>
  <c r="I771" i="14"/>
  <c r="N771" i="14"/>
  <c r="I781" i="14"/>
  <c r="N781" i="14"/>
  <c r="I1041" i="14"/>
  <c r="N1041" i="14"/>
  <c r="P84" i="14"/>
  <c r="R84" i="14"/>
  <c r="P86" i="14"/>
  <c r="R86" i="14"/>
  <c r="P88" i="14"/>
  <c r="R88" i="14"/>
  <c r="P90" i="14"/>
  <c r="R90" i="14"/>
  <c r="P92" i="14"/>
  <c r="R92" i="14"/>
  <c r="P94" i="14"/>
  <c r="R94" i="14"/>
  <c r="P96" i="14"/>
  <c r="R96" i="14"/>
  <c r="P97" i="14"/>
  <c r="R97" i="14"/>
  <c r="P99" i="14"/>
  <c r="R99" i="14"/>
  <c r="P100" i="14"/>
  <c r="R100" i="14"/>
  <c r="P103" i="14"/>
  <c r="R103" i="14"/>
  <c r="P107" i="14"/>
  <c r="R107" i="14"/>
  <c r="P108" i="14"/>
  <c r="R108" i="14"/>
  <c r="P111" i="14"/>
  <c r="R111" i="14"/>
  <c r="P114" i="14"/>
  <c r="R114" i="14"/>
  <c r="P116" i="14"/>
  <c r="R116" i="14"/>
  <c r="P118" i="14"/>
  <c r="R118" i="14"/>
  <c r="P119" i="14"/>
  <c r="R119" i="14"/>
  <c r="P122" i="14"/>
  <c r="R122" i="14"/>
  <c r="P123" i="14"/>
  <c r="R123" i="14"/>
  <c r="P125" i="14"/>
  <c r="R125" i="14"/>
  <c r="P126" i="14"/>
  <c r="R126" i="14"/>
  <c r="P129" i="14"/>
  <c r="R129" i="14"/>
  <c r="P131" i="14"/>
  <c r="R131" i="14"/>
  <c r="P132" i="14"/>
  <c r="R132" i="14"/>
  <c r="P135" i="14"/>
  <c r="R135" i="14"/>
  <c r="P137" i="14"/>
  <c r="R137" i="14"/>
  <c r="P139" i="14"/>
  <c r="R139" i="14"/>
  <c r="P142" i="14"/>
  <c r="R142" i="14"/>
  <c r="P144" i="14"/>
  <c r="R144" i="14"/>
  <c r="P145" i="14"/>
  <c r="R145" i="14"/>
  <c r="P147" i="14"/>
  <c r="R147" i="14"/>
  <c r="P149" i="14"/>
  <c r="R149" i="14"/>
  <c r="P150" i="14"/>
  <c r="R150" i="14"/>
  <c r="P151" i="14"/>
  <c r="R151" i="14"/>
  <c r="P152" i="14"/>
  <c r="R152" i="14"/>
  <c r="P153" i="14"/>
  <c r="R153" i="14"/>
  <c r="P154" i="14"/>
  <c r="R154" i="14"/>
  <c r="P155" i="14"/>
  <c r="R155" i="14"/>
  <c r="P156" i="14"/>
  <c r="R156" i="14"/>
  <c r="P158" i="14"/>
  <c r="R158" i="14"/>
  <c r="P160" i="14"/>
  <c r="R160" i="14"/>
  <c r="P163" i="14"/>
  <c r="R163" i="14"/>
  <c r="P165" i="14"/>
  <c r="R165" i="14"/>
  <c r="P166" i="14"/>
  <c r="R166" i="14"/>
  <c r="P167" i="14"/>
  <c r="R167" i="14"/>
  <c r="P170" i="14"/>
  <c r="R170" i="14"/>
  <c r="P171" i="14"/>
  <c r="R171" i="14"/>
  <c r="P172" i="14"/>
  <c r="R172" i="14"/>
  <c r="P174" i="14"/>
  <c r="R174" i="14"/>
  <c r="P175" i="14"/>
  <c r="R175" i="14"/>
  <c r="P177" i="14"/>
  <c r="R177" i="14"/>
  <c r="P181" i="14"/>
  <c r="R181" i="14"/>
  <c r="P186" i="14"/>
  <c r="R186" i="14"/>
  <c r="P188" i="14"/>
  <c r="R188" i="14"/>
  <c r="P191" i="14"/>
  <c r="R191" i="14"/>
  <c r="P195" i="14"/>
  <c r="R195" i="14"/>
  <c r="P198" i="14"/>
  <c r="R198" i="14"/>
  <c r="P202" i="14"/>
  <c r="R202" i="14"/>
  <c r="P205" i="14"/>
  <c r="R205" i="14"/>
  <c r="P207" i="14"/>
  <c r="R207" i="14"/>
  <c r="P209" i="14"/>
  <c r="R209" i="14"/>
  <c r="P212" i="14"/>
  <c r="R212" i="14"/>
  <c r="P216" i="14"/>
  <c r="R216" i="14"/>
  <c r="P221" i="14"/>
  <c r="R221" i="14"/>
  <c r="P223" i="14"/>
  <c r="R223" i="14"/>
  <c r="P224" i="14"/>
  <c r="R224" i="14"/>
  <c r="P225" i="14"/>
  <c r="R225" i="14"/>
  <c r="P228" i="14"/>
  <c r="R228" i="14"/>
  <c r="P230" i="14"/>
  <c r="R230" i="14"/>
  <c r="P233" i="14"/>
  <c r="R233" i="14"/>
  <c r="P234" i="14"/>
  <c r="R234" i="14"/>
  <c r="P236" i="14"/>
  <c r="R236" i="14"/>
  <c r="P237" i="14"/>
  <c r="R237" i="14"/>
  <c r="P238" i="14"/>
  <c r="R238" i="14"/>
  <c r="P242" i="14"/>
  <c r="R242" i="14"/>
  <c r="P244" i="14"/>
  <c r="R244" i="14"/>
  <c r="P247" i="14"/>
  <c r="R247" i="14"/>
  <c r="P250" i="14"/>
  <c r="R250" i="14"/>
  <c r="P252" i="14"/>
  <c r="R252" i="14"/>
  <c r="P254" i="14"/>
  <c r="R254" i="14"/>
  <c r="P255" i="14"/>
  <c r="R255" i="14"/>
  <c r="P258" i="14"/>
  <c r="R258" i="14"/>
  <c r="P259" i="14"/>
  <c r="R259" i="14"/>
  <c r="P261" i="14"/>
  <c r="R261" i="14"/>
  <c r="P264" i="14"/>
  <c r="R264" i="14"/>
  <c r="P266" i="14"/>
  <c r="R266" i="14"/>
  <c r="P268" i="14"/>
  <c r="R268" i="14"/>
  <c r="P269" i="14"/>
  <c r="R269" i="14"/>
  <c r="P270" i="14"/>
  <c r="R270" i="14"/>
  <c r="P271" i="14"/>
  <c r="R271" i="14"/>
  <c r="P272" i="14"/>
  <c r="R272" i="14"/>
  <c r="P273" i="14"/>
  <c r="R273" i="14"/>
  <c r="P274" i="14"/>
  <c r="R274" i="14"/>
  <c r="P276" i="14"/>
  <c r="R276" i="14"/>
  <c r="P278" i="14"/>
  <c r="R278" i="14"/>
  <c r="P279" i="14"/>
  <c r="R279" i="14"/>
  <c r="P280" i="14"/>
  <c r="R280" i="14"/>
  <c r="P282" i="14"/>
  <c r="R282" i="14"/>
  <c r="P284" i="14"/>
  <c r="R284" i="14"/>
  <c r="P285" i="14"/>
  <c r="R285" i="14"/>
  <c r="P287" i="14"/>
  <c r="R287" i="14"/>
  <c r="P288" i="14"/>
  <c r="R288" i="14"/>
  <c r="P289" i="14"/>
  <c r="R289" i="14"/>
  <c r="P291" i="14"/>
  <c r="R291" i="14"/>
  <c r="P293" i="14"/>
  <c r="R293" i="14"/>
  <c r="P295" i="14"/>
  <c r="R295" i="14"/>
  <c r="P297" i="14"/>
  <c r="R297" i="14"/>
  <c r="P299" i="14"/>
  <c r="R299" i="14"/>
  <c r="P301" i="14"/>
  <c r="R301" i="14"/>
  <c r="P303" i="14"/>
  <c r="R303" i="14"/>
  <c r="P305" i="14"/>
  <c r="R305" i="14"/>
  <c r="P307" i="14"/>
  <c r="R307" i="14"/>
  <c r="P309" i="14"/>
  <c r="R309" i="14"/>
  <c r="P310" i="14"/>
  <c r="R310" i="14"/>
  <c r="P311" i="14"/>
  <c r="R311" i="14"/>
  <c r="P312" i="14"/>
  <c r="R312" i="14"/>
  <c r="P314" i="14"/>
  <c r="R314" i="14"/>
  <c r="P316" i="14"/>
  <c r="R316" i="14"/>
  <c r="P318" i="14"/>
  <c r="R318" i="14"/>
  <c r="P320" i="14"/>
  <c r="R320" i="14"/>
  <c r="P321" i="14"/>
  <c r="R321" i="14"/>
  <c r="P323" i="14"/>
  <c r="R323" i="14"/>
  <c r="P324" i="14"/>
  <c r="R324" i="14"/>
  <c r="P326" i="14"/>
  <c r="R326" i="14"/>
  <c r="P328" i="14"/>
  <c r="R328" i="14"/>
  <c r="P331" i="14"/>
  <c r="R331" i="14"/>
  <c r="P333" i="14"/>
  <c r="R333" i="14"/>
  <c r="P335" i="14"/>
  <c r="R335" i="14"/>
  <c r="P336" i="14"/>
  <c r="R336" i="14"/>
  <c r="P338" i="14"/>
  <c r="R338" i="14"/>
  <c r="P339" i="14"/>
  <c r="R339" i="14"/>
  <c r="P341" i="14"/>
  <c r="R341" i="14"/>
  <c r="P342" i="14"/>
  <c r="R342" i="14"/>
  <c r="P345" i="14"/>
  <c r="R345" i="14"/>
  <c r="P347" i="14"/>
  <c r="R347" i="14"/>
  <c r="P348" i="14"/>
  <c r="R348" i="14"/>
  <c r="P349" i="14"/>
  <c r="R349" i="14"/>
  <c r="P351" i="14"/>
  <c r="R351" i="14"/>
  <c r="P353" i="14"/>
  <c r="R353" i="14"/>
  <c r="P354" i="14"/>
  <c r="R354" i="14"/>
  <c r="P356" i="14"/>
  <c r="R356" i="14"/>
  <c r="P357" i="14"/>
  <c r="R357" i="14"/>
  <c r="P359" i="14"/>
  <c r="R359" i="14"/>
  <c r="P361" i="14"/>
  <c r="R361" i="14"/>
  <c r="P363" i="14"/>
  <c r="R363" i="14"/>
  <c r="P366" i="14"/>
  <c r="R366" i="14"/>
  <c r="P367" i="14"/>
  <c r="R367" i="14"/>
  <c r="P369" i="14"/>
  <c r="R369" i="14"/>
  <c r="P370" i="14"/>
  <c r="R370" i="14"/>
  <c r="P371" i="14"/>
  <c r="R371" i="14"/>
  <c r="P372" i="14"/>
  <c r="R372" i="14"/>
  <c r="P374" i="14"/>
  <c r="R374" i="14"/>
  <c r="P376" i="14"/>
  <c r="R376" i="14"/>
  <c r="P378" i="14"/>
  <c r="R378" i="14"/>
  <c r="P379" i="14"/>
  <c r="R379" i="14"/>
  <c r="N378" i="14"/>
  <c r="N379" i="14"/>
  <c r="I380" i="14"/>
  <c r="N380" i="14"/>
  <c r="P381" i="14"/>
  <c r="R381" i="14"/>
  <c r="I382" i="14"/>
  <c r="N382" i="14"/>
  <c r="I383" i="14"/>
  <c r="N383" i="14"/>
  <c r="B384" i="14"/>
  <c r="B391" i="14"/>
  <c r="B398" i="14"/>
  <c r="B405" i="14"/>
  <c r="B412" i="14"/>
  <c r="B419" i="14"/>
  <c r="B426" i="14"/>
  <c r="B433" i="14"/>
  <c r="B440" i="14"/>
  <c r="B447" i="14"/>
  <c r="B454" i="14"/>
  <c r="B461" i="14"/>
  <c r="B468" i="14"/>
  <c r="B475" i="14"/>
  <c r="B482" i="14"/>
  <c r="B489" i="14"/>
  <c r="B496" i="14"/>
  <c r="B503" i="14"/>
  <c r="B510" i="14"/>
  <c r="B517" i="14"/>
  <c r="B524" i="14"/>
  <c r="B531" i="14"/>
  <c r="B538" i="14"/>
  <c r="B545" i="14"/>
  <c r="B552" i="14"/>
  <c r="B559" i="14"/>
  <c r="B566" i="14"/>
  <c r="B573" i="14"/>
  <c r="B580" i="14"/>
  <c r="B587" i="14"/>
  <c r="B594" i="14"/>
  <c r="B601" i="14"/>
  <c r="B608" i="14"/>
  <c r="B615" i="14"/>
  <c r="B622" i="14"/>
  <c r="B629" i="14"/>
  <c r="B636" i="14"/>
  <c r="B643" i="14"/>
  <c r="B650" i="14"/>
  <c r="B657" i="14"/>
  <c r="B664" i="14"/>
  <c r="B671" i="14"/>
  <c r="B678" i="14"/>
  <c r="B685" i="14"/>
  <c r="B692" i="14"/>
  <c r="B699" i="14"/>
  <c r="B706" i="14"/>
  <c r="B713" i="14"/>
  <c r="B720" i="14"/>
  <c r="B727" i="14"/>
  <c r="B734" i="14"/>
  <c r="P384" i="14"/>
  <c r="R384" i="14"/>
  <c r="I385" i="14"/>
  <c r="N385" i="14"/>
  <c r="I386" i="14"/>
  <c r="N386" i="14"/>
  <c r="P387" i="14"/>
  <c r="R387" i="14"/>
  <c r="P388" i="14"/>
  <c r="R388" i="14"/>
  <c r="I389" i="14"/>
  <c r="N389" i="14"/>
  <c r="I390" i="14"/>
  <c r="N390" i="14"/>
  <c r="P391" i="14"/>
  <c r="R391" i="14"/>
  <c r="I392" i="14"/>
  <c r="N392" i="14"/>
  <c r="I393" i="14"/>
  <c r="N393" i="14"/>
  <c r="P394" i="14"/>
  <c r="R394" i="14"/>
  <c r="N395" i="14"/>
  <c r="P395" i="14"/>
  <c r="R395" i="14"/>
  <c r="P396" i="14"/>
  <c r="R396" i="14"/>
  <c r="I397" i="14"/>
  <c r="N397" i="14"/>
  <c r="P397" i="14"/>
  <c r="R397" i="14"/>
  <c r="P398" i="14"/>
  <c r="R398" i="14"/>
  <c r="P399" i="14"/>
  <c r="R399" i="14"/>
  <c r="I400" i="14"/>
  <c r="N400" i="14"/>
  <c r="P401" i="14"/>
  <c r="R401" i="14"/>
  <c r="I402" i="14"/>
  <c r="N402" i="14"/>
  <c r="P403" i="14"/>
  <c r="R403" i="14"/>
  <c r="I404" i="14"/>
  <c r="N404" i="14"/>
  <c r="P405" i="14"/>
  <c r="R405" i="14"/>
  <c r="I406" i="14"/>
  <c r="N406" i="14"/>
  <c r="I407" i="14"/>
  <c r="N407" i="14"/>
  <c r="P408" i="14"/>
  <c r="R408" i="14"/>
  <c r="I409" i="14"/>
  <c r="N409" i="14"/>
  <c r="I410" i="14"/>
  <c r="N410" i="14"/>
  <c r="P411" i="14"/>
  <c r="R411" i="14"/>
  <c r="I412" i="14"/>
  <c r="N412" i="14"/>
  <c r="P413" i="14"/>
  <c r="R413" i="14"/>
  <c r="I414" i="14"/>
  <c r="N414" i="14"/>
  <c r="P415" i="14"/>
  <c r="R415" i="14"/>
  <c r="I416" i="14"/>
  <c r="N416" i="14"/>
  <c r="P417" i="14"/>
  <c r="R417" i="14"/>
  <c r="I418" i="14"/>
  <c r="N418" i="14"/>
  <c r="P419" i="14"/>
  <c r="R419" i="14"/>
  <c r="I420" i="14"/>
  <c r="N420" i="14"/>
  <c r="I421" i="14"/>
  <c r="N421" i="14"/>
  <c r="P422" i="14"/>
  <c r="R422" i="14"/>
  <c r="I423" i="14"/>
  <c r="N423" i="14"/>
  <c r="P424" i="14"/>
  <c r="R424" i="14"/>
  <c r="I425" i="14"/>
  <c r="N425" i="14"/>
  <c r="P426" i="14"/>
  <c r="R426" i="14"/>
  <c r="I427" i="14"/>
  <c r="N427" i="14"/>
  <c r="I428" i="14"/>
  <c r="N428" i="14"/>
  <c r="P429" i="14"/>
  <c r="R429" i="14"/>
  <c r="I430" i="14"/>
  <c r="N430" i="14"/>
  <c r="P431" i="14"/>
  <c r="R431" i="14"/>
  <c r="I432" i="14"/>
  <c r="N432" i="14"/>
  <c r="P432" i="14"/>
  <c r="R432" i="14"/>
  <c r="P433" i="14"/>
  <c r="R433" i="14"/>
  <c r="P434" i="14"/>
  <c r="R434" i="14"/>
  <c r="I435" i="14"/>
  <c r="N435" i="14"/>
  <c r="P436" i="14"/>
  <c r="R436" i="14"/>
  <c r="P437" i="14"/>
  <c r="R437" i="14"/>
  <c r="P438" i="14"/>
  <c r="R438" i="14"/>
  <c r="P439" i="14"/>
  <c r="R439" i="14"/>
  <c r="P440" i="14"/>
  <c r="R440" i="14"/>
  <c r="I441" i="14"/>
  <c r="N441" i="14"/>
  <c r="I443" i="14"/>
  <c r="N443" i="14"/>
  <c r="I444" i="14"/>
  <c r="N444" i="14"/>
  <c r="I445" i="14"/>
  <c r="N445" i="14"/>
  <c r="P446" i="14"/>
  <c r="R446" i="14"/>
  <c r="P447" i="14"/>
  <c r="R447" i="14"/>
  <c r="I448" i="14"/>
  <c r="N448" i="14"/>
  <c r="I449" i="14"/>
  <c r="N449" i="14"/>
  <c r="P450" i="14"/>
  <c r="R450" i="14"/>
  <c r="I451" i="14"/>
  <c r="N451" i="14"/>
  <c r="I452" i="14"/>
  <c r="N452" i="14"/>
  <c r="I453" i="14"/>
  <c r="N453" i="14"/>
  <c r="P454" i="14"/>
  <c r="R454" i="14"/>
  <c r="I455" i="14"/>
  <c r="N455" i="14"/>
  <c r="I456" i="14"/>
  <c r="N456" i="14"/>
  <c r="I457" i="14"/>
  <c r="N457" i="14"/>
  <c r="I458" i="14"/>
  <c r="N458" i="14"/>
  <c r="I459" i="14"/>
  <c r="N459" i="14"/>
  <c r="P460" i="14"/>
  <c r="R460" i="14"/>
  <c r="P461" i="14"/>
  <c r="R461" i="14"/>
  <c r="I462" i="14"/>
  <c r="N462" i="14"/>
  <c r="I463" i="14"/>
  <c r="N463" i="14"/>
  <c r="P464" i="14"/>
  <c r="R464" i="14"/>
  <c r="I465" i="14"/>
  <c r="N465" i="14"/>
  <c r="P466" i="14"/>
  <c r="R466" i="14"/>
  <c r="I467" i="14"/>
  <c r="N467" i="14"/>
  <c r="P468" i="14"/>
  <c r="R468" i="14"/>
  <c r="I469" i="14"/>
  <c r="N469" i="14"/>
  <c r="I470" i="14"/>
  <c r="N470" i="14"/>
  <c r="I471" i="14"/>
  <c r="N471" i="14"/>
  <c r="I472" i="14"/>
  <c r="N472" i="14"/>
  <c r="P473" i="14"/>
  <c r="R473" i="14"/>
  <c r="I474" i="14"/>
  <c r="N474" i="14"/>
  <c r="I475" i="14"/>
  <c r="N475" i="14"/>
  <c r="I476" i="14"/>
  <c r="N476" i="14"/>
  <c r="P477" i="14"/>
  <c r="R477" i="14"/>
  <c r="I478" i="14"/>
  <c r="N478" i="14"/>
  <c r="I479" i="14"/>
  <c r="N479" i="14"/>
  <c r="P480" i="14"/>
  <c r="R480" i="14"/>
  <c r="I481" i="14"/>
  <c r="N481" i="14"/>
  <c r="P482" i="14"/>
  <c r="R482" i="14"/>
  <c r="I483" i="14"/>
  <c r="N483" i="14"/>
  <c r="I484" i="14"/>
  <c r="N484" i="14"/>
  <c r="I485" i="14"/>
  <c r="N485" i="14"/>
  <c r="I486" i="14"/>
  <c r="N486" i="14"/>
  <c r="I487" i="14"/>
  <c r="N487" i="14"/>
  <c r="P488" i="14"/>
  <c r="R488" i="14"/>
  <c r="P489" i="14"/>
  <c r="R489" i="14"/>
  <c r="P490" i="14"/>
  <c r="R490" i="14"/>
  <c r="I491" i="14"/>
  <c r="N491" i="14"/>
  <c r="I492" i="14"/>
  <c r="N492" i="14"/>
  <c r="P493" i="14"/>
  <c r="R493" i="14"/>
  <c r="I494" i="14"/>
  <c r="N494" i="14"/>
  <c r="P495" i="14"/>
  <c r="R495" i="14"/>
  <c r="I496" i="14"/>
  <c r="N496" i="14"/>
  <c r="I497" i="14"/>
  <c r="N497" i="14"/>
  <c r="I498" i="14"/>
  <c r="N498" i="14"/>
  <c r="P499" i="14"/>
  <c r="R499" i="14"/>
  <c r="I500" i="14"/>
  <c r="N500" i="14"/>
  <c r="P501" i="14"/>
  <c r="R501" i="14"/>
  <c r="I502" i="14"/>
  <c r="N502" i="14"/>
  <c r="P503" i="14"/>
  <c r="R503" i="14"/>
  <c r="I504" i="14"/>
  <c r="N504" i="14"/>
  <c r="I505" i="14"/>
  <c r="N505" i="14"/>
  <c r="P506" i="14"/>
  <c r="R506" i="14"/>
  <c r="I507" i="14"/>
  <c r="N507" i="14"/>
  <c r="I508" i="14"/>
  <c r="N508" i="14"/>
  <c r="I509" i="14"/>
  <c r="N509" i="14"/>
  <c r="P510" i="14"/>
  <c r="R510" i="14"/>
  <c r="I511" i="14"/>
  <c r="N511" i="14"/>
  <c r="I512" i="14"/>
  <c r="N512" i="14"/>
  <c r="P513" i="14"/>
  <c r="R513" i="14"/>
  <c r="I514" i="14"/>
  <c r="N514" i="14"/>
  <c r="I515" i="14"/>
  <c r="N515" i="14"/>
  <c r="I516" i="14"/>
  <c r="N516" i="14"/>
  <c r="P517" i="14"/>
  <c r="R517" i="14"/>
  <c r="I518" i="14"/>
  <c r="N518" i="14"/>
  <c r="I519" i="14"/>
  <c r="N519" i="14"/>
  <c r="P520" i="14"/>
  <c r="R520" i="14"/>
  <c r="P522" i="14"/>
  <c r="R522" i="14"/>
  <c r="I523" i="14"/>
  <c r="N523" i="14"/>
  <c r="P524" i="14"/>
  <c r="R524" i="14"/>
  <c r="P525" i="14"/>
  <c r="R525" i="14"/>
  <c r="I526" i="14"/>
  <c r="N526" i="14"/>
  <c r="P527" i="14"/>
  <c r="R527" i="14"/>
  <c r="I528" i="14"/>
  <c r="N528" i="14"/>
  <c r="P529" i="14"/>
  <c r="R529" i="14"/>
  <c r="I530" i="14"/>
  <c r="N530" i="14"/>
  <c r="P530" i="14"/>
  <c r="R530" i="14"/>
  <c r="P531" i="14"/>
  <c r="R531" i="14"/>
  <c r="P532" i="14"/>
  <c r="R532" i="14"/>
  <c r="P533" i="14"/>
  <c r="R533" i="14"/>
  <c r="P534" i="14"/>
  <c r="R534" i="14"/>
  <c r="P535" i="14"/>
  <c r="R535" i="14"/>
  <c r="P536" i="14"/>
  <c r="R536" i="14"/>
  <c r="P537" i="14"/>
  <c r="R537" i="14"/>
  <c r="I538" i="14"/>
  <c r="N538" i="14"/>
  <c r="P539" i="14"/>
  <c r="R539" i="14"/>
  <c r="I540" i="14"/>
  <c r="N540" i="14"/>
  <c r="P541" i="14"/>
  <c r="R541" i="14"/>
  <c r="I542" i="14"/>
  <c r="N542" i="14"/>
  <c r="P543" i="14"/>
  <c r="R543" i="14"/>
  <c r="P544" i="14"/>
  <c r="R544" i="14"/>
  <c r="P545" i="14"/>
  <c r="R545" i="14"/>
  <c r="P546" i="14"/>
  <c r="R546" i="14"/>
  <c r="P547" i="14"/>
  <c r="R547" i="14"/>
  <c r="P548" i="14"/>
  <c r="R548" i="14"/>
  <c r="P549" i="14"/>
  <c r="R549" i="14"/>
  <c r="P550" i="14"/>
  <c r="R550" i="14"/>
  <c r="I551" i="14"/>
  <c r="N551" i="14"/>
  <c r="P552" i="14"/>
  <c r="R552" i="14"/>
  <c r="P553" i="14"/>
  <c r="R553" i="14"/>
  <c r="I554" i="14"/>
  <c r="N554" i="14"/>
  <c r="P555" i="14"/>
  <c r="R555" i="14"/>
  <c r="P556" i="14"/>
  <c r="R556" i="14"/>
  <c r="I557" i="14"/>
  <c r="P558" i="14"/>
  <c r="R558" i="14"/>
  <c r="P559" i="14"/>
  <c r="R559" i="14"/>
  <c r="I560" i="14"/>
  <c r="N560" i="14"/>
  <c r="I561" i="14"/>
  <c r="N561" i="14"/>
  <c r="P561" i="14"/>
  <c r="R561" i="14"/>
  <c r="P562" i="14"/>
  <c r="R562" i="14"/>
  <c r="P563" i="14"/>
  <c r="R563" i="14"/>
  <c r="P564" i="14"/>
  <c r="R564" i="14"/>
  <c r="P565" i="14"/>
  <c r="R565" i="14"/>
  <c r="P566" i="14"/>
  <c r="R566" i="14"/>
  <c r="P567" i="14"/>
  <c r="R567" i="14"/>
  <c r="P568" i="14"/>
  <c r="R568" i="14"/>
  <c r="P569" i="14"/>
  <c r="R569" i="14"/>
  <c r="P570" i="14"/>
  <c r="R570" i="14"/>
  <c r="P571" i="14"/>
  <c r="R571" i="14"/>
  <c r="I572" i="14"/>
  <c r="N572" i="14"/>
  <c r="P573" i="14"/>
  <c r="R573" i="14"/>
  <c r="P574" i="14"/>
  <c r="R574" i="14"/>
  <c r="I575" i="14"/>
  <c r="N575" i="14"/>
  <c r="P576" i="14"/>
  <c r="R576" i="14"/>
  <c r="P577" i="14"/>
  <c r="R577" i="14"/>
  <c r="I578" i="14"/>
  <c r="N578" i="14"/>
  <c r="P579" i="14"/>
  <c r="R579" i="14"/>
  <c r="P580" i="14"/>
  <c r="R580" i="14"/>
  <c r="I581" i="14"/>
  <c r="N581" i="14"/>
  <c r="P582" i="14"/>
  <c r="R582" i="14"/>
  <c r="P583" i="14"/>
  <c r="R583" i="14"/>
  <c r="I584" i="14"/>
  <c r="N584" i="14"/>
  <c r="P585" i="14"/>
  <c r="R585" i="14"/>
  <c r="I586" i="14"/>
  <c r="N586" i="14"/>
  <c r="P587" i="14"/>
  <c r="R587" i="14"/>
  <c r="P588" i="14"/>
  <c r="R588" i="14"/>
  <c r="I589" i="14"/>
  <c r="N589" i="14"/>
  <c r="P590" i="14"/>
  <c r="R590" i="14"/>
  <c r="I591" i="14"/>
  <c r="N591" i="14"/>
  <c r="P592" i="14"/>
  <c r="R592" i="14"/>
  <c r="P593" i="14"/>
  <c r="R593" i="14"/>
  <c r="P594" i="14"/>
  <c r="R594" i="14"/>
  <c r="P595" i="14"/>
  <c r="R595" i="14"/>
  <c r="P596" i="14"/>
  <c r="R596" i="14"/>
  <c r="I597" i="14"/>
  <c r="N597" i="14"/>
  <c r="P598" i="14"/>
  <c r="R598" i="14"/>
  <c r="P599" i="14"/>
  <c r="R599" i="14"/>
  <c r="I600" i="14"/>
  <c r="N600" i="14"/>
  <c r="P601" i="14"/>
  <c r="R601" i="14"/>
  <c r="I602" i="14"/>
  <c r="N602" i="14"/>
  <c r="I603" i="14"/>
  <c r="N603" i="14"/>
  <c r="P604" i="14"/>
  <c r="R604" i="14"/>
  <c r="I605" i="14"/>
  <c r="N605" i="14"/>
  <c r="P606" i="14"/>
  <c r="R606" i="14"/>
  <c r="I607" i="14"/>
  <c r="N607" i="14"/>
  <c r="P608" i="14"/>
  <c r="R608" i="14"/>
  <c r="P611" i="14"/>
  <c r="R611" i="14"/>
  <c r="P613" i="14"/>
  <c r="R613" i="14"/>
  <c r="I614" i="14"/>
  <c r="N614" i="14"/>
  <c r="P615" i="14"/>
  <c r="R615" i="14"/>
  <c r="P620" i="14"/>
  <c r="R620" i="14"/>
  <c r="P622" i="14"/>
  <c r="R622" i="14"/>
  <c r="P623" i="14"/>
  <c r="R623" i="14"/>
  <c r="P625" i="14"/>
  <c r="R625" i="14"/>
  <c r="P627" i="14"/>
  <c r="R627" i="14"/>
  <c r="P629" i="14"/>
  <c r="R629" i="14"/>
  <c r="I634" i="14"/>
  <c r="N634" i="14"/>
  <c r="P636" i="14"/>
  <c r="R636" i="14"/>
  <c r="I641" i="14"/>
  <c r="N641" i="14"/>
  <c r="P643" i="14"/>
  <c r="R643" i="14"/>
  <c r="P648" i="14"/>
  <c r="R648" i="14"/>
  <c r="P650" i="14"/>
  <c r="R650" i="14"/>
  <c r="P652" i="14"/>
  <c r="R652" i="14"/>
  <c r="I654" i="14"/>
  <c r="N654" i="14"/>
  <c r="I656" i="14"/>
  <c r="N656" i="14"/>
  <c r="I660" i="14"/>
  <c r="N660" i="14"/>
  <c r="P662" i="14"/>
  <c r="R662" i="14"/>
  <c r="I663" i="14"/>
  <c r="N663" i="14"/>
  <c r="P663" i="14"/>
  <c r="R663" i="14"/>
  <c r="P664" i="14"/>
  <c r="R664" i="14"/>
  <c r="P665" i="14"/>
  <c r="R665" i="14"/>
  <c r="I669" i="14"/>
  <c r="N669" i="14"/>
  <c r="P671" i="14"/>
  <c r="R671" i="14"/>
  <c r="I672" i="14"/>
  <c r="N672" i="14"/>
  <c r="P674" i="14"/>
  <c r="R674" i="14"/>
  <c r="P676" i="14"/>
  <c r="R676" i="14"/>
  <c r="P678" i="14"/>
  <c r="R678" i="14"/>
  <c r="P679" i="14"/>
  <c r="R679" i="14"/>
  <c r="I681" i="14"/>
  <c r="N681" i="14"/>
  <c r="P683" i="14"/>
  <c r="R683" i="14"/>
  <c r="P685" i="14"/>
  <c r="R685" i="14"/>
  <c r="P690" i="14"/>
  <c r="R690" i="14"/>
  <c r="P692" i="14"/>
  <c r="R692" i="14"/>
  <c r="P697" i="14"/>
  <c r="R697" i="14"/>
  <c r="P699" i="14"/>
  <c r="R699" i="14"/>
  <c r="P704" i="14"/>
  <c r="R704" i="14"/>
  <c r="P706" i="14"/>
  <c r="R706" i="14"/>
  <c r="P711" i="14"/>
  <c r="R711" i="14"/>
  <c r="P713" i="14"/>
  <c r="R713" i="14"/>
  <c r="P718" i="14"/>
  <c r="R718" i="14"/>
  <c r="P720" i="14"/>
  <c r="R720" i="14"/>
  <c r="P725" i="14"/>
  <c r="R725" i="14"/>
  <c r="P727" i="14"/>
  <c r="R727" i="14"/>
  <c r="P732" i="14"/>
  <c r="R732" i="14"/>
  <c r="P734" i="14"/>
  <c r="R734" i="14"/>
  <c r="P736" i="14"/>
  <c r="R736" i="14"/>
  <c r="I739" i="14"/>
  <c r="N739" i="14"/>
  <c r="B748" i="14"/>
  <c r="B755" i="14"/>
  <c r="B762" i="14"/>
  <c r="B769" i="14"/>
  <c r="B776" i="14"/>
  <c r="B783" i="14"/>
  <c r="B790" i="14"/>
  <c r="B797" i="14"/>
  <c r="B804" i="14"/>
  <c r="B811" i="14"/>
  <c r="B818" i="14"/>
  <c r="B825" i="14"/>
  <c r="B832" i="14"/>
  <c r="B839" i="14"/>
  <c r="B846" i="14"/>
  <c r="B853" i="14"/>
  <c r="B860" i="14"/>
  <c r="B867" i="14"/>
  <c r="B874" i="14"/>
  <c r="B881" i="14"/>
  <c r="B888" i="14"/>
  <c r="B895" i="14"/>
  <c r="B902" i="14"/>
  <c r="B909" i="14"/>
  <c r="B916" i="14"/>
  <c r="B923" i="14"/>
  <c r="B930" i="14"/>
  <c r="B937" i="14"/>
  <c r="B944" i="14"/>
  <c r="B951" i="14"/>
  <c r="B958" i="14"/>
  <c r="B965" i="14"/>
  <c r="B972" i="14"/>
  <c r="B979" i="14"/>
  <c r="B986" i="14"/>
  <c r="B993" i="14"/>
  <c r="B1000" i="14"/>
  <c r="B1007" i="14"/>
  <c r="B1014" i="14"/>
  <c r="B1021" i="14"/>
  <c r="B1028" i="14"/>
  <c r="B1035" i="14"/>
  <c r="B1042" i="14"/>
  <c r="B1049" i="14"/>
  <c r="B1056" i="14"/>
  <c r="B1063" i="14"/>
  <c r="B1070" i="14"/>
  <c r="B1077" i="14"/>
  <c r="B1084" i="14"/>
  <c r="B1091" i="14"/>
  <c r="B1098" i="14"/>
  <c r="I658" i="14"/>
  <c r="N658" i="14"/>
  <c r="P686" i="14"/>
  <c r="P688" i="14"/>
  <c r="P707" i="14"/>
  <c r="P723" i="14"/>
  <c r="P702" i="14"/>
  <c r="P667" i="14"/>
  <c r="P670" i="14"/>
  <c r="P673" i="14"/>
  <c r="P645" i="14"/>
  <c r="P653" i="14"/>
  <c r="P666" i="14"/>
  <c r="P682" i="14"/>
  <c r="P638" i="14"/>
  <c r="P668" i="14"/>
  <c r="P696" i="14"/>
  <c r="P701" i="14"/>
  <c r="P717" i="14"/>
  <c r="P694" i="14"/>
  <c r="P703" i="14"/>
  <c r="P715" i="14"/>
  <c r="P729" i="14"/>
  <c r="P738" i="14"/>
  <c r="P657" i="14"/>
  <c r="P661" i="14"/>
  <c r="I290" i="14"/>
  <c r="N290" i="14"/>
  <c r="H288" i="14"/>
  <c r="B288" i="14" s="1"/>
  <c r="I270" i="14"/>
  <c r="N270" i="14"/>
  <c r="I291" i="14"/>
  <c r="N291" i="14"/>
  <c r="N13" i="14"/>
  <c r="N14" i="14"/>
  <c r="N15" i="14"/>
  <c r="N16" i="14"/>
  <c r="N17" i="14"/>
  <c r="N19" i="14"/>
  <c r="N21" i="14"/>
  <c r="N22" i="14"/>
  <c r="N23" i="14"/>
  <c r="N24" i="14"/>
  <c r="N27" i="14"/>
  <c r="N29" i="14"/>
  <c r="N32" i="14"/>
  <c r="N34" i="14"/>
  <c r="N38" i="14"/>
  <c r="N41" i="14"/>
  <c r="N44" i="14"/>
  <c r="N49" i="14"/>
  <c r="N52" i="14"/>
  <c r="N54" i="14"/>
  <c r="N56" i="14"/>
  <c r="N59" i="14"/>
  <c r="N63" i="14"/>
  <c r="N64" i="14"/>
  <c r="N67" i="14"/>
  <c r="N69" i="14"/>
  <c r="N76" i="14"/>
  <c r="N80" i="14"/>
  <c r="N82" i="14"/>
  <c r="N84" i="14"/>
  <c r="N86" i="14"/>
  <c r="N88" i="14"/>
  <c r="N90" i="14"/>
  <c r="N92" i="14"/>
  <c r="N94" i="14"/>
  <c r="N97" i="14"/>
  <c r="N99" i="14"/>
  <c r="N100" i="14"/>
  <c r="N103" i="14"/>
  <c r="N107" i="14"/>
  <c r="N108" i="14"/>
  <c r="N111" i="14"/>
  <c r="N114" i="14"/>
  <c r="N116" i="14"/>
  <c r="N118" i="14"/>
  <c r="N119" i="14"/>
  <c r="N122" i="14"/>
  <c r="N123" i="14"/>
  <c r="N125" i="14"/>
  <c r="N126" i="14"/>
  <c r="N131" i="14"/>
  <c r="N132" i="14"/>
  <c r="N135" i="14"/>
  <c r="N137" i="14"/>
  <c r="N139" i="14"/>
  <c r="N142" i="14"/>
  <c r="N144" i="14"/>
  <c r="N145" i="14"/>
  <c r="N149" i="14"/>
  <c r="N150" i="14"/>
  <c r="N151" i="14"/>
  <c r="N152" i="14"/>
  <c r="N153" i="14"/>
  <c r="N154" i="14"/>
  <c r="N155" i="14"/>
  <c r="N156" i="14"/>
  <c r="N158" i="14"/>
  <c r="N160" i="14"/>
  <c r="N163" i="14"/>
  <c r="N165" i="14"/>
  <c r="N166" i="14"/>
  <c r="N167" i="14"/>
  <c r="N170" i="14"/>
  <c r="N172" i="14"/>
  <c r="N174" i="14"/>
  <c r="N177" i="14"/>
  <c r="N181" i="14"/>
  <c r="N186" i="14"/>
  <c r="N188" i="14"/>
  <c r="N191" i="14"/>
  <c r="N195" i="14"/>
  <c r="I47" i="14"/>
  <c r="N47" i="14"/>
  <c r="H198" i="14"/>
  <c r="I198" i="14" s="1"/>
  <c r="N198" i="14" s="1"/>
  <c r="I199" i="14"/>
  <c r="N199" i="14"/>
  <c r="I200" i="14"/>
  <c r="N200" i="14"/>
  <c r="I201" i="14"/>
  <c r="H202" i="14"/>
  <c r="I202" i="14" s="1"/>
  <c r="N202" i="14" s="1"/>
  <c r="I203" i="14"/>
  <c r="N203" i="14"/>
  <c r="I204" i="14"/>
  <c r="N204" i="14"/>
  <c r="H205" i="14"/>
  <c r="B204" i="14" s="1"/>
  <c r="I206" i="14"/>
  <c r="N206" i="14"/>
  <c r="H207" i="14"/>
  <c r="I207" i="14" s="1"/>
  <c r="N207" i="14" s="1"/>
  <c r="I628" i="14"/>
  <c r="N628" i="14"/>
  <c r="I208" i="14"/>
  <c r="N208" i="14"/>
  <c r="H209" i="14"/>
  <c r="I209" i="14" s="1"/>
  <c r="N209" i="14" s="1"/>
  <c r="H212" i="14"/>
  <c r="I212" i="14" s="1"/>
  <c r="N212" i="14" s="1"/>
  <c r="I649" i="14"/>
  <c r="N649" i="14"/>
  <c r="I226" i="14"/>
  <c r="N226" i="14"/>
  <c r="I232" i="14"/>
  <c r="N232" i="14"/>
  <c r="I235" i="14"/>
  <c r="N235" i="14"/>
  <c r="I255" i="14"/>
  <c r="N255" i="14"/>
  <c r="I253" i="14"/>
  <c r="N253" i="14"/>
  <c r="I267" i="14"/>
  <c r="N267" i="14"/>
  <c r="I271" i="14"/>
  <c r="N271" i="14"/>
  <c r="I277" i="14"/>
  <c r="N277" i="14"/>
  <c r="N284" i="14"/>
  <c r="I286" i="14"/>
  <c r="N286" i="14"/>
  <c r="I298" i="14"/>
  <c r="N298" i="14"/>
  <c r="I300" i="14"/>
  <c r="N300" i="14"/>
  <c r="I313" i="14"/>
  <c r="N313" i="14"/>
  <c r="I315" i="14"/>
  <c r="N315" i="14"/>
  <c r="I319" i="14"/>
  <c r="I340" i="14"/>
  <c r="I352" i="14"/>
  <c r="N352" i="14"/>
  <c r="I368" i="14"/>
  <c r="N368" i="14"/>
  <c r="I197" i="14"/>
  <c r="N197" i="14"/>
  <c r="I196" i="14"/>
  <c r="N196" i="14"/>
  <c r="I194" i="14"/>
  <c r="N194" i="14"/>
  <c r="I193" i="14"/>
  <c r="N193" i="14"/>
  <c r="I192" i="14"/>
  <c r="N192" i="14"/>
  <c r="I190" i="14"/>
  <c r="N190" i="14"/>
  <c r="I189" i="14"/>
  <c r="N189" i="14"/>
  <c r="I187" i="14"/>
  <c r="N187" i="14"/>
  <c r="I185" i="14"/>
  <c r="N185" i="14"/>
  <c r="I184" i="14"/>
  <c r="N184" i="14"/>
  <c r="I183" i="14"/>
  <c r="N183" i="14"/>
  <c r="I182" i="14"/>
  <c r="N182" i="14"/>
  <c r="I180" i="14"/>
  <c r="N180" i="14"/>
  <c r="I179" i="14"/>
  <c r="N179" i="14"/>
  <c r="I178" i="14"/>
  <c r="N178" i="14"/>
  <c r="I176" i="14"/>
  <c r="N176" i="14"/>
  <c r="I175" i="14"/>
  <c r="N175" i="14"/>
  <c r="I173" i="14"/>
  <c r="N173" i="14"/>
  <c r="I171" i="14"/>
  <c r="N171" i="14"/>
  <c r="I169" i="14"/>
  <c r="N169" i="14"/>
  <c r="I168" i="14"/>
  <c r="N168" i="14"/>
  <c r="I164" i="14"/>
  <c r="N164" i="14"/>
  <c r="I162" i="14"/>
  <c r="N162" i="14"/>
  <c r="I161" i="14"/>
  <c r="N161" i="14"/>
  <c r="I159" i="14"/>
  <c r="N159" i="14"/>
  <c r="I157" i="14"/>
  <c r="N157" i="14"/>
  <c r="I146" i="14"/>
  <c r="I143" i="14"/>
  <c r="N143" i="14"/>
  <c r="I141" i="14"/>
  <c r="N141" i="14"/>
  <c r="I140" i="14"/>
  <c r="N140" i="14"/>
  <c r="I138" i="14"/>
  <c r="N138" i="14"/>
  <c r="I136" i="14"/>
  <c r="I134" i="14"/>
  <c r="N134" i="14"/>
  <c r="I133" i="14"/>
  <c r="N133" i="14"/>
  <c r="I130" i="14"/>
  <c r="N130" i="14"/>
  <c r="I129" i="14"/>
  <c r="N129" i="14"/>
  <c r="I128" i="14"/>
  <c r="N128" i="14"/>
  <c r="I127" i="14"/>
  <c r="N127" i="14"/>
  <c r="I124" i="14"/>
  <c r="I121" i="14"/>
  <c r="I120" i="14"/>
  <c r="N120" i="14"/>
  <c r="I117" i="14"/>
  <c r="N117" i="14"/>
  <c r="I115" i="14"/>
  <c r="N115" i="14"/>
  <c r="I113" i="14"/>
  <c r="N113" i="14"/>
  <c r="H114" i="14"/>
  <c r="B113" i="14" s="1"/>
  <c r="I112" i="14"/>
  <c r="N112" i="14"/>
  <c r="H107" i="14"/>
  <c r="H108" i="14"/>
  <c r="B106" i="14" s="1"/>
  <c r="H111" i="14"/>
  <c r="H116" i="14"/>
  <c r="H118" i="14"/>
  <c r="H119" i="14"/>
  <c r="H122" i="14"/>
  <c r="H123" i="14"/>
  <c r="H125" i="14"/>
  <c r="H126" i="14"/>
  <c r="H131" i="14"/>
  <c r="H132" i="14"/>
  <c r="H84" i="14"/>
  <c r="H86" i="14"/>
  <c r="H88" i="14"/>
  <c r="H90" i="14"/>
  <c r="H92" i="14"/>
  <c r="H94" i="14"/>
  <c r="H97" i="14"/>
  <c r="H100" i="14"/>
  <c r="B99" i="14" s="1"/>
  <c r="H135" i="14"/>
  <c r="H137" i="14"/>
  <c r="H139" i="14"/>
  <c r="H144" i="14"/>
  <c r="H145" i="14"/>
  <c r="H147" i="14"/>
  <c r="H150" i="14"/>
  <c r="H152" i="14"/>
  <c r="H153" i="14"/>
  <c r="H155" i="14"/>
  <c r="H156" i="14"/>
  <c r="H160" i="14"/>
  <c r="H167" i="14"/>
  <c r="H170" i="14"/>
  <c r="B169" i="14" s="1"/>
  <c r="H172" i="14"/>
  <c r="H174" i="14"/>
  <c r="H177" i="14"/>
  <c r="H181" i="14"/>
  <c r="B183" i="14" s="1"/>
  <c r="H186" i="14"/>
  <c r="H188" i="14"/>
  <c r="H191" i="14"/>
  <c r="H195" i="14"/>
  <c r="B197" i="14" s="1"/>
  <c r="I110" i="14"/>
  <c r="I109" i="14"/>
  <c r="N109" i="14"/>
  <c r="I106" i="14"/>
  <c r="N106" i="14"/>
  <c r="I105" i="14"/>
  <c r="N105" i="14"/>
  <c r="I104" i="14"/>
  <c r="N104" i="14"/>
  <c r="I102" i="14"/>
  <c r="N102" i="14"/>
  <c r="I101" i="14"/>
  <c r="N101" i="14"/>
  <c r="I98" i="14"/>
  <c r="N98" i="14"/>
  <c r="I96" i="14"/>
  <c r="N96" i="14"/>
  <c r="I95" i="14"/>
  <c r="N95" i="14"/>
  <c r="I93" i="14"/>
  <c r="N93" i="14"/>
  <c r="I91" i="14"/>
  <c r="N91" i="14"/>
  <c r="I89" i="14"/>
  <c r="N89" i="14"/>
  <c r="I87" i="14"/>
  <c r="N87" i="14"/>
  <c r="I85" i="14"/>
  <c r="N85" i="14"/>
  <c r="I83" i="14"/>
  <c r="N83" i="14"/>
  <c r="I81" i="14"/>
  <c r="N81" i="14"/>
  <c r="I79" i="14"/>
  <c r="N79" i="14"/>
  <c r="I78" i="14"/>
  <c r="N78" i="14"/>
  <c r="I77" i="14"/>
  <c r="N77" i="14"/>
  <c r="I75" i="14"/>
  <c r="N75" i="14"/>
  <c r="I74" i="14"/>
  <c r="N74" i="14"/>
  <c r="I73" i="14"/>
  <c r="N73" i="14"/>
  <c r="I72" i="14"/>
  <c r="N72" i="14"/>
  <c r="I71" i="14"/>
  <c r="N71" i="14"/>
  <c r="I70" i="14"/>
  <c r="N70" i="14"/>
  <c r="I68" i="14"/>
  <c r="N68" i="14"/>
  <c r="I66" i="14"/>
  <c r="N66" i="14"/>
  <c r="I65" i="14"/>
  <c r="N65" i="14"/>
  <c r="I62" i="14"/>
  <c r="N62" i="14"/>
  <c r="I61" i="14"/>
  <c r="N61" i="14"/>
  <c r="I60" i="14"/>
  <c r="N60" i="14"/>
  <c r="I58" i="14"/>
  <c r="N58" i="14"/>
  <c r="I57" i="14"/>
  <c r="N57" i="14"/>
  <c r="I55" i="14"/>
  <c r="N55" i="14"/>
  <c r="I53" i="14"/>
  <c r="N53" i="14"/>
  <c r="I51" i="14"/>
  <c r="N51" i="14"/>
  <c r="I50" i="14"/>
  <c r="N50" i="14"/>
  <c r="I46" i="14"/>
  <c r="N46" i="14"/>
  <c r="I48" i="14"/>
  <c r="N48" i="14"/>
  <c r="I45" i="14"/>
  <c r="N45" i="14"/>
  <c r="I43" i="14"/>
  <c r="N43" i="14"/>
  <c r="I42" i="14"/>
  <c r="N42" i="14"/>
  <c r="I40" i="14"/>
  <c r="N40" i="14"/>
  <c r="I39" i="14"/>
  <c r="N39" i="14"/>
  <c r="I37" i="14"/>
  <c r="N37" i="14"/>
  <c r="I36" i="14"/>
  <c r="N36" i="14"/>
  <c r="I35" i="14"/>
  <c r="N35" i="14"/>
  <c r="I33" i="14"/>
  <c r="N33" i="14"/>
  <c r="I31" i="14"/>
  <c r="N31" i="14"/>
  <c r="I30" i="14"/>
  <c r="N30" i="14"/>
  <c r="I28" i="14"/>
  <c r="N28" i="14"/>
  <c r="I26" i="14"/>
  <c r="N26" i="14"/>
  <c r="I25" i="14"/>
  <c r="N25" i="14"/>
  <c r="I20" i="14"/>
  <c r="N20" i="14"/>
  <c r="I18" i="14"/>
  <c r="N18" i="14"/>
  <c r="B20" i="14"/>
  <c r="B27" i="14"/>
  <c r="B34" i="14"/>
  <c r="B41" i="14"/>
  <c r="B48" i="14"/>
  <c r="B55" i="14"/>
  <c r="B62" i="14"/>
  <c r="B69" i="14"/>
  <c r="B76" i="14"/>
  <c r="B83" i="14"/>
  <c r="B90" i="14"/>
  <c r="B97" i="14"/>
  <c r="B104" i="14"/>
  <c r="B111" i="14"/>
  <c r="B118" i="14"/>
  <c r="B125" i="14"/>
  <c r="B132" i="14"/>
  <c r="B139" i="14"/>
  <c r="B146" i="14"/>
  <c r="B153" i="14"/>
  <c r="B160" i="14"/>
  <c r="B167" i="14"/>
  <c r="B174" i="14"/>
  <c r="B181" i="14"/>
  <c r="B188" i="14"/>
  <c r="B195" i="14"/>
  <c r="B202" i="14"/>
  <c r="B209" i="14"/>
  <c r="B216" i="14"/>
  <c r="B223" i="14"/>
  <c r="B230" i="14"/>
  <c r="B237" i="14"/>
  <c r="B244" i="14"/>
  <c r="B251" i="14"/>
  <c r="B258" i="14"/>
  <c r="B265" i="14"/>
  <c r="B272" i="14"/>
  <c r="B279" i="14"/>
  <c r="B286" i="14"/>
  <c r="B293" i="14"/>
  <c r="B300" i="14"/>
  <c r="B307" i="14"/>
  <c r="B314" i="14"/>
  <c r="B321" i="14"/>
  <c r="B328" i="14"/>
  <c r="B335" i="14"/>
  <c r="B342" i="14"/>
  <c r="B349" i="14"/>
  <c r="B356" i="14"/>
  <c r="B363" i="14"/>
  <c r="B370" i="14"/>
  <c r="H165" i="14"/>
  <c r="B162" i="14" s="1"/>
  <c r="H151" i="14"/>
  <c r="H163" i="14"/>
  <c r="H158" i="14"/>
  <c r="H154" i="14"/>
  <c r="H142" i="14"/>
  <c r="B141" i="14" s="1"/>
  <c r="H166" i="14"/>
  <c r="H149" i="14"/>
  <c r="N655" i="14"/>
  <c r="I621" i="14"/>
  <c r="N621" i="14"/>
  <c r="I375" i="14"/>
  <c r="N375" i="14"/>
  <c r="I365" i="14"/>
  <c r="N365" i="14"/>
  <c r="I373" i="14"/>
  <c r="N373" i="14"/>
  <c r="I317" i="14"/>
  <c r="N317" i="14"/>
  <c r="I262" i="14"/>
  <c r="N262" i="14"/>
  <c r="I229" i="14"/>
  <c r="N229" i="14"/>
  <c r="I296" i="14"/>
  <c r="N296" i="14"/>
  <c r="I222" i="14"/>
  <c r="N222" i="14"/>
  <c r="I215" i="14"/>
  <c r="N215" i="14"/>
  <c r="I263" i="14"/>
  <c r="N263" i="14"/>
  <c r="I292" i="14"/>
  <c r="N292" i="14"/>
  <c r="I294" i="14"/>
  <c r="N294" i="14"/>
  <c r="N276" i="14"/>
  <c r="I327" i="14"/>
  <c r="N327" i="14"/>
  <c r="I247" i="14"/>
  <c r="N247" i="14"/>
  <c r="I256" i="14"/>
  <c r="N256" i="14"/>
  <c r="I308" i="14"/>
  <c r="N308" i="14"/>
  <c r="I243" i="14"/>
  <c r="N243" i="14"/>
  <c r="I248" i="14"/>
  <c r="N248" i="14"/>
  <c r="I246" i="14"/>
  <c r="N246" i="14"/>
  <c r="I281" i="14"/>
  <c r="I330" i="14"/>
  <c r="N330" i="14"/>
  <c r="I260" i="14"/>
  <c r="N260" i="14"/>
  <c r="I214" i="14"/>
  <c r="N214" i="14"/>
  <c r="I218" i="14"/>
  <c r="N218" i="14"/>
  <c r="I302" i="14"/>
  <c r="N302" i="14"/>
  <c r="I360" i="14"/>
  <c r="N360" i="14"/>
  <c r="I234" i="14"/>
  <c r="N234" i="14"/>
  <c r="I283" i="14"/>
  <c r="N283" i="14"/>
  <c r="I332" i="14"/>
  <c r="N332" i="14"/>
  <c r="I211" i="14"/>
  <c r="N211" i="14"/>
  <c r="I220" i="14"/>
  <c r="N220" i="14"/>
  <c r="I231" i="14"/>
  <c r="N231" i="14"/>
  <c r="I239" i="14"/>
  <c r="N239" i="14"/>
  <c r="N288" i="14"/>
  <c r="I304" i="14"/>
  <c r="N304" i="14"/>
  <c r="I325" i="14"/>
  <c r="N325" i="14"/>
  <c r="I346" i="14"/>
  <c r="N346" i="14"/>
  <c r="I358" i="14"/>
  <c r="N358" i="14"/>
  <c r="I257" i="14"/>
  <c r="N257" i="14"/>
  <c r="P455" i="14"/>
  <c r="R632" i="14"/>
  <c r="P632" i="14"/>
  <c r="R667" i="14"/>
  <c r="R638" i="14"/>
  <c r="R670" i="14"/>
  <c r="R673" i="14"/>
  <c r="R715" i="14"/>
  <c r="R717" i="14"/>
  <c r="R645" i="14"/>
  <c r="R653" i="14"/>
  <c r="R666" i="14"/>
  <c r="R682" i="14"/>
  <c r="R729" i="14"/>
  <c r="R738" i="14"/>
  <c r="R696" i="14"/>
  <c r="R701" i="14"/>
  <c r="R694" i="14"/>
  <c r="R703" i="14"/>
  <c r="R655" i="14"/>
  <c r="R659" i="14"/>
  <c r="P655" i="14"/>
  <c r="P659" i="14"/>
  <c r="P747" i="14"/>
  <c r="R455" i="14"/>
  <c r="P680" i="14"/>
  <c r="I213" i="14"/>
  <c r="R199" i="14"/>
  <c r="R618" i="14"/>
  <c r="R680" i="14"/>
  <c r="R686" i="14"/>
  <c r="R688" i="14"/>
  <c r="R709" i="14"/>
  <c r="P630" i="14"/>
  <c r="P618" i="14"/>
  <c r="R668" i="14"/>
  <c r="R630" i="14"/>
  <c r="R646" i="14"/>
  <c r="P646" i="14"/>
  <c r="P199" i="14"/>
  <c r="P610" i="14"/>
  <c r="R610" i="14"/>
  <c r="R642" i="14"/>
  <c r="R657" i="14"/>
  <c r="R661" i="14"/>
  <c r="R633" i="14"/>
  <c r="R640" i="14"/>
  <c r="R635" i="14"/>
  <c r="R741" i="14"/>
  <c r="P741" i="14"/>
  <c r="P642" i="14"/>
  <c r="P633" i="14"/>
  <c r="P640" i="14"/>
  <c r="P635" i="14"/>
  <c r="I350" i="14"/>
  <c r="N350" i="14"/>
  <c r="I329" i="14"/>
  <c r="N329" i="14"/>
  <c r="I355" i="14"/>
  <c r="N355" i="14"/>
  <c r="I241" i="14"/>
  <c r="N241" i="14"/>
  <c r="I240" i="14"/>
  <c r="N240" i="14"/>
  <c r="I238" i="14"/>
  <c r="N238" i="14"/>
  <c r="I227" i="14"/>
  <c r="N227" i="14"/>
  <c r="I219" i="14"/>
  <c r="N219" i="14"/>
  <c r="I224" i="14"/>
  <c r="N224" i="14"/>
  <c r="I210" i="14"/>
  <c r="N210" i="14"/>
  <c r="I619" i="14"/>
  <c r="N619" i="14"/>
  <c r="I647" i="14"/>
  <c r="N647" i="14"/>
  <c r="I442" i="14"/>
  <c r="N442" i="14"/>
  <c r="I637" i="14"/>
  <c r="N637" i="14"/>
  <c r="I639" i="14"/>
  <c r="N639" i="14"/>
  <c r="I612" i="14"/>
  <c r="N612" i="14"/>
  <c r="I693" i="14"/>
  <c r="N693" i="14"/>
  <c r="I631" i="14"/>
  <c r="N631" i="14"/>
  <c r="I684" i="14"/>
  <c r="N684" i="14"/>
  <c r="I687" i="14"/>
  <c r="N687" i="14"/>
  <c r="I689" i="14"/>
  <c r="N689" i="14"/>
  <c r="I691" i="14"/>
  <c r="N691" i="14"/>
  <c r="I698" i="14"/>
  <c r="N698" i="14"/>
  <c r="I705" i="14"/>
  <c r="N705" i="14"/>
  <c r="I710" i="14"/>
  <c r="N710" i="14"/>
  <c r="I610" i="14"/>
  <c r="N610" i="14"/>
  <c r="I617" i="14"/>
  <c r="N617" i="14"/>
  <c r="I675" i="14"/>
  <c r="N675" i="14"/>
  <c r="I626" i="14"/>
  <c r="N626" i="14"/>
  <c r="I677" i="14"/>
  <c r="N677" i="14"/>
  <c r="I726" i="14"/>
  <c r="N726" i="14"/>
  <c r="I729" i="14"/>
  <c r="N729" i="14"/>
  <c r="I731" i="14"/>
  <c r="N731" i="14"/>
  <c r="I733" i="14"/>
  <c r="N733" i="14"/>
  <c r="I337" i="14"/>
  <c r="N337" i="14"/>
  <c r="I364" i="14"/>
  <c r="N364" i="14"/>
  <c r="I251" i="14"/>
  <c r="N251" i="14"/>
  <c r="I265" i="14"/>
  <c r="N265" i="14"/>
  <c r="I362" i="14"/>
  <c r="N362" i="14"/>
  <c r="I334" i="14"/>
  <c r="N334" i="14"/>
  <c r="I306" i="14"/>
  <c r="N306" i="14"/>
  <c r="I245" i="14"/>
  <c r="N245" i="14"/>
  <c r="I217" i="14"/>
  <c r="N217" i="14"/>
  <c r="I708" i="14"/>
  <c r="N708" i="14"/>
  <c r="I680" i="14"/>
  <c r="N680" i="14"/>
  <c r="I644" i="14"/>
  <c r="N644" i="14"/>
  <c r="I624" i="14"/>
  <c r="N624" i="14"/>
  <c r="I651" i="14"/>
  <c r="N651" i="14"/>
  <c r="I343" i="14"/>
  <c r="N343" i="14"/>
  <c r="I609" i="14"/>
  <c r="N609" i="14"/>
  <c r="I322" i="14"/>
  <c r="N322" i="14"/>
  <c r="I344" i="14"/>
  <c r="N344" i="14"/>
  <c r="I616" i="14"/>
  <c r="N616" i="14"/>
  <c r="R751" i="14"/>
  <c r="I746" i="14"/>
  <c r="N746" i="14"/>
  <c r="I810" i="14"/>
  <c r="N810" i="14"/>
  <c r="R730" i="14"/>
  <c r="I249" i="14"/>
  <c r="N249" i="14"/>
  <c r="P721" i="14"/>
  <c r="P751" i="14"/>
  <c r="R716" i="14"/>
  <c r="R702" i="14"/>
  <c r="R728" i="14"/>
  <c r="R707" i="14"/>
  <c r="R723" i="14"/>
  <c r="R735" i="14"/>
  <c r="R721" i="14"/>
  <c r="R740" i="14"/>
  <c r="R747" i="14"/>
  <c r="R719" i="14"/>
  <c r="P719" i="14"/>
  <c r="P740" i="14"/>
  <c r="P716" i="14"/>
  <c r="P730" i="14"/>
  <c r="P709" i="14"/>
  <c r="R722" i="14"/>
  <c r="I724" i="14"/>
  <c r="N724" i="14"/>
  <c r="P722" i="14"/>
  <c r="P728" i="14"/>
  <c r="P735" i="14"/>
  <c r="I753" i="14"/>
  <c r="N753" i="14"/>
  <c r="I761" i="14"/>
  <c r="N761" i="14"/>
  <c r="I775" i="14"/>
  <c r="N775" i="14"/>
  <c r="I779" i="14"/>
  <c r="N779" i="14"/>
  <c r="I777" i="14"/>
  <c r="N777" i="14"/>
  <c r="I737" i="14"/>
  <c r="N737" i="14"/>
  <c r="I756" i="14"/>
  <c r="N756" i="14"/>
  <c r="I748" i="14"/>
  <c r="N748" i="14"/>
  <c r="I700" i="14"/>
  <c r="N700" i="14"/>
  <c r="I695" i="14"/>
  <c r="N695" i="14"/>
  <c r="I744" i="14"/>
  <c r="N744" i="14"/>
  <c r="I714" i="14"/>
  <c r="N714" i="14"/>
  <c r="I742" i="14"/>
  <c r="N742" i="14"/>
  <c r="P805" i="14"/>
  <c r="R923" i="14"/>
  <c r="R837" i="14"/>
  <c r="R404" i="14"/>
  <c r="R939" i="14"/>
  <c r="R832" i="14"/>
  <c r="R805" i="14"/>
  <c r="R739" i="14"/>
  <c r="R551" i="14"/>
  <c r="R820" i="14"/>
  <c r="R937" i="14"/>
  <c r="R508" i="14"/>
  <c r="R509" i="14"/>
  <c r="R445" i="14"/>
  <c r="R208" i="14"/>
  <c r="R201" i="14"/>
  <c r="R933" i="14"/>
  <c r="R948" i="14"/>
  <c r="R807" i="14"/>
  <c r="P924" i="14"/>
  <c r="R764" i="14"/>
  <c r="R778" i="14"/>
  <c r="R794" i="14"/>
  <c r="R788" i="14"/>
  <c r="R760" i="14"/>
  <c r="R774" i="14"/>
  <c r="R790" i="14"/>
  <c r="R998" i="14"/>
  <c r="R792" i="14"/>
  <c r="R928" i="14"/>
  <c r="R984" i="14"/>
  <c r="R762" i="14"/>
  <c r="R802" i="14"/>
  <c r="R776" i="14"/>
  <c r="R798" i="14"/>
  <c r="R782" i="14"/>
  <c r="R800" i="14"/>
  <c r="R772" i="14"/>
  <c r="P1028" i="14"/>
  <c r="P404" i="14"/>
  <c r="R876" i="14"/>
  <c r="R554" i="14"/>
  <c r="R581" i="14"/>
  <c r="R737" i="14"/>
  <c r="R572" i="14"/>
  <c r="R542" i="14"/>
  <c r="R157" i="14"/>
  <c r="R924" i="14"/>
  <c r="R884" i="14"/>
  <c r="R861" i="14"/>
  <c r="R921" i="14"/>
  <c r="R917" i="14"/>
  <c r="P1030" i="14"/>
  <c r="P923" i="14"/>
  <c r="R913" i="14"/>
  <c r="R907" i="14"/>
  <c r="R865" i="14"/>
  <c r="R860" i="14"/>
  <c r="R1028" i="14"/>
  <c r="P1038" i="14"/>
  <c r="R818" i="14"/>
  <c r="R920" i="14"/>
  <c r="R981" i="14"/>
  <c r="R560" i="14"/>
  <c r="R294" i="14"/>
  <c r="R586" i="14"/>
  <c r="R578" i="14"/>
  <c r="R946" i="14"/>
  <c r="R869" i="14"/>
  <c r="R816" i="14"/>
  <c r="R833" i="14"/>
  <c r="R584" i="14"/>
  <c r="R698" i="14"/>
  <c r="R603" i="14"/>
  <c r="R689" i="14"/>
  <c r="R695" i="14"/>
  <c r="R979" i="14"/>
  <c r="R963" i="14"/>
  <c r="R121" i="14"/>
  <c r="P844" i="14"/>
  <c r="P809" i="14"/>
  <c r="R714" i="14"/>
  <c r="R591" i="14"/>
  <c r="P860" i="14"/>
  <c r="R844" i="14"/>
  <c r="R809" i="14"/>
  <c r="R846" i="14"/>
  <c r="R986" i="14"/>
  <c r="R785" i="14"/>
  <c r="R1038" i="14"/>
  <c r="R516" i="14"/>
  <c r="R993" i="14"/>
  <c r="R138" i="14"/>
  <c r="R334" i="14"/>
  <c r="R180" i="14"/>
  <c r="R459" i="14"/>
  <c r="R621" i="14"/>
  <c r="R257" i="14"/>
  <c r="P993" i="14"/>
  <c r="R453" i="14"/>
  <c r="I838" i="14"/>
  <c r="N838" i="14"/>
  <c r="P362" i="14"/>
  <c r="P334" i="14"/>
  <c r="P459" i="14"/>
  <c r="P138" i="14"/>
  <c r="P180" i="14"/>
  <c r="P621" i="14"/>
  <c r="R487" i="14"/>
  <c r="R481" i="14"/>
  <c r="R231" i="14"/>
  <c r="R458" i="14"/>
  <c r="R660" i="14"/>
  <c r="R502" i="14"/>
  <c r="R474" i="14"/>
  <c r="R940" i="14"/>
  <c r="R83" i="14"/>
  <c r="R470" i="14"/>
  <c r="R283" i="14"/>
  <c r="R229" i="14"/>
  <c r="R256" i="14"/>
  <c r="P795" i="14"/>
  <c r="P825" i="14"/>
  <c r="P872" i="14"/>
  <c r="P925" i="14"/>
  <c r="P947" i="14"/>
  <c r="P953" i="14"/>
  <c r="P797" i="14"/>
  <c r="P814" i="14"/>
  <c r="P793" i="14"/>
  <c r="P783" i="14"/>
  <c r="P839" i="14"/>
  <c r="P867" i="14"/>
  <c r="P932" i="14"/>
  <c r="R365" i="14"/>
  <c r="R896" i="14"/>
  <c r="R675" i="14"/>
  <c r="R708" i="14"/>
  <c r="R944" i="14"/>
  <c r="R898" i="14"/>
  <c r="R916" i="14"/>
  <c r="R812" i="14"/>
  <c r="R931" i="14"/>
  <c r="R965" i="14"/>
  <c r="R733" i="14"/>
  <c r="R724" i="14"/>
  <c r="R1045" i="14"/>
  <c r="R654" i="14"/>
  <c r="R575" i="14"/>
  <c r="R300" i="14"/>
  <c r="R609" i="14"/>
  <c r="R430" i="14"/>
  <c r="R968" i="14"/>
  <c r="R988" i="14"/>
  <c r="R710" i="14"/>
  <c r="R918" i="14"/>
  <c r="R892" i="14"/>
  <c r="R1016" i="14"/>
  <c r="R902" i="14"/>
  <c r="R1007" i="14"/>
  <c r="R900" i="14"/>
  <c r="R400" i="14"/>
  <c r="R183" i="14"/>
  <c r="R194" i="14"/>
  <c r="R98" i="14"/>
  <c r="R879" i="14"/>
  <c r="R795" i="14"/>
  <c r="R825" i="14"/>
  <c r="R872" i="14"/>
  <c r="R925" i="14"/>
  <c r="R947" i="14"/>
  <c r="R953" i="14"/>
  <c r="R863" i="14"/>
  <c r="R814" i="14"/>
  <c r="R783" i="14"/>
  <c r="R972" i="14"/>
  <c r="R839" i="14"/>
  <c r="R867" i="14"/>
  <c r="R932" i="14"/>
  <c r="R797" i="14"/>
  <c r="R793" i="14"/>
  <c r="R855" i="14"/>
  <c r="R444" i="14"/>
  <c r="R290" i="14"/>
  <c r="R700" i="14"/>
  <c r="R589" i="14"/>
  <c r="R1047" i="14"/>
  <c r="R904" i="14"/>
  <c r="R85" i="14"/>
  <c r="R616" i="14"/>
  <c r="R658" i="14"/>
  <c r="R386" i="14"/>
  <c r="R731" i="14"/>
  <c r="R540" i="14"/>
  <c r="R286" i="14"/>
  <c r="R467" i="14"/>
  <c r="R894" i="14"/>
  <c r="R612" i="14"/>
  <c r="R693" i="14"/>
  <c r="R651" i="14"/>
  <c r="R669" i="14"/>
  <c r="R672" i="14"/>
  <c r="R819" i="14"/>
  <c r="R770" i="14"/>
  <c r="R890" i="14"/>
  <c r="R780" i="14"/>
  <c r="R888" i="14"/>
  <c r="R942" i="14"/>
  <c r="R227" i="14"/>
  <c r="R505" i="14"/>
  <c r="R263" i="14"/>
  <c r="R600" i="14"/>
  <c r="R945" i="14"/>
  <c r="R243" i="14"/>
  <c r="R970" i="14"/>
  <c r="R117" i="14"/>
  <c r="R1032" i="14"/>
  <c r="R187" i="14"/>
  <c r="R425" i="14"/>
  <c r="R649" i="14"/>
  <c r="R614" i="14"/>
  <c r="R494" i="14"/>
  <c r="R215" i="14"/>
  <c r="R235" i="14"/>
  <c r="R922" i="14"/>
  <c r="R712" i="14"/>
  <c r="R355" i="14"/>
  <c r="R327" i="14"/>
  <c r="R120" i="14"/>
  <c r="R178" i="14"/>
  <c r="R390" i="14"/>
  <c r="R628" i="14"/>
  <c r="R691" i="14"/>
  <c r="R169" i="14"/>
  <c r="R173" i="14"/>
  <c r="R418" i="14"/>
  <c r="R512" i="14"/>
  <c r="R220" i="14"/>
  <c r="R352" i="14"/>
  <c r="R344" i="14"/>
  <c r="P801" i="14"/>
  <c r="P765" i="14"/>
  <c r="R222" i="14"/>
  <c r="R249" i="14"/>
  <c r="R472" i="14"/>
  <c r="R705" i="14"/>
  <c r="R491" i="14"/>
  <c r="R456" i="14"/>
  <c r="R164" i="14"/>
  <c r="R190" i="14"/>
  <c r="R624" i="14"/>
  <c r="R296" i="14"/>
  <c r="R200" i="14"/>
  <c r="R141" i="14"/>
  <c r="R639" i="14"/>
  <c r="R204" i="14"/>
  <c r="R801" i="14"/>
  <c r="R765" i="14"/>
  <c r="R267" i="14"/>
  <c r="R528" i="14"/>
  <c r="R128" i="14"/>
  <c r="R93" i="14"/>
  <c r="R112" i="14"/>
  <c r="R497" i="14"/>
  <c r="R634" i="14"/>
  <c r="R127" i="14"/>
  <c r="R161" i="14"/>
  <c r="R375" i="14"/>
  <c r="R332" i="14"/>
  <c r="R389" i="14"/>
  <c r="R463" i="14"/>
  <c r="R421" i="14"/>
  <c r="R193" i="14"/>
  <c r="R115" i="14"/>
  <c r="R380" i="14"/>
  <c r="R134" i="14"/>
  <c r="R330" i="14"/>
  <c r="R133" i="14"/>
  <c r="R102" i="14"/>
  <c r="R308" i="14"/>
  <c r="R241" i="14"/>
  <c r="R302" i="14"/>
  <c r="R206" i="14"/>
  <c r="R449" i="14"/>
  <c r="R538" i="14"/>
  <c r="R428" i="14"/>
  <c r="R486" i="14"/>
  <c r="R197" i="14"/>
  <c r="R146" i="14"/>
  <c r="R140" i="14"/>
  <c r="R246" i="14"/>
  <c r="R500" i="14"/>
  <c r="R435" i="14"/>
  <c r="R143" i="14"/>
  <c r="R681" i="14"/>
  <c r="R315" i="14"/>
  <c r="R124" i="14"/>
  <c r="R442" i="14"/>
  <c r="R275" i="14"/>
  <c r="R239" i="14"/>
  <c r="R631" i="14"/>
  <c r="R214" i="14"/>
  <c r="R218" i="14"/>
  <c r="R130" i="14"/>
  <c r="R179" i="14"/>
  <c r="R393" i="14"/>
  <c r="R619" i="14"/>
  <c r="R848" i="14"/>
  <c r="R851" i="14"/>
  <c r="R519" i="14"/>
  <c r="R637" i="14"/>
  <c r="R248" i="14"/>
  <c r="R260" i="14"/>
  <c r="R373" i="14"/>
  <c r="R687" i="14"/>
  <c r="R313" i="14"/>
  <c r="R253" i="14"/>
  <c r="R647" i="14"/>
  <c r="R136" i="14"/>
  <c r="R479" i="14"/>
  <c r="R211" i="14"/>
  <c r="R358" i="14"/>
  <c r="R605" i="14"/>
  <c r="R162" i="14"/>
  <c r="R684" i="14"/>
  <c r="R462" i="14"/>
  <c r="R484" i="14"/>
  <c r="R317" i="14"/>
  <c r="R441" i="14"/>
  <c r="R281" i="14"/>
  <c r="R607" i="14"/>
  <c r="P409" i="14"/>
  <c r="R412" i="14"/>
  <c r="R515" i="14"/>
  <c r="R110" i="14"/>
  <c r="R337" i="14"/>
  <c r="R827" i="14"/>
  <c r="R340" i="14"/>
  <c r="R148" i="14"/>
  <c r="R1030" i="14"/>
  <c r="R176" i="14"/>
  <c r="R106" i="14"/>
  <c r="R452" i="14"/>
  <c r="R232" i="14"/>
  <c r="R841" i="14"/>
  <c r="R304" i="14"/>
  <c r="R410" i="14"/>
  <c r="R185" i="14"/>
  <c r="R159" i="14"/>
  <c r="R168" i="14"/>
  <c r="R203" i="14"/>
  <c r="R1012" i="14"/>
  <c r="R476" i="14"/>
  <c r="R1055" i="14"/>
  <c r="R597" i="14"/>
  <c r="R644" i="14"/>
  <c r="R414" i="14"/>
  <c r="R521" i="14"/>
  <c r="R407" i="14"/>
  <c r="R95" i="14"/>
  <c r="R1040" i="14"/>
  <c r="R105" i="14"/>
  <c r="R951" i="14"/>
  <c r="R823" i="14"/>
  <c r="P201" i="14"/>
  <c r="P516" i="14"/>
  <c r="P229" i="14"/>
  <c r="P474" i="14"/>
  <c r="P257" i="14"/>
  <c r="P502" i="14"/>
  <c r="P578" i="14"/>
  <c r="P85" i="14"/>
  <c r="P554" i="14"/>
  <c r="P737" i="14"/>
  <c r="P575" i="14"/>
  <c r="P386" i="14"/>
  <c r="P560" i="14"/>
  <c r="P551" i="14"/>
  <c r="P724" i="14"/>
  <c r="P581" i="14"/>
  <c r="P616" i="14"/>
  <c r="P157" i="14"/>
  <c r="P300" i="14"/>
  <c r="P733" i="14"/>
  <c r="P731" i="14"/>
  <c r="P572" i="14"/>
  <c r="P540" i="14"/>
  <c r="P586" i="14"/>
  <c r="P294" i="14"/>
  <c r="P654" i="14"/>
  <c r="P542" i="14"/>
  <c r="P658" i="14"/>
  <c r="P1045" i="14"/>
  <c r="P649" i="14"/>
  <c r="P243" i="14"/>
  <c r="P215" i="14"/>
  <c r="P187" i="14"/>
  <c r="R1000" i="14"/>
  <c r="R835" i="14"/>
  <c r="R938" i="14"/>
  <c r="R726" i="14"/>
  <c r="R961" i="14"/>
  <c r="R319" i="14"/>
  <c r="R626" i="14"/>
  <c r="R277" i="14"/>
  <c r="R325" i="14"/>
  <c r="R298" i="14"/>
  <c r="R602" i="14"/>
  <c r="R557" i="14"/>
  <c r="R292" i="14"/>
  <c r="R385" i="14"/>
  <c r="R926" i="14"/>
  <c r="R804" i="14"/>
  <c r="R858" i="14"/>
  <c r="P445" i="14"/>
  <c r="P481" i="14"/>
  <c r="P327" i="14"/>
  <c r="P628" i="14"/>
  <c r="P494" i="14"/>
  <c r="P425" i="14"/>
  <c r="P418" i="14"/>
  <c r="P235" i="14"/>
  <c r="P614" i="14"/>
  <c r="P208" i="14"/>
  <c r="P691" i="14"/>
  <c r="P173" i="14"/>
  <c r="P263" i="14"/>
  <c r="P848" i="14"/>
  <c r="P705" i="14"/>
  <c r="P203" i="14"/>
  <c r="P106" i="14"/>
  <c r="P204" i="14"/>
  <c r="P330" i="14"/>
  <c r="P508" i="14"/>
  <c r="P435" i="14"/>
  <c r="P484" i="14"/>
  <c r="P512" i="14"/>
  <c r="P515" i="14"/>
  <c r="P441" i="14"/>
  <c r="P340" i="14"/>
  <c r="P110" i="14"/>
  <c r="P497" i="14"/>
  <c r="P428" i="14"/>
  <c r="P220" i="14"/>
  <c r="P239" i="14"/>
  <c r="P486" i="14"/>
  <c r="P332" i="14"/>
  <c r="P200" i="14"/>
  <c r="P102" i="14"/>
  <c r="P197" i="14"/>
  <c r="P639" i="14"/>
  <c r="P214" i="14"/>
  <c r="P112" i="14"/>
  <c r="P227" i="14"/>
  <c r="P631" i="14"/>
  <c r="P634" i="14"/>
  <c r="P143" i="14"/>
  <c r="P373" i="14"/>
  <c r="P232" i="14"/>
  <c r="P393" i="14"/>
  <c r="P410" i="14"/>
  <c r="P491" i="14"/>
  <c r="P647" i="14"/>
  <c r="P414" i="14"/>
  <c r="P148" i="14"/>
  <c r="P605" i="14"/>
  <c r="P449" i="14"/>
  <c r="P130" i="14"/>
  <c r="P644" i="14"/>
  <c r="P421" i="14"/>
  <c r="P248" i="14"/>
  <c r="P124" i="14"/>
  <c r="P179" i="14"/>
  <c r="P296" i="14"/>
  <c r="P136" i="14"/>
  <c r="P193" i="14"/>
  <c r="P185" i="14"/>
  <c r="P134" i="14"/>
  <c r="P146" i="14"/>
  <c r="P352" i="14"/>
  <c r="P470" i="14"/>
  <c r="P607" i="14"/>
  <c r="P407" i="14"/>
  <c r="P211" i="14"/>
  <c r="P400" i="14"/>
  <c r="P337" i="14"/>
  <c r="P463" i="14"/>
  <c r="P302" i="14"/>
  <c r="P317" i="14"/>
  <c r="P624" i="14"/>
  <c r="P162" i="14"/>
  <c r="P161" i="14"/>
  <c r="P681" i="14"/>
  <c r="P127" i="14"/>
  <c r="P176" i="14"/>
  <c r="P380" i="14"/>
  <c r="P159" i="14"/>
  <c r="P344" i="14"/>
  <c r="P218" i="14"/>
  <c r="P133" i="14"/>
  <c r="P479" i="14"/>
  <c r="P619" i="14"/>
  <c r="P637" i="14"/>
  <c r="P260" i="14"/>
  <c r="P538" i="14"/>
  <c r="P183" i="14"/>
  <c r="P412" i="14"/>
  <c r="P275" i="14"/>
  <c r="P375" i="14"/>
  <c r="P308" i="14"/>
  <c r="P519" i="14"/>
  <c r="P206" i="14"/>
  <c r="P452" i="14"/>
  <c r="P140" i="14"/>
  <c r="P190" i="14"/>
  <c r="P256" i="14"/>
  <c r="P505" i="14"/>
  <c r="P115" i="14"/>
  <c r="P241" i="14"/>
  <c r="P442" i="14"/>
  <c r="P500" i="14"/>
  <c r="P313" i="14"/>
  <c r="P304" i="14"/>
  <c r="P472" i="14"/>
  <c r="P231" i="14"/>
  <c r="P315" i="14"/>
  <c r="P687" i="14"/>
  <c r="P462" i="14"/>
  <c r="P456" i="14"/>
  <c r="P164" i="14"/>
  <c r="P281" i="14"/>
  <c r="P476" i="14"/>
  <c r="P521" i="14"/>
  <c r="P389" i="14"/>
  <c r="P168" i="14"/>
  <c r="P358" i="14"/>
  <c r="P141" i="14"/>
  <c r="P253" i="14"/>
  <c r="P684" i="14"/>
  <c r="P246" i="14"/>
  <c r="P827" i="14"/>
  <c r="P841" i="14"/>
  <c r="R362" i="14"/>
  <c r="R523" i="14"/>
  <c r="R383" i="14"/>
  <c r="P267" i="14"/>
  <c r="P528" i="14"/>
  <c r="P121" i="14"/>
  <c r="P128" i="14"/>
  <c r="P660" i="14"/>
  <c r="P93" i="14"/>
  <c r="P876" i="14"/>
  <c r="P467" i="14"/>
  <c r="P290" i="14"/>
  <c r="P430" i="14"/>
  <c r="P609" i="14"/>
  <c r="P739" i="14"/>
  <c r="P444" i="14"/>
  <c r="P365" i="14"/>
  <c r="P458" i="14"/>
  <c r="P286" i="14"/>
  <c r="P283" i="14"/>
  <c r="P902" i="14"/>
  <c r="P798" i="14"/>
  <c r="P675" i="14"/>
  <c r="P1007" i="14"/>
  <c r="P772" i="14"/>
  <c r="P819" i="14"/>
  <c r="P612" i="14"/>
  <c r="P584" i="14"/>
  <c r="P782" i="14"/>
  <c r="P833" i="14"/>
  <c r="P651" i="14"/>
  <c r="P708" i="14"/>
  <c r="P695" i="14"/>
  <c r="P896" i="14"/>
  <c r="P603" i="14"/>
  <c r="P689" i="14"/>
  <c r="P669" i="14"/>
  <c r="P693" i="14"/>
  <c r="P776" i="14"/>
  <c r="P984" i="14"/>
  <c r="P591" i="14"/>
  <c r="P770" i="14"/>
  <c r="P698" i="14"/>
  <c r="P762" i="14"/>
  <c r="P714" i="14"/>
  <c r="P788" i="14"/>
  <c r="P900" i="14"/>
  <c r="P764" i="14"/>
  <c r="P780" i="14"/>
  <c r="P1016" i="14"/>
  <c r="P589" i="14"/>
  <c r="P672" i="14"/>
  <c r="P998" i="14"/>
  <c r="P800" i="14"/>
  <c r="P700" i="14"/>
  <c r="P916" i="14"/>
  <c r="P928" i="14"/>
  <c r="P760" i="14"/>
  <c r="P792" i="14"/>
  <c r="P904" i="14"/>
  <c r="P774" i="14"/>
  <c r="P944" i="14"/>
  <c r="P794" i="14"/>
  <c r="P892" i="14"/>
  <c r="P790" i="14"/>
  <c r="P894" i="14"/>
  <c r="P710" i="14"/>
  <c r="P802" i="14"/>
  <c r="P888" i="14"/>
  <c r="P920" i="14"/>
  <c r="P816" i="14"/>
  <c r="P918" i="14"/>
  <c r="P778" i="14"/>
  <c r="P890" i="14"/>
  <c r="R360" i="14"/>
  <c r="R402" i="14"/>
  <c r="R409" i="14"/>
  <c r="R306" i="14"/>
  <c r="R382" i="14"/>
  <c r="R346" i="14"/>
  <c r="R368" i="14"/>
  <c r="R1021" i="14"/>
  <c r="P83" i="14"/>
  <c r="P509" i="14"/>
  <c r="P194" i="14"/>
  <c r="P487" i="14"/>
  <c r="P222" i="14"/>
  <c r="P249" i="14"/>
  <c r="P453" i="14"/>
  <c r="P1040" i="14"/>
  <c r="P95" i="14"/>
  <c r="P98" i="14"/>
  <c r="P105" i="14"/>
  <c r="P117" i="14"/>
  <c r="P390" i="14"/>
  <c r="P597" i="14"/>
  <c r="P600" i="14"/>
  <c r="P178" i="14"/>
  <c r="P120" i="14"/>
  <c r="P712" i="14"/>
  <c r="P169" i="14"/>
  <c r="P355" i="14"/>
  <c r="P835" i="14"/>
  <c r="P726" i="14"/>
  <c r="P626" i="14"/>
  <c r="P292" i="14"/>
  <c r="P298" i="14"/>
  <c r="P938" i="14"/>
  <c r="P325" i="14"/>
  <c r="P277" i="14"/>
  <c r="P385" i="14"/>
  <c r="P602" i="14"/>
  <c r="P804" i="14"/>
  <c r="P1000" i="14"/>
  <c r="P557" i="14"/>
  <c r="P319" i="14"/>
  <c r="P926" i="14"/>
  <c r="P921" i="14"/>
  <c r="P961" i="14"/>
  <c r="P942" i="14"/>
  <c r="P1047" i="14"/>
  <c r="P981" i="14"/>
  <c r="P963" i="14"/>
  <c r="P898" i="14"/>
  <c r="P972" i="14"/>
  <c r="P965" i="14"/>
  <c r="P884" i="14"/>
  <c r="P1055" i="14"/>
  <c r="P970" i="14"/>
  <c r="P863" i="14"/>
  <c r="P1032" i="14"/>
  <c r="P917" i="14"/>
  <c r="P940" i="14"/>
  <c r="P865" i="14"/>
  <c r="P907" i="14"/>
  <c r="P913" i="14"/>
  <c r="P879" i="14"/>
  <c r="P1012" i="14"/>
  <c r="P837" i="14"/>
  <c r="P851" i="14"/>
  <c r="P922" i="14"/>
  <c r="P383" i="14"/>
  <c r="P931" i="14"/>
  <c r="P846" i="14"/>
  <c r="P382" i="14"/>
  <c r="P368" i="14"/>
  <c r="P523" i="14"/>
  <c r="P946" i="14"/>
  <c r="P979" i="14"/>
  <c r="P785" i="14"/>
  <c r="P818" i="14"/>
  <c r="P832" i="14"/>
  <c r="P937" i="14"/>
  <c r="P869" i="14"/>
  <c r="P968" i="14"/>
  <c r="I787" i="14"/>
  <c r="N787" i="14"/>
  <c r="I791" i="14"/>
  <c r="N791" i="14"/>
  <c r="P988" i="14"/>
  <c r="P360" i="14"/>
  <c r="P402" i="14"/>
  <c r="P346" i="14"/>
  <c r="P306" i="14"/>
  <c r="I763" i="14"/>
  <c r="N763" i="14"/>
  <c r="I799" i="14"/>
  <c r="N799" i="14"/>
  <c r="P1021" i="14"/>
  <c r="P858" i="14"/>
  <c r="P823" i="14"/>
  <c r="P986" i="14"/>
  <c r="P820" i="14"/>
  <c r="P939" i="14"/>
  <c r="P812" i="14"/>
  <c r="P945" i="14"/>
  <c r="I796" i="14"/>
  <c r="N796" i="14"/>
  <c r="I768" i="14"/>
  <c r="N768" i="14"/>
  <c r="I808" i="14"/>
  <c r="N808" i="14"/>
  <c r="I786" i="14"/>
  <c r="N786" i="14"/>
  <c r="P861" i="14"/>
  <c r="P948" i="14"/>
  <c r="P855" i="14"/>
  <c r="P807" i="14"/>
  <c r="P933" i="14"/>
  <c r="P951" i="14"/>
  <c r="I803" i="14"/>
  <c r="N803" i="14"/>
  <c r="I819" i="14"/>
  <c r="N819" i="14"/>
  <c r="I784" i="14"/>
  <c r="N784" i="14"/>
  <c r="I770" i="14"/>
  <c r="N770" i="14"/>
  <c r="I758" i="14"/>
  <c r="N758" i="14"/>
  <c r="I811" i="14"/>
  <c r="N811" i="14"/>
  <c r="I806" i="14"/>
  <c r="N806" i="14"/>
  <c r="B101" i="14"/>
  <c r="I830" i="14"/>
  <c r="N830" i="14"/>
  <c r="I862" i="14"/>
  <c r="N862" i="14"/>
  <c r="I854" i="14"/>
  <c r="N854" i="14"/>
  <c r="I766" i="14"/>
  <c r="N766" i="14"/>
  <c r="I840" i="14"/>
  <c r="N840" i="14"/>
  <c r="I815" i="14"/>
  <c r="N815" i="14"/>
  <c r="I842" i="14"/>
  <c r="N842" i="14"/>
  <c r="I849" i="14"/>
  <c r="N849" i="14"/>
  <c r="I828" i="14"/>
  <c r="N828" i="14"/>
  <c r="I821" i="14"/>
  <c r="N821" i="14"/>
  <c r="I843" i="14"/>
  <c r="N843" i="14"/>
  <c r="I829" i="14"/>
  <c r="N829" i="14"/>
  <c r="I817" i="14"/>
  <c r="N817" i="14"/>
  <c r="I826" i="14"/>
  <c r="N826" i="14"/>
  <c r="I831" i="14"/>
  <c r="N831" i="14"/>
  <c r="I789" i="14"/>
  <c r="N789" i="14"/>
  <c r="I857" i="14"/>
  <c r="N857" i="14"/>
  <c r="I847" i="14"/>
  <c r="N847" i="14"/>
  <c r="I773" i="14"/>
  <c r="N773" i="14"/>
  <c r="I845" i="14"/>
  <c r="N845" i="14"/>
  <c r="I852" i="14"/>
  <c r="N852" i="14"/>
  <c r="I824" i="14"/>
  <c r="N824" i="14"/>
  <c r="I864" i="14"/>
  <c r="N864" i="14"/>
  <c r="I834" i="14"/>
  <c r="N834" i="14"/>
  <c r="I813" i="14"/>
  <c r="N813" i="14"/>
  <c r="I836" i="14"/>
  <c r="N836" i="14"/>
  <c r="I859" i="14"/>
  <c r="N859" i="14"/>
  <c r="I816" i="14"/>
  <c r="N816" i="14"/>
  <c r="I856" i="14"/>
  <c r="N856" i="14"/>
  <c r="I822" i="14"/>
  <c r="N822" i="14"/>
  <c r="I850" i="14"/>
  <c r="N850" i="14"/>
  <c r="I897" i="14"/>
  <c r="N897" i="14"/>
  <c r="I903" i="14"/>
  <c r="N903" i="14"/>
  <c r="I950" i="14"/>
  <c r="N950" i="14"/>
  <c r="I954" i="14"/>
  <c r="N954" i="14"/>
  <c r="I934" i="14"/>
  <c r="I957" i="14"/>
  <c r="N957" i="14"/>
  <c r="I908" i="14"/>
  <c r="N908" i="14"/>
  <c r="I887" i="14"/>
  <c r="N887" i="14"/>
  <c r="I901" i="14"/>
  <c r="N901" i="14"/>
  <c r="I912" i="14"/>
  <c r="N912" i="14"/>
  <c r="I905" i="14"/>
  <c r="N905" i="14"/>
  <c r="I919" i="14"/>
  <c r="N919" i="14"/>
  <c r="I962" i="14"/>
  <c r="N962" i="14"/>
  <c r="I938" i="14"/>
  <c r="I899" i="14"/>
  <c r="N899" i="14"/>
  <c r="I889" i="14"/>
  <c r="N889" i="14"/>
  <c r="I906" i="14"/>
  <c r="N906" i="14"/>
  <c r="I955" i="14"/>
  <c r="N955" i="14"/>
  <c r="H1981" i="14"/>
  <c r="I1995" i="14"/>
  <c r="N1995" i="14"/>
  <c r="I2009" i="14"/>
  <c r="N2009" i="14"/>
  <c r="H1973" i="14"/>
  <c r="I1973" i="14" s="1"/>
  <c r="N1973" i="14" s="1"/>
  <c r="B1977" i="14" s="1"/>
  <c r="I1984" i="14"/>
  <c r="N1984" i="14"/>
  <c r="H1987" i="14"/>
  <c r="I1987" i="14" s="1"/>
  <c r="N1987" i="14" s="1"/>
  <c r="I2001" i="14"/>
  <c r="N2001" i="14"/>
  <c r="I2012" i="14"/>
  <c r="N2012" i="14"/>
  <c r="I2015" i="14"/>
  <c r="N2015" i="14"/>
  <c r="I1974" i="14"/>
  <c r="I1988" i="14"/>
  <c r="N1988" i="14"/>
  <c r="I2002" i="14"/>
  <c r="N2002" i="14"/>
  <c r="I2016" i="14"/>
  <c r="N2016" i="14"/>
  <c r="I1980" i="14"/>
  <c r="N1980" i="14"/>
  <c r="H1994" i="14"/>
  <c r="I2005" i="14"/>
  <c r="N2005" i="14"/>
  <c r="I2008" i="14"/>
  <c r="N2008" i="14"/>
  <c r="H1258" i="14"/>
  <c r="I1258" i="14" s="1"/>
  <c r="N1258" i="14" s="1"/>
  <c r="P1925" i="14"/>
  <c r="P1946" i="14"/>
  <c r="P1911" i="14"/>
  <c r="R1925" i="14"/>
  <c r="R1946" i="14"/>
  <c r="R1911" i="14"/>
  <c r="I1967" i="14"/>
  <c r="N1967" i="14"/>
  <c r="H1970" i="14"/>
  <c r="I1970" i="14" s="1"/>
  <c r="N1970" i="14" s="1"/>
  <c r="R1766" i="14"/>
  <c r="R1780" i="14"/>
  <c r="R1788" i="14"/>
  <c r="R1583" i="14"/>
  <c r="R1605" i="14"/>
  <c r="R1574" i="14"/>
  <c r="R1599" i="14"/>
  <c r="H1406" i="14"/>
  <c r="H1427" i="14"/>
  <c r="I1427" i="14" s="1"/>
  <c r="N1427" i="14" s="1"/>
  <c r="I1378" i="14"/>
  <c r="N1378" i="14"/>
  <c r="I1039" i="14"/>
  <c r="N1039" i="14"/>
  <c r="H1227" i="14"/>
  <c r="I1227" i="14" s="1"/>
  <c r="N1227" i="14" s="1"/>
  <c r="H1537" i="14"/>
  <c r="H1221" i="14"/>
  <c r="I1221" i="14" s="1"/>
  <c r="N1221" i="14" s="1"/>
  <c r="H1225" i="14"/>
  <c r="I1225" i="14" s="1"/>
  <c r="N1225" i="14" s="1"/>
  <c r="H2317" i="14"/>
  <c r="I2317" i="14" s="1"/>
  <c r="N2317" i="14" s="1"/>
  <c r="H1273" i="14"/>
  <c r="I1273" i="14" s="1"/>
  <c r="N1273" i="14" s="1"/>
  <c r="I1280" i="14"/>
  <c r="N1280" i="14"/>
  <c r="H1296" i="14"/>
  <c r="I1296" i="14" s="1"/>
  <c r="N1296" i="14" s="1"/>
  <c r="H1217" i="14"/>
  <c r="H1308" i="14"/>
  <c r="I1308" i="14" s="1"/>
  <c r="N1308" i="14" s="1"/>
  <c r="H1343" i="14"/>
  <c r="I1343" i="14" s="1"/>
  <c r="N1343" i="14" s="1"/>
  <c r="H1291" i="14"/>
  <c r="I1291" i="14"/>
  <c r="N1291" i="14" s="1"/>
  <c r="H1266" i="14"/>
  <c r="I1266" i="14" s="1"/>
  <c r="N1266" i="14" s="1"/>
  <c r="H1219" i="14"/>
  <c r="I1219" i="14" s="1"/>
  <c r="N1219" i="14" s="1"/>
  <c r="I1289" i="14"/>
  <c r="N1289" i="14"/>
  <c r="I1029" i="14"/>
  <c r="N1029" i="14"/>
  <c r="I1022" i="14"/>
  <c r="N1022" i="14"/>
  <c r="I1226" i="14"/>
  <c r="N1226" i="14"/>
  <c r="I1242" i="14"/>
  <c r="N1242" i="14"/>
  <c r="H1248" i="14"/>
  <c r="H1254" i="14"/>
  <c r="I1254" i="14"/>
  <c r="N1254" i="14" s="1"/>
  <c r="H1270" i="14"/>
  <c r="I1270" i="14" s="1"/>
  <c r="N1270" i="14" s="1"/>
  <c r="I1208" i="14"/>
  <c r="N1208" i="14"/>
  <c r="I1260" i="14"/>
  <c r="N1260" i="14"/>
  <c r="I1224" i="14"/>
  <c r="N1224" i="14"/>
  <c r="H1238" i="14"/>
  <c r="I1238" i="14"/>
  <c r="N1238" i="14" s="1"/>
  <c r="H1188" i="14"/>
  <c r="I1188" i="14" s="1"/>
  <c r="N1188" i="14" s="1"/>
  <c r="H1204" i="14"/>
  <c r="I1204" i="14" s="1"/>
  <c r="N1204" i="14" s="1"/>
  <c r="H1323" i="14"/>
  <c r="I1323" i="14" s="1"/>
  <c r="N1323" i="14" s="1"/>
  <c r="I1123" i="14"/>
  <c r="I1116" i="14"/>
  <c r="N1116" i="14"/>
  <c r="H1059" i="14"/>
  <c r="I1059" i="14" s="1"/>
  <c r="N1059" i="14" s="1"/>
  <c r="H1078" i="14"/>
  <c r="I1078" i="14" s="1"/>
  <c r="N1078" i="14" s="1"/>
  <c r="H1061" i="14"/>
  <c r="I1061" i="14" s="1"/>
  <c r="N1061" i="14" s="1"/>
  <c r="I1062" i="14"/>
  <c r="N1062" i="14"/>
  <c r="I1215" i="14"/>
  <c r="N1215" i="14"/>
  <c r="I1193" i="14"/>
  <c r="N1193" i="14"/>
  <c r="H1076" i="14"/>
  <c r="I1076" i="14" s="1"/>
  <c r="N1076" i="14" s="1"/>
  <c r="I1250" i="14"/>
  <c r="N1250" i="14"/>
  <c r="I1222" i="14"/>
  <c r="N1222" i="14"/>
  <c r="H1037" i="14"/>
  <c r="I1037" i="14" s="1"/>
  <c r="N1037" i="14" s="1"/>
  <c r="H1057" i="14"/>
  <c r="I1100" i="14"/>
  <c r="N1100" i="14"/>
  <c r="I1098" i="14"/>
  <c r="N1098" i="14"/>
  <c r="I1096" i="14"/>
  <c r="N1096" i="14"/>
  <c r="I1094" i="14"/>
  <c r="N1094" i="14"/>
  <c r="I1092" i="14"/>
  <c r="N1092" i="14"/>
  <c r="I1090" i="14"/>
  <c r="N1090" i="14"/>
  <c r="I1015" i="14"/>
  <c r="N1015" i="14"/>
  <c r="I1008" i="14"/>
  <c r="N1008" i="14"/>
  <c r="I987" i="14"/>
  <c r="N987" i="14"/>
  <c r="I980" i="14"/>
  <c r="N980" i="14"/>
  <c r="H976" i="14"/>
  <c r="I976" i="14" s="1"/>
  <c r="N976" i="14" s="1"/>
  <c r="I1106" i="14"/>
  <c r="N1106" i="14"/>
  <c r="I1058" i="14"/>
  <c r="N1058" i="14"/>
  <c r="H1056" i="14"/>
  <c r="I1056" i="14" s="1"/>
  <c r="N1056" i="14" s="1"/>
  <c r="I1054" i="14"/>
  <c r="I1052" i="14"/>
  <c r="N1052" i="14"/>
  <c r="I1050" i="14"/>
  <c r="N1050" i="14"/>
  <c r="H1046" i="14"/>
  <c r="I1046" i="14"/>
  <c r="N1046" i="14" s="1"/>
  <c r="H1035" i="14"/>
  <c r="B1037" i="14" s="1"/>
  <c r="H1033" i="14"/>
  <c r="I1033" i="14" s="1"/>
  <c r="N1033" i="14" s="1"/>
  <c r="I1027" i="14"/>
  <c r="N1027" i="14"/>
  <c r="H1072" i="14"/>
  <c r="I1072" i="14" s="1"/>
  <c r="N1072" i="14" s="1"/>
  <c r="H1070" i="14"/>
  <c r="I1070" i="14" s="1"/>
  <c r="N1070" i="14" s="1"/>
  <c r="H1068" i="14"/>
  <c r="I1068" i="14" s="1"/>
  <c r="N1068" i="14" s="1"/>
  <c r="H1066" i="14"/>
  <c r="I1066" i="14" s="1"/>
  <c r="N1066" i="14" s="1"/>
  <c r="H1064" i="14"/>
  <c r="I1064" i="14"/>
  <c r="N1064" i="14" s="1"/>
  <c r="H978" i="14"/>
  <c r="B974" i="14" s="1"/>
  <c r="H1086" i="14"/>
  <c r="I1086" i="14" s="1"/>
  <c r="N1086" i="14" s="1"/>
  <c r="H1084" i="14"/>
  <c r="I1084" i="14" s="1"/>
  <c r="N1084" i="14" s="1"/>
  <c r="H1082" i="14"/>
  <c r="I1082" i="14" s="1"/>
  <c r="N1082" i="14" s="1"/>
  <c r="I1080" i="14"/>
  <c r="N1080" i="14"/>
  <c r="R1044" i="14"/>
  <c r="P1044" i="14"/>
  <c r="R2025" i="14"/>
  <c r="R1997" i="14"/>
  <c r="R1976" i="14"/>
  <c r="I1966" i="14"/>
  <c r="N1966" i="14"/>
  <c r="R1615" i="14"/>
  <c r="R1715" i="14"/>
  <c r="R1717" i="14"/>
  <c r="R1745" i="14"/>
  <c r="R1752" i="14"/>
  <c r="R1407" i="14"/>
  <c r="P1407" i="14"/>
  <c r="R1708" i="14"/>
  <c r="R1417" i="14"/>
  <c r="R1567" i="14"/>
  <c r="R1503" i="14"/>
  <c r="R1565" i="14"/>
  <c r="R1515" i="14"/>
  <c r="R1543" i="14"/>
  <c r="R1581" i="14"/>
  <c r="R1592" i="14"/>
  <c r="R1474" i="14"/>
  <c r="P1515" i="14"/>
  <c r="P1543" i="14"/>
  <c r="P1581" i="14"/>
  <c r="P1474" i="14"/>
  <c r="R1221" i="14"/>
  <c r="R1225" i="14"/>
  <c r="R1305" i="14"/>
  <c r="R1287" i="14"/>
  <c r="R1184" i="14"/>
  <c r="P1287" i="14"/>
  <c r="P1305" i="14"/>
  <c r="R1173" i="14"/>
  <c r="P1173" i="14"/>
  <c r="P2091" i="14"/>
  <c r="P2083" i="14"/>
  <c r="R2091" i="14"/>
  <c r="R1295" i="14"/>
  <c r="P1295" i="14"/>
  <c r="R1126" i="14"/>
  <c r="R1182" i="14"/>
  <c r="R1147" i="14"/>
  <c r="P1126" i="14"/>
  <c r="P1182" i="14"/>
  <c r="P1147" i="14"/>
  <c r="R1293" i="14"/>
  <c r="R1135" i="14"/>
  <c r="R1382" i="14"/>
  <c r="R1142" i="14"/>
  <c r="R1200" i="14"/>
  <c r="R1268" i="14"/>
  <c r="R1170" i="14"/>
  <c r="R1275" i="14"/>
  <c r="R1288" i="14"/>
  <c r="R1290" i="14"/>
  <c r="R1301" i="14"/>
  <c r="R1109" i="14"/>
  <c r="P1200" i="14"/>
  <c r="P1268" i="14"/>
  <c r="P1304" i="14"/>
  <c r="P1275" i="14"/>
  <c r="P1290" i="14"/>
  <c r="P1301" i="14"/>
  <c r="P1135" i="14"/>
  <c r="P1375" i="14"/>
  <c r="P1382" i="14"/>
  <c r="P1368" i="14"/>
  <c r="P1109" i="14"/>
  <c r="R1413" i="14"/>
  <c r="R2315" i="14"/>
  <c r="R2060" i="14"/>
  <c r="P1413" i="14"/>
  <c r="P2105" i="14"/>
  <c r="R954" i="14"/>
  <c r="R350" i="14"/>
  <c r="R89" i="14"/>
  <c r="R329" i="14"/>
  <c r="R182" i="14"/>
  <c r="R392" i="14"/>
  <c r="R364" i="14"/>
  <c r="R265" i="14"/>
  <c r="R343" i="14"/>
  <c r="R1354" i="14"/>
  <c r="R511" i="14"/>
  <c r="P974" i="14"/>
  <c r="P1002" i="14"/>
  <c r="P1011" i="14"/>
  <c r="P990" i="14"/>
  <c r="R1002" i="14"/>
  <c r="R990" i="14"/>
  <c r="R974" i="14"/>
  <c r="R1011" i="14"/>
  <c r="I959" i="14"/>
  <c r="N959" i="14"/>
  <c r="P2146" i="14"/>
  <c r="R2083" i="14"/>
  <c r="R2048" i="14"/>
  <c r="R2111" i="14"/>
  <c r="R2141" i="14"/>
  <c r="R2024" i="14"/>
  <c r="P2143" i="14"/>
  <c r="R2143" i="14"/>
  <c r="P2048" i="14"/>
  <c r="P2111" i="14"/>
  <c r="P2141" i="14"/>
  <c r="P2024" i="14"/>
  <c r="R1732" i="14"/>
  <c r="P2145" i="14"/>
  <c r="P2144" i="14"/>
  <c r="R2144" i="14"/>
  <c r="R2145" i="14"/>
  <c r="R2034" i="14"/>
  <c r="P2128" i="14"/>
  <c r="R2128" i="14"/>
  <c r="P2034" i="14"/>
  <c r="R2107" i="14"/>
  <c r="R1965" i="14"/>
  <c r="R2103" i="14"/>
  <c r="R2071" i="14"/>
  <c r="R2038" i="14"/>
  <c r="R2041" i="14"/>
  <c r="P1965" i="14"/>
  <c r="P2038" i="14"/>
  <c r="P2103" i="14"/>
  <c r="P2031" i="14"/>
  <c r="P2041" i="14"/>
  <c r="P2107" i="14"/>
  <c r="R2105" i="14"/>
  <c r="R2031" i="14"/>
  <c r="R2000" i="14"/>
  <c r="R1986" i="14"/>
  <c r="P1997" i="14"/>
  <c r="P1976" i="14"/>
  <c r="P2158" i="14"/>
  <c r="P2025" i="14"/>
  <c r="P1973" i="14"/>
  <c r="P2156" i="14"/>
  <c r="P1977" i="14"/>
  <c r="P2170" i="14"/>
  <c r="P2197" i="14"/>
  <c r="P1981" i="14"/>
  <c r="P1974" i="14"/>
  <c r="P1994" i="14"/>
  <c r="P2023" i="14"/>
  <c r="P1987" i="14"/>
  <c r="R2156" i="14"/>
  <c r="R1973" i="14"/>
  <c r="R2170" i="14"/>
  <c r="R1977" i="14"/>
  <c r="R2044" i="14"/>
  <c r="R1981" i="14"/>
  <c r="R2037" i="14"/>
  <c r="R1974" i="14"/>
  <c r="R1994" i="14"/>
  <c r="R2023" i="14"/>
  <c r="R1987" i="14"/>
  <c r="P2000" i="14"/>
  <c r="P1986" i="14"/>
  <c r="R1178" i="14"/>
  <c r="R2137" i="14"/>
  <c r="R1917" i="14"/>
  <c r="R2059" i="14"/>
  <c r="R2051" i="14"/>
  <c r="R1921" i="14"/>
  <c r="R1910" i="14"/>
  <c r="R1938" i="14"/>
  <c r="R1914" i="14"/>
  <c r="R1942" i="14"/>
  <c r="R1931" i="14"/>
  <c r="R1903" i="14"/>
  <c r="R1907" i="14"/>
  <c r="P1970" i="14"/>
  <c r="P2139" i="14"/>
  <c r="P2076" i="14"/>
  <c r="R1970" i="14"/>
  <c r="R2139" i="14"/>
  <c r="P1906" i="14"/>
  <c r="P1913" i="14"/>
  <c r="P1941" i="14"/>
  <c r="P1570" i="14"/>
  <c r="P1917" i="14"/>
  <c r="P2059" i="14"/>
  <c r="P1921" i="14"/>
  <c r="P1910" i="14"/>
  <c r="P1938" i="14"/>
  <c r="P1914" i="14"/>
  <c r="P1942" i="14"/>
  <c r="P1931" i="14"/>
  <c r="P1903" i="14"/>
  <c r="P1907" i="14"/>
  <c r="P1607" i="14"/>
  <c r="P2097" i="14"/>
  <c r="R2076" i="14"/>
  <c r="P2137" i="14"/>
  <c r="P1972" i="14"/>
  <c r="P2069" i="14"/>
  <c r="P1908" i="14"/>
  <c r="P1929" i="14"/>
  <c r="P1901" i="14"/>
  <c r="P1950" i="14"/>
  <c r="P2055" i="14"/>
  <c r="P1915" i="14"/>
  <c r="R1915" i="14"/>
  <c r="R1908" i="14"/>
  <c r="R1972" i="14"/>
  <c r="R1929" i="14"/>
  <c r="R1901" i="14"/>
  <c r="R1950" i="14"/>
  <c r="R2069" i="14"/>
  <c r="R2063" i="14"/>
  <c r="R2055" i="14"/>
  <c r="R1607" i="14"/>
  <c r="R2097" i="14"/>
  <c r="R1913" i="14"/>
  <c r="R1941" i="14"/>
  <c r="R1906" i="14"/>
  <c r="R1886" i="14"/>
  <c r="P1886" i="14"/>
  <c r="R1539" i="14"/>
  <c r="R1897" i="14"/>
  <c r="R1811" i="14"/>
  <c r="R1757" i="14"/>
  <c r="P1509" i="14"/>
  <c r="R1654" i="14"/>
  <c r="R1627" i="14"/>
  <c r="R1701" i="14"/>
  <c r="R1820" i="14"/>
  <c r="R1822" i="14"/>
  <c r="R1827" i="14"/>
  <c r="R1652" i="14"/>
  <c r="R1829" i="14"/>
  <c r="R1804" i="14"/>
  <c r="P1757" i="14"/>
  <c r="R1759" i="14"/>
  <c r="P1627" i="14"/>
  <c r="P1701" i="14"/>
  <c r="P1820" i="14"/>
  <c r="P1822" i="14"/>
  <c r="P1827" i="14"/>
  <c r="P1652" i="14"/>
  <c r="P1829" i="14"/>
  <c r="P1654" i="14"/>
  <c r="R1509" i="14"/>
  <c r="P1759" i="14"/>
  <c r="P1766" i="14"/>
  <c r="P1780" i="14"/>
  <c r="R1572" i="14"/>
  <c r="R1767" i="14"/>
  <c r="R1570" i="14"/>
  <c r="R1718" i="14"/>
  <c r="R1724" i="14"/>
  <c r="R1536" i="14"/>
  <c r="R1746" i="14"/>
  <c r="R1734" i="14"/>
  <c r="R1694" i="14"/>
  <c r="P1629" i="14"/>
  <c r="P1525" i="14"/>
  <c r="R1620" i="14"/>
  <c r="R1816" i="14"/>
  <c r="P1621" i="14"/>
  <c r="P1620" i="14"/>
  <c r="P1816" i="14"/>
  <c r="R1629" i="14"/>
  <c r="R1525" i="14"/>
  <c r="R1696" i="14"/>
  <c r="R1722" i="14"/>
  <c r="R1510" i="14"/>
  <c r="R1706" i="14"/>
  <c r="P1576" i="14"/>
  <c r="P1830" i="14"/>
  <c r="R1830" i="14"/>
  <c r="P1596" i="14"/>
  <c r="P1776" i="14"/>
  <c r="P1643" i="14"/>
  <c r="P1657" i="14"/>
  <c r="P1671" i="14"/>
  <c r="P1601" i="14"/>
  <c r="R1585" i="14"/>
  <c r="P1655" i="14"/>
  <c r="P1659" i="14"/>
  <c r="P1669" i="14"/>
  <c r="P1760" i="14"/>
  <c r="P1774" i="14"/>
  <c r="P1729" i="14"/>
  <c r="P1609" i="14"/>
  <c r="P1704" i="14"/>
  <c r="P1781" i="14"/>
  <c r="P1631" i="14"/>
  <c r="P1641" i="14"/>
  <c r="P1482" i="14"/>
  <c r="R1596" i="14"/>
  <c r="R1776" i="14"/>
  <c r="R1375" i="14"/>
  <c r="R1480" i="14"/>
  <c r="P1748" i="14"/>
  <c r="R1764" i="14"/>
  <c r="P1778" i="14"/>
  <c r="P1794" i="14"/>
  <c r="R1614" i="14"/>
  <c r="R1621" i="14"/>
  <c r="P1611" i="14"/>
  <c r="P1802" i="14"/>
  <c r="R1655" i="14"/>
  <c r="R1659" i="14"/>
  <c r="R1669" i="14"/>
  <c r="R1760" i="14"/>
  <c r="R1774" i="14"/>
  <c r="R1729" i="14"/>
  <c r="R1609" i="14"/>
  <c r="R1704" i="14"/>
  <c r="R1781" i="14"/>
  <c r="R1482" i="14"/>
  <c r="R1631" i="14"/>
  <c r="R1641" i="14"/>
  <c r="P1585" i="14"/>
  <c r="P1480" i="14"/>
  <c r="R1731" i="14"/>
  <c r="R1802" i="14"/>
  <c r="P1727" i="14"/>
  <c r="P1783" i="14"/>
  <c r="P1558" i="14"/>
  <c r="P1762" i="14"/>
  <c r="R1558" i="14"/>
  <c r="R1762" i="14"/>
  <c r="R1727" i="14"/>
  <c r="R1783" i="14"/>
  <c r="R1611" i="14"/>
  <c r="R1671" i="14"/>
  <c r="R1643" i="14"/>
  <c r="R1657" i="14"/>
  <c r="R1778" i="14"/>
  <c r="R1794" i="14"/>
  <c r="R1619" i="14"/>
  <c r="R1815" i="14"/>
  <c r="R1578" i="14"/>
  <c r="R1601" i="14"/>
  <c r="R1736" i="14"/>
  <c r="P1619" i="14"/>
  <c r="P1815" i="14"/>
  <c r="R1748" i="14"/>
  <c r="P1578" i="14"/>
  <c r="R1576" i="14"/>
  <c r="P1572" i="14"/>
  <c r="P1583" i="14"/>
  <c r="P1746" i="14"/>
  <c r="P1718" i="14"/>
  <c r="P1732" i="14"/>
  <c r="P1804" i="14"/>
  <c r="P1605" i="14"/>
  <c r="P1694" i="14"/>
  <c r="P1574" i="14"/>
  <c r="P1722" i="14"/>
  <c r="P1599" i="14"/>
  <c r="P1734" i="14"/>
  <c r="P1788" i="14"/>
  <c r="I1547" i="14"/>
  <c r="N1547" i="14"/>
  <c r="H1599" i="14"/>
  <c r="I1599" i="14" s="1"/>
  <c r="N1599" i="14" s="1"/>
  <c r="H1565" i="14"/>
  <c r="I1565" i="14" s="1"/>
  <c r="N1565" i="14" s="1"/>
  <c r="H1750" i="14"/>
  <c r="I1750" i="14" s="1"/>
  <c r="N1750" i="14" s="1"/>
  <c r="P1731" i="14"/>
  <c r="P1696" i="14"/>
  <c r="P1592" i="14"/>
  <c r="P1745" i="14"/>
  <c r="P1752" i="14"/>
  <c r="R1353" i="14"/>
  <c r="R1675" i="14"/>
  <c r="R1680" i="14"/>
  <c r="P1682" i="14"/>
  <c r="P1340" i="14"/>
  <c r="P1675" i="14"/>
  <c r="P1680" i="14"/>
  <c r="P1717" i="14"/>
  <c r="R1682" i="14"/>
  <c r="H1708" i="14"/>
  <c r="P1773" i="14"/>
  <c r="R1345" i="14"/>
  <c r="P1738" i="14"/>
  <c r="R1738" i="14"/>
  <c r="P1419" i="14"/>
  <c r="P1769" i="14"/>
  <c r="R1773" i="14"/>
  <c r="R1386" i="14"/>
  <c r="P1411" i="14"/>
  <c r="P1771" i="14"/>
  <c r="P1427" i="14"/>
  <c r="R1411" i="14"/>
  <c r="R1419" i="14"/>
  <c r="R1769" i="14"/>
  <c r="P1708" i="14"/>
  <c r="P1736" i="14"/>
  <c r="R1336" i="14"/>
  <c r="R1771" i="14"/>
  <c r="R1427" i="14"/>
  <c r="R1387" i="14"/>
  <c r="R1404" i="14"/>
  <c r="R1408" i="14"/>
  <c r="P1391" i="14"/>
  <c r="P1408" i="14"/>
  <c r="R1368" i="14"/>
  <c r="R1340" i="14"/>
  <c r="P1353" i="14"/>
  <c r="R1391" i="14"/>
  <c r="R1429" i="14"/>
  <c r="R1389" i="14"/>
  <c r="R1356" i="14"/>
  <c r="P1429" i="14"/>
  <c r="P1389" i="14"/>
  <c r="P1356" i="14"/>
  <c r="P1406" i="14"/>
  <c r="P1364" i="14"/>
  <c r="R1366" i="14"/>
  <c r="P1386" i="14"/>
  <c r="P1388" i="14"/>
  <c r="R1388" i="14"/>
  <c r="R1302" i="14"/>
  <c r="R1406" i="14"/>
  <c r="R1364" i="14"/>
  <c r="P1336" i="14"/>
  <c r="R1352" i="14"/>
  <c r="R1292" i="14"/>
  <c r="P1288" i="14"/>
  <c r="P1404" i="14"/>
  <c r="P1600" i="14"/>
  <c r="P1383" i="14"/>
  <c r="P1594" i="14"/>
  <c r="P1535" i="14"/>
  <c r="P1789" i="14"/>
  <c r="P1824" i="14"/>
  <c r="P1635" i="14"/>
  <c r="P1642" i="14"/>
  <c r="P1663" i="14"/>
  <c r="P1684" i="14"/>
  <c r="P1698" i="14"/>
  <c r="P1712" i="14"/>
  <c r="P1726" i="14"/>
  <c r="P1740" i="14"/>
  <c r="P1761" i="14"/>
  <c r="P1775" i="14"/>
  <c r="P1782" i="14"/>
  <c r="P1796" i="14"/>
  <c r="P1817" i="14"/>
  <c r="P1754" i="14"/>
  <c r="P1768" i="14"/>
  <c r="P1551" i="14"/>
  <c r="P1587" i="14"/>
  <c r="P1524" i="14"/>
  <c r="P1580" i="14"/>
  <c r="P1559" i="14"/>
  <c r="P1362" i="14"/>
  <c r="P1644" i="14"/>
  <c r="P1665" i="14"/>
  <c r="P1679" i="14"/>
  <c r="P1686" i="14"/>
  <c r="P1700" i="14"/>
  <c r="P1714" i="14"/>
  <c r="P1735" i="14"/>
  <c r="P1501" i="14"/>
  <c r="P1553" i="14"/>
  <c r="P1557" i="14"/>
  <c r="P1756" i="14"/>
  <c r="P1770" i="14"/>
  <c r="P1772" i="14"/>
  <c r="P1791" i="14"/>
  <c r="P1798" i="14"/>
  <c r="P1819" i="14"/>
  <c r="P1833" i="14"/>
  <c r="P1639" i="14"/>
  <c r="P1646" i="14"/>
  <c r="P1681" i="14"/>
  <c r="P1758" i="14"/>
  <c r="P1777" i="14"/>
  <c r="P1784" i="14"/>
  <c r="P1807" i="14"/>
  <c r="P1749" i="14"/>
  <c r="P1763" i="14"/>
  <c r="P1805" i="14"/>
  <c r="P1602" i="14"/>
  <c r="P1765" i="14"/>
  <c r="P1779" i="14"/>
  <c r="P1786" i="14"/>
  <c r="P1800" i="14"/>
  <c r="P1835" i="14"/>
  <c r="P1476" i="14"/>
  <c r="P1821" i="14"/>
  <c r="P1470" i="14"/>
  <c r="P1322" i="14"/>
  <c r="P1350" i="14"/>
  <c r="R1561" i="14"/>
  <c r="R1551" i="14"/>
  <c r="R1587" i="14"/>
  <c r="R1524" i="14"/>
  <c r="R1580" i="14"/>
  <c r="R1559" i="14"/>
  <c r="R1362" i="14"/>
  <c r="R1383" i="14"/>
  <c r="R1594" i="14"/>
  <c r="R1278" i="14"/>
  <c r="R1604" i="14"/>
  <c r="R1320" i="14"/>
  <c r="R1589" i="14"/>
  <c r="R1537" i="14"/>
  <c r="P1313" i="14"/>
  <c r="P1283" i="14"/>
  <c r="R1635" i="14"/>
  <c r="R1642" i="14"/>
  <c r="R1663" i="14"/>
  <c r="R1684" i="14"/>
  <c r="R1698" i="14"/>
  <c r="R1712" i="14"/>
  <c r="R1726" i="14"/>
  <c r="R1740" i="14"/>
  <c r="R1535" i="14"/>
  <c r="R1754" i="14"/>
  <c r="R1768" i="14"/>
  <c r="R1761" i="14"/>
  <c r="R1782" i="14"/>
  <c r="R1796" i="14"/>
  <c r="R1810" i="14"/>
  <c r="R1817" i="14"/>
  <c r="R1824" i="14"/>
  <c r="R1775" i="14"/>
  <c r="R1789" i="14"/>
  <c r="P1307" i="14"/>
  <c r="P1545" i="14"/>
  <c r="P1334" i="14"/>
  <c r="P1376" i="14"/>
  <c r="P1565" i="14"/>
  <c r="R1311" i="14"/>
  <c r="R1521" i="14"/>
  <c r="R1331" i="14"/>
  <c r="R1602" i="14"/>
  <c r="R1501" i="14"/>
  <c r="R1553" i="14"/>
  <c r="R1557" i="14"/>
  <c r="R1639" i="14"/>
  <c r="R1646" i="14"/>
  <c r="R1681" i="14"/>
  <c r="R1688" i="14"/>
  <c r="R1702" i="14"/>
  <c r="R1737" i="14"/>
  <c r="R1744" i="14"/>
  <c r="R1758" i="14"/>
  <c r="R1765" i="14"/>
  <c r="R1772" i="14"/>
  <c r="R1779" i="14"/>
  <c r="R1786" i="14"/>
  <c r="R1800" i="14"/>
  <c r="R1807" i="14"/>
  <c r="R1821" i="14"/>
  <c r="R1835" i="14"/>
  <c r="R1476" i="14"/>
  <c r="R1798" i="14"/>
  <c r="R1644" i="14"/>
  <c r="R1665" i="14"/>
  <c r="R1679" i="14"/>
  <c r="R1686" i="14"/>
  <c r="R1700" i="14"/>
  <c r="R1714" i="14"/>
  <c r="R1735" i="14"/>
  <c r="R1742" i="14"/>
  <c r="R1756" i="14"/>
  <c r="R1770" i="14"/>
  <c r="R1791" i="14"/>
  <c r="R1749" i="14"/>
  <c r="R1763" i="14"/>
  <c r="R1777" i="14"/>
  <c r="R1784" i="14"/>
  <c r="R1805" i="14"/>
  <c r="R1833" i="14"/>
  <c r="R1819" i="14"/>
  <c r="R1470" i="14"/>
  <c r="R1350" i="14"/>
  <c r="R1322" i="14"/>
  <c r="R1357" i="14"/>
  <c r="R1294" i="14"/>
  <c r="P1292" i="14"/>
  <c r="R1283" i="14"/>
  <c r="R1600" i="14"/>
  <c r="P1537" i="14"/>
  <c r="P1589" i="14"/>
  <c r="P1278" i="14"/>
  <c r="P1604" i="14"/>
  <c r="P1320" i="14"/>
  <c r="P1227" i="14"/>
  <c r="P1499" i="14"/>
  <c r="P1567" i="14"/>
  <c r="R1548" i="14"/>
  <c r="R1227" i="14"/>
  <c r="R1499" i="14"/>
  <c r="R1307" i="14"/>
  <c r="R1545" i="14"/>
  <c r="R1376" i="14"/>
  <c r="R1334" i="14"/>
  <c r="R1304" i="14"/>
  <c r="R1313" i="14"/>
  <c r="P1170" i="14"/>
  <c r="P1347" i="14"/>
  <c r="R1347" i="14"/>
  <c r="P1221" i="14"/>
  <c r="P1225" i="14"/>
  <c r="P1349" i="14"/>
  <c r="R1349" i="14"/>
  <c r="P1285" i="14"/>
  <c r="P1299" i="14"/>
  <c r="P1402" i="14"/>
  <c r="P1219" i="14"/>
  <c r="P1205" i="14"/>
  <c r="R1219" i="14"/>
  <c r="R1205" i="14"/>
  <c r="R1269" i="14"/>
  <c r="R1276" i="14"/>
  <c r="P1269" i="14"/>
  <c r="P1276" i="14"/>
  <c r="P1209" i="14"/>
  <c r="P1217" i="14"/>
  <c r="P1266" i="14"/>
  <c r="P1308" i="14"/>
  <c r="P1273" i="14"/>
  <c r="P1207" i="14"/>
  <c r="P1291" i="14"/>
  <c r="P1296" i="14"/>
  <c r="R1285" i="14"/>
  <c r="R1299" i="14"/>
  <c r="R1402" i="14"/>
  <c r="R1207" i="14"/>
  <c r="R1296" i="14"/>
  <c r="R1209" i="14"/>
  <c r="R1308" i="14"/>
  <c r="R1217" i="14"/>
  <c r="R1266" i="14"/>
  <c r="R1273" i="14"/>
  <c r="R1291" i="14"/>
  <c r="P1180" i="14"/>
  <c r="R1180" i="14"/>
  <c r="P1392" i="14"/>
  <c r="P1131" i="14"/>
  <c r="R1131" i="14"/>
  <c r="R1150" i="14"/>
  <c r="R1081" i="14"/>
  <c r="R1093" i="14"/>
  <c r="R1091" i="14"/>
  <c r="R1095" i="14"/>
  <c r="R1097" i="14"/>
  <c r="R1392" i="14"/>
  <c r="P1091" i="14"/>
  <c r="P1095" i="14"/>
  <c r="P1097" i="14"/>
  <c r="P1081" i="14"/>
  <c r="P1093" i="14"/>
  <c r="P1343" i="14"/>
  <c r="P1451" i="14"/>
  <c r="P1459" i="14"/>
  <c r="P1467" i="14"/>
  <c r="P1469" i="14"/>
  <c r="P1423" i="14"/>
  <c r="P1439" i="14"/>
  <c r="P1463" i="14"/>
  <c r="P1425" i="14"/>
  <c r="P1465" i="14"/>
  <c r="R1379" i="14"/>
  <c r="R1461" i="14"/>
  <c r="R1385" i="14"/>
  <c r="R1425" i="14"/>
  <c r="R1465" i="14"/>
  <c r="R1451" i="14"/>
  <c r="R1459" i="14"/>
  <c r="R1467" i="14"/>
  <c r="R1469" i="14"/>
  <c r="R1423" i="14"/>
  <c r="R1439" i="14"/>
  <c r="R1463" i="14"/>
  <c r="P1357" i="14"/>
  <c r="P1421" i="14"/>
  <c r="P1437" i="14"/>
  <c r="P1441" i="14"/>
  <c r="R1441" i="14"/>
  <c r="R1421" i="14"/>
  <c r="R1437" i="14"/>
  <c r="P1379" i="14"/>
  <c r="P1461" i="14"/>
  <c r="P1346" i="14"/>
  <c r="R1346" i="14"/>
  <c r="R1396" i="14"/>
  <c r="P1129" i="14"/>
  <c r="R1393" i="14"/>
  <c r="R1394" i="14"/>
  <c r="P1316" i="14"/>
  <c r="R1190" i="14"/>
  <c r="R1398" i="14"/>
  <c r="R1343" i="14"/>
  <c r="P1393" i="14"/>
  <c r="P1394" i="14"/>
  <c r="P1385" i="14"/>
  <c r="P1310" i="14"/>
  <c r="R1316" i="14"/>
  <c r="R1310" i="14"/>
  <c r="P1188" i="14"/>
  <c r="P1213" i="14"/>
  <c r="P1142" i="14"/>
  <c r="R1114" i="14"/>
  <c r="P1152" i="14"/>
  <c r="R1127" i="14"/>
  <c r="R1129" i="14"/>
  <c r="R1136" i="14"/>
  <c r="R1152" i="14"/>
  <c r="P1133" i="14"/>
  <c r="R1186" i="14"/>
  <c r="R1188" i="14"/>
  <c r="R1213" i="14"/>
  <c r="P1114" i="14"/>
  <c r="R1133" i="14"/>
  <c r="P1121" i="14"/>
  <c r="P1127" i="14"/>
  <c r="R1121" i="14"/>
  <c r="P1101" i="14"/>
  <c r="P1061" i="14"/>
  <c r="P1059" i="14"/>
  <c r="R1089" i="14"/>
  <c r="R1103" i="14"/>
  <c r="P1057" i="14"/>
  <c r="P1071" i="14"/>
  <c r="P1099" i="14"/>
  <c r="R1061" i="14"/>
  <c r="R1101" i="14"/>
  <c r="R1059" i="14"/>
  <c r="P1089" i="14"/>
  <c r="P1103" i="14"/>
  <c r="R1099" i="14"/>
  <c r="R1071" i="14"/>
  <c r="R1057" i="14"/>
  <c r="P1384" i="14"/>
  <c r="P1258" i="14"/>
  <c r="P1264" i="14"/>
  <c r="P1174" i="14"/>
  <c r="P1377" i="14"/>
  <c r="P1341" i="14"/>
  <c r="P1370" i="14"/>
  <c r="P1167" i="14"/>
  <c r="P1314" i="14"/>
  <c r="P1240" i="14"/>
  <c r="P1248" i="14"/>
  <c r="P1256" i="14"/>
  <c r="P1202" i="14"/>
  <c r="P1210" i="14"/>
  <c r="P1234" i="14"/>
  <c r="P1267" i="14"/>
  <c r="P1270" i="14"/>
  <c r="P1281" i="14"/>
  <c r="P1361" i="14"/>
  <c r="P1165" i="14"/>
  <c r="P1204" i="14"/>
  <c r="P1212" i="14"/>
  <c r="P1228" i="14"/>
  <c r="P1252" i="14"/>
  <c r="P1214" i="14"/>
  <c r="P1238" i="14"/>
  <c r="P1246" i="14"/>
  <c r="P1254" i="14"/>
  <c r="P1323" i="14"/>
  <c r="P1325" i="14"/>
  <c r="P1395" i="14"/>
  <c r="P1116" i="14"/>
  <c r="P1390" i="14"/>
  <c r="R1264" i="14"/>
  <c r="R1258" i="14"/>
  <c r="P1306" i="14"/>
  <c r="P1381" i="14"/>
  <c r="R1148" i="14"/>
  <c r="R1300" i="14"/>
  <c r="R1286" i="14"/>
  <c r="R1167" i="14"/>
  <c r="R1314" i="14"/>
  <c r="R1174" i="14"/>
  <c r="R1377" i="14"/>
  <c r="R1341" i="14"/>
  <c r="R1370" i="14"/>
  <c r="R1384" i="14"/>
  <c r="R1279" i="14"/>
  <c r="R1446" i="14"/>
  <c r="R1468" i="14"/>
  <c r="R1432" i="14"/>
  <c r="R1460" i="14"/>
  <c r="R1454" i="14"/>
  <c r="R1222" i="14"/>
  <c r="R1230" i="14"/>
  <c r="R1327" i="14"/>
  <c r="R1132" i="14"/>
  <c r="R1216" i="14"/>
  <c r="R1363" i="14"/>
  <c r="R1160" i="14"/>
  <c r="R1236" i="14"/>
  <c r="R1244" i="14"/>
  <c r="R1272" i="14"/>
  <c r="R1466" i="14"/>
  <c r="R1424" i="14"/>
  <c r="R1297" i="14"/>
  <c r="R1372" i="14"/>
  <c r="R1309" i="14"/>
  <c r="R1318" i="14"/>
  <c r="R1162" i="14"/>
  <c r="R1332" i="14"/>
  <c r="R1169" i="14"/>
  <c r="R1381" i="14"/>
  <c r="P1286" i="14"/>
  <c r="P1300" i="14"/>
  <c r="P1279" i="14"/>
  <c r="P1430" i="14"/>
  <c r="P1448" i="14"/>
  <c r="P1458" i="14"/>
  <c r="P1414" i="14"/>
  <c r="P1442" i="14"/>
  <c r="P1416" i="14"/>
  <c r="P1434" i="14"/>
  <c r="P1444" i="14"/>
  <c r="P1462" i="14"/>
  <c r="P1410" i="14"/>
  <c r="P1428" i="14"/>
  <c r="P1436" i="14"/>
  <c r="P1456" i="14"/>
  <c r="P1464" i="14"/>
  <c r="R1312" i="14"/>
  <c r="R1172" i="14"/>
  <c r="R1214" i="14"/>
  <c r="R1238" i="14"/>
  <c r="R1246" i="14"/>
  <c r="R1254" i="14"/>
  <c r="R1323" i="14"/>
  <c r="R1325" i="14"/>
  <c r="R1240" i="14"/>
  <c r="R1248" i="14"/>
  <c r="R1256" i="14"/>
  <c r="R1158" i="14"/>
  <c r="R1202" i="14"/>
  <c r="R1210" i="14"/>
  <c r="R1234" i="14"/>
  <c r="R1267" i="14"/>
  <c r="R1270" i="14"/>
  <c r="R1281" i="14"/>
  <c r="R1359" i="14"/>
  <c r="R1361" i="14"/>
  <c r="R1395" i="14"/>
  <c r="R1165" i="14"/>
  <c r="R1204" i="14"/>
  <c r="R1212" i="14"/>
  <c r="R1228" i="14"/>
  <c r="R1252" i="14"/>
  <c r="R1116" i="14"/>
  <c r="R1176" i="14"/>
  <c r="R1390" i="14"/>
  <c r="P1468" i="14"/>
  <c r="P1432" i="14"/>
  <c r="P1460" i="14"/>
  <c r="P1454" i="14"/>
  <c r="P1446" i="14"/>
  <c r="P1132" i="14"/>
  <c r="P1216" i="14"/>
  <c r="P1363" i="14"/>
  <c r="P1160" i="14"/>
  <c r="P1236" i="14"/>
  <c r="P1244" i="14"/>
  <c r="P1272" i="14"/>
  <c r="P1222" i="14"/>
  <c r="P1230" i="14"/>
  <c r="P1327" i="14"/>
  <c r="P1424" i="14"/>
  <c r="P1466" i="14"/>
  <c r="P1309" i="14"/>
  <c r="P1318" i="14"/>
  <c r="P1332" i="14"/>
  <c r="P1297" i="14"/>
  <c r="P1372" i="14"/>
  <c r="R982" i="14"/>
  <c r="R1329" i="14"/>
  <c r="R1338" i="14"/>
  <c r="R1410" i="14"/>
  <c r="R1428" i="14"/>
  <c r="R1436" i="14"/>
  <c r="R1456" i="14"/>
  <c r="R1464" i="14"/>
  <c r="R1430" i="14"/>
  <c r="R1448" i="14"/>
  <c r="R1458" i="14"/>
  <c r="R1414" i="14"/>
  <c r="R1442" i="14"/>
  <c r="R1416" i="14"/>
  <c r="R1434" i="14"/>
  <c r="R1444" i="14"/>
  <c r="R1462" i="14"/>
  <c r="R1306" i="14"/>
  <c r="R196" i="14"/>
  <c r="R448" i="14"/>
  <c r="R475" i="14"/>
  <c r="R217" i="14"/>
  <c r="R996" i="14"/>
  <c r="R999" i="14"/>
  <c r="R1033" i="14"/>
  <c r="R978" i="14"/>
  <c r="R1076" i="14"/>
  <c r="R1082" i="14"/>
  <c r="R1068" i="14"/>
  <c r="R189" i="14"/>
  <c r="R959" i="14"/>
  <c r="R443" i="14"/>
  <c r="R483" i="14"/>
  <c r="R226" i="14"/>
  <c r="R507" i="14"/>
  <c r="R213" i="14"/>
  <c r="R420" i="14"/>
  <c r="R240" i="14"/>
  <c r="R471" i="14"/>
  <c r="R1037" i="14"/>
  <c r="R976" i="14"/>
  <c r="R1035" i="14"/>
  <c r="R416" i="14"/>
  <c r="R469" i="14"/>
  <c r="R406" i="14"/>
  <c r="R617" i="14"/>
  <c r="R210" i="14"/>
  <c r="R989" i="14"/>
  <c r="R1054" i="14"/>
  <c r="R1046" i="14"/>
  <c r="R1050" i="14"/>
  <c r="R1092" i="14"/>
  <c r="R1064" i="14"/>
  <c r="R1066" i="14"/>
  <c r="R1078" i="14"/>
  <c r="R1084" i="14"/>
  <c r="R1086" i="14"/>
  <c r="R1070" i="14"/>
  <c r="R1056" i="14"/>
  <c r="R1072" i="14"/>
  <c r="P1037" i="14"/>
  <c r="P1086" i="14"/>
  <c r="P1072" i="14"/>
  <c r="P1064" i="14"/>
  <c r="P1078" i="14"/>
  <c r="P1092" i="14"/>
  <c r="P1066" i="14"/>
  <c r="P1050" i="14"/>
  <c r="P1070" i="14"/>
  <c r="P1056" i="14"/>
  <c r="P1046" i="14"/>
  <c r="P1084" i="14"/>
  <c r="P511" i="14"/>
  <c r="R1088" i="14"/>
  <c r="R1074" i="14"/>
  <c r="R994" i="14"/>
  <c r="R1017" i="14"/>
  <c r="P1068" i="14"/>
  <c r="P978" i="14"/>
  <c r="P1076" i="14"/>
  <c r="P1033" i="14"/>
  <c r="P1082" i="14"/>
  <c r="P994" i="14"/>
  <c r="P1088" i="14"/>
  <c r="P1074" i="14"/>
  <c r="R1108" i="14"/>
  <c r="R903" i="14"/>
  <c r="R912" i="14"/>
  <c r="R504" i="14"/>
  <c r="P999" i="14"/>
  <c r="P976" i="14"/>
  <c r="P1035" i="14"/>
  <c r="P903" i="14"/>
  <c r="P504" i="14"/>
  <c r="P1108" i="14"/>
  <c r="P912" i="14"/>
  <c r="P2071" i="14"/>
  <c r="P1387" i="14"/>
  <c r="P1054" i="14"/>
  <c r="P1017" i="14"/>
  <c r="P2044" i="14"/>
  <c r="P2037" i="14"/>
  <c r="P1178" i="14"/>
  <c r="P1742" i="14"/>
  <c r="P1897" i="14"/>
  <c r="R1792" i="14"/>
  <c r="P1744" i="14"/>
  <c r="P1737" i="14"/>
  <c r="P1792" i="14"/>
  <c r="I1563" i="14"/>
  <c r="N1563" i="14"/>
  <c r="R1812" i="14"/>
  <c r="P1812" i="14"/>
  <c r="P1536" i="14"/>
  <c r="P1810" i="14"/>
  <c r="P1614" i="14"/>
  <c r="P1706" i="14"/>
  <c r="P1510" i="14"/>
  <c r="P1615" i="14"/>
  <c r="P1715" i="14"/>
  <c r="P1811" i="14"/>
  <c r="P1606" i="14"/>
  <c r="P1809" i="14"/>
  <c r="P1613" i="14"/>
  <c r="P1764" i="14"/>
  <c r="R1813" i="14"/>
  <c r="R1617" i="14"/>
  <c r="R1606" i="14"/>
  <c r="R1613" i="14"/>
  <c r="R1809" i="14"/>
  <c r="P1702" i="14"/>
  <c r="P1724" i="14"/>
  <c r="P1813" i="14"/>
  <c r="P1617" i="14"/>
  <c r="P1767" i="14"/>
  <c r="P1688" i="14"/>
  <c r="H1407" i="14"/>
  <c r="I1407" i="14" s="1"/>
  <c r="N1407" i="14" s="1"/>
  <c r="H1400" i="14"/>
  <c r="I1400" i="14" s="1"/>
  <c r="N1400" i="14" s="1"/>
  <c r="H1960" i="14"/>
  <c r="I1960" i="14" s="1"/>
  <c r="N1960" i="14" s="1"/>
  <c r="P1396" i="14"/>
  <c r="P1417" i="14"/>
  <c r="H1413" i="14"/>
  <c r="I1413" i="14" s="1"/>
  <c r="N1413" i="14" s="1"/>
  <c r="P1366" i="14"/>
  <c r="P1539" i="14"/>
  <c r="P1561" i="14"/>
  <c r="P1503" i="14"/>
  <c r="P1548" i="14"/>
  <c r="P1352" i="14"/>
  <c r="P1359" i="14"/>
  <c r="P1521" i="14"/>
  <c r="P1331" i="14"/>
  <c r="H1601" i="14"/>
  <c r="I1601" i="14" s="1"/>
  <c r="N1601" i="14" s="1"/>
  <c r="H1592" i="14"/>
  <c r="I1592" i="14" s="1"/>
  <c r="N1592" i="14" s="1"/>
  <c r="H1543" i="14"/>
  <c r="I1543" i="14" s="1"/>
  <c r="N1543" i="14" s="1"/>
  <c r="H1581" i="14"/>
  <c r="I1581" i="14" s="1"/>
  <c r="N1581" i="14" s="1"/>
  <c r="H1201" i="14"/>
  <c r="I1201" i="14" s="1"/>
  <c r="N1201" i="14" s="1"/>
  <c r="I1232" i="14"/>
  <c r="N1232" i="14"/>
  <c r="P1302" i="14"/>
  <c r="P1169" i="14"/>
  <c r="P1311" i="14"/>
  <c r="H1287" i="14"/>
  <c r="I1287" i="14" s="1"/>
  <c r="N1287" i="14" s="1"/>
  <c r="H1203" i="14"/>
  <c r="I1203" i="14" s="1"/>
  <c r="N1203" i="14" s="1"/>
  <c r="H1305" i="14"/>
  <c r="H1202" i="14"/>
  <c r="I1202" i="14" s="1"/>
  <c r="N1202" i="14" s="1"/>
  <c r="I1274" i="14"/>
  <c r="N1274" i="14"/>
  <c r="H1264" i="14"/>
  <c r="I1264" i="14" s="1"/>
  <c r="N1264" i="14" s="1"/>
  <c r="H1267" i="14"/>
  <c r="I1267" i="14" s="1"/>
  <c r="N1267" i="14" s="1"/>
  <c r="I1151" i="14"/>
  <c r="N1151" i="14"/>
  <c r="I1128" i="14"/>
  <c r="N1128" i="14"/>
  <c r="P1150" i="14"/>
  <c r="H1133" i="14"/>
  <c r="I1133" i="14" s="1"/>
  <c r="N1133" i="14" s="1"/>
  <c r="P1172" i="14"/>
  <c r="P1345" i="14"/>
  <c r="P1184" i="14"/>
  <c r="P1294" i="14"/>
  <c r="P1398" i="14"/>
  <c r="P1136" i="14"/>
  <c r="P1354" i="14"/>
  <c r="H1295" i="14"/>
  <c r="I1295" i="14" s="1"/>
  <c r="N1295" i="14" s="1"/>
  <c r="H1292" i="14"/>
  <c r="I1292" i="14" s="1"/>
  <c r="N1292" i="14" s="1"/>
  <c r="H1392" i="14"/>
  <c r="I1392" i="14" s="1"/>
  <c r="N1392" i="14" s="1"/>
  <c r="P1162" i="14"/>
  <c r="R1400" i="14"/>
  <c r="P1400" i="14"/>
  <c r="P1186" i="14"/>
  <c r="P1190" i="14"/>
  <c r="P1176" i="14"/>
  <c r="P1158" i="14"/>
  <c r="H1126" i="14"/>
  <c r="I1126" i="14" s="1"/>
  <c r="N1126" i="14" s="1"/>
  <c r="I1130" i="14"/>
  <c r="N1130" i="14"/>
  <c r="H1147" i="14"/>
  <c r="I1147" i="14" s="1"/>
  <c r="N1147" i="14" s="1"/>
  <c r="H1246" i="14"/>
  <c r="I1246" i="14" s="1"/>
  <c r="N1246" i="14" s="1"/>
  <c r="I1191" i="14"/>
  <c r="N1191" i="14"/>
  <c r="I1048" i="14"/>
  <c r="N1048" i="14"/>
  <c r="I1004" i="14"/>
  <c r="N1004" i="14"/>
  <c r="I1019" i="14"/>
  <c r="N1019" i="14"/>
  <c r="P1338" i="14"/>
  <c r="P1329" i="14"/>
  <c r="P1148" i="14"/>
  <c r="P1312" i="14"/>
  <c r="P1293" i="14"/>
  <c r="H1357" i="14"/>
  <c r="I1357" i="14" s="1"/>
  <c r="N1357" i="14" s="1"/>
  <c r="H1310" i="14"/>
  <c r="I1310" i="14" s="1"/>
  <c r="N1310" i="14" s="1"/>
  <c r="I1371" i="14"/>
  <c r="N1371" i="14"/>
  <c r="H1127" i="14"/>
  <c r="I1127" i="14" s="1"/>
  <c r="N1127" i="14" s="1"/>
  <c r="H1275" i="14"/>
  <c r="I1275" i="14" s="1"/>
  <c r="N1275" i="14" s="1"/>
  <c r="H1301" i="14"/>
  <c r="I1301" i="14" s="1"/>
  <c r="N1301" i="14" s="1"/>
  <c r="H1268" i="14"/>
  <c r="I1268" i="14" s="1"/>
  <c r="N1268" i="14" s="1"/>
  <c r="I1298" i="14"/>
  <c r="N1298" i="14"/>
  <c r="H1313" i="14"/>
  <c r="I1313" i="14"/>
  <c r="N1313" i="14" s="1"/>
  <c r="H1322" i="14"/>
  <c r="I1322" i="14" s="1"/>
  <c r="N1322" i="14" s="1"/>
  <c r="H1336" i="14"/>
  <c r="I1336" i="14" s="1"/>
  <c r="N1336" i="14" s="1"/>
  <c r="H1142" i="14"/>
  <c r="B1142" i="14" s="1"/>
  <c r="H1288" i="14"/>
  <c r="I1288" i="14" s="1"/>
  <c r="N1288" i="14" s="1"/>
  <c r="H1385" i="14"/>
  <c r="I1385" i="14" s="1"/>
  <c r="N1385" i="14" s="1"/>
  <c r="I1319" i="14"/>
  <c r="N1319" i="14"/>
  <c r="H1121" i="14"/>
  <c r="B1121" i="14" s="1"/>
  <c r="H1109" i="14"/>
  <c r="I1109" i="14" s="1"/>
  <c r="N1109" i="14" s="1"/>
  <c r="H1114" i="14"/>
  <c r="I973" i="14"/>
  <c r="N973" i="14"/>
  <c r="P954" i="14"/>
  <c r="P329" i="14"/>
  <c r="P182" i="14"/>
  <c r="P89" i="14"/>
  <c r="P343" i="14"/>
  <c r="P364" i="14"/>
  <c r="P392" i="14"/>
  <c r="P265" i="14"/>
  <c r="P350" i="14"/>
  <c r="P196" i="14"/>
  <c r="P448" i="14"/>
  <c r="P959" i="14"/>
  <c r="P443" i="14"/>
  <c r="P189" i="14"/>
  <c r="P483" i="14"/>
  <c r="P226" i="14"/>
  <c r="P617" i="14"/>
  <c r="P469" i="14"/>
  <c r="P989" i="14"/>
  <c r="P210" i="14"/>
  <c r="P406" i="14"/>
  <c r="P416" i="14"/>
  <c r="P507" i="14"/>
  <c r="P471" i="14"/>
  <c r="P213" i="14"/>
  <c r="P240" i="14"/>
  <c r="P420" i="14"/>
  <c r="P982" i="14"/>
  <c r="P217" i="14"/>
  <c r="P475" i="14"/>
  <c r="P996" i="14"/>
  <c r="H1044" i="14"/>
  <c r="I1044" i="14" s="1"/>
  <c r="N1044" i="14" s="1"/>
  <c r="H974" i="14"/>
  <c r="I974" i="14" s="1"/>
  <c r="N974" i="14" s="1"/>
  <c r="H990" i="14"/>
  <c r="I990" i="14" s="1"/>
  <c r="N990" i="14" s="1"/>
  <c r="H1011" i="14"/>
  <c r="I1011" i="14" s="1"/>
  <c r="N1011" i="14" s="1"/>
  <c r="I964" i="14"/>
  <c r="N964" i="14"/>
  <c r="I2030" i="14"/>
  <c r="N2030" i="14"/>
  <c r="H2044" i="14"/>
  <c r="I2044" i="14" s="1"/>
  <c r="N2044" i="14" s="1"/>
  <c r="H2048" i="14"/>
  <c r="I2048" i="14" s="1"/>
  <c r="N2048" i="14" s="1"/>
  <c r="H2138" i="14"/>
  <c r="I2138" i="14" s="1"/>
  <c r="N2138" i="14" s="1"/>
  <c r="H2144" i="14"/>
  <c r="I2144" i="14" s="1"/>
  <c r="N2144" i="14" s="1"/>
  <c r="H2111" i="14"/>
  <c r="I2111" i="14" s="1"/>
  <c r="N2111" i="14" s="1"/>
  <c r="H2091" i="14"/>
  <c r="I2091" i="14" s="1"/>
  <c r="N2091" i="14" s="1"/>
  <c r="I2026" i="14"/>
  <c r="N2026" i="14"/>
  <c r="H2023" i="14"/>
  <c r="I2019" i="14"/>
  <c r="N2019" i="14"/>
  <c r="I2022" i="14"/>
  <c r="N2022" i="14"/>
  <c r="I1998" i="14"/>
  <c r="N1998" i="14"/>
  <c r="I1991" i="14"/>
  <c r="N1991" i="14"/>
  <c r="H1977" i="14"/>
  <c r="I1977" i="14" s="1"/>
  <c r="N1977" i="14" s="1"/>
  <c r="I1969" i="14"/>
  <c r="N1969" i="14"/>
  <c r="H2097" i="14"/>
  <c r="I2097" i="14" s="1"/>
  <c r="N2097" i="14" s="1"/>
  <c r="I1593" i="14"/>
  <c r="N1593" i="14"/>
  <c r="H2103" i="14"/>
  <c r="I1951" i="14"/>
  <c r="N1951" i="14"/>
  <c r="H2031" i="14"/>
  <c r="B2030" i="14" s="1"/>
  <c r="I2031" i="14"/>
  <c r="N2031" i="14" s="1"/>
  <c r="B2033" i="14" s="1"/>
  <c r="I1586" i="14"/>
  <c r="N1586" i="14"/>
  <c r="H2076" i="14"/>
  <c r="I2076" i="14" s="1"/>
  <c r="N2076" i="14" s="1"/>
  <c r="H1965" i="14"/>
  <c r="I1956" i="14"/>
  <c r="N1956" i="14"/>
  <c r="I1963" i="14"/>
  <c r="N1963" i="14"/>
  <c r="H1909" i="14"/>
  <c r="I1909" i="14" s="1"/>
  <c r="N1909" i="14" s="1"/>
  <c r="H1941" i="14"/>
  <c r="B1939" i="14" s="1"/>
  <c r="I1797" i="14"/>
  <c r="N1797" i="14"/>
  <c r="I1944" i="14"/>
  <c r="N1944" i="14"/>
  <c r="I1930" i="14"/>
  <c r="N1930" i="14"/>
  <c r="I1902" i="14"/>
  <c r="N1902" i="14"/>
  <c r="H1957" i="14"/>
  <c r="H1986" i="14"/>
  <c r="I1986" i="14" s="1"/>
  <c r="N1986" i="14" s="1"/>
  <c r="H1888" i="14"/>
  <c r="I1888" i="14" s="1"/>
  <c r="N1888" i="14" s="1"/>
  <c r="H1972" i="14"/>
  <c r="I1972" i="14" s="1"/>
  <c r="N1972" i="14" s="1"/>
  <c r="B1970" i="14" s="1"/>
  <c r="H1908" i="14"/>
  <c r="I1908" i="14" s="1"/>
  <c r="N1908" i="14" s="1"/>
  <c r="H1929" i="14"/>
  <c r="I1929" i="14" s="1"/>
  <c r="N1929" i="14" s="1"/>
  <c r="H1950" i="14"/>
  <c r="H1915" i="14"/>
  <c r="I1915" i="14" s="1"/>
  <c r="N1915" i="14" s="1"/>
  <c r="H1903" i="14"/>
  <c r="I1903" i="14" s="1"/>
  <c r="N1903" i="14" s="1"/>
  <c r="H1921" i="14"/>
  <c r="I1921" i="14" s="1"/>
  <c r="N1921" i="14" s="1"/>
  <c r="H1910" i="14"/>
  <c r="I1910" i="14" s="1"/>
  <c r="N1910" i="14" s="1"/>
  <c r="H1907" i="14"/>
  <c r="H1931" i="14"/>
  <c r="B1932" i="14" s="1"/>
  <c r="I1931" i="14"/>
  <c r="N1931" i="14" s="1"/>
  <c r="B1935" i="14" s="1"/>
  <c r="H1917" i="14"/>
  <c r="I1917" i="14" s="1"/>
  <c r="N1917" i="14" s="1"/>
  <c r="H1914" i="14"/>
  <c r="H1938" i="14"/>
  <c r="I1938" i="14"/>
  <c r="N1938" i="14" s="1"/>
  <c r="I1892" i="14"/>
  <c r="N1892" i="14"/>
  <c r="H1913" i="14"/>
  <c r="I1913" i="14"/>
  <c r="N1913" i="14" s="1"/>
  <c r="I1899" i="14"/>
  <c r="N1899" i="14"/>
  <c r="H1906" i="14"/>
  <c r="I1906" i="14" s="1"/>
  <c r="N1906" i="14" s="1"/>
  <c r="I1881" i="14"/>
  <c r="N1881" i="14"/>
  <c r="H2055" i="14"/>
  <c r="H2059" i="14"/>
  <c r="I2059" i="14"/>
  <c r="N2059" i="14" s="1"/>
  <c r="I1885" i="14"/>
  <c r="N1885" i="14"/>
  <c r="H1901" i="14"/>
  <c r="I1901" i="14" s="1"/>
  <c r="N1901" i="14" s="1"/>
  <c r="B1900" i="14" s="1"/>
  <c r="H1880" i="14"/>
  <c r="I1879" i="14"/>
  <c r="N1879" i="14"/>
  <c r="H1886" i="14"/>
  <c r="I1882" i="14"/>
  <c r="N1882" i="14"/>
  <c r="I1875" i="14"/>
  <c r="N1875" i="14"/>
  <c r="H1868" i="14"/>
  <c r="I1868" i="14" s="1"/>
  <c r="N1868" i="14" s="1"/>
  <c r="B1872" i="14" s="1"/>
  <c r="H1816" i="14"/>
  <c r="I1816" i="14" s="1"/>
  <c r="N1816" i="14" s="1"/>
  <c r="I1841" i="14"/>
  <c r="N1841" i="14"/>
  <c r="I1799" i="14"/>
  <c r="N1799" i="14"/>
  <c r="I1795" i="14"/>
  <c r="N1795" i="14"/>
  <c r="H1720" i="14"/>
  <c r="I1720" i="14" s="1"/>
  <c r="N1720" i="14" s="1"/>
  <c r="H1769" i="14"/>
  <c r="I1769" i="14" s="1"/>
  <c r="N1769" i="14" s="1"/>
  <c r="I1685" i="14"/>
  <c r="N1685" i="14"/>
  <c r="H1699" i="14"/>
  <c r="I1699" i="14" s="1"/>
  <c r="N1699" i="14" s="1"/>
  <c r="H1697" i="14"/>
  <c r="H1676" i="14"/>
  <c r="I1676" i="14" s="1"/>
  <c r="N1676" i="14" s="1"/>
  <c r="H1683" i="14"/>
  <c r="I1683" i="14" s="1"/>
  <c r="N1683" i="14" s="1"/>
  <c r="I1622" i="14"/>
  <c r="N1622" i="14"/>
  <c r="H1636" i="14"/>
  <c r="I1636" i="14" s="1"/>
  <c r="N1636" i="14" s="1"/>
  <c r="I1626" i="14"/>
  <c r="N1626" i="14"/>
  <c r="H1634" i="14"/>
  <c r="I1634" i="14" s="1"/>
  <c r="N1634" i="14" s="1"/>
  <c r="I1620" i="14"/>
  <c r="I1616" i="14"/>
  <c r="N1616" i="14"/>
  <c r="I1614" i="14"/>
  <c r="N1614" i="14"/>
  <c r="I1808" i="14"/>
  <c r="N1808" i="14"/>
  <c r="H1815" i="14"/>
  <c r="I1815" i="14" s="1"/>
  <c r="N1815" i="14" s="1"/>
  <c r="H1822" i="14"/>
  <c r="I1822" i="14" s="1"/>
  <c r="N1822" i="14" s="1"/>
  <c r="H1827" i="14"/>
  <c r="I1827" i="14" s="1"/>
  <c r="N1827" i="14" s="1"/>
  <c r="H1820" i="14"/>
  <c r="I1836" i="14"/>
  <c r="N1836" i="14"/>
  <c r="I1834" i="14"/>
  <c r="N1834" i="14"/>
  <c r="H1829" i="14"/>
  <c r="I1598" i="14"/>
  <c r="N1598" i="14"/>
  <c r="I1666" i="14"/>
  <c r="N1666" i="14"/>
  <c r="H1621" i="14"/>
  <c r="I1621" i="14" s="1"/>
  <c r="N1621" i="14" s="1"/>
  <c r="H1627" i="14"/>
  <c r="I1627" i="14" s="1"/>
  <c r="N1627" i="14" s="1"/>
  <c r="I1640" i="14"/>
  <c r="H1652" i="14"/>
  <c r="I1652" i="14" s="1"/>
  <c r="N1652" i="14" s="1"/>
  <c r="H1638" i="14"/>
  <c r="H1654" i="14"/>
  <c r="I1654" i="14" s="1"/>
  <c r="N1654" i="14" s="1"/>
  <c r="I1785" i="14"/>
  <c r="N1785" i="14"/>
  <c r="H1678" i="14"/>
  <c r="I1678" i="14" s="1"/>
  <c r="N1678" i="14" s="1"/>
  <c r="H1777" i="14"/>
  <c r="I1777" i="14" s="1"/>
  <c r="N1777" i="14" s="1"/>
  <c r="H1759" i="14"/>
  <c r="I1759" i="14" s="1"/>
  <c r="N1759" i="14" s="1"/>
  <c r="I1579" i="14"/>
  <c r="N1579" i="14"/>
  <c r="H1780" i="14"/>
  <c r="H1766" i="14"/>
  <c r="I1766" i="14" s="1"/>
  <c r="N1766" i="14" s="1"/>
  <c r="H1773" i="14"/>
  <c r="I1773" i="14" s="1"/>
  <c r="N1773" i="14" s="1"/>
  <c r="I1801" i="14"/>
  <c r="N1801" i="14"/>
  <c r="H1613" i="14"/>
  <c r="I1613" i="14" s="1"/>
  <c r="N1613" i="14" s="1"/>
  <c r="I1573" i="14"/>
  <c r="N1573" i="14"/>
  <c r="H1574" i="14"/>
  <c r="I1574" i="14"/>
  <c r="N1574" i="14" s="1"/>
  <c r="H1619" i="14"/>
  <c r="H1567" i="14"/>
  <c r="I1567" i="14" s="1"/>
  <c r="N1567" i="14" s="1"/>
  <c r="I1577" i="14"/>
  <c r="N1577" i="14"/>
  <c r="H1804" i="14"/>
  <c r="I1804" i="14" s="1"/>
  <c r="N1804" i="14" s="1"/>
  <c r="H1752" i="14"/>
  <c r="I1752" i="14" s="1"/>
  <c r="N1752" i="14" s="1"/>
  <c r="H1605" i="14"/>
  <c r="H1583" i="14"/>
  <c r="I1583" i="14" s="1"/>
  <c r="N1583" i="14" s="1"/>
  <c r="H1788" i="14"/>
  <c r="I1788" i="14" s="1"/>
  <c r="N1788" i="14" s="1"/>
  <c r="H1578" i="14"/>
  <c r="I1578" i="14" s="1"/>
  <c r="N1578" i="14" s="1"/>
  <c r="H1576" i="14"/>
  <c r="I1576" i="14" s="1"/>
  <c r="N1576" i="14" s="1"/>
  <c r="I1544" i="14"/>
  <c r="N1544" i="14"/>
  <c r="H1776" i="14"/>
  <c r="I1776" i="14" s="1"/>
  <c r="N1776" i="14" s="1"/>
  <c r="I1595" i="14"/>
  <c r="N1595" i="14"/>
  <c r="H1746" i="14"/>
  <c r="I1746" i="14" s="1"/>
  <c r="N1746" i="14" s="1"/>
  <c r="I1520" i="14"/>
  <c r="N1520" i="14"/>
  <c r="H1489" i="14"/>
  <c r="I1489" i="14" s="1"/>
  <c r="N1489" i="14" s="1"/>
  <c r="I1534" i="14"/>
  <c r="N1534" i="14"/>
  <c r="H1515" i="14"/>
  <c r="I1515" i="14" s="1"/>
  <c r="N1515" i="14" s="1"/>
  <c r="I1588" i="14"/>
  <c r="N1588" i="14"/>
  <c r="H1629" i="14"/>
  <c r="I1629" i="14"/>
  <c r="N1629" i="14" s="1"/>
  <c r="H1718" i="14"/>
  <c r="I1718" i="14" s="1"/>
  <c r="N1718" i="14" s="1"/>
  <c r="I1522" i="14"/>
  <c r="N1522" i="14"/>
  <c r="H1734" i="14"/>
  <c r="I1734" i="14" s="1"/>
  <c r="N1734" i="14" s="1"/>
  <c r="H1830" i="14"/>
  <c r="I1830" i="14" s="1"/>
  <c r="N1830" i="14" s="1"/>
  <c r="H1792" i="14"/>
  <c r="I1792" i="14" s="1"/>
  <c r="N1792" i="14" s="1"/>
  <c r="I1806" i="14"/>
  <c r="N1806" i="14"/>
  <c r="H1596" i="14"/>
  <c r="I1513" i="14"/>
  <c r="N1513" i="14"/>
  <c r="H1694" i="14"/>
  <c r="I1694" i="14" s="1"/>
  <c r="N1694" i="14" s="1"/>
  <c r="H1525" i="14"/>
  <c r="I1525" i="14" s="1"/>
  <c r="N1525" i="14" s="1"/>
  <c r="H1441" i="14"/>
  <c r="I1441" i="14" s="1"/>
  <c r="N1441" i="14" s="1"/>
  <c r="I1498" i="14"/>
  <c r="N1498" i="14"/>
  <c r="H1485" i="14"/>
  <c r="I1485" i="14" s="1"/>
  <c r="N1485" i="14" s="1"/>
  <c r="H1487" i="14"/>
  <c r="I1487" i="14" s="1"/>
  <c r="N1487" i="14" s="1"/>
  <c r="I1633" i="14"/>
  <c r="N1633" i="14"/>
  <c r="H1641" i="14"/>
  <c r="I1641" i="14" s="1"/>
  <c r="N1641" i="14" s="1"/>
  <c r="I1645" i="14"/>
  <c r="N1645" i="14"/>
  <c r="I1661" i="14"/>
  <c r="N1661" i="14"/>
  <c r="H1669" i="14"/>
  <c r="I1669" i="14" s="1"/>
  <c r="N1669" i="14" s="1"/>
  <c r="H1631" i="14"/>
  <c r="I1631" i="14" s="1"/>
  <c r="N1631" i="14" s="1"/>
  <c r="I1647" i="14"/>
  <c r="N1647" i="14"/>
  <c r="I1655" i="14"/>
  <c r="N1655" i="14"/>
  <c r="H1659" i="14"/>
  <c r="B1660" i="14" s="1"/>
  <c r="I1500" i="14"/>
  <c r="N1500" i="14"/>
  <c r="H1657" i="14"/>
  <c r="H1643" i="14"/>
  <c r="I1643" i="14" s="1"/>
  <c r="N1643" i="14" s="1"/>
  <c r="H1671" i="14"/>
  <c r="I1671" i="14" s="1"/>
  <c r="N1671" i="14" s="1"/>
  <c r="I1558" i="14"/>
  <c r="I1566" i="14"/>
  <c r="N1566" i="14"/>
  <c r="H1594" i="14"/>
  <c r="I1594" i="14" s="1"/>
  <c r="N1594" i="14" s="1"/>
  <c r="I1531" i="14"/>
  <c r="N1531" i="14"/>
  <c r="I1502" i="14"/>
  <c r="N1502" i="14"/>
  <c r="H1611" i="14"/>
  <c r="I1611" i="14" s="1"/>
  <c r="N1611" i="14" s="1"/>
  <c r="I1508" i="14"/>
  <c r="N1508" i="14"/>
  <c r="I1560" i="14"/>
  <c r="N1560" i="14"/>
  <c r="H1609" i="14"/>
  <c r="I1514" i="14"/>
  <c r="N1514" i="14"/>
  <c r="H1478" i="14"/>
  <c r="I1478" i="14" s="1"/>
  <c r="N1478" i="14" s="1"/>
  <c r="H1482" i="14"/>
  <c r="I1482" i="14"/>
  <c r="N1482" i="14" s="1"/>
  <c r="H1480" i="14"/>
  <c r="I1480" i="14" s="1"/>
  <c r="N1480" i="14" s="1"/>
  <c r="H1470" i="14"/>
  <c r="H1472" i="14"/>
  <c r="I1472" i="14" s="1"/>
  <c r="N1472" i="14" s="1"/>
  <c r="I1552" i="14"/>
  <c r="N1552" i="14"/>
  <c r="I1523" i="14"/>
  <c r="N1523" i="14"/>
  <c r="H1585" i="14"/>
  <c r="I1585" i="14" s="1"/>
  <c r="N1585" i="14"/>
  <c r="H1474" i="14"/>
  <c r="I1474" i="14" s="1"/>
  <c r="N1474" i="14" s="1"/>
  <c r="I1484" i="14"/>
  <c r="N1484" i="14"/>
  <c r="I1540" i="14"/>
  <c r="N1540" i="14"/>
  <c r="H1781" i="14"/>
  <c r="I1477" i="14"/>
  <c r="N1477" i="14"/>
  <c r="H1682" i="14"/>
  <c r="I1682" i="14" s="1"/>
  <c r="N1682" i="14" s="1"/>
  <c r="H1696" i="14"/>
  <c r="H1727" i="14"/>
  <c r="I1727" i="14" s="1"/>
  <c r="N1727" i="14" s="1"/>
  <c r="H1762" i="14"/>
  <c r="I1762" i="14" s="1"/>
  <c r="N1762" i="14" s="1"/>
  <c r="H1783" i="14"/>
  <c r="I1783" i="14" s="1"/>
  <c r="N1783" i="14" s="1"/>
  <c r="I1790" i="14"/>
  <c r="N1790" i="14"/>
  <c r="H1717" i="14"/>
  <c r="I1717" i="14" s="1"/>
  <c r="N1717" i="14" s="1"/>
  <c r="H1704" i="14"/>
  <c r="I1704" i="14" s="1"/>
  <c r="N1704" i="14" s="1"/>
  <c r="H1774" i="14"/>
  <c r="I1774" i="14" s="1"/>
  <c r="N1774" i="14" s="1"/>
  <c r="H1760" i="14"/>
  <c r="I1760" i="14" s="1"/>
  <c r="N1760" i="14" s="1"/>
  <c r="H1738" i="14"/>
  <c r="I1738" i="14" s="1"/>
  <c r="N1738" i="14" s="1"/>
  <c r="H1736" i="14"/>
  <c r="H1794" i="14"/>
  <c r="I1794" i="14" s="1"/>
  <c r="N1794" i="14"/>
  <c r="H1778" i="14"/>
  <c r="I1778" i="14" s="1"/>
  <c r="N1778" i="14" s="1"/>
  <c r="H1763" i="14"/>
  <c r="I1763" i="14" s="1"/>
  <c r="N1763" i="14" s="1"/>
  <c r="H1813" i="14"/>
  <c r="I1813" i="14" s="1"/>
  <c r="N1813" i="14" s="1"/>
  <c r="H1722" i="14"/>
  <c r="I1722" i="14" s="1"/>
  <c r="N1722" i="14" s="1"/>
  <c r="H1735" i="14"/>
  <c r="I1735" i="14" s="1"/>
  <c r="N1735" i="14" s="1"/>
  <c r="I1667" i="14"/>
  <c r="N1667" i="14"/>
  <c r="H1770" i="14"/>
  <c r="I1770" i="14"/>
  <c r="N1770" i="14" s="1"/>
  <c r="H1681" i="14"/>
  <c r="H1740" i="14"/>
  <c r="I1740" i="14" s="1"/>
  <c r="N1740" i="14" s="1"/>
  <c r="I1475" i="14"/>
  <c r="N1475" i="14"/>
  <c r="I1471" i="14"/>
  <c r="N1471" i="14"/>
  <c r="H1428" i="14"/>
  <c r="H1499" i="14"/>
  <c r="I1460" i="14"/>
  <c r="N1460" i="14"/>
  <c r="H1771" i="14"/>
  <c r="H1700" i="14"/>
  <c r="I1700" i="14" s="1"/>
  <c r="N1700" i="14" s="1"/>
  <c r="H1812" i="14"/>
  <c r="I1660" i="14"/>
  <c r="N1660" i="14"/>
  <c r="I1828" i="14"/>
  <c r="N1828" i="14"/>
  <c r="H1714" i="14"/>
  <c r="I1714" i="14" s="1"/>
  <c r="N1714" i="14"/>
  <c r="I1518" i="14"/>
  <c r="N1518" i="14"/>
  <c r="I1483" i="14"/>
  <c r="N1483" i="14"/>
  <c r="H1501" i="14"/>
  <c r="H1821" i="14"/>
  <c r="I1821" i="14" s="1"/>
  <c r="N1821" i="14" s="1"/>
  <c r="H1679" i="14"/>
  <c r="I1679" i="14" s="1"/>
  <c r="N1679" i="14" s="1"/>
  <c r="H1476" i="14"/>
  <c r="I1476" i="14" s="1"/>
  <c r="N1476" i="14" s="1"/>
  <c r="I1529" i="14"/>
  <c r="N1529" i="14"/>
  <c r="I1490" i="14"/>
  <c r="N1490" i="14"/>
  <c r="H1553" i="14"/>
  <c r="H1749" i="14"/>
  <c r="I1630" i="14"/>
  <c r="N1630" i="14"/>
  <c r="H1602" i="14"/>
  <c r="I1602" i="14" s="1"/>
  <c r="N1602" i="14" s="1"/>
  <c r="H1644" i="14"/>
  <c r="I1644" i="14" s="1"/>
  <c r="N1644" i="14" s="1"/>
  <c r="H1756" i="14"/>
  <c r="H1557" i="14"/>
  <c r="I1557" i="14" s="1"/>
  <c r="N1557" i="14"/>
  <c r="H1639" i="14"/>
  <c r="I1639" i="14" s="1"/>
  <c r="N1639" i="14" s="1"/>
  <c r="H1798" i="14"/>
  <c r="I1798" i="14" s="1"/>
  <c r="N1798" i="14"/>
  <c r="I1637" i="14"/>
  <c r="N1637" i="14"/>
  <c r="I1653" i="14"/>
  <c r="N1653" i="14"/>
  <c r="I1623" i="14"/>
  <c r="N1623" i="14"/>
  <c r="H1791" i="14"/>
  <c r="I1658" i="14"/>
  <c r="N1658" i="14"/>
  <c r="H1807" i="14"/>
  <c r="I1807" i="14" s="1"/>
  <c r="N1807" i="14" s="1"/>
  <c r="H1646" i="14"/>
  <c r="I1646" i="14" s="1"/>
  <c r="N1646" i="14" s="1"/>
  <c r="H1805" i="14"/>
  <c r="I1805" i="14" s="1"/>
  <c r="N1805" i="14" s="1"/>
  <c r="H1469" i="14"/>
  <c r="I1469" i="14" s="1"/>
  <c r="N1469" i="14" s="1"/>
  <c r="H1784" i="14"/>
  <c r="I1784" i="14" s="1"/>
  <c r="N1784" i="14" s="1"/>
  <c r="I1632" i="14"/>
  <c r="N1632" i="14"/>
  <c r="I1826" i="14"/>
  <c r="N1826" i="14"/>
  <c r="H1665" i="14"/>
  <c r="I1665" i="14" s="1"/>
  <c r="N1665" i="14" s="1"/>
  <c r="I1814" i="14"/>
  <c r="N1814" i="14"/>
  <c r="I1651" i="14"/>
  <c r="H1819" i="14"/>
  <c r="H1686" i="14"/>
  <c r="H1835" i="14"/>
  <c r="I1835" i="14" s="1"/>
  <c r="N1835" i="14" s="1"/>
  <c r="H1833" i="14"/>
  <c r="I1833" i="14" s="1"/>
  <c r="N1833" i="14" s="1"/>
  <c r="I1435" i="14"/>
  <c r="N1435" i="14"/>
  <c r="I1420" i="14"/>
  <c r="N1420" i="14"/>
  <c r="H1434" i="14"/>
  <c r="H1448" i="14"/>
  <c r="I1448" i="14" s="1"/>
  <c r="N1448" i="14"/>
  <c r="I1462" i="14"/>
  <c r="N1462" i="14"/>
  <c r="H1442" i="14"/>
  <c r="I1442" i="14" s="1"/>
  <c r="N1442" i="14" s="1"/>
  <c r="H1458" i="14"/>
  <c r="I1458" i="14" s="1"/>
  <c r="N1458" i="14" s="1"/>
  <c r="H1456" i="14"/>
  <c r="H1414" i="14"/>
  <c r="I1405" i="14"/>
  <c r="N1405" i="14"/>
  <c r="H1362" i="14"/>
  <c r="I1362" i="14" s="1"/>
  <c r="N1362" i="14" s="1"/>
  <c r="H1675" i="14"/>
  <c r="I1675" i="14" s="1"/>
  <c r="N1675" i="14" s="1"/>
  <c r="H1680" i="14"/>
  <c r="I1339" i="14"/>
  <c r="N1339" i="14"/>
  <c r="I1399" i="14"/>
  <c r="I1369" i="14"/>
  <c r="N1369" i="14"/>
  <c r="H1404" i="14"/>
  <c r="I1404" i="14" s="1"/>
  <c r="N1404" i="14" s="1"/>
  <c r="I1360" i="14"/>
  <c r="N1360" i="14"/>
  <c r="H1430" i="14"/>
  <c r="I1430" i="14" s="1"/>
  <c r="N1430" i="14" s="1"/>
  <c r="H1437" i="14"/>
  <c r="I1437" i="14" s="1"/>
  <c r="N1437" i="14" s="1"/>
  <c r="H1444" i="14"/>
  <c r="I1444" i="14" s="1"/>
  <c r="N1444" i="14" s="1"/>
  <c r="I1416" i="14"/>
  <c r="N1416" i="14"/>
  <c r="H1402" i="14"/>
  <c r="I1402" i="14" s="1"/>
  <c r="N1402" i="14" s="1"/>
  <c r="I1412" i="14"/>
  <c r="N1412" i="14"/>
  <c r="H1425" i="14"/>
  <c r="I1425" i="14" s="1"/>
  <c r="N1425" i="14" s="1"/>
  <c r="I1465" i="14"/>
  <c r="N1465" i="14"/>
  <c r="I1463" i="14"/>
  <c r="N1463" i="14"/>
  <c r="H1467" i="14"/>
  <c r="H1423" i="14"/>
  <c r="I1423" i="14" s="1"/>
  <c r="N1423" i="14" s="1"/>
  <c r="H1421" i="14"/>
  <c r="H1411" i="14"/>
  <c r="I1411" i="14" s="1"/>
  <c r="N1411" i="14" s="1"/>
  <c r="H1439" i="14"/>
  <c r="I1439" i="14" s="1"/>
  <c r="N1439" i="14" s="1"/>
  <c r="I1337" i="14"/>
  <c r="N1337" i="14"/>
  <c r="H1395" i="14"/>
  <c r="I1395" i="14" s="1"/>
  <c r="N1395" i="14" s="1"/>
  <c r="I1493" i="14"/>
  <c r="N1493" i="14"/>
  <c r="H1432" i="14"/>
  <c r="I1367" i="14"/>
  <c r="N1367" i="14"/>
  <c r="I1358" i="14"/>
  <c r="N1358" i="14"/>
  <c r="I1455" i="14"/>
  <c r="N1455" i="14"/>
  <c r="I1453" i="14"/>
  <c r="N1453" i="14"/>
  <c r="H1451" i="14"/>
  <c r="I1451" i="14" s="1"/>
  <c r="N1451" i="14" s="1"/>
  <c r="I1449" i="14"/>
  <c r="N1449" i="14"/>
  <c r="I1418" i="14"/>
  <c r="N1418" i="14"/>
  <c r="H1446" i="14"/>
  <c r="I1446" i="14"/>
  <c r="N1446" i="14"/>
  <c r="I1409" i="14"/>
  <c r="N1409" i="14"/>
  <c r="H1340" i="14"/>
  <c r="I1340" i="14" s="1"/>
  <c r="N1340" i="14" s="1"/>
  <c r="H1386" i="14"/>
  <c r="I1386" i="14" s="1"/>
  <c r="N1386" i="14" s="1"/>
  <c r="H1388" i="14"/>
  <c r="I1388" i="14" s="1"/>
  <c r="N1388" i="14" s="1"/>
  <c r="I1346" i="14"/>
  <c r="N1346" i="14"/>
  <c r="H1368" i="14"/>
  <c r="H1391" i="14"/>
  <c r="I1391" i="14" s="1"/>
  <c r="H1379" i="14"/>
  <c r="I1379" i="14" s="1"/>
  <c r="N1379" i="14" s="1"/>
  <c r="I1330" i="14"/>
  <c r="N1330" i="14"/>
  <c r="I1353" i="14"/>
  <c r="N1353" i="14"/>
  <c r="H1375" i="14"/>
  <c r="I1333" i="14"/>
  <c r="N1333" i="14"/>
  <c r="H1382" i="14"/>
  <c r="I1433" i="14"/>
  <c r="N1433" i="14"/>
  <c r="H1410" i="14"/>
  <c r="I1410" i="14" s="1"/>
  <c r="N1410" i="14" s="1"/>
  <c r="H1419" i="14"/>
  <c r="I1419" i="14" s="1"/>
  <c r="N1419" i="14" s="1"/>
  <c r="I1431" i="14"/>
  <c r="N1431" i="14"/>
  <c r="I1403" i="14"/>
  <c r="N1403" i="14"/>
  <c r="H1356" i="14"/>
  <c r="I1356" i="14" s="1"/>
  <c r="N1356" i="14" s="1"/>
  <c r="H1389" i="14"/>
  <c r="I1389" i="14" s="1"/>
  <c r="N1389" i="14" s="1"/>
  <c r="I1326" i="14"/>
  <c r="N1326" i="14"/>
  <c r="I1422" i="14"/>
  <c r="N1422" i="14"/>
  <c r="I1450" i="14"/>
  <c r="N1450" i="14"/>
  <c r="H1468" i="14"/>
  <c r="I1468" i="14" s="1"/>
  <c r="N1468" i="14" s="1"/>
  <c r="I1328" i="14"/>
  <c r="N1328" i="14"/>
  <c r="I1459" i="14"/>
  <c r="N1459" i="14"/>
  <c r="H1347" i="14"/>
  <c r="I1445" i="14"/>
  <c r="N1445" i="14"/>
  <c r="I1461" i="14"/>
  <c r="N1461" i="14"/>
  <c r="I1363" i="14"/>
  <c r="I1440" i="14"/>
  <c r="N1440" i="14"/>
  <c r="I1447" i="14"/>
  <c r="N1447" i="14"/>
  <c r="I1464" i="14"/>
  <c r="N1464" i="14"/>
  <c r="H1454" i="14"/>
  <c r="I1454" i="14" s="1"/>
  <c r="N1454" i="14" s="1"/>
  <c r="I1426" i="14"/>
  <c r="N1426" i="14"/>
  <c r="H1600" i="14"/>
  <c r="H1768" i="14"/>
  <c r="I1768" i="14" s="1"/>
  <c r="N1768" i="14" s="1"/>
  <c r="H1775" i="14"/>
  <c r="I1775" i="14" s="1"/>
  <c r="N1775" i="14" s="1"/>
  <c r="H1817" i="14"/>
  <c r="I1817" i="14"/>
  <c r="N1817" i="14" s="1"/>
  <c r="H1761" i="14"/>
  <c r="I1761" i="14" s="1"/>
  <c r="N1761" i="14" s="1"/>
  <c r="H1796" i="14"/>
  <c r="I1796" i="14" s="1"/>
  <c r="N1796" i="14" s="1"/>
  <c r="H1698" i="14"/>
  <c r="H1726" i="14"/>
  <c r="I1726" i="14" s="1"/>
  <c r="N1726" i="14" s="1"/>
  <c r="H1754" i="14"/>
  <c r="H1789" i="14"/>
  <c r="I1789" i="14" s="1"/>
  <c r="N1789" i="14" s="1"/>
  <c r="H1642" i="14"/>
  <c r="H1782" i="14"/>
  <c r="I1782" i="14" s="1"/>
  <c r="N1782" i="14" s="1"/>
  <c r="H1824" i="14"/>
  <c r="I1486" i="14"/>
  <c r="N1486" i="14"/>
  <c r="I1479" i="14"/>
  <c r="N1479" i="14"/>
  <c r="H1545" i="14"/>
  <c r="I1545" i="14" s="1"/>
  <c r="N1545" i="14" s="1"/>
  <c r="I1516" i="14"/>
  <c r="N1516" i="14"/>
  <c r="H1551" i="14"/>
  <c r="I1551" i="14" s="1"/>
  <c r="N1551" i="14" s="1"/>
  <c r="H1559" i="14"/>
  <c r="I1559" i="14" s="1"/>
  <c r="N1559" i="14" s="1"/>
  <c r="H1587" i="14"/>
  <c r="H1580" i="14"/>
  <c r="I1580" i="14"/>
  <c r="N1580" i="14" s="1"/>
  <c r="H1524" i="14"/>
  <c r="H1320" i="14"/>
  <c r="I1320" i="14" s="1"/>
  <c r="N1320" i="14" s="1"/>
  <c r="H1327" i="14"/>
  <c r="I1327" i="14" s="1"/>
  <c r="N1327" i="14" s="1"/>
  <c r="H1509" i="14"/>
  <c r="I1171" i="14"/>
  <c r="N1171" i="14"/>
  <c r="H1507" i="14"/>
  <c r="I1507" i="14" s="1"/>
  <c r="N1507" i="14" s="1"/>
  <c r="I1348" i="14"/>
  <c r="N1348" i="14"/>
  <c r="H1383" i="14"/>
  <c r="I1383" i="14" s="1"/>
  <c r="N1383" i="14" s="1"/>
  <c r="H1307" i="14"/>
  <c r="I1307" i="14" s="1"/>
  <c r="N1307" i="14" s="1"/>
  <c r="I1376" i="14"/>
  <c r="H1334" i="14"/>
  <c r="I1334" i="14" s="1"/>
  <c r="N1334" i="14" s="1"/>
  <c r="I1229" i="14"/>
  <c r="N1229" i="14"/>
  <c r="H1233" i="14"/>
  <c r="B1233" i="14" s="1"/>
  <c r="H1684" i="14"/>
  <c r="I1684" i="14" s="1"/>
  <c r="N1684" i="14" s="1"/>
  <c r="H1349" i="14"/>
  <c r="I1349" i="14" s="1"/>
  <c r="N1349" i="14" s="1"/>
  <c r="H1276" i="14"/>
  <c r="I1276" i="14" s="1"/>
  <c r="N1276" i="14" s="1"/>
  <c r="H1361" i="14"/>
  <c r="I1361" i="14" s="1"/>
  <c r="N1361" i="14" s="1"/>
  <c r="H1325" i="14"/>
  <c r="I1325" i="14" s="1"/>
  <c r="N1325" i="14" s="1"/>
  <c r="H1281" i="14"/>
  <c r="I1284" i="14"/>
  <c r="N1284" i="14"/>
  <c r="H1283" i="14"/>
  <c r="H1394" i="14"/>
  <c r="I1394" i="14" s="1"/>
  <c r="N1394" i="14" s="1"/>
  <c r="H1256" i="14"/>
  <c r="B1254" i="14" s="1"/>
  <c r="I1315" i="14"/>
  <c r="N1315" i="14"/>
  <c r="H1272" i="14"/>
  <c r="I1272" i="14" s="1"/>
  <c r="N1272" i="14" s="1"/>
  <c r="I1187" i="14"/>
  <c r="N1187" i="14"/>
  <c r="H1269" i="14"/>
  <c r="H1234" i="14"/>
  <c r="I1234" i="14" s="1"/>
  <c r="N1234" i="14" s="1"/>
  <c r="H1240" i="14"/>
  <c r="I1240" i="14" s="1"/>
  <c r="N1240" i="14" s="1"/>
  <c r="H1228" i="14"/>
  <c r="I1228" i="14" s="1"/>
  <c r="N1228" i="14" s="1"/>
  <c r="I1277" i="14"/>
  <c r="N1277" i="14"/>
  <c r="I1159" i="14"/>
  <c r="N1159" i="14"/>
  <c r="H1299" i="14"/>
  <c r="I1299" i="14" s="1"/>
  <c r="N1299" i="14" s="1"/>
  <c r="H1180" i="14"/>
  <c r="I1180" i="14" s="1"/>
  <c r="N1180" i="14" s="1"/>
  <c r="I1166" i="14"/>
  <c r="N1166" i="14"/>
  <c r="I1173" i="14"/>
  <c r="N1173" i="14"/>
  <c r="H1384" i="14"/>
  <c r="I1384" i="14" s="1"/>
  <c r="N1384" i="14" s="1"/>
  <c r="I1153" i="14"/>
  <c r="N1153" i="14"/>
  <c r="I1342" i="14"/>
  <c r="N1342" i="14"/>
  <c r="I1009" i="14"/>
  <c r="N1009" i="14"/>
  <c r="H1393" i="14"/>
  <c r="I1393" i="14" s="1"/>
  <c r="N1393" i="14" s="1"/>
  <c r="H1230" i="14"/>
  <c r="I1230" i="14" s="1"/>
  <c r="N1230" i="14" s="1"/>
  <c r="I1321" i="14"/>
  <c r="N1321" i="14"/>
  <c r="I1265" i="14"/>
  <c r="N1265" i="14"/>
  <c r="H1132" i="14"/>
  <c r="I1132" i="14" s="1"/>
  <c r="N1132" i="14" s="1"/>
  <c r="H1160" i="14"/>
  <c r="I1160" i="14" s="1"/>
  <c r="N1160" i="14" s="1"/>
  <c r="I1104" i="14"/>
  <c r="N1104" i="14"/>
  <c r="B87" i="14"/>
  <c r="H1152" i="14"/>
  <c r="I1152" i="14" s="1"/>
  <c r="I1181" i="14"/>
  <c r="N1181" i="14"/>
  <c r="I1031" i="14"/>
  <c r="N1031" i="14"/>
  <c r="I1001" i="14"/>
  <c r="N1001" i="14"/>
  <c r="I999" i="14"/>
  <c r="I1006" i="14"/>
  <c r="N1006" i="14"/>
  <c r="I1002" i="14"/>
  <c r="N1002" i="14"/>
  <c r="I1282" i="14"/>
  <c r="N1282" i="14"/>
  <c r="H1174" i="14"/>
  <c r="I1174" i="14" s="1"/>
  <c r="N1174" i="14" s="1"/>
  <c r="H1377" i="14"/>
  <c r="I1146" i="14"/>
  <c r="N1146" i="14"/>
  <c r="H1167" i="14"/>
  <c r="I1167" i="14" s="1"/>
  <c r="N1167" i="14" s="1"/>
  <c r="H1341" i="14"/>
  <c r="I1341" i="14" s="1"/>
  <c r="N1341" i="14" s="1"/>
  <c r="H1314" i="14"/>
  <c r="I1314" i="14" s="1"/>
  <c r="N1314" i="14" s="1"/>
  <c r="H1370" i="14"/>
  <c r="I1370" i="14" s="1"/>
  <c r="N1370" i="14" s="1"/>
  <c r="H1279" i="14"/>
  <c r="I1279" i="14" s="1"/>
  <c r="N1279" i="14" s="1"/>
  <c r="I1111" i="14"/>
  <c r="N1111" i="14"/>
  <c r="H1286" i="14"/>
  <c r="I1286" i="14" s="1"/>
  <c r="N1286" i="14" s="1"/>
  <c r="H1300" i="14"/>
  <c r="I1300" i="14" s="1"/>
  <c r="N1300" i="14" s="1"/>
  <c r="I1118" i="14"/>
  <c r="N1118" i="14"/>
  <c r="I1262" i="14"/>
  <c r="N1262" i="14"/>
  <c r="I985" i="14"/>
  <c r="N985" i="14"/>
  <c r="I1139" i="14"/>
  <c r="N1139" i="14"/>
  <c r="H1306" i="14"/>
  <c r="I1306" i="14" s="1"/>
  <c r="N1306" i="14" s="1"/>
  <c r="I1335" i="14"/>
  <c r="N1335" i="14"/>
  <c r="I1125" i="14"/>
  <c r="N1125" i="14"/>
  <c r="I1200" i="14"/>
  <c r="N1200" i="14"/>
  <c r="H1390" i="14"/>
  <c r="I1390" i="14" s="1"/>
  <c r="N1390" i="14" s="1"/>
  <c r="H1017" i="14"/>
  <c r="I1017" i="14" s="1"/>
  <c r="N1017" i="14" s="1"/>
  <c r="H1466" i="14"/>
  <c r="I1466" i="14" s="1"/>
  <c r="N1466" i="14" s="1"/>
  <c r="H1424" i="14"/>
  <c r="H1318" i="14"/>
  <c r="I1318" i="14" s="1"/>
  <c r="N1318" i="14" s="1"/>
  <c r="H1372" i="14"/>
  <c r="I1372" i="14" s="1"/>
  <c r="N1372" i="14" s="1"/>
  <c r="H1297" i="14"/>
  <c r="I1297" i="14" s="1"/>
  <c r="N1297" i="14" s="1"/>
  <c r="I1355" i="14"/>
  <c r="N1355" i="14"/>
  <c r="H1309" i="14"/>
  <c r="I1309" i="14" s="1"/>
  <c r="N1309" i="14" s="1"/>
  <c r="I1024" i="14"/>
  <c r="N1024" i="14"/>
  <c r="H1074" i="14"/>
  <c r="I1074" i="14" s="1"/>
  <c r="N1074" i="14" s="1"/>
  <c r="H1088" i="14"/>
  <c r="I1088" i="14" s="1"/>
  <c r="N1088" i="14" s="1"/>
  <c r="I1010" i="14"/>
  <c r="N1010" i="14"/>
  <c r="I1020" i="14"/>
  <c r="N1020" i="14"/>
  <c r="I992" i="14"/>
  <c r="N992" i="14"/>
  <c r="I1013" i="14"/>
  <c r="N1013" i="14"/>
  <c r="I971" i="14"/>
  <c r="N971" i="14"/>
  <c r="I1018" i="14"/>
  <c r="N1018" i="14"/>
  <c r="I983" i="14"/>
  <c r="N983" i="14"/>
  <c r="I1025" i="14"/>
  <c r="N1025" i="14"/>
  <c r="I967" i="14"/>
  <c r="N967" i="14"/>
  <c r="H2145" i="14"/>
  <c r="I2145" i="14" s="1"/>
  <c r="N2145" i="14" s="1"/>
  <c r="H2128" i="14"/>
  <c r="I2128" i="14" s="1"/>
  <c r="N2128" i="14" s="1"/>
  <c r="H2137" i="14"/>
  <c r="I2137" i="14" s="1"/>
  <c r="N2137" i="14" s="1"/>
  <c r="H2107" i="14"/>
  <c r="H1732" i="14"/>
  <c r="I1549" i="14"/>
  <c r="N1549" i="14"/>
  <c r="I2028" i="14"/>
  <c r="N2028" i="14"/>
  <c r="H2132" i="14"/>
  <c r="I2132" i="14" s="1"/>
  <c r="N2132" i="14" s="1"/>
  <c r="I2036" i="14"/>
  <c r="N2036" i="14"/>
  <c r="H1702" i="14"/>
  <c r="I1612" i="14"/>
  <c r="N1612" i="14"/>
  <c r="I1961" i="14"/>
  <c r="N1961" i="14"/>
  <c r="I1952" i="14"/>
  <c r="N1952" i="14"/>
  <c r="I2014" i="14"/>
  <c r="N2014" i="14"/>
  <c r="I2021" i="14"/>
  <c r="N2021" i="14"/>
  <c r="I2000" i="14"/>
  <c r="I1993" i="14"/>
  <c r="N1993" i="14"/>
  <c r="I2007" i="14"/>
  <c r="N2007" i="14"/>
  <c r="I1979" i="14"/>
  <c r="N1979" i="14"/>
  <c r="I1948" i="14"/>
  <c r="N1948" i="14"/>
  <c r="I1927" i="14"/>
  <c r="N1927" i="14"/>
  <c r="I1922" i="14"/>
  <c r="N1922" i="14"/>
  <c r="I1936" i="14"/>
  <c r="N1936" i="14"/>
  <c r="I1945" i="14"/>
  <c r="N1945" i="14"/>
  <c r="I1920" i="14"/>
  <c r="N1920" i="14"/>
  <c r="I1949" i="14"/>
  <c r="N1949" i="14"/>
  <c r="I1934" i="14"/>
  <c r="N1934" i="14"/>
  <c r="I1924" i="14"/>
  <c r="N1924" i="14"/>
  <c r="I1928" i="14"/>
  <c r="N1928" i="14"/>
  <c r="I1935" i="14"/>
  <c r="N1935" i="14"/>
  <c r="I1943" i="14"/>
  <c r="N1943" i="14"/>
  <c r="H1779" i="14"/>
  <c r="I1779" i="14"/>
  <c r="N1779" i="14" s="1"/>
  <c r="I2118" i="14"/>
  <c r="N2118" i="14"/>
  <c r="I1894" i="14"/>
  <c r="N1894" i="14"/>
  <c r="I1893" i="14"/>
  <c r="N1893" i="14"/>
  <c r="I1900" i="14"/>
  <c r="N1900" i="14"/>
  <c r="I1896" i="14"/>
  <c r="N1896" i="14"/>
  <c r="I1889" i="14"/>
  <c r="N1889" i="14"/>
  <c r="I1887" i="14"/>
  <c r="N1887" i="14"/>
  <c r="I1872" i="14"/>
  <c r="N1872" i="14"/>
  <c r="I1874" i="14"/>
  <c r="N1874" i="14"/>
  <c r="I1864" i="14"/>
  <c r="N1864" i="14"/>
  <c r="I1866" i="14"/>
  <c r="N1866" i="14"/>
  <c r="I1861" i="14"/>
  <c r="N1861" i="14"/>
  <c r="I1673" i="14"/>
  <c r="N1673" i="14"/>
  <c r="I1703" i="14"/>
  <c r="N1703" i="14"/>
  <c r="I1672" i="14"/>
  <c r="N1672" i="14"/>
  <c r="I1687" i="14"/>
  <c r="N1687" i="14"/>
  <c r="I1668" i="14"/>
  <c r="N1668" i="14"/>
  <c r="I1689" i="14"/>
  <c r="N1689" i="14"/>
  <c r="I1701" i="14"/>
  <c r="I1725" i="14"/>
  <c r="N1725" i="14"/>
  <c r="I1728" i="14"/>
  <c r="N1728" i="14"/>
  <c r="I1693" i="14"/>
  <c r="N1693" i="14"/>
  <c r="I1674" i="14"/>
  <c r="N1674" i="14"/>
  <c r="I1721" i="14"/>
  <c r="N1721" i="14"/>
  <c r="I1743" i="14"/>
  <c r="N1743" i="14"/>
  <c r="I1710" i="14"/>
  <c r="N1710" i="14"/>
  <c r="I1562" i="14"/>
  <c r="N1562" i="14"/>
  <c r="H1606" i="14"/>
  <c r="I1606" i="14" s="1"/>
  <c r="N1606" i="14" s="1"/>
  <c r="I1610" i="14"/>
  <c r="N1610" i="14"/>
  <c r="I1590" i="14"/>
  <c r="N1590" i="14"/>
  <c r="I1787" i="14"/>
  <c r="N1787" i="14"/>
  <c r="H1572" i="14"/>
  <c r="I1569" i="14"/>
  <c r="N1569" i="14"/>
  <c r="H1589" i="14"/>
  <c r="I1589" i="14" s="1"/>
  <c r="N1589" i="14" s="1"/>
  <c r="I1415" i="14"/>
  <c r="N1415" i="14"/>
  <c r="H1570" i="14"/>
  <c r="I1582" i="14"/>
  <c r="N1582" i="14"/>
  <c r="I1538" i="14"/>
  <c r="N1538" i="14"/>
  <c r="I1550" i="14"/>
  <c r="N1550" i="14"/>
  <c r="H1729" i="14"/>
  <c r="I1729" i="14" s="1"/>
  <c r="N1729" i="14" s="1"/>
  <c r="I1536" i="14"/>
  <c r="H1810" i="14"/>
  <c r="I1511" i="14"/>
  <c r="N1511" i="14"/>
  <c r="I1618" i="14"/>
  <c r="N1618" i="14"/>
  <c r="H1765" i="14"/>
  <c r="I1765" i="14" s="1"/>
  <c r="N1765" i="14" s="1"/>
  <c r="H1510" i="14"/>
  <c r="I1510" i="14" s="1"/>
  <c r="N1510" i="14" s="1"/>
  <c r="N1615" i="14"/>
  <c r="H1539" i="14"/>
  <c r="I1539" i="14" s="1"/>
  <c r="N1539" i="14" s="1"/>
  <c r="I1546" i="14"/>
  <c r="N1546" i="14"/>
  <c r="H1604" i="14"/>
  <c r="I1604" i="14" s="1"/>
  <c r="N1604" i="14" s="1"/>
  <c r="H1535" i="14"/>
  <c r="I1535" i="14" s="1"/>
  <c r="N1535" i="14" s="1"/>
  <c r="H1731" i="14"/>
  <c r="I1731" i="14" s="1"/>
  <c r="N1731" i="14" s="1"/>
  <c r="H1706" i="14"/>
  <c r="I1706" i="14" s="1"/>
  <c r="N1706" i="14" s="1"/>
  <c r="H1724" i="14"/>
  <c r="I1608" i="14"/>
  <c r="N1608" i="14"/>
  <c r="H1757" i="14"/>
  <c r="I1757" i="14" s="1"/>
  <c r="N1757" i="14" s="1"/>
  <c r="I1504" i="14"/>
  <c r="N1504" i="14"/>
  <c r="H1811" i="14"/>
  <c r="I1811" i="14" s="1"/>
  <c r="N1811" i="14" s="1"/>
  <c r="H1715" i="14"/>
  <c r="I1715" i="14" s="1"/>
  <c r="N1715" i="14" s="1"/>
  <c r="H1742" i="14"/>
  <c r="H1786" i="14"/>
  <c r="I1786" i="14" s="1"/>
  <c r="N1786" i="14" s="1"/>
  <c r="H1745" i="14"/>
  <c r="H1772" i="14"/>
  <c r="I1772" i="14" s="1"/>
  <c r="N1772" i="14" s="1"/>
  <c r="H1764" i="14"/>
  <c r="I1764" i="14"/>
  <c r="N1764" i="14" s="1"/>
  <c r="I1793" i="14"/>
  <c r="N1793" i="14"/>
  <c r="H1800" i="14"/>
  <c r="I1800" i="14" s="1"/>
  <c r="N1800" i="14" s="1"/>
  <c r="H1809" i="14"/>
  <c r="I1809" i="14" s="1"/>
  <c r="N1809" i="14" s="1"/>
  <c r="I1625" i="14"/>
  <c r="N1625" i="14"/>
  <c r="I1506" i="14"/>
  <c r="N1506" i="14"/>
  <c r="I1533" i="14"/>
  <c r="N1533" i="14"/>
  <c r="H1436" i="14"/>
  <c r="I1436" i="14" s="1"/>
  <c r="N1436" i="14" s="1"/>
  <c r="H1429" i="14"/>
  <c r="I1429" i="14" s="1"/>
  <c r="N1429" i="14" s="1"/>
  <c r="H1366" i="14"/>
  <c r="B1366" i="14" s="1"/>
  <c r="H1417" i="14"/>
  <c r="I1417" i="14" s="1"/>
  <c r="N1417" i="14" s="1"/>
  <c r="H1767" i="14"/>
  <c r="I1767" i="14" s="1"/>
  <c r="N1767" i="14"/>
  <c r="H1688" i="14"/>
  <c r="I1688" i="14" s="1"/>
  <c r="N1688" i="14" s="1"/>
  <c r="H1408" i="14"/>
  <c r="I1408" i="14" s="1"/>
  <c r="N1408" i="14" s="1"/>
  <c r="H1758" i="14"/>
  <c r="I1758" i="14" s="1"/>
  <c r="H1561" i="14"/>
  <c r="I1561" i="14" s="1"/>
  <c r="N1561" i="14" s="1"/>
  <c r="I1457" i="14"/>
  <c r="N1457" i="14"/>
  <c r="I1443" i="14"/>
  <c r="N1443" i="14"/>
  <c r="I1719" i="14"/>
  <c r="N1719" i="14"/>
  <c r="I1838" i="14"/>
  <c r="N1838" i="14"/>
  <c r="I1733" i="14"/>
  <c r="N1733" i="14"/>
  <c r="I1712" i="14"/>
  <c r="I1691" i="14"/>
  <c r="N1691" i="14"/>
  <c r="I1831" i="14"/>
  <c r="N1831" i="14"/>
  <c r="I1803" i="14"/>
  <c r="N1803" i="14"/>
  <c r="I1705" i="14"/>
  <c r="N1705" i="14"/>
  <c r="I1670" i="14"/>
  <c r="N1670" i="14"/>
  <c r="I1677" i="14"/>
  <c r="N1677" i="14"/>
  <c r="I1635" i="14"/>
  <c r="I1747" i="14"/>
  <c r="N1747" i="14"/>
  <c r="I1649" i="14"/>
  <c r="N1649" i="14"/>
  <c r="I1663" i="14"/>
  <c r="I1628" i="14"/>
  <c r="N1628" i="14"/>
  <c r="I1575" i="14"/>
  <c r="N1575" i="14"/>
  <c r="I1137" i="14"/>
  <c r="N1137" i="14"/>
  <c r="I1271" i="14"/>
  <c r="N1271" i="14"/>
  <c r="I1373" i="14"/>
  <c r="N1373" i="14"/>
  <c r="I1542" i="14"/>
  <c r="N1542" i="14"/>
  <c r="H1278" i="14"/>
  <c r="I1278" i="14" s="1"/>
  <c r="N1278" i="14" s="1"/>
  <c r="I1488" i="14"/>
  <c r="N1488" i="14"/>
  <c r="I1491" i="14"/>
  <c r="N1491" i="14"/>
  <c r="I1170" i="14"/>
  <c r="N1170" i="14"/>
  <c r="H1285" i="14"/>
  <c r="I1285" i="14" s="1"/>
  <c r="N1285" i="14" s="1"/>
  <c r="I1495" i="14"/>
  <c r="N1495" i="14"/>
  <c r="I1374" i="14"/>
  <c r="N1374" i="14"/>
  <c r="H1352" i="14"/>
  <c r="I1352" i="14" s="1"/>
  <c r="N1352" i="14" s="1"/>
  <c r="H1548" i="14"/>
  <c r="I1548" i="14" s="1"/>
  <c r="N1548" i="14" s="1"/>
  <c r="H1503" i="14"/>
  <c r="I1503" i="14" s="1"/>
  <c r="N1503" i="14" s="1"/>
  <c r="H1331" i="14"/>
  <c r="H1521" i="14"/>
  <c r="I1521" i="14" s="1"/>
  <c r="N1521" i="14" s="1"/>
  <c r="I1380" i="14"/>
  <c r="N1380" i="14"/>
  <c r="H1290" i="14"/>
  <c r="I1290" i="14" s="1"/>
  <c r="N1290" i="14" s="1"/>
  <c r="I1317" i="14"/>
  <c r="N1317" i="14"/>
  <c r="H1396" i="14"/>
  <c r="I1396" i="14" s="1"/>
  <c r="N1396" i="14" s="1"/>
  <c r="I1179" i="14"/>
  <c r="N1179" i="14"/>
  <c r="H1304" i="14"/>
  <c r="I1304" i="14" s="1"/>
  <c r="N1304" i="14" s="1"/>
  <c r="H1345" i="14"/>
  <c r="I1345" i="14" s="1"/>
  <c r="N1345" i="14" s="1"/>
  <c r="H1302" i="14"/>
  <c r="I1302" i="14" s="1"/>
  <c r="N1302" i="14" s="1"/>
  <c r="I1324" i="14"/>
  <c r="N1324" i="14"/>
  <c r="I1156" i="14"/>
  <c r="N1156" i="14"/>
  <c r="H1359" i="14"/>
  <c r="I1211" i="14"/>
  <c r="N1211" i="14"/>
  <c r="I1218" i="14"/>
  <c r="N1218" i="14"/>
  <c r="H1213" i="14"/>
  <c r="I1213" i="14" s="1"/>
  <c r="N1213" i="14" s="1"/>
  <c r="H1316" i="14"/>
  <c r="I1177" i="14"/>
  <c r="N1177" i="14"/>
  <c r="H1178" i="14"/>
  <c r="I1178" i="14" s="1"/>
  <c r="N1178" i="14" s="1"/>
  <c r="I1135" i="14"/>
  <c r="N1135" i="14"/>
  <c r="H1212" i="14"/>
  <c r="I1212" i="14" s="1"/>
  <c r="N1212" i="14" s="1"/>
  <c r="I1168" i="14"/>
  <c r="H1311" i="14"/>
  <c r="I1311" i="14" s="1"/>
  <c r="N1311" i="14" s="1"/>
  <c r="I1220" i="14"/>
  <c r="N1220" i="14"/>
  <c r="I1206" i="14"/>
  <c r="N1206" i="14"/>
  <c r="I1164" i="14"/>
  <c r="N1164" i="14"/>
  <c r="I1163" i="14"/>
  <c r="N1163" i="14"/>
  <c r="I1183" i="14"/>
  <c r="N1183" i="14"/>
  <c r="I1161" i="14"/>
  <c r="N1161" i="14"/>
  <c r="H1182" i="14"/>
  <c r="I1182" i="14" s="1"/>
  <c r="N1182" i="14" s="1"/>
  <c r="H1398" i="14"/>
  <c r="I1398" i="14" s="1"/>
  <c r="N1398" i="14" s="1"/>
  <c r="I1175" i="14"/>
  <c r="N1175" i="14"/>
  <c r="I1003" i="14"/>
  <c r="N1003" i="14"/>
  <c r="I1157" i="14"/>
  <c r="N1157" i="14"/>
  <c r="I1143" i="14"/>
  <c r="N1143" i="14"/>
  <c r="I1144" i="14"/>
  <c r="N1144" i="14"/>
  <c r="H1165" i="14"/>
  <c r="I1165" i="14" s="1"/>
  <c r="N1165" i="14" s="1"/>
  <c r="H1129" i="14"/>
  <c r="I1185" i="14"/>
  <c r="N1185" i="14"/>
  <c r="H1169" i="14"/>
  <c r="I1169" i="14" s="1"/>
  <c r="N1169" i="14" s="1"/>
  <c r="I1189" i="14"/>
  <c r="N1189" i="14"/>
  <c r="H1354" i="14"/>
  <c r="I1149" i="14"/>
  <c r="N1149" i="14"/>
  <c r="H1150" i="14"/>
  <c r="I1150" i="14" s="1"/>
  <c r="N1150" i="14" s="1"/>
  <c r="H1381" i="14"/>
  <c r="I1381" i="14" s="1"/>
  <c r="N1381" i="14" s="1"/>
  <c r="H1332" i="14"/>
  <c r="I1332" i="14" s="1"/>
  <c r="N1332" i="14" s="1"/>
  <c r="H1184" i="14"/>
  <c r="I1184" i="14" s="1"/>
  <c r="N1184" i="14" s="1"/>
  <c r="H1294" i="14"/>
  <c r="I1294" i="14" s="1"/>
  <c r="N1294" i="14" s="1"/>
  <c r="I1236" i="14"/>
  <c r="H1136" i="14"/>
  <c r="I1136" i="14" s="1"/>
  <c r="N1136" i="14" s="1"/>
  <c r="H1176" i="14"/>
  <c r="B1177" i="14" s="1"/>
  <c r="H1162" i="14"/>
  <c r="I1162" i="14" s="1"/>
  <c r="N1162" i="14" s="1"/>
  <c r="H1190" i="14"/>
  <c r="I1190" i="14" s="1"/>
  <c r="N1190" i="14" s="1"/>
  <c r="I1365" i="14"/>
  <c r="N1365" i="14"/>
  <c r="H1158" i="14"/>
  <c r="H1172" i="14"/>
  <c r="H1186" i="14"/>
  <c r="I1186" i="14" s="1"/>
  <c r="N1186" i="14" s="1"/>
  <c r="H994" i="14"/>
  <c r="B995" i="14" s="1"/>
  <c r="I994" i="14"/>
  <c r="N994" i="14" s="1"/>
  <c r="I995" i="14"/>
  <c r="N995" i="14"/>
  <c r="I997" i="14"/>
  <c r="N997" i="14"/>
  <c r="H996" i="14"/>
  <c r="I996" i="14" s="1"/>
  <c r="N996" i="14" s="1"/>
  <c r="H1148" i="14"/>
  <c r="I1148" i="14" s="1"/>
  <c r="N1148" i="14" s="1"/>
  <c r="H1293" i="14"/>
  <c r="I1452" i="14"/>
  <c r="N1452" i="14"/>
  <c r="I982" i="14"/>
  <c r="N982" i="14"/>
  <c r="H1329" i="14"/>
  <c r="I1329" i="14" s="1"/>
  <c r="N1329" i="14" s="1"/>
  <c r="I989" i="14"/>
  <c r="N989" i="14"/>
  <c r="H1338" i="14"/>
  <c r="H1387" i="14"/>
  <c r="I1387" i="14" s="1"/>
  <c r="N1387" i="14" s="1"/>
  <c r="I966" i="14"/>
  <c r="N966" i="14"/>
  <c r="H1312" i="14"/>
  <c r="I1312" i="14" s="1"/>
  <c r="N1312" i="14" s="1"/>
  <c r="I1438" i="14"/>
  <c r="N1438" i="14"/>
  <c r="I1473" i="14"/>
  <c r="N1473" i="14"/>
  <c r="I1060" i="14"/>
  <c r="N1060" i="14"/>
  <c r="I969" i="14"/>
  <c r="N969" i="14"/>
  <c r="I1108" i="14"/>
  <c r="I1102" i="14"/>
  <c r="N1102" i="14"/>
  <c r="I2035" i="14"/>
  <c r="N2035" i="14"/>
  <c r="I1730" i="14"/>
  <c r="N1730" i="14"/>
  <c r="I1695" i="14"/>
  <c r="N1695" i="14"/>
  <c r="I1707" i="14"/>
  <c r="N1707" i="14"/>
  <c r="I1716" i="14"/>
  <c r="N1716" i="14"/>
  <c r="I1709" i="14"/>
  <c r="N1709" i="14"/>
  <c r="I1723" i="14"/>
  <c r="N1723" i="14"/>
  <c r="I1519" i="14"/>
  <c r="N1519" i="14"/>
  <c r="I1528" i="14"/>
  <c r="N1528" i="14"/>
  <c r="I1555" i="14"/>
  <c r="N1555" i="14"/>
  <c r="I1591" i="14"/>
  <c r="N1591" i="14"/>
  <c r="I1481" i="14"/>
  <c r="N1481" i="14"/>
  <c r="I1571" i="14"/>
  <c r="N1571" i="14"/>
  <c r="I1564" i="14"/>
  <c r="N1564" i="14"/>
  <c r="I1554" i="14"/>
  <c r="N1554" i="14"/>
  <c r="I1401" i="14"/>
  <c r="N1401" i="14"/>
  <c r="I1512" i="14"/>
  <c r="N1512" i="14"/>
  <c r="I1526" i="14"/>
  <c r="N1526" i="14"/>
  <c r="I1584" i="14"/>
  <c r="N1584" i="14"/>
  <c r="I1344" i="14"/>
  <c r="N1344" i="14"/>
  <c r="I1397" i="14"/>
  <c r="N1397" i="14"/>
  <c r="I1155" i="14"/>
  <c r="N1155" i="14"/>
  <c r="I1120" i="14"/>
  <c r="N1120" i="14"/>
  <c r="I1134" i="14"/>
  <c r="N1134" i="14"/>
  <c r="I1113" i="14"/>
  <c r="N1113" i="14"/>
  <c r="I1141" i="14"/>
  <c r="N1141" i="14"/>
  <c r="I1303" i="14"/>
  <c r="N1303" i="14"/>
  <c r="I1351" i="14"/>
  <c r="N1351" i="14"/>
  <c r="I1568" i="14"/>
  <c r="N1568" i="14"/>
  <c r="I1556" i="14"/>
  <c r="N1556" i="14"/>
  <c r="H2037" i="14"/>
  <c r="I2037" i="14" s="1"/>
  <c r="N2037" i="14" s="1"/>
  <c r="H2024" i="14"/>
  <c r="I2033" i="14"/>
  <c r="N2033" i="14"/>
  <c r="I2029" i="14"/>
  <c r="N2029" i="14"/>
  <c r="I2025" i="14"/>
  <c r="N2025" i="14"/>
  <c r="H2083" i="14"/>
  <c r="I2083" i="14" s="1"/>
  <c r="N2083" i="14" s="1"/>
  <c r="H1911" i="14"/>
  <c r="H1925" i="14"/>
  <c r="H1748" i="14"/>
  <c r="H1862" i="14"/>
  <c r="B1862" i="14" s="1"/>
  <c r="I1862" i="14"/>
  <c r="N1862" i="14" s="1"/>
  <c r="B1865" i="14" s="1"/>
  <c r="I1656" i="14"/>
  <c r="N1656" i="14"/>
  <c r="I2129" i="14"/>
  <c r="N2129" i="14"/>
  <c r="I2032" i="14"/>
  <c r="N2032" i="14"/>
  <c r="I1918" i="14"/>
  <c r="N1918" i="14"/>
  <c r="I1932" i="14"/>
  <c r="N1932" i="14"/>
  <c r="I1946" i="14"/>
  <c r="N1946" i="14"/>
  <c r="I1939" i="14"/>
  <c r="N1939" i="14"/>
  <c r="H1744" i="14"/>
  <c r="I1744" i="14" s="1"/>
  <c r="N1744" i="14"/>
  <c r="H1737" i="14"/>
  <c r="I1737" i="14" s="1"/>
  <c r="N1737" i="14" s="1"/>
  <c r="I1904" i="14"/>
  <c r="N1904" i="14"/>
  <c r="I1890" i="14"/>
  <c r="N1890" i="14"/>
  <c r="I1897" i="14"/>
  <c r="N1897" i="14"/>
  <c r="I1883" i="14"/>
  <c r="N1883" i="14"/>
  <c r="I1876" i="14"/>
  <c r="N1876" i="14"/>
  <c r="I1751" i="14"/>
  <c r="N1751" i="14"/>
  <c r="I1597" i="14"/>
  <c r="N1597" i="14"/>
  <c r="I2039" i="14"/>
  <c r="N2039" i="14"/>
  <c r="H2038" i="14"/>
  <c r="I2038" i="14" s="1"/>
  <c r="N2038" i="14" s="1"/>
  <c r="R2307" i="14"/>
  <c r="R2172" i="14"/>
  <c r="R2200" i="14"/>
  <c r="R2064" i="14"/>
  <c r="R2197" i="14"/>
  <c r="R2158" i="14"/>
  <c r="R2146" i="14"/>
  <c r="P2080" i="14"/>
  <c r="P2064" i="14"/>
  <c r="R2117" i="14"/>
  <c r="R2095" i="14"/>
  <c r="P2315" i="14"/>
  <c r="P2117" i="14"/>
  <c r="P2200" i="14"/>
  <c r="P2172" i="14"/>
  <c r="P2051" i="14"/>
  <c r="P2095" i="14"/>
  <c r="I2040" i="14"/>
  <c r="N2040" i="14"/>
  <c r="H2146" i="14"/>
  <c r="I2146" i="14" s="1"/>
  <c r="N2146" i="14" s="1"/>
  <c r="H2170" i="14"/>
  <c r="I2170" i="14" s="1"/>
  <c r="N2170" i="14" s="1"/>
  <c r="I2046" i="14"/>
  <c r="N2046" i="14"/>
  <c r="I2043" i="14"/>
  <c r="N2043" i="14"/>
  <c r="I2047" i="14"/>
  <c r="N2047" i="14"/>
  <c r="I2042" i="14"/>
  <c r="N2042" i="14"/>
  <c r="I2045" i="14"/>
  <c r="N2045" i="14"/>
  <c r="P2060" i="14"/>
  <c r="R2093" i="14"/>
  <c r="P2088" i="14"/>
  <c r="P2063" i="14"/>
  <c r="R2104" i="14"/>
  <c r="R2119" i="14"/>
  <c r="P2078" i="14"/>
  <c r="P2096" i="14"/>
  <c r="P2066" i="14"/>
  <c r="P2068" i="14"/>
  <c r="P2100" i="14"/>
  <c r="P2057" i="14"/>
  <c r="P2109" i="14"/>
  <c r="P2073" i="14"/>
  <c r="P2119" i="14"/>
  <c r="R2066" i="14"/>
  <c r="R2068" i="14"/>
  <c r="R2096" i="14"/>
  <c r="R2078" i="14"/>
  <c r="R2100" i="14"/>
  <c r="R2073" i="14"/>
  <c r="R2109" i="14"/>
  <c r="R2151" i="14"/>
  <c r="R2057" i="14"/>
  <c r="I2053" i="14"/>
  <c r="N2053" i="14"/>
  <c r="I2050" i="14"/>
  <c r="N2050" i="14"/>
  <c r="H2109" i="14"/>
  <c r="I2109" i="14" s="1"/>
  <c r="N2109" i="14" s="1"/>
  <c r="I2052" i="14"/>
  <c r="N2052" i="14"/>
  <c r="I2315" i="14"/>
  <c r="N2315" i="14"/>
  <c r="H2051" i="14"/>
  <c r="I2049" i="14"/>
  <c r="N2049" i="14"/>
  <c r="I2054" i="14"/>
  <c r="N2054" i="14"/>
  <c r="H2057" i="14"/>
  <c r="I2057" i="14" s="1"/>
  <c r="N2057" i="14" s="1"/>
  <c r="I2056" i="14"/>
  <c r="N2056" i="14"/>
  <c r="R2115" i="14"/>
  <c r="R2088" i="14"/>
  <c r="R2080" i="14"/>
  <c r="R2245" i="14"/>
  <c r="I2058" i="14"/>
  <c r="N2058" i="14"/>
  <c r="I2062" i="14"/>
  <c r="N2062" i="14"/>
  <c r="I2063" i="14"/>
  <c r="I2061" i="14"/>
  <c r="N2061" i="14"/>
  <c r="H2096" i="14"/>
  <c r="I2096" i="14" s="1"/>
  <c r="N2096" i="14" s="1"/>
  <c r="H2064" i="14"/>
  <c r="I2064" i="14" s="1"/>
  <c r="N2064" i="14" s="1"/>
  <c r="I2098" i="14"/>
  <c r="N2098" i="14"/>
  <c r="H2095" i="14"/>
  <c r="H2060" i="14"/>
  <c r="H2068" i="14"/>
  <c r="H2066" i="14"/>
  <c r="I2066" i="14" s="1"/>
  <c r="N2066" i="14" s="1"/>
  <c r="I2065" i="14"/>
  <c r="N2065" i="14"/>
  <c r="I2067" i="14"/>
  <c r="N2067" i="14"/>
  <c r="I2070" i="14"/>
  <c r="N2070" i="14"/>
  <c r="I2072" i="14"/>
  <c r="N2072" i="14"/>
  <c r="H2069" i="14"/>
  <c r="I2069" i="14" s="1"/>
  <c r="N2069" i="14" s="1"/>
  <c r="H2073" i="14"/>
  <c r="I2073" i="14" s="1"/>
  <c r="N2073" i="14" s="1"/>
  <c r="H2071" i="14"/>
  <c r="I2071" i="14" s="1"/>
  <c r="N2071" i="14" s="1"/>
  <c r="I2075" i="14"/>
  <c r="N2075" i="14"/>
  <c r="I2074" i="14"/>
  <c r="N2074" i="14"/>
  <c r="H2078" i="14"/>
  <c r="I2077" i="14"/>
  <c r="N2077" i="14"/>
  <c r="B2090" i="14"/>
  <c r="I2085" i="14"/>
  <c r="N2085" i="14"/>
  <c r="I2081" i="14"/>
  <c r="N2081" i="14"/>
  <c r="H2119" i="14"/>
  <c r="I2119" i="14" s="1"/>
  <c r="N2119" i="14" s="1"/>
  <c r="I2082" i="14"/>
  <c r="N2082" i="14"/>
  <c r="H2117" i="14"/>
  <c r="H2080" i="14"/>
  <c r="I2080" i="14" s="1"/>
  <c r="N2080" i="14" s="1"/>
  <c r="I2084" i="14"/>
  <c r="N2084" i="14"/>
  <c r="I2079" i="14"/>
  <c r="N2079" i="14"/>
  <c r="I2086" i="14"/>
  <c r="N2086" i="14"/>
  <c r="P2093" i="14"/>
  <c r="P2269" i="14"/>
  <c r="R2317" i="14"/>
  <c r="R2112" i="14"/>
  <c r="P2305" i="14"/>
  <c r="P2317" i="14"/>
  <c r="I2087" i="14"/>
  <c r="N2087" i="14"/>
  <c r="H2088" i="14"/>
  <c r="I2088" i="14" s="1"/>
  <c r="N2088" i="14" s="1"/>
  <c r="B2089" i="14" s="1"/>
  <c r="I2089" i="14"/>
  <c r="N2089" i="14"/>
  <c r="B2356" i="14"/>
  <c r="B2328" i="14"/>
  <c r="B2370" i="14"/>
  <c r="B1922" i="14"/>
  <c r="B2216" i="14"/>
  <c r="B2286" i="14"/>
  <c r="B2230" i="14"/>
  <c r="B2307" i="14"/>
  <c r="R2496" i="14"/>
  <c r="B2447" i="14"/>
  <c r="B1936" i="14"/>
  <c r="B1852" i="14"/>
  <c r="B2412" i="14"/>
  <c r="B2384" i="14"/>
  <c r="B2377" i="14"/>
  <c r="B2321" i="14"/>
  <c r="B2209" i="14"/>
  <c r="B2013" i="14"/>
  <c r="B2342" i="14"/>
  <c r="B2314" i="14"/>
  <c r="B2223" i="14"/>
  <c r="B1880" i="14"/>
  <c r="B2545" i="14"/>
  <c r="B2489" i="14"/>
  <c r="B2566" i="14"/>
  <c r="B2118" i="14"/>
  <c r="B2559" i="14"/>
  <c r="B2482" i="14"/>
  <c r="B2440" i="14"/>
  <c r="B2468" i="14"/>
  <c r="B2454" i="14"/>
  <c r="I2314" i="14"/>
  <c r="N2314" i="14"/>
  <c r="R2246" i="14"/>
  <c r="R2198" i="14"/>
  <c r="R2163" i="14"/>
  <c r="R2374" i="14"/>
  <c r="R2528" i="14"/>
  <c r="R2514" i="14"/>
  <c r="R2402" i="14"/>
  <c r="R2500" i="14"/>
  <c r="R2166" i="14"/>
  <c r="R2162" i="14"/>
  <c r="R2205" i="14"/>
  <c r="R2391" i="14"/>
  <c r="R2314" i="14"/>
  <c r="R2489" i="14"/>
  <c r="R2308" i="14"/>
  <c r="P2398" i="14"/>
  <c r="P2279" i="14"/>
  <c r="R2227" i="14"/>
  <c r="R2247" i="14"/>
  <c r="R2244" i="14"/>
  <c r="R2142" i="14"/>
  <c r="R2148" i="14"/>
  <c r="R2183" i="14"/>
  <c r="R2290" i="14"/>
  <c r="R2190" i="14"/>
  <c r="R2384" i="14"/>
  <c r="R2412" i="14"/>
  <c r="R2164" i="14"/>
  <c r="R2388" i="14"/>
  <c r="R2204" i="14"/>
  <c r="R2150" i="14"/>
  <c r="P2164" i="14"/>
  <c r="P2388" i="14"/>
  <c r="P2204" i="14"/>
  <c r="P2150" i="14"/>
  <c r="P2198" i="14"/>
  <c r="P2276" i="14"/>
  <c r="R2152" i="14"/>
  <c r="R2398" i="14"/>
  <c r="R2279" i="14"/>
  <c r="B2195" i="14"/>
  <c r="B1957" i="14"/>
  <c r="B1873" i="14"/>
  <c r="B1845" i="14"/>
  <c r="B1894" i="14"/>
  <c r="B2426" i="14"/>
  <c r="B2069" i="14"/>
  <c r="B2006" i="14"/>
  <c r="B1985" i="14"/>
  <c r="B1859" i="14"/>
  <c r="B2433" i="14"/>
  <c r="B1915" i="14"/>
  <c r="B2517" i="14"/>
  <c r="B2510" i="14"/>
  <c r="B1964" i="14"/>
  <c r="B2531" i="14"/>
  <c r="R2126" i="14"/>
  <c r="R2286" i="14"/>
  <c r="R2223" i="14"/>
  <c r="R2219" i="14"/>
  <c r="P2307" i="14"/>
  <c r="R2288" i="14"/>
  <c r="R2250" i="14"/>
  <c r="R2251" i="14"/>
  <c r="R2186" i="14"/>
  <c r="R2234" i="14"/>
  <c r="R2179" i="14"/>
  <c r="R2212" i="14"/>
  <c r="R2216" i="14"/>
  <c r="R2193" i="14"/>
  <c r="R2177" i="14"/>
  <c r="R2237" i="14"/>
  <c r="R2265" i="14"/>
  <c r="R2157" i="14"/>
  <c r="R2176" i="14"/>
  <c r="R2191" i="14"/>
  <c r="R2208" i="14"/>
  <c r="R2194" i="14"/>
  <c r="R2222" i="14"/>
  <c r="R2270" i="14"/>
  <c r="R2241" i="14"/>
  <c r="R2159" i="14"/>
  <c r="R2165" i="14"/>
  <c r="R2304" i="14"/>
  <c r="P2135" i="14"/>
  <c r="R2138" i="14"/>
  <c r="R2262" i="14"/>
  <c r="R2263" i="14"/>
  <c r="R2248" i="14"/>
  <c r="R2215" i="14"/>
  <c r="R2135" i="14"/>
  <c r="R2276" i="14"/>
  <c r="R2269" i="14"/>
  <c r="P2126" i="14"/>
  <c r="R2305" i="14"/>
  <c r="R2260" i="14"/>
  <c r="R2180" i="14"/>
  <c r="R2169" i="14"/>
  <c r="R2155" i="14"/>
  <c r="R2277" i="14"/>
  <c r="P2262" i="14"/>
  <c r="R2171" i="14"/>
  <c r="P2237" i="14"/>
  <c r="R2173" i="14"/>
  <c r="R2249" i="14"/>
  <c r="R2210" i="14"/>
  <c r="R2167" i="14"/>
  <c r="P2250" i="14"/>
  <c r="R2392" i="14"/>
  <c r="R2187" i="14"/>
  <c r="R2396" i="14"/>
  <c r="P2214" i="14"/>
  <c r="P2294" i="14"/>
  <c r="R2294" i="14"/>
  <c r="R2342" i="14"/>
  <c r="R2510" i="14"/>
  <c r="R2566" i="14"/>
  <c r="R2231" i="14"/>
  <c r="R2328" i="14"/>
  <c r="R2552" i="14"/>
  <c r="R2168" i="14"/>
  <c r="R2381" i="14"/>
  <c r="R2432" i="14"/>
  <c r="R2370" i="14"/>
  <c r="R2356" i="14"/>
  <c r="R2403" i="14"/>
  <c r="R2524" i="14"/>
  <c r="R2253" i="14"/>
  <c r="R2175" i="14"/>
  <c r="P2286" i="14"/>
  <c r="P2314" i="14"/>
  <c r="P2489" i="14"/>
  <c r="P2290" i="14"/>
  <c r="P2528" i="14"/>
  <c r="P2514" i="14"/>
  <c r="P2402" i="14"/>
  <c r="P2500" i="14"/>
  <c r="P2166" i="14"/>
  <c r="P2162" i="14"/>
  <c r="P2374" i="14"/>
  <c r="P2148" i="14"/>
  <c r="P2152" i="14"/>
  <c r="R2229" i="14"/>
  <c r="P2247" i="14"/>
  <c r="R2257" i="14"/>
  <c r="P2207" i="14"/>
  <c r="R2429" i="14"/>
  <c r="P2205" i="14"/>
  <c r="P2391" i="14"/>
  <c r="P2288" i="14"/>
  <c r="R2207" i="14"/>
  <c r="P2384" i="14"/>
  <c r="P2260" i="14"/>
  <c r="P2566" i="14"/>
  <c r="P2231" i="14"/>
  <c r="P2328" i="14"/>
  <c r="P2552" i="14"/>
  <c r="P2381" i="14"/>
  <c r="P2432" i="14"/>
  <c r="P2370" i="14"/>
  <c r="P2356" i="14"/>
  <c r="P2524" i="14"/>
  <c r="P2342" i="14"/>
  <c r="P2510" i="14"/>
  <c r="P2168" i="14"/>
  <c r="P2229" i="14"/>
  <c r="P2175" i="14"/>
  <c r="P2246" i="14"/>
  <c r="R2196" i="14"/>
  <c r="R2153" i="14"/>
  <c r="R2161" i="14"/>
  <c r="R2242" i="14"/>
  <c r="R2147" i="14"/>
  <c r="R2189" i="14"/>
  <c r="R2238" i="14"/>
  <c r="R2182" i="14"/>
  <c r="R2235" i="14"/>
  <c r="R2274" i="14"/>
  <c r="R2310" i="14"/>
  <c r="P2227" i="14"/>
  <c r="P2215" i="14"/>
  <c r="B2122" i="14"/>
  <c r="P2263" i="14"/>
  <c r="P2257" i="14"/>
  <c r="R2214" i="14"/>
  <c r="P2248" i="14"/>
  <c r="P2216" i="14"/>
  <c r="P2244" i="14"/>
  <c r="P2238" i="14"/>
  <c r="P2265" i="14"/>
  <c r="P2212" i="14"/>
  <c r="R1036" i="14"/>
  <c r="R1179" i="14"/>
  <c r="R478" i="14"/>
  <c r="R1191" i="14"/>
  <c r="R514" i="14"/>
  <c r="R245" i="14"/>
  <c r="R656" i="14"/>
  <c r="R1674" i="14"/>
  <c r="R1029" i="14"/>
  <c r="R219" i="14"/>
  <c r="R1569" i="14"/>
  <c r="R2278" i="14"/>
  <c r="P219" i="14"/>
  <c r="P1029" i="14"/>
  <c r="P1191" i="14"/>
  <c r="P245" i="14"/>
  <c r="P1179" i="14"/>
  <c r="P1036" i="14"/>
  <c r="P1569" i="14"/>
  <c r="P478" i="14"/>
  <c r="P656" i="14"/>
  <c r="P514" i="14"/>
  <c r="P1674" i="14"/>
  <c r="P2235" i="14"/>
  <c r="P2142" i="14"/>
  <c r="P2177" i="14"/>
  <c r="P2219" i="14"/>
  <c r="P2191" i="14"/>
  <c r="P2194" i="14"/>
  <c r="P2222" i="14"/>
  <c r="P2270" i="14"/>
  <c r="P2165" i="14"/>
  <c r="P2176" i="14"/>
  <c r="P2163" i="14"/>
  <c r="P2169" i="14"/>
  <c r="P2193" i="14"/>
  <c r="P2115" i="14"/>
  <c r="P2277" i="14"/>
  <c r="P2180" i="14"/>
  <c r="P2304" i="14"/>
  <c r="P2234" i="14"/>
  <c r="P2151" i="14"/>
  <c r="P2187" i="14"/>
  <c r="P2208" i="14"/>
  <c r="P2179" i="14"/>
  <c r="P2171" i="14"/>
  <c r="P2186" i="14"/>
  <c r="P2157" i="14"/>
  <c r="P2155" i="14"/>
  <c r="P2241" i="14"/>
  <c r="P2183" i="14"/>
  <c r="P2190" i="14"/>
  <c r="P2310" i="14"/>
  <c r="P2159" i="14"/>
  <c r="P2274" i="14"/>
  <c r="P2112" i="14"/>
  <c r="P2138" i="14"/>
  <c r="P2251" i="14"/>
  <c r="P2223" i="14"/>
  <c r="P2249" i="14"/>
  <c r="P2242" i="14"/>
  <c r="P2167" i="14"/>
  <c r="P2196" i="14"/>
  <c r="P2245" i="14"/>
  <c r="P2210" i="14"/>
  <c r="P2161" i="14"/>
  <c r="P2189" i="14"/>
  <c r="P2147" i="14"/>
  <c r="P2104" i="14"/>
  <c r="P2153" i="14"/>
  <c r="P2173" i="14"/>
  <c r="P2182" i="14"/>
  <c r="P2253" i="14"/>
  <c r="P2308" i="14"/>
  <c r="P2429" i="14"/>
  <c r="H2195" i="14"/>
  <c r="I2195" i="14"/>
  <c r="N2195" i="14" s="1"/>
  <c r="H2197" i="14"/>
  <c r="I2197" i="14" s="1"/>
  <c r="N2197" i="14" s="1"/>
  <c r="H2185" i="14"/>
  <c r="I2185" i="14" s="1"/>
  <c r="N2185" i="14" s="1"/>
  <c r="H2156" i="14"/>
  <c r="I2156" i="14" s="1"/>
  <c r="N2156" i="14" s="1"/>
  <c r="H2158" i="14"/>
  <c r="I2158" i="14" s="1"/>
  <c r="N2158" i="14" s="1"/>
  <c r="H2153" i="14"/>
  <c r="I2153" i="14" s="1"/>
  <c r="N2153" i="14" s="1"/>
  <c r="H2160" i="14"/>
  <c r="I2160" i="14" s="1"/>
  <c r="N2160" i="14" s="1"/>
  <c r="H2141" i="14"/>
  <c r="I2141" i="14" s="1"/>
  <c r="N2141" i="14" s="1"/>
  <c r="H2139" i="14"/>
  <c r="I2139" i="14" s="1"/>
  <c r="N2139" i="14" s="1"/>
  <c r="I2307" i="14"/>
  <c r="N2307" i="14"/>
  <c r="H2353" i="14"/>
  <c r="I2353" i="14" s="1"/>
  <c r="N2353" i="14" s="1"/>
  <c r="I2367" i="14"/>
  <c r="N2367" i="14"/>
  <c r="I2224" i="14"/>
  <c r="N2224" i="14"/>
  <c r="H2227" i="14"/>
  <c r="I2227" i="14" s="1"/>
  <c r="N2227" i="14" s="1"/>
  <c r="I2154" i="14"/>
  <c r="N2154" i="14"/>
  <c r="H2294" i="14"/>
  <c r="I2294" i="14" s="1"/>
  <c r="N2294" i="14" s="1"/>
  <c r="H2384" i="14"/>
  <c r="I2384" i="14" s="1"/>
  <c r="N2384" i="14" s="1"/>
  <c r="I2209" i="14"/>
  <c r="N2209" i="14"/>
  <c r="H2374" i="14"/>
  <c r="I2374" i="14" s="1"/>
  <c r="N2374" i="14" s="1"/>
  <c r="H2500" i="14"/>
  <c r="I2500" i="14" s="1"/>
  <c r="N2500" i="14" s="1"/>
  <c r="H2164" i="14"/>
  <c r="B2163" i="14" s="1"/>
  <c r="I2360" i="14"/>
  <c r="N2360" i="14"/>
  <c r="H2162" i="14"/>
  <c r="I2162" i="14" s="1"/>
  <c r="N2162" i="14" s="1"/>
  <c r="H2150" i="14"/>
  <c r="I2150" i="14" s="1"/>
  <c r="N2150" i="14" s="1"/>
  <c r="I2338" i="14"/>
  <c r="N2338" i="14"/>
  <c r="H2528" i="14"/>
  <c r="H2148" i="14"/>
  <c r="I2148" i="14" s="1"/>
  <c r="N2148" i="14" s="1"/>
  <c r="N2514" i="14"/>
  <c r="H2398" i="14"/>
  <c r="I2398" i="14" s="1"/>
  <c r="N2398" i="14" s="1"/>
  <c r="H2198" i="14"/>
  <c r="I2198" i="14" s="1"/>
  <c r="N2198" i="14" s="1"/>
  <c r="H2391" i="14"/>
  <c r="I2391" i="14" s="1"/>
  <c r="N2391" i="14" s="1"/>
  <c r="H2342" i="14"/>
  <c r="I2342" i="14"/>
  <c r="N2342" i="14" s="1"/>
  <c r="H2152" i="14"/>
  <c r="H2524" i="14"/>
  <c r="I2524" i="14" s="1"/>
  <c r="N2524" i="14" s="1"/>
  <c r="H2566" i="14"/>
  <c r="I2566" i="14" s="1"/>
  <c r="N2566" i="14" s="1"/>
  <c r="H2328" i="14"/>
  <c r="I2328" i="14"/>
  <c r="N2328" i="14" s="1"/>
  <c r="H2168" i="14"/>
  <c r="I2168" i="14" s="1"/>
  <c r="N2168" i="14" s="1"/>
  <c r="H2381" i="14"/>
  <c r="I2381" i="14" s="1"/>
  <c r="N2381" i="14" s="1"/>
  <c r="H2510" i="14"/>
  <c r="I2510" i="14" s="1"/>
  <c r="N2510" i="14" s="1"/>
  <c r="H2370" i="14"/>
  <c r="I2370" i="14" s="1"/>
  <c r="N2370" i="14" s="1"/>
  <c r="H2166" i="14"/>
  <c r="I2166" i="14" s="1"/>
  <c r="N2166" i="14"/>
  <c r="H2231" i="14"/>
  <c r="I2231" i="14"/>
  <c r="N2231" i="14" s="1"/>
  <c r="H2356" i="14"/>
  <c r="I2356" i="14" s="1"/>
  <c r="N2356" i="14" s="1"/>
  <c r="I2538" i="14"/>
  <c r="N2538" i="14"/>
  <c r="H2142" i="14"/>
  <c r="I2142" i="14" s="1"/>
  <c r="N2142" i="14" s="1"/>
  <c r="H2175" i="14"/>
  <c r="I2175" i="14" s="1"/>
  <c r="N2175" i="14" s="1"/>
  <c r="H2178" i="14"/>
  <c r="I2178" i="14" s="1"/>
  <c r="N2178" i="14" s="1"/>
  <c r="I2125" i="14"/>
  <c r="N2125" i="14"/>
  <c r="I2303" i="14"/>
  <c r="N2303" i="14"/>
  <c r="I2105" i="14"/>
  <c r="I2288" i="14"/>
  <c r="N2288" i="14"/>
  <c r="I2247" i="14"/>
  <c r="N2247" i="14"/>
  <c r="I2216" i="14"/>
  <c r="N2216" i="14"/>
  <c r="I2244" i="14"/>
  <c r="N2244" i="14"/>
  <c r="I2201" i="14"/>
  <c r="N2201" i="14"/>
  <c r="I2199" i="14"/>
  <c r="N2199" i="14"/>
  <c r="H2126" i="14"/>
  <c r="I2126" i="14" s="1"/>
  <c r="N2126" i="14" s="1"/>
  <c r="B2124" i="14" s="1"/>
  <c r="H2104" i="14"/>
  <c r="I2104" i="14" s="1"/>
  <c r="N2104" i="14" s="1"/>
  <c r="H2189" i="14"/>
  <c r="I2189" i="14" s="1"/>
  <c r="N2189" i="14" s="1"/>
  <c r="H2161" i="14"/>
  <c r="I2161" i="14" s="1"/>
  <c r="N2161" i="14" s="1"/>
  <c r="H2196" i="14"/>
  <c r="I2196" i="14" s="1"/>
  <c r="N2196" i="14" s="1"/>
  <c r="H2173" i="14"/>
  <c r="H2210" i="14"/>
  <c r="H2147" i="14"/>
  <c r="I2147" i="14" s="1"/>
  <c r="N2147" i="14" s="1"/>
  <c r="H2182" i="14"/>
  <c r="I2182" i="14" s="1"/>
  <c r="N2182" i="14" s="1"/>
  <c r="H2167" i="14"/>
  <c r="I2167" i="14" s="1"/>
  <c r="N2167" i="14" s="1"/>
  <c r="H2135" i="14"/>
  <c r="I2135" i="14" s="1"/>
  <c r="N2135" i="14" s="1"/>
  <c r="B2138" i="14" s="1"/>
  <c r="H2229" i="14"/>
  <c r="I2229" i="14" s="1"/>
  <c r="N2229" i="14" s="1"/>
  <c r="H2214" i="14"/>
  <c r="I2214" i="14" s="1"/>
  <c r="N2214" i="14" s="1"/>
  <c r="H2215" i="14"/>
  <c r="I2215" i="14" s="1"/>
  <c r="N2215" i="14" s="1"/>
  <c r="H2223" i="14"/>
  <c r="I2223" i="14" s="1"/>
  <c r="N2223" i="14" s="1"/>
  <c r="H2222" i="14"/>
  <c r="I2222" i="14" s="1"/>
  <c r="N2222" i="14" s="1"/>
  <c r="H2155" i="14"/>
  <c r="I2155" i="14" s="1"/>
  <c r="N2155" i="14" s="1"/>
  <c r="H2151" i="14"/>
  <c r="I2151" i="14" s="1"/>
  <c r="N2151" i="14" s="1"/>
  <c r="H2180" i="14"/>
  <c r="I2180" i="14" s="1"/>
  <c r="N2180" i="14" s="1"/>
  <c r="H2179" i="14"/>
  <c r="I2179" i="14"/>
  <c r="N2179" i="14" s="1"/>
  <c r="H2159" i="14"/>
  <c r="I2159" i="14" s="1"/>
  <c r="N2159" i="14" s="1"/>
  <c r="H2187" i="14"/>
  <c r="I2187" i="14" s="1"/>
  <c r="N2187" i="14" s="1"/>
  <c r="H2191" i="14"/>
  <c r="I2191" i="14" s="1"/>
  <c r="N2191" i="14" s="1"/>
  <c r="H2165" i="14"/>
  <c r="I2165" i="14" s="1"/>
  <c r="N2165" i="14" s="1"/>
  <c r="H2176" i="14"/>
  <c r="I2176" i="14"/>
  <c r="N2176" i="14" s="1"/>
  <c r="H2183" i="14"/>
  <c r="I2183" i="14" s="1"/>
  <c r="N2183" i="14" s="1"/>
  <c r="H2163" i="14"/>
  <c r="I2163" i="14" s="1"/>
  <c r="N2163" i="14" s="1"/>
  <c r="H2193" i="14"/>
  <c r="I2193" i="14"/>
  <c r="N2193" i="14" s="1"/>
  <c r="H2157" i="14"/>
  <c r="I2157" i="14" s="1"/>
  <c r="N2157" i="14" s="1"/>
  <c r="H2171" i="14"/>
  <c r="I2171" i="14"/>
  <c r="N2171" i="14" s="1"/>
  <c r="H2177" i="14"/>
  <c r="I2177" i="14" s="1"/>
  <c r="N2177" i="14" s="1"/>
  <c r="H2186" i="14"/>
  <c r="I2186" i="14" s="1"/>
  <c r="N2186" i="14" s="1"/>
  <c r="H2194" i="14"/>
  <c r="I2194" i="14" s="1"/>
  <c r="N2194" i="14" s="1"/>
  <c r="H2190" i="14"/>
  <c r="I2190" i="14"/>
  <c r="N2190" i="14" s="1"/>
  <c r="H2208" i="14"/>
  <c r="I2208" i="14" s="1"/>
  <c r="N2208" i="14" s="1"/>
  <c r="H2169" i="14"/>
  <c r="I2169" i="14" s="1"/>
  <c r="N2169" i="14" s="1"/>
  <c r="H2112" i="14"/>
  <c r="I2248" i="14"/>
  <c r="N2248" i="14"/>
  <c r="I2220" i="14"/>
  <c r="N2220" i="14"/>
  <c r="I2263" i="14"/>
  <c r="N2263" i="14"/>
  <c r="I2290" i="14"/>
  <c r="N2290" i="14"/>
  <c r="H2402" i="14"/>
  <c r="I2402" i="14" s="1"/>
  <c r="N2402" i="14" s="1"/>
  <c r="H2205" i="14"/>
  <c r="I2205" i="14" s="1"/>
  <c r="N2205" i="14" s="1"/>
  <c r="I2239" i="14"/>
  <c r="N2239" i="14"/>
  <c r="I2254" i="14"/>
  <c r="N2254" i="14"/>
  <c r="I2279" i="14"/>
  <c r="N2279" i="14"/>
  <c r="I2285" i="14"/>
  <c r="N2285" i="14"/>
  <c r="H2204" i="14"/>
  <c r="I2204" i="14" s="1"/>
  <c r="N2204" i="14" s="1"/>
  <c r="H2207" i="14"/>
  <c r="I2207" i="14" s="1"/>
  <c r="N2207" i="14" s="1"/>
  <c r="I2271" i="14"/>
  <c r="N2271" i="14"/>
  <c r="I2282" i="14"/>
  <c r="N2282" i="14"/>
  <c r="B2310" i="14"/>
  <c r="I2211" i="14"/>
  <c r="N2211" i="14"/>
  <c r="H2212" i="14"/>
  <c r="I2212" i="14" s="1"/>
  <c r="N2212" i="14" s="1"/>
  <c r="I2253" i="14"/>
  <c r="N2253" i="14"/>
  <c r="H2093" i="14"/>
  <c r="I2093" i="14" s="1"/>
  <c r="N2093" i="14" s="1"/>
  <c r="I2255" i="14"/>
  <c r="N2255" i="14"/>
  <c r="I2261" i="14"/>
  <c r="N2261" i="14"/>
  <c r="H2219" i="14"/>
  <c r="I2219" i="14" s="1"/>
  <c r="N2219" i="14" s="1"/>
  <c r="I2304" i="14"/>
  <c r="N2304" i="14"/>
  <c r="I2246" i="14"/>
  <c r="N2246" i="14"/>
  <c r="I2233" i="14"/>
  <c r="N2233" i="14"/>
  <c r="H2115" i="14"/>
  <c r="H2100" i="14"/>
  <c r="I2100" i="14" s="1"/>
  <c r="N2100" i="14" s="1"/>
  <c r="I2101" i="14"/>
  <c r="N2101" i="14"/>
  <c r="I2134" i="14"/>
  <c r="N2134" i="14"/>
  <c r="I2272" i="14"/>
  <c r="N2272" i="14"/>
  <c r="I2306" i="14"/>
  <c r="N2306" i="14"/>
  <c r="I2312" i="14"/>
  <c r="N2312" i="14"/>
  <c r="I2203" i="14"/>
  <c r="N2203" i="14"/>
  <c r="I2274" i="14"/>
  <c r="N2274" i="14"/>
  <c r="I2116" i="14"/>
  <c r="N2116" i="14"/>
  <c r="I2102" i="14"/>
  <c r="N2102" i="14"/>
  <c r="I2121" i="14"/>
  <c r="N2121" i="14"/>
  <c r="I2130" i="14"/>
  <c r="N2130" i="14"/>
  <c r="I2243" i="14"/>
  <c r="N2243" i="14"/>
  <c r="N2302" i="14"/>
  <c r="I2123" i="14"/>
  <c r="N2123" i="14"/>
  <c r="I2131" i="14"/>
  <c r="N2131" i="14"/>
  <c r="I2124" i="14"/>
  <c r="N2124" i="14"/>
  <c r="I2257" i="14"/>
  <c r="N2257" i="14"/>
  <c r="I2267" i="14"/>
  <c r="N2267" i="14"/>
  <c r="I2313" i="14"/>
  <c r="N2313" i="14"/>
  <c r="I2127" i="14"/>
  <c r="N2127" i="14"/>
  <c r="I2114" i="14"/>
  <c r="N2114" i="14"/>
  <c r="I2099" i="14"/>
  <c r="N2099" i="14"/>
  <c r="I2225" i="14"/>
  <c r="N2225" i="14"/>
  <c r="I2269" i="14"/>
  <c r="N2269" i="14"/>
  <c r="I2265" i="14"/>
  <c r="N2265" i="14"/>
  <c r="I2230" i="14"/>
  <c r="N2230" i="14"/>
  <c r="I2251" i="14"/>
  <c r="N2251" i="14"/>
  <c r="I2276" i="14"/>
  <c r="N2276" i="14"/>
  <c r="I2245" i="14"/>
  <c r="N2245" i="14"/>
  <c r="I2237" i="14"/>
  <c r="N2237" i="14"/>
  <c r="I2106" i="14"/>
  <c r="N2106" i="14"/>
  <c r="I2241" i="14"/>
  <c r="N2241" i="14"/>
  <c r="I2206" i="14"/>
  <c r="N2206" i="14"/>
  <c r="I2258" i="14"/>
  <c r="N2258" i="14"/>
  <c r="I2110" i="14"/>
  <c r="N2110" i="14"/>
  <c r="I2217" i="14"/>
  <c r="N2217" i="14"/>
  <c r="I2234" i="14"/>
  <c r="N2234" i="14"/>
  <c r="I2264" i="14"/>
  <c r="N2264" i="14"/>
  <c r="I2149" i="14"/>
  <c r="N2149" i="14"/>
  <c r="I2120" i="14"/>
  <c r="N2120" i="14"/>
  <c r="I2108" i="14"/>
  <c r="N2108" i="14"/>
  <c r="I2310" i="14"/>
  <c r="N2310" i="14"/>
  <c r="B2313" i="14"/>
  <c r="I2184" i="14"/>
  <c r="N2184" i="14"/>
  <c r="I2277" i="14"/>
  <c r="N2277" i="14"/>
  <c r="I2133" i="14"/>
  <c r="N2133" i="14"/>
  <c r="I2236" i="14"/>
  <c r="N2236" i="14"/>
  <c r="I2260" i="14"/>
  <c r="N2260" i="14"/>
  <c r="I2309" i="14"/>
  <c r="N2309" i="14"/>
  <c r="I2090" i="14"/>
  <c r="N2090" i="14"/>
  <c r="I2293" i="14"/>
  <c r="N2293" i="14"/>
  <c r="I2213" i="14"/>
  <c r="N2213" i="14"/>
  <c r="H2388" i="14"/>
  <c r="I2388" i="14" s="1"/>
  <c r="N2388" i="14" s="1"/>
  <c r="I2311" i="14"/>
  <c r="N2311" i="14"/>
  <c r="I2240" i="14"/>
  <c r="N2240" i="14"/>
  <c r="I2278" i="14"/>
  <c r="N2278" i="14"/>
  <c r="I2275" i="14"/>
  <c r="N2275" i="14"/>
  <c r="I2136" i="14"/>
  <c r="N2136" i="14"/>
  <c r="I2094" i="14"/>
  <c r="N2094" i="14"/>
  <c r="I2226" i="14"/>
  <c r="N2226" i="14"/>
  <c r="I2218" i="14"/>
  <c r="N2218" i="14"/>
  <c r="I2122" i="14"/>
  <c r="N2122" i="14"/>
  <c r="I2268" i="14"/>
  <c r="N2268" i="14"/>
  <c r="I2092" i="14"/>
  <c r="N2092" i="14"/>
  <c r="I2113" i="14"/>
  <c r="N2113" i="14"/>
  <c r="I2305" i="14"/>
  <c r="N2305" i="14"/>
  <c r="I2262" i="14"/>
  <c r="N2262" i="14"/>
  <c r="I2221" i="14"/>
  <c r="N2221" i="14"/>
  <c r="B2303" i="14"/>
  <c r="I2308" i="14"/>
  <c r="N2308" i="14"/>
  <c r="I2228" i="14"/>
  <c r="N2228" i="14"/>
  <c r="B2391" i="14"/>
  <c r="B2202" i="14"/>
  <c r="B2181" i="14"/>
  <c r="B2174" i="14"/>
  <c r="B2167" i="14"/>
  <c r="B2153" i="14"/>
  <c r="B2146" i="14"/>
  <c r="B2139" i="14"/>
  <c r="B2097" i="14"/>
  <c r="B2083" i="14"/>
  <c r="B2076" i="14"/>
  <c r="B2062" i="14"/>
  <c r="B2048" i="14"/>
  <c r="B2034" i="14"/>
  <c r="B1992" i="14"/>
  <c r="B1978" i="14"/>
  <c r="B1971" i="14"/>
  <c r="B1929" i="14"/>
  <c r="B1908" i="14"/>
  <c r="B1887" i="14"/>
  <c r="B2104" i="14"/>
  <c r="B1901" i="14"/>
  <c r="B1866" i="14"/>
  <c r="B2020" i="14"/>
  <c r="B2188" i="14"/>
  <c r="B1943" i="14"/>
  <c r="B2111" i="14"/>
  <c r="B2125" i="14"/>
  <c r="B2132" i="14"/>
  <c r="B1950" i="14"/>
  <c r="B2041" i="14"/>
  <c r="B1999" i="14"/>
  <c r="B2160" i="14"/>
  <c r="B2363" i="14"/>
  <c r="B2349" i="14"/>
  <c r="B2265" i="14"/>
  <c r="B2300" i="14"/>
  <c r="B2293" i="14"/>
  <c r="R2382" i="14"/>
  <c r="R2439" i="14"/>
  <c r="R2428" i="14"/>
  <c r="R2482" i="14"/>
  <c r="R2442" i="14"/>
  <c r="R2378" i="14"/>
  <c r="R2440" i="14"/>
  <c r="R2457" i="14"/>
  <c r="R2436" i="14"/>
  <c r="R2430" i="14"/>
  <c r="R2423" i="14"/>
  <c r="R2475" i="14"/>
  <c r="R2438" i="14"/>
  <c r="R2411" i="14"/>
  <c r="R2449" i="14"/>
  <c r="R2471" i="14"/>
  <c r="R2366" i="14"/>
  <c r="R2445" i="14"/>
  <c r="R2463" i="14"/>
  <c r="B2279" i="14"/>
  <c r="B2272" i="14"/>
  <c r="R2379" i="14"/>
  <c r="R2516" i="14"/>
  <c r="R2394" i="14"/>
  <c r="R2519" i="14"/>
  <c r="R2281" i="14"/>
  <c r="R2355" i="14"/>
  <c r="R2334" i="14"/>
  <c r="R2509" i="14"/>
  <c r="P2416" i="14"/>
  <c r="R2339" i="14"/>
  <c r="P2426" i="14"/>
  <c r="P2468" i="14"/>
  <c r="P2447" i="14"/>
  <c r="R2479" i="14"/>
  <c r="R2292" i="14"/>
  <c r="R2380" i="14"/>
  <c r="P2394" i="14"/>
  <c r="P2496" i="14"/>
  <c r="R2468" i="14"/>
  <c r="R2426" i="14"/>
  <c r="R2512" i="14"/>
  <c r="R2386" i="14"/>
  <c r="R2397" i="14"/>
  <c r="R2564" i="14"/>
  <c r="R2309" i="14"/>
  <c r="R2369" i="14"/>
  <c r="R2561" i="14"/>
  <c r="R2544" i="14"/>
  <c r="R2358" i="14"/>
  <c r="R2383" i="14"/>
  <c r="R2372" i="14"/>
  <c r="R2365" i="14"/>
  <c r="P2561" i="14"/>
  <c r="P2309" i="14"/>
  <c r="R2506" i="14"/>
  <c r="R2354" i="14"/>
  <c r="R2325" i="14"/>
  <c r="R2332" i="14"/>
  <c r="R2375" i="14"/>
  <c r="P2564" i="14"/>
  <c r="R2558" i="14"/>
  <c r="P2323" i="14"/>
  <c r="R2373" i="14"/>
  <c r="R2513" i="14"/>
  <c r="P2292" i="14"/>
  <c r="P2278" i="14"/>
  <c r="P2352" i="14"/>
  <c r="R2351" i="14"/>
  <c r="R2447" i="14"/>
  <c r="R2352" i="14"/>
  <c r="P2404" i="14"/>
  <c r="R2406" i="14"/>
  <c r="P2351" i="14"/>
  <c r="R2323" i="14"/>
  <c r="R2341" i="14"/>
  <c r="P2371" i="14"/>
  <c r="P2357" i="14"/>
  <c r="R2346" i="14"/>
  <c r="R2419" i="14"/>
  <c r="R2484" i="14"/>
  <c r="R2435" i="14"/>
  <c r="R2467" i="14"/>
  <c r="R2425" i="14"/>
  <c r="R2407" i="14"/>
  <c r="R2421" i="14"/>
  <c r="R2464" i="14"/>
  <c r="R2452" i="14"/>
  <c r="B2258" i="14"/>
  <c r="B1877" i="14"/>
  <c r="B1515" i="14"/>
  <c r="B2055" i="14"/>
  <c r="B1947" i="14"/>
  <c r="B2027" i="14"/>
  <c r="B290" i="14"/>
  <c r="B2251" i="14"/>
  <c r="B2244" i="14"/>
  <c r="B2335" i="14"/>
  <c r="B2398" i="14"/>
  <c r="B1919" i="14"/>
  <c r="B1884" i="14"/>
  <c r="B444" i="14"/>
  <c r="B619" i="14"/>
  <c r="B1891" i="14"/>
  <c r="B675" i="14"/>
  <c r="B731" i="14"/>
  <c r="B2237" i="14"/>
  <c r="B451" i="14"/>
  <c r="B927" i="14"/>
  <c r="B878" i="14"/>
  <c r="B843" i="14"/>
  <c r="B829" i="14"/>
  <c r="B409" i="14"/>
  <c r="B521" i="14"/>
  <c r="B682" i="14"/>
  <c r="B696" i="14"/>
  <c r="B913" i="14"/>
  <c r="B1109" i="14"/>
  <c r="B416" i="14"/>
  <c r="B605" i="14"/>
  <c r="B1940" i="14"/>
  <c r="B1011" i="14"/>
  <c r="B458" i="14"/>
  <c r="B1954" i="14"/>
  <c r="B584" i="14"/>
  <c r="B1905" i="14"/>
  <c r="B1933" i="14"/>
  <c r="B1753" i="14"/>
  <c r="B2129" i="14"/>
  <c r="B395" i="14"/>
  <c r="B402" i="14"/>
  <c r="B430" i="14"/>
  <c r="B626" i="14"/>
  <c r="B703" i="14"/>
  <c r="B710" i="14"/>
  <c r="B1870" i="14"/>
  <c r="B388" i="14"/>
  <c r="B612" i="14"/>
  <c r="B647" i="14"/>
  <c r="B1193" i="14"/>
  <c r="B808" i="14"/>
  <c r="B2101" i="14"/>
  <c r="B906" i="14"/>
  <c r="B871" i="14"/>
  <c r="B836" i="14"/>
  <c r="B815" i="14"/>
  <c r="B773" i="14"/>
  <c r="B1095" i="14"/>
  <c r="B1926" i="14"/>
  <c r="B570" i="14"/>
  <c r="B1564" i="14"/>
  <c r="B822" i="14"/>
  <c r="B794" i="14"/>
  <c r="B780" i="14"/>
  <c r="B465" i="14"/>
  <c r="B500" i="14"/>
  <c r="B514" i="14"/>
  <c r="B2108" i="14"/>
  <c r="B1704" i="14"/>
  <c r="B1123" i="14"/>
  <c r="B542" i="14"/>
  <c r="B556" i="14"/>
  <c r="B717" i="14"/>
  <c r="B738" i="14"/>
  <c r="B1487" i="14"/>
  <c r="B1494" i="14"/>
  <c r="B1849" i="14"/>
  <c r="B1298" i="14"/>
  <c r="B969" i="14"/>
  <c r="B1025" i="14"/>
  <c r="B899" i="14"/>
  <c r="B864" i="14"/>
  <c r="B752" i="14"/>
  <c r="B528" i="14"/>
  <c r="B549" i="14"/>
  <c r="B598" i="14"/>
  <c r="B1711" i="14"/>
  <c r="B1863" i="14"/>
  <c r="B1856" i="14"/>
  <c r="B1842" i="14"/>
  <c r="B766" i="14"/>
  <c r="B1529" i="14"/>
  <c r="B2017" i="14"/>
  <c r="B1961" i="14"/>
  <c r="B1312" i="14"/>
  <c r="B983" i="14"/>
  <c r="B955" i="14"/>
  <c r="B941" i="14"/>
  <c r="B479" i="14"/>
  <c r="B640" i="14"/>
  <c r="B661" i="14"/>
  <c r="B668" i="14"/>
  <c r="B1158" i="14"/>
  <c r="B948" i="14"/>
  <c r="B801" i="14"/>
  <c r="B745" i="14"/>
  <c r="B472" i="14"/>
  <c r="B486" i="14"/>
  <c r="B493" i="14"/>
  <c r="B507" i="14"/>
  <c r="B535" i="14"/>
  <c r="B577" i="14"/>
  <c r="B633" i="14"/>
  <c r="B654" i="14"/>
  <c r="B591" i="14"/>
  <c r="B1151" i="14"/>
  <c r="B920" i="14"/>
  <c r="B885" i="14"/>
  <c r="B850" i="14"/>
  <c r="B423" i="14"/>
  <c r="B1032" i="14"/>
  <c r="B1898" i="14"/>
  <c r="B1641" i="14"/>
  <c r="B1996" i="14"/>
  <c r="B2045" i="14"/>
  <c r="B1648" i="14"/>
  <c r="B997" i="14"/>
  <c r="B381" i="14"/>
  <c r="B1676" i="14"/>
  <c r="B1634" i="14"/>
  <c r="B1627" i="14"/>
  <c r="B1536" i="14"/>
  <c r="B1802" i="14"/>
  <c r="B1968" i="14"/>
  <c r="B1982" i="14"/>
  <c r="B1697" i="14"/>
  <c r="B1326" i="14"/>
  <c r="B1690" i="14"/>
  <c r="B1319" i="14"/>
  <c r="B1613" i="14"/>
  <c r="B1361" i="14"/>
  <c r="B1417" i="14"/>
  <c r="B689" i="14"/>
  <c r="B724" i="14"/>
  <c r="B2052" i="14"/>
  <c r="B1975" i="14"/>
  <c r="B1912" i="14"/>
  <c r="B2136" i="14"/>
  <c r="B2080" i="14"/>
  <c r="B1550" i="14"/>
  <c r="B2038" i="14"/>
  <c r="B1459" i="14"/>
  <c r="B1249" i="14"/>
  <c r="B1284" i="14"/>
  <c r="B1669" i="14"/>
  <c r="B2024" i="14"/>
  <c r="B1130" i="14"/>
  <c r="B1522" i="14"/>
  <c r="B1655" i="14"/>
  <c r="B1585" i="14"/>
  <c r="B1830" i="14"/>
  <c r="B2192" i="14"/>
  <c r="B1200" i="14"/>
  <c r="B2199" i="14"/>
  <c r="B1214" i="14"/>
  <c r="B1256" i="14"/>
  <c r="B1389" i="14"/>
  <c r="B1767" i="14"/>
  <c r="B563" i="14"/>
  <c r="B2059" i="14"/>
  <c r="B1179" i="14"/>
  <c r="B1571" i="14"/>
  <c r="B1263" i="14"/>
  <c r="B1221" i="14"/>
  <c r="B787" i="14"/>
  <c r="B2115" i="14"/>
  <c r="B2066" i="14"/>
  <c r="B1396" i="14"/>
  <c r="B1403" i="14"/>
  <c r="B1732" i="14"/>
  <c r="B1438" i="14"/>
  <c r="B1228" i="14"/>
  <c r="B2094" i="14"/>
  <c r="B1081" i="14"/>
  <c r="B1053" i="14"/>
  <c r="B1018" i="14"/>
  <c r="B892" i="14"/>
  <c r="B857" i="14"/>
  <c r="B437" i="14"/>
  <c r="B2185" i="14"/>
  <c r="B934" i="14"/>
  <c r="B1508" i="14"/>
  <c r="B1599" i="14"/>
  <c r="B1725" i="14"/>
  <c r="B1989" i="14"/>
  <c r="B1662" i="14"/>
  <c r="B962" i="14"/>
  <c r="B1305" i="14"/>
  <c r="B1235" i="14"/>
  <c r="B1116" i="14"/>
  <c r="B990" i="14"/>
  <c r="B1606" i="14"/>
  <c r="B1137" i="14"/>
  <c r="B1445" i="14"/>
  <c r="B1431" i="14"/>
  <c r="B1375" i="14"/>
  <c r="B1452" i="14"/>
  <c r="B1781" i="14"/>
  <c r="B1746" i="14"/>
  <c r="B1466" i="14"/>
  <c r="B1760" i="14"/>
  <c r="B1683" i="14"/>
  <c r="B1333" i="14"/>
  <c r="B1788" i="14"/>
  <c r="B1046" i="14"/>
  <c r="B2073" i="14"/>
  <c r="B1067" i="14"/>
  <c r="B1102" i="14"/>
  <c r="B1424" i="14"/>
  <c r="B1354" i="14"/>
  <c r="B976" i="14"/>
  <c r="B1277" i="14"/>
  <c r="B1473" i="14"/>
  <c r="B1718" i="14"/>
  <c r="B2178" i="14"/>
  <c r="B2150" i="14"/>
  <c r="B2171" i="14"/>
  <c r="B1060" i="14"/>
  <c r="B1809" i="14"/>
  <c r="B1592" i="14"/>
  <c r="B1242" i="14"/>
  <c r="B1480" i="14"/>
  <c r="B1172" i="14"/>
  <c r="B1816" i="14"/>
  <c r="B1039" i="14"/>
  <c r="B1557" i="14"/>
  <c r="B2031" i="14"/>
  <c r="B1347" i="14"/>
  <c r="B1186" i="14"/>
  <c r="B1382" i="14"/>
  <c r="B1165" i="14"/>
  <c r="B1774" i="14"/>
  <c r="B1340" i="14"/>
  <c r="B1578" i="14"/>
  <c r="B1620" i="14"/>
  <c r="B1410" i="14"/>
  <c r="B1207" i="14"/>
  <c r="B1368" i="14"/>
  <c r="B1823" i="14"/>
  <c r="B2157" i="14"/>
  <c r="I2289" i="14"/>
  <c r="N2289" i="14"/>
  <c r="B2296" i="14"/>
  <c r="B2164" i="14"/>
  <c r="B2087" i="14"/>
  <c r="B1074" i="14"/>
  <c r="B1837" i="14"/>
  <c r="B1795" i="14"/>
  <c r="B1739" i="14"/>
  <c r="B1270" i="14"/>
  <c r="B2143" i="14"/>
  <c r="B1543" i="14"/>
  <c r="B1291" i="14"/>
  <c r="B1088" i="14"/>
  <c r="B1501" i="14"/>
  <c r="I2232" i="14"/>
  <c r="N2232" i="14"/>
  <c r="B2299" i="14"/>
  <c r="P2369" i="14"/>
  <c r="P2383" i="14"/>
  <c r="P2386" i="14"/>
  <c r="P2423" i="14"/>
  <c r="R2461" i="14"/>
  <c r="R2444" i="14"/>
  <c r="P2430" i="14"/>
  <c r="R2272" i="14"/>
  <c r="P2373" i="14"/>
  <c r="P2355" i="14"/>
  <c r="R2336" i="14"/>
  <c r="P2425" i="14"/>
  <c r="P2435" i="14"/>
  <c r="R2343" i="14"/>
  <c r="P2477" i="14"/>
  <c r="P2464" i="14"/>
  <c r="P2467" i="14"/>
  <c r="R2371" i="14"/>
  <c r="R2399" i="14"/>
  <c r="R2357" i="14"/>
  <c r="P2428" i="14"/>
  <c r="R2502" i="14"/>
  <c r="R2321" i="14"/>
  <c r="R2319" i="14"/>
  <c r="R2291" i="14"/>
  <c r="R2530" i="14"/>
  <c r="R2361" i="14"/>
  <c r="R2404" i="14"/>
  <c r="R2385" i="14"/>
  <c r="P2457" i="14"/>
  <c r="P2319" i="14"/>
  <c r="P2321" i="14"/>
  <c r="P2291" i="14"/>
  <c r="P2343" i="14"/>
  <c r="P2385" i="14"/>
  <c r="P2392" i="14"/>
  <c r="P2378" i="14"/>
  <c r="P2406" i="14"/>
  <c r="P2336" i="14"/>
  <c r="P2399" i="14"/>
  <c r="R2422" i="14"/>
  <c r="P2494" i="14"/>
  <c r="P2452" i="14"/>
  <c r="P2465" i="14"/>
  <c r="R2416" i="14"/>
  <c r="P2466" i="14"/>
  <c r="P2445" i="14"/>
  <c r="P2439" i="14"/>
  <c r="P2449" i="14"/>
  <c r="P2436" i="14"/>
  <c r="P2411" i="14"/>
  <c r="P2421" i="14"/>
  <c r="P2442" i="14"/>
  <c r="P2478" i="14"/>
  <c r="P2407" i="14"/>
  <c r="P2438" i="14"/>
  <c r="P2379" i="14"/>
  <c r="P2341" i="14"/>
  <c r="P2365" i="14"/>
  <c r="P2366" i="14"/>
  <c r="P2358" i="14"/>
  <c r="P2281" i="14"/>
  <c r="P2515" i="14"/>
  <c r="P2522" i="14"/>
  <c r="P2334" i="14"/>
  <c r="P2380" i="14"/>
  <c r="P2536" i="14"/>
  <c r="P2557" i="14"/>
  <c r="P2397" i="14"/>
  <c r="P2372" i="14"/>
  <c r="P2550" i="14"/>
  <c r="P2475" i="14"/>
  <c r="P2479" i="14"/>
  <c r="P2422" i="14"/>
  <c r="P2396" i="14"/>
  <c r="P2375" i="14"/>
  <c r="P2332" i="14"/>
  <c r="P2354" i="14"/>
  <c r="P2325" i="14"/>
  <c r="P2339" i="14"/>
  <c r="P2361" i="14"/>
  <c r="P2403" i="14"/>
  <c r="P2346" i="14"/>
  <c r="P2382" i="14"/>
  <c r="P2440" i="14"/>
  <c r="P2419" i="14"/>
  <c r="P2272" i="14"/>
  <c r="P2412" i="14"/>
  <c r="P2482" i="14"/>
  <c r="B1144" i="14"/>
  <c r="B1004" i="14"/>
  <c r="H2482" i="14"/>
  <c r="I2482" i="14" s="1"/>
  <c r="N2482" i="14" s="1"/>
  <c r="I2326" i="14"/>
  <c r="N2326" i="14"/>
  <c r="I2395" i="14"/>
  <c r="N2395" i="14"/>
  <c r="I2287" i="14"/>
  <c r="N2287" i="14"/>
  <c r="H2238" i="14"/>
  <c r="I2238" i="14" s="1"/>
  <c r="N2238" i="14" s="1"/>
  <c r="B2236" i="14" s="1"/>
  <c r="H2343" i="14"/>
  <c r="I2343" i="14" s="1"/>
  <c r="N2343" i="14" s="1"/>
  <c r="H2345" i="14"/>
  <c r="I2345" i="14" s="1"/>
  <c r="N2345" i="14" s="1"/>
  <c r="I2347" i="14"/>
  <c r="N2347" i="14"/>
  <c r="I2324" i="14"/>
  <c r="N2324" i="14"/>
  <c r="I2340" i="14"/>
  <c r="N2340" i="14"/>
  <c r="I2284" i="14"/>
  <c r="N2284" i="14"/>
  <c r="H2320" i="14"/>
  <c r="I2320" i="14" s="1"/>
  <c r="N2320" i="14" s="1"/>
  <c r="H2318" i="14"/>
  <c r="I2318" i="14" s="1"/>
  <c r="N2318" i="14" s="1"/>
  <c r="H2292" i="14"/>
  <c r="H2286" i="14"/>
  <c r="I2286" i="14" s="1"/>
  <c r="N2286" i="14" s="1"/>
  <c r="H2281" i="14"/>
  <c r="I2281" i="14" s="1"/>
  <c r="N2281" i="14" s="1"/>
  <c r="I2283" i="14"/>
  <c r="N2283" i="14"/>
  <c r="H2321" i="14"/>
  <c r="I2321" i="14" s="1"/>
  <c r="N2321" i="14" s="1"/>
  <c r="H2319" i="14"/>
  <c r="I2319" i="14" s="1"/>
  <c r="N2319" i="14" s="1"/>
  <c r="I2280" i="14"/>
  <c r="N2280" i="14"/>
  <c r="B2275" i="14"/>
  <c r="I2496" i="14"/>
  <c r="N2496" i="14"/>
  <c r="I2273" i="14"/>
  <c r="N2273" i="14"/>
  <c r="B2268" i="14"/>
  <c r="P2444" i="14"/>
  <c r="H2249" i="14"/>
  <c r="I2249" i="14" s="1"/>
  <c r="N2249" i="14" s="1"/>
  <c r="B2250" i="14" s="1"/>
  <c r="H2259" i="14"/>
  <c r="B2254" i="14" s="1"/>
  <c r="I2252" i="14"/>
  <c r="N2252" i="14"/>
  <c r="H2430" i="14"/>
  <c r="I2430" i="14" s="1"/>
  <c r="N2430" i="14" s="1"/>
  <c r="H2375" i="14"/>
  <c r="I2375" i="14" s="1"/>
  <c r="I2368" i="14"/>
  <c r="N2368" i="14"/>
  <c r="H2361" i="14"/>
  <c r="I2361" i="14"/>
  <c r="N2361" i="14" s="1"/>
  <c r="H2325" i="14"/>
  <c r="I2325" i="14"/>
  <c r="N2325" i="14" s="1"/>
  <c r="H2403" i="14"/>
  <c r="I2403" i="14" s="1"/>
  <c r="N2403" i="14" s="1"/>
  <c r="H2332" i="14"/>
  <c r="I2332" i="14" s="1"/>
  <c r="N2332" i="14" s="1"/>
  <c r="H2382" i="14"/>
  <c r="I2382" i="14" s="1"/>
  <c r="N2382" i="14" s="1"/>
  <c r="H2346" i="14"/>
  <c r="I2346" i="14" s="1"/>
  <c r="N2346" i="14" s="1"/>
  <c r="H2339" i="14"/>
  <c r="I2339" i="14" s="1"/>
  <c r="N2339" i="14" s="1"/>
  <c r="H2354" i="14"/>
  <c r="I2354" i="14" s="1"/>
  <c r="N2354" i="14" s="1"/>
  <c r="H2396" i="14"/>
  <c r="I2396" i="14" s="1"/>
  <c r="N2396" i="14" s="1"/>
  <c r="H2475" i="14"/>
  <c r="I2475" i="14" s="1"/>
  <c r="N2475" i="14" s="1"/>
  <c r="I2454" i="14"/>
  <c r="N2454" i="14"/>
  <c r="H2442" i="14"/>
  <c r="I2442" i="14" s="1"/>
  <c r="N2442" i="14" s="1"/>
  <c r="I2451" i="14"/>
  <c r="N2451" i="14"/>
  <c r="H2423" i="14"/>
  <c r="I2423" i="14" s="1"/>
  <c r="N2423" i="14" s="1"/>
  <c r="H2447" i="14"/>
  <c r="I2447" i="14" s="1"/>
  <c r="N2447" i="14" s="1"/>
  <c r="H2426" i="14"/>
  <c r="I2426" i="14" s="1"/>
  <c r="N2426" i="14" s="1"/>
  <c r="H2468" i="14"/>
  <c r="I2468" i="14" s="1"/>
  <c r="N2468" i="14" s="1"/>
  <c r="H2341" i="14"/>
  <c r="I2341" i="14"/>
  <c r="N2341" i="14" s="1"/>
  <c r="H2351" i="14"/>
  <c r="I2351" i="14" s="1"/>
  <c r="N2351" i="14" s="1"/>
  <c r="H2358" i="14"/>
  <c r="I2358" i="14" s="1"/>
  <c r="N2358" i="14" s="1"/>
  <c r="H2383" i="14"/>
  <c r="I2383" i="14" s="1"/>
  <c r="N2383" i="14" s="1"/>
  <c r="H2372" i="14"/>
  <c r="I2372" i="14" s="1"/>
  <c r="N2372" i="14" s="1"/>
  <c r="H2366" i="14"/>
  <c r="I2366" i="14" s="1"/>
  <c r="N2366" i="14" s="1"/>
  <c r="H2397" i="14"/>
  <c r="I2397" i="14" s="1"/>
  <c r="N2397" i="14" s="1"/>
  <c r="I2376" i="14"/>
  <c r="N2376" i="14"/>
  <c r="H2379" i="14"/>
  <c r="I2379" i="14" s="1"/>
  <c r="N2379" i="14" s="1"/>
  <c r="I2359" i="14"/>
  <c r="N2359" i="14"/>
  <c r="H2365" i="14"/>
  <c r="I2365" i="14" s="1"/>
  <c r="N2365" i="14" s="1"/>
  <c r="H2352" i="14"/>
  <c r="I2352" i="14" s="1"/>
  <c r="N2352" i="14" s="1"/>
  <c r="H2394" i="14"/>
  <c r="B2394" i="14" s="1"/>
  <c r="I2390" i="14"/>
  <c r="N2390" i="14"/>
  <c r="I2348" i="14"/>
  <c r="N2348" i="14"/>
  <c r="I2327" i="14"/>
  <c r="N2327" i="14"/>
  <c r="H2355" i="14"/>
  <c r="I2355" i="14" s="1"/>
  <c r="N2355" i="14"/>
  <c r="H2334" i="14"/>
  <c r="H2564" i="14"/>
  <c r="I2564" i="14" s="1"/>
  <c r="N2564" i="14" s="1"/>
  <c r="H2561" i="14"/>
  <c r="I2561" i="14" s="1"/>
  <c r="N2561" i="14" s="1"/>
  <c r="H2323" i="14"/>
  <c r="I2323" i="14" s="1"/>
  <c r="N2323" i="14" s="1"/>
  <c r="I2362" i="14"/>
  <c r="N2362" i="14"/>
  <c r="I2401" i="14"/>
  <c r="N2401" i="14"/>
  <c r="H2373" i="14"/>
  <c r="I2373" i="14" s="1"/>
  <c r="N2373" i="14" s="1"/>
  <c r="H2380" i="14"/>
  <c r="I2380" i="14" s="1"/>
  <c r="N2380" i="14" s="1"/>
  <c r="H2369" i="14"/>
  <c r="I2369" i="14" s="1"/>
  <c r="N2369" i="14" s="1"/>
  <c r="H2386" i="14"/>
  <c r="I2386" i="14" s="1"/>
  <c r="N2386" i="14" s="1"/>
  <c r="H2404" i="14"/>
  <c r="I2404" i="14" s="1"/>
  <c r="N2404" i="14" s="1"/>
  <c r="H2385" i="14"/>
  <c r="I2385" i="14" s="1"/>
  <c r="N2385" i="14" s="1"/>
  <c r="H2399" i="14"/>
  <c r="I2399" i="14" s="1"/>
  <c r="N2399" i="14" s="1"/>
  <c r="H2406" i="14"/>
  <c r="I2406" i="14" s="1"/>
  <c r="N2406" i="14" s="1"/>
  <c r="H2336" i="14"/>
  <c r="I2336" i="14" s="1"/>
  <c r="N2336" i="14" s="1"/>
  <c r="H2392" i="14"/>
  <c r="I2392" i="14" s="1"/>
  <c r="N2392" i="14" s="1"/>
  <c r="H2378" i="14"/>
  <c r="I2378" i="14"/>
  <c r="N2378" i="14" s="1"/>
  <c r="I2329" i="14"/>
  <c r="N2329" i="14"/>
  <c r="I2364" i="14"/>
  <c r="N2364" i="14"/>
  <c r="H2357" i="14"/>
  <c r="I2357" i="14" s="1"/>
  <c r="N2357" i="14" s="1"/>
  <c r="I2486" i="14"/>
  <c r="N2486" i="14"/>
  <c r="H2371" i="14"/>
  <c r="I2371" i="14" s="1"/>
  <c r="N2371" i="14" s="1"/>
  <c r="I2350" i="14"/>
  <c r="N2350" i="14"/>
  <c r="H2440" i="14"/>
  <c r="I2440" i="14" s="1"/>
  <c r="N2440" i="14" s="1"/>
  <c r="H2419" i="14"/>
  <c r="I2419" i="14" s="1"/>
  <c r="N2419" i="14" s="1"/>
  <c r="I2291" i="14"/>
  <c r="N2291" i="14"/>
  <c r="B759" i="14"/>
  <c r="I2393" i="14"/>
  <c r="N2393" i="14"/>
  <c r="I2387" i="14"/>
  <c r="N2387" i="14"/>
  <c r="I2400" i="14"/>
  <c r="N2400" i="14"/>
  <c r="I2337" i="14"/>
  <c r="N2337" i="14"/>
  <c r="I2344" i="14"/>
  <c r="N2344" i="14"/>
  <c r="I2330" i="14"/>
  <c r="N2330" i="14"/>
  <c r="H2416" i="14"/>
  <c r="I2416" i="14" s="1"/>
  <c r="N2416" i="14" s="1"/>
  <c r="I2409" i="14"/>
  <c r="N2409" i="14"/>
  <c r="B383" i="14"/>
  <c r="B390" i="14"/>
  <c r="B397" i="14"/>
  <c r="B40" i="14"/>
  <c r="B404" i="14"/>
  <c r="B47" i="14"/>
  <c r="B411" i="14"/>
  <c r="B54" i="14"/>
  <c r="B418" i="14"/>
  <c r="B61" i="14"/>
  <c r="B425" i="14"/>
  <c r="B68" i="14"/>
  <c r="B432" i="14"/>
  <c r="B75" i="14"/>
  <c r="B439" i="14"/>
  <c r="B82" i="14"/>
  <c r="B446" i="14"/>
  <c r="B89" i="14"/>
  <c r="B453" i="14"/>
  <c r="B96" i="14"/>
  <c r="B460" i="14"/>
  <c r="B103" i="14"/>
  <c r="B467" i="14"/>
  <c r="B110" i="14"/>
  <c r="B474" i="14"/>
  <c r="B117" i="14"/>
  <c r="B481" i="14"/>
  <c r="B124" i="14"/>
  <c r="B488" i="14"/>
  <c r="B131" i="14"/>
  <c r="B495" i="14"/>
  <c r="B138" i="14"/>
  <c r="B502" i="14"/>
  <c r="B145" i="14"/>
  <c r="B509" i="14"/>
  <c r="B152" i="14"/>
  <c r="B516" i="14"/>
  <c r="B159" i="14"/>
  <c r="B523" i="14"/>
  <c r="B166" i="14"/>
  <c r="B530" i="14"/>
  <c r="B173" i="14"/>
  <c r="B537" i="14"/>
  <c r="B180" i="14"/>
  <c r="B544" i="14"/>
  <c r="B187" i="14"/>
  <c r="B551" i="14"/>
  <c r="B194" i="14"/>
  <c r="B558" i="14"/>
  <c r="B201" i="14"/>
  <c r="B565" i="14"/>
  <c r="B208" i="14"/>
  <c r="B572" i="14"/>
  <c r="B215" i="14"/>
  <c r="B579" i="14"/>
  <c r="B222" i="14"/>
  <c r="B586" i="14"/>
  <c r="B229" i="14"/>
  <c r="B593" i="14"/>
  <c r="B236" i="14"/>
  <c r="B600" i="14"/>
  <c r="B243" i="14"/>
  <c r="B607" i="14"/>
  <c r="B250" i="14"/>
  <c r="B614" i="14"/>
  <c r="B257" i="14"/>
  <c r="B621" i="14"/>
  <c r="B264" i="14"/>
  <c r="B628" i="14"/>
  <c r="B271" i="14"/>
  <c r="B635" i="14"/>
  <c r="B278" i="14"/>
  <c r="B642" i="14"/>
  <c r="B285" i="14"/>
  <c r="B649" i="14"/>
  <c r="B292" i="14"/>
  <c r="B656" i="14"/>
  <c r="B299" i="14"/>
  <c r="B663" i="14"/>
  <c r="B306" i="14"/>
  <c r="B670" i="14"/>
  <c r="B313" i="14"/>
  <c r="B677" i="14"/>
  <c r="B320" i="14"/>
  <c r="B684" i="14"/>
  <c r="B327" i="14"/>
  <c r="B691" i="14"/>
  <c r="B334" i="14"/>
  <c r="B698" i="14"/>
  <c r="B341" i="14"/>
  <c r="B705" i="14"/>
  <c r="B348" i="14"/>
  <c r="B712" i="14"/>
  <c r="B355" i="14"/>
  <c r="B719" i="14"/>
  <c r="B362" i="14"/>
  <c r="B726" i="14"/>
  <c r="B369" i="14"/>
  <c r="B733" i="14"/>
  <c r="B376" i="14"/>
  <c r="B740" i="14"/>
  <c r="B747" i="14"/>
  <c r="B754" i="14"/>
  <c r="B761" i="14"/>
  <c r="B768" i="14"/>
  <c r="B775" i="14"/>
  <c r="B782" i="14"/>
  <c r="B789" i="14"/>
  <c r="B796" i="14"/>
  <c r="B803" i="14"/>
  <c r="B810" i="14"/>
  <c r="B817" i="14"/>
  <c r="B824" i="14"/>
  <c r="B831" i="14"/>
  <c r="B838" i="14"/>
  <c r="B845" i="14"/>
  <c r="B852" i="14"/>
  <c r="B859" i="14"/>
  <c r="B866" i="14"/>
  <c r="B873" i="14"/>
  <c r="B880" i="14"/>
  <c r="B887" i="14"/>
  <c r="B894" i="14"/>
  <c r="B901" i="14"/>
  <c r="B908" i="14"/>
  <c r="B915" i="14"/>
  <c r="B922" i="14"/>
  <c r="B929" i="14"/>
  <c r="B936" i="14"/>
  <c r="B943" i="14"/>
  <c r="B950" i="14"/>
  <c r="B957" i="14"/>
  <c r="B964" i="14"/>
  <c r="B971" i="14"/>
  <c r="B978" i="14"/>
  <c r="B985" i="14"/>
  <c r="B992" i="14"/>
  <c r="B999" i="14"/>
  <c r="B1006" i="14"/>
  <c r="B1013" i="14"/>
  <c r="B1020" i="14"/>
  <c r="B1027" i="14"/>
  <c r="B1034" i="14"/>
  <c r="B1041" i="14"/>
  <c r="B1048" i="14"/>
  <c r="B1055" i="14"/>
  <c r="B1062" i="14"/>
  <c r="B1069" i="14"/>
  <c r="B1076" i="14"/>
  <c r="B1083" i="14"/>
  <c r="B1090" i="14"/>
  <c r="B1097" i="14"/>
  <c r="B1104" i="14"/>
  <c r="B1111" i="14"/>
  <c r="B1118" i="14"/>
  <c r="B1125" i="14"/>
  <c r="B1132" i="14"/>
  <c r="B1139" i="14"/>
  <c r="B1146" i="14"/>
  <c r="B1153" i="14"/>
  <c r="B1160" i="14"/>
  <c r="B1167" i="14"/>
  <c r="B1174" i="14"/>
  <c r="B1181" i="14"/>
  <c r="B1188" i="14"/>
  <c r="B1195" i="14"/>
  <c r="B1202" i="14"/>
  <c r="B1209" i="14"/>
  <c r="B1216" i="14"/>
  <c r="B1223" i="14"/>
  <c r="B1230" i="14"/>
  <c r="B1237" i="14"/>
  <c r="B1244" i="14"/>
  <c r="B1251" i="14"/>
  <c r="B1258" i="14"/>
  <c r="B1265" i="14"/>
  <c r="B1272" i="14"/>
  <c r="B1279" i="14"/>
  <c r="B1286" i="14"/>
  <c r="B1293" i="14"/>
  <c r="B1300" i="14"/>
  <c r="B1307" i="14"/>
  <c r="B1314" i="14"/>
  <c r="B1321" i="14"/>
  <c r="B1328" i="14"/>
  <c r="B1335" i="14"/>
  <c r="B1342" i="14"/>
  <c r="B1349" i="14"/>
  <c r="B1356" i="14"/>
  <c r="B1363" i="14"/>
  <c r="B1370" i="14"/>
  <c r="B1377" i="14"/>
  <c r="B1384" i="14"/>
  <c r="B1391" i="14"/>
  <c r="B1398" i="14"/>
  <c r="B1405" i="14"/>
  <c r="B1412" i="14"/>
  <c r="B1419" i="14"/>
  <c r="B1426" i="14"/>
  <c r="B1433" i="14"/>
  <c r="B1440" i="14"/>
  <c r="B1447" i="14"/>
  <c r="B1454" i="14"/>
  <c r="B1461" i="14"/>
  <c r="B1468" i="14"/>
  <c r="B1475" i="14"/>
  <c r="B1482" i="14"/>
  <c r="B1489" i="14"/>
  <c r="B1496" i="14"/>
  <c r="B1503" i="14"/>
  <c r="B1510" i="14"/>
  <c r="B1517" i="14"/>
  <c r="B1524" i="14"/>
  <c r="B1531" i="14"/>
  <c r="B1538" i="14"/>
  <c r="B1545" i="14"/>
  <c r="B1552" i="14"/>
  <c r="B1559" i="14"/>
  <c r="B1566" i="14"/>
  <c r="B1573" i="14"/>
  <c r="B1580" i="14"/>
  <c r="B1587" i="14"/>
  <c r="B1594" i="14"/>
  <c r="B1601" i="14"/>
  <c r="B1608" i="14"/>
  <c r="B1615" i="14"/>
  <c r="B1622" i="14"/>
  <c r="B1629" i="14"/>
  <c r="B1636" i="14"/>
  <c r="B1643" i="14"/>
  <c r="B1650" i="14"/>
  <c r="B1657" i="14"/>
  <c r="B1664" i="14"/>
  <c r="B1671" i="14"/>
  <c r="B1678" i="14"/>
  <c r="B1685" i="14"/>
  <c r="B1692" i="14"/>
  <c r="B1699" i="14"/>
  <c r="B1706" i="14"/>
  <c r="B1713" i="14"/>
  <c r="B1720" i="14"/>
  <c r="B1727" i="14"/>
  <c r="B1734" i="14"/>
  <c r="B1741" i="14"/>
  <c r="B1748" i="14"/>
  <c r="B1755" i="14"/>
  <c r="B1762" i="14"/>
  <c r="B1769" i="14"/>
  <c r="B1776" i="14"/>
  <c r="B1783" i="14"/>
  <c r="B1790" i="14"/>
  <c r="B1797" i="14"/>
  <c r="B1804" i="14"/>
  <c r="B1811" i="14"/>
  <c r="B1818" i="14"/>
  <c r="B1825" i="14"/>
  <c r="B1832" i="14"/>
  <c r="B1839" i="14"/>
  <c r="B1843" i="14"/>
  <c r="B1850" i="14"/>
  <c r="B1857" i="14"/>
  <c r="B1864" i="14"/>
  <c r="B1871" i="14"/>
  <c r="B1878" i="14"/>
  <c r="B1885" i="14"/>
  <c r="B1892" i="14"/>
  <c r="B1899" i="14"/>
  <c r="B1906" i="14"/>
  <c r="B1913" i="14"/>
  <c r="B1920" i="14"/>
  <c r="B1927" i="14"/>
  <c r="B1934" i="14"/>
  <c r="B1941" i="14"/>
  <c r="B1948" i="14"/>
  <c r="B1955" i="14"/>
  <c r="B1962" i="14"/>
  <c r="B1969" i="14"/>
  <c r="B1976" i="14"/>
  <c r="B1983" i="14"/>
  <c r="B1990" i="14"/>
  <c r="B1997" i="14"/>
  <c r="B2004" i="14"/>
  <c r="B2011" i="14"/>
  <c r="B2018" i="14"/>
  <c r="B2025" i="14"/>
  <c r="B2032" i="14"/>
  <c r="B2039" i="14"/>
  <c r="B2046" i="14"/>
  <c r="B2053" i="14"/>
  <c r="B2060" i="14"/>
  <c r="B2067" i="14"/>
  <c r="B2074" i="14"/>
  <c r="B2081" i="14"/>
  <c r="B2088" i="14"/>
  <c r="B2095" i="14"/>
  <c r="B2102" i="14"/>
  <c r="B2109" i="14"/>
  <c r="B2116" i="14"/>
  <c r="B2123" i="14"/>
  <c r="B2130" i="14"/>
  <c r="B2137" i="14"/>
  <c r="B2144" i="14"/>
  <c r="V2150" i="14"/>
  <c r="W2150" i="14"/>
  <c r="W2151" i="14"/>
  <c r="V2151" i="14"/>
  <c r="V2152" i="14"/>
  <c r="W2152" i="14"/>
  <c r="V2153" i="14"/>
  <c r="B2151" i="14"/>
  <c r="V2154" i="14"/>
  <c r="W2153" i="14"/>
  <c r="W2154" i="14"/>
  <c r="V2155" i="14"/>
  <c r="V2156" i="14"/>
  <c r="W2155" i="14"/>
  <c r="V2157" i="14"/>
  <c r="W2156" i="14"/>
  <c r="V2158" i="14"/>
  <c r="W2157" i="14"/>
  <c r="V2159" i="14"/>
  <c r="W2158" i="14"/>
  <c r="V2160" i="14"/>
  <c r="W2159" i="14"/>
  <c r="B2158" i="14"/>
  <c r="V2161" i="14"/>
  <c r="W2160" i="14"/>
  <c r="V2162" i="14"/>
  <c r="W2161" i="14"/>
  <c r="W2162" i="14"/>
  <c r="V2163" i="14"/>
  <c r="V2164" i="14"/>
  <c r="W2163" i="14"/>
  <c r="W2164" i="14"/>
  <c r="V2165" i="14"/>
  <c r="V2166" i="14"/>
  <c r="W2165" i="14"/>
  <c r="W2166" i="14"/>
  <c r="V2167" i="14"/>
  <c r="B2165" i="14"/>
  <c r="W2167" i="14"/>
  <c r="V2168" i="14"/>
  <c r="V2169" i="14"/>
  <c r="W2168" i="14"/>
  <c r="W2169" i="14"/>
  <c r="V2170" i="14"/>
  <c r="V2171" i="14"/>
  <c r="W2170" i="14"/>
  <c r="V2172" i="14"/>
  <c r="W2171" i="14"/>
  <c r="V2173" i="14"/>
  <c r="W2172" i="14"/>
  <c r="V2174" i="14"/>
  <c r="W2173" i="14"/>
  <c r="V2175" i="14"/>
  <c r="W2174" i="14"/>
  <c r="B2172" i="14"/>
  <c r="V2176" i="14"/>
  <c r="W2175" i="14"/>
  <c r="W2176" i="14"/>
  <c r="V2177" i="14"/>
  <c r="V2178" i="14"/>
  <c r="W2177" i="14"/>
  <c r="W2178" i="14"/>
  <c r="V2179" i="14"/>
  <c r="V2180" i="14"/>
  <c r="W2179" i="14"/>
  <c r="W2180" i="14"/>
  <c r="V2181" i="14"/>
  <c r="V2182" i="14"/>
  <c r="W2181" i="14"/>
  <c r="B2179" i="14"/>
  <c r="W2182" i="14"/>
  <c r="V2183" i="14"/>
  <c r="V2184" i="14"/>
  <c r="W2183" i="14"/>
  <c r="W2184" i="14"/>
  <c r="V2185" i="14"/>
  <c r="V2186" i="14"/>
  <c r="W2185" i="14"/>
  <c r="W2186" i="14"/>
  <c r="V2187" i="14"/>
  <c r="V2188" i="14"/>
  <c r="W2187" i="14"/>
  <c r="W2188" i="14"/>
  <c r="V2189" i="14"/>
  <c r="B2186" i="14"/>
  <c r="V2190" i="14"/>
  <c r="W2189" i="14"/>
  <c r="W2190" i="14"/>
  <c r="V2191" i="14"/>
  <c r="V2192" i="14"/>
  <c r="W2191" i="14"/>
  <c r="W2192" i="14"/>
  <c r="V2193" i="14"/>
  <c r="V2194" i="14"/>
  <c r="W2193" i="14"/>
  <c r="W2194" i="14"/>
  <c r="V2195" i="14"/>
  <c r="B2193" i="14"/>
  <c r="V2196" i="14"/>
  <c r="W2195" i="14"/>
  <c r="V2197" i="14"/>
  <c r="W2196" i="14"/>
  <c r="V2198" i="14"/>
  <c r="W2197" i="14"/>
  <c r="V2199" i="14"/>
  <c r="W2198" i="14"/>
  <c r="V2200" i="14"/>
  <c r="W2199" i="14"/>
  <c r="V2201" i="14"/>
  <c r="W2200" i="14"/>
  <c r="V2202" i="14"/>
  <c r="W2201" i="14"/>
  <c r="V2203" i="14"/>
  <c r="W2202" i="14"/>
  <c r="V2204" i="14"/>
  <c r="W2203" i="14"/>
  <c r="B2200" i="14"/>
  <c r="V2205" i="14"/>
  <c r="W2204" i="14"/>
  <c r="V2206" i="14"/>
  <c r="W2205" i="14"/>
  <c r="V2207" i="14"/>
  <c r="W2206" i="14"/>
  <c r="V2208" i="14"/>
  <c r="W2207" i="14"/>
  <c r="B2207" i="14"/>
  <c r="V2209" i="14"/>
  <c r="W2208" i="14"/>
  <c r="V2210" i="14"/>
  <c r="W2209" i="14"/>
  <c r="V2211" i="14"/>
  <c r="W2210" i="14"/>
  <c r="V2212" i="14"/>
  <c r="W2211" i="14"/>
  <c r="V2213" i="14"/>
  <c r="W2212" i="14"/>
  <c r="V2214" i="14"/>
  <c r="W2213" i="14"/>
  <c r="V2215" i="14"/>
  <c r="W2214" i="14"/>
  <c r="V2216" i="14"/>
  <c r="W2215" i="14"/>
  <c r="V2217" i="14"/>
  <c r="W2216" i="14"/>
  <c r="V2218" i="14"/>
  <c r="W2217" i="14"/>
  <c r="V2219" i="14"/>
  <c r="W2218" i="14"/>
  <c r="B2221" i="14"/>
  <c r="V2220" i="14"/>
  <c r="W2219" i="14"/>
  <c r="V2221" i="14"/>
  <c r="W2220" i="14"/>
  <c r="V2222" i="14"/>
  <c r="W2221" i="14"/>
  <c r="V2223" i="14"/>
  <c r="W2222" i="14"/>
  <c r="V2224" i="14"/>
  <c r="W2223" i="14"/>
  <c r="V2225" i="14"/>
  <c r="W2224" i="14"/>
  <c r="V2226" i="14"/>
  <c r="W2225" i="14"/>
  <c r="V2227" i="14"/>
  <c r="W2226" i="14"/>
  <c r="V2228" i="14"/>
  <c r="W2227" i="14"/>
  <c r="V2229" i="14"/>
  <c r="W2228" i="14"/>
  <c r="V2230" i="14"/>
  <c r="W2229" i="14"/>
  <c r="V2231" i="14"/>
  <c r="W2230" i="14"/>
  <c r="V2232" i="14"/>
  <c r="W2231" i="14"/>
  <c r="V2233" i="14"/>
  <c r="W2232" i="14"/>
  <c r="V2234" i="14"/>
  <c r="W2233" i="14"/>
  <c r="V2235" i="14"/>
  <c r="W2234" i="14"/>
  <c r="V2236" i="14"/>
  <c r="W2235" i="14"/>
  <c r="V2237" i="14"/>
  <c r="W2236" i="14"/>
  <c r="V2238" i="14"/>
  <c r="W2237" i="14"/>
  <c r="V2239" i="14"/>
  <c r="W2238" i="14"/>
  <c r="W2239" i="14"/>
  <c r="V2240" i="14"/>
  <c r="W2240" i="14"/>
  <c r="V2241" i="14"/>
  <c r="V2242" i="14"/>
  <c r="W2241" i="14"/>
  <c r="B2242" i="14"/>
  <c r="V2243" i="14"/>
  <c r="W2242" i="14"/>
  <c r="V2244" i="14"/>
  <c r="W2243" i="14"/>
  <c r="V2245" i="14"/>
  <c r="W2244" i="14"/>
  <c r="V2246" i="14"/>
  <c r="W2245" i="14"/>
  <c r="V2247" i="14"/>
  <c r="W2246" i="14"/>
  <c r="V2248" i="14"/>
  <c r="W2247" i="14"/>
  <c r="V2249" i="14"/>
  <c r="W2248" i="14"/>
  <c r="V2250" i="14"/>
  <c r="W2249" i="14"/>
  <c r="V2251" i="14"/>
  <c r="W2250" i="14"/>
  <c r="W2251" i="14"/>
  <c r="I2389" i="14"/>
  <c r="N2389" i="14"/>
  <c r="I2437" i="14"/>
  <c r="N2437" i="14"/>
  <c r="H2479" i="14"/>
  <c r="I2479" i="14" s="1"/>
  <c r="N2479" i="14" s="1"/>
  <c r="I2472" i="14"/>
  <c r="N2472" i="14"/>
  <c r="B2769" i="14"/>
  <c r="B2228" i="14"/>
  <c r="B2214" i="14"/>
  <c r="B2271" i="14"/>
  <c r="B2278" i="14"/>
  <c r="B2264" i="14"/>
  <c r="B2235" i="14"/>
  <c r="B2306" i="14"/>
  <c r="T2254" i="14"/>
  <c r="V2252" i="14"/>
  <c r="U2252" i="14"/>
  <c r="B2741" i="14"/>
  <c r="B2804" i="14"/>
  <c r="B2797" i="14"/>
  <c r="B2776" i="14"/>
  <c r="B2762" i="14"/>
  <c r="B2755" i="14"/>
  <c r="B2881" i="14"/>
  <c r="B2748" i="14"/>
  <c r="B2734" i="14"/>
  <c r="B2713" i="14"/>
  <c r="B2692" i="14"/>
  <c r="B2678" i="14"/>
  <c r="B2671" i="14"/>
  <c r="B2657" i="14"/>
  <c r="B2629" i="14"/>
  <c r="B2587" i="14"/>
  <c r="B2580" i="14"/>
  <c r="B2573" i="14"/>
  <c r="R2847" i="14"/>
  <c r="R2854" i="14"/>
  <c r="B2552" i="14"/>
  <c r="B2538" i="14"/>
  <c r="R2541" i="14"/>
  <c r="R2534" i="14"/>
  <c r="R2586" i="14"/>
  <c r="R2582" i="14"/>
  <c r="R2547" i="14"/>
  <c r="R2576" i="14"/>
  <c r="R2597" i="14"/>
  <c r="P2597" i="14"/>
  <c r="R2590" i="14"/>
  <c r="B2524" i="14"/>
  <c r="B2503" i="14"/>
  <c r="B2496" i="14"/>
  <c r="I2242" i="14"/>
  <c r="N2242" i="14" s="1"/>
  <c r="B2243" i="14" s="1"/>
  <c r="B2475" i="14"/>
  <c r="B2009" i="14"/>
  <c r="B2461" i="14"/>
  <c r="R2560" i="14"/>
  <c r="R2518" i="14"/>
  <c r="R2553" i="14"/>
  <c r="R2532" i="14"/>
  <c r="R2539" i="14"/>
  <c r="P2543" i="14"/>
  <c r="P2481" i="14"/>
  <c r="R2459" i="14"/>
  <c r="P2562" i="14"/>
  <c r="R2554" i="14"/>
  <c r="R2562" i="14"/>
  <c r="P2491" i="14"/>
  <c r="R2537" i="14"/>
  <c r="P2487" i="14"/>
  <c r="R2602" i="14"/>
  <c r="R2476" i="14"/>
  <c r="R2469" i="14"/>
  <c r="P2554" i="14"/>
  <c r="P2534" i="14"/>
  <c r="P2469" i="14"/>
  <c r="P2476" i="14"/>
  <c r="R2491" i="14"/>
  <c r="P2541" i="14"/>
  <c r="P2512" i="14"/>
  <c r="P2547" i="14"/>
  <c r="P2474" i="14"/>
  <c r="P2602" i="14"/>
  <c r="B2773" i="14"/>
  <c r="B2752" i="14"/>
  <c r="B2899" i="14"/>
  <c r="B2836" i="14"/>
  <c r="B2843" i="14"/>
  <c r="B2745" i="14"/>
  <c r="B2731" i="14"/>
  <c r="B2738" i="14"/>
  <c r="B2885" i="14"/>
  <c r="B2787" i="14"/>
  <c r="B2780" i="14"/>
  <c r="B2766" i="14"/>
  <c r="B2759" i="14"/>
  <c r="B2801" i="14"/>
  <c r="B2591" i="14"/>
  <c r="B2633" i="14"/>
  <c r="B2794" i="14"/>
  <c r="B2661" i="14"/>
  <c r="B2689" i="14"/>
  <c r="B2682" i="14"/>
  <c r="B2640" i="14"/>
  <c r="B2605" i="14"/>
  <c r="B2675" i="14"/>
  <c r="B2703" i="14"/>
  <c r="B2647" i="14"/>
  <c r="B2934" i="14"/>
  <c r="B2920" i="14"/>
  <c r="B2909" i="14"/>
  <c r="B2906" i="14"/>
  <c r="B2937" i="14"/>
  <c r="B2927" i="14"/>
  <c r="B2857" i="14"/>
  <c r="B2930" i="14"/>
  <c r="B2874" i="14"/>
  <c r="B2913" i="14"/>
  <c r="B2850" i="14"/>
  <c r="B2818" i="14"/>
  <c r="B2815" i="14"/>
  <c r="B2916" i="14"/>
  <c r="B2902" i="14"/>
  <c r="B2892" i="14"/>
  <c r="B2888" i="14"/>
  <c r="B2878" i="14"/>
  <c r="B2846" i="14"/>
  <c r="B2839" i="14"/>
  <c r="B2867" i="14"/>
  <c r="B2832" i="14"/>
  <c r="B2860" i="14"/>
  <c r="B2871" i="14"/>
  <c r="B2853" i="14"/>
  <c r="B2825" i="14"/>
  <c r="B2717" i="14"/>
  <c r="B2710" i="14"/>
  <c r="B2699" i="14"/>
  <c r="B2685" i="14"/>
  <c r="B2706" i="14"/>
  <c r="B2654" i="14"/>
  <c r="B2720" i="14"/>
  <c r="B2724" i="14"/>
  <c r="B2696" i="14"/>
  <c r="B2615" i="14"/>
  <c r="B2598" i="14"/>
  <c r="B2594" i="14"/>
  <c r="B2584" i="14"/>
  <c r="B2601" i="14"/>
  <c r="B2643" i="14"/>
  <c r="B2668" i="14"/>
  <c r="B2664" i="14"/>
  <c r="B2650" i="14"/>
  <c r="B2619" i="14"/>
  <c r="B2636" i="14"/>
  <c r="B2622" i="14"/>
  <c r="B2612" i="14"/>
  <c r="B2608" i="14"/>
  <c r="B2626" i="14"/>
  <c r="B2577" i="14"/>
  <c r="B512" i="14"/>
  <c r="B743" i="14"/>
  <c r="B463" i="14"/>
  <c r="B1893" i="14"/>
  <c r="B239" i="14"/>
  <c r="B379" i="14"/>
  <c r="B2005" i="14"/>
  <c r="B1890" i="14"/>
  <c r="B1848" i="14"/>
  <c r="B1492" i="14"/>
  <c r="B827" i="14"/>
  <c r="B610" i="14"/>
  <c r="B2002" i="14"/>
  <c r="B2419" i="14"/>
  <c r="B127" i="14"/>
  <c r="B190" i="14"/>
  <c r="B673" i="14"/>
  <c r="B421" i="14"/>
  <c r="B456" i="14"/>
  <c r="B225" i="14"/>
  <c r="B344" i="14"/>
  <c r="B505" i="14"/>
  <c r="B253" i="14"/>
  <c r="B2016" i="14"/>
  <c r="B1841" i="14"/>
  <c r="B484" i="14"/>
  <c r="B547" i="14"/>
  <c r="B813" i="14"/>
  <c r="B582" i="14"/>
  <c r="B491" i="14"/>
  <c r="B680" i="14"/>
  <c r="B799" i="14"/>
  <c r="B904" i="14"/>
  <c r="B771" i="14"/>
  <c r="B351" i="14"/>
  <c r="B1100" i="14"/>
  <c r="B386" i="14"/>
  <c r="B869" i="14"/>
  <c r="B624" i="14"/>
  <c r="B442" i="14"/>
  <c r="B470" i="14"/>
  <c r="B428" i="14"/>
  <c r="B701" i="14"/>
  <c r="B729" i="14"/>
  <c r="B393" i="14"/>
  <c r="B1855" i="14"/>
  <c r="B638" i="14"/>
  <c r="B883" i="14"/>
  <c r="B302" i="14"/>
  <c r="B295" i="14"/>
  <c r="B645" i="14"/>
  <c r="B526" i="14"/>
  <c r="B659" i="14"/>
  <c r="B687" i="14"/>
  <c r="B603" i="14"/>
  <c r="B568" i="14"/>
  <c r="B330" i="14"/>
  <c r="B1981" i="14"/>
  <c r="B722" i="14"/>
  <c r="B617" i="14"/>
  <c r="B155" i="14"/>
  <c r="B218" i="14"/>
  <c r="B323" i="14"/>
  <c r="B1960" i="14"/>
  <c r="B1261" i="14"/>
  <c r="B1800" i="14"/>
  <c r="B232" i="14"/>
  <c r="B988" i="14"/>
  <c r="B2135" i="14"/>
  <c r="I1509" i="14"/>
  <c r="N1509" i="14" s="1"/>
  <c r="B1851" i="14"/>
  <c r="I2023" i="14"/>
  <c r="N2023" i="14" s="1"/>
  <c r="B953" i="14"/>
  <c r="I216" i="14"/>
  <c r="N216" i="14" s="1"/>
  <c r="B1310" i="14"/>
  <c r="I1781" i="14"/>
  <c r="N1781" i="14"/>
  <c r="B554" i="14"/>
  <c r="B1869" i="14"/>
  <c r="B939" i="14"/>
  <c r="B449" i="14"/>
  <c r="B400" i="14"/>
  <c r="B309" i="14"/>
  <c r="B414" i="14"/>
  <c r="B652" i="14"/>
  <c r="B715" i="14"/>
  <c r="B1051" i="14"/>
  <c r="B1988" i="14"/>
  <c r="B2037" i="14"/>
  <c r="B967" i="14"/>
  <c r="B575" i="14"/>
  <c r="B372" i="14"/>
  <c r="B778" i="14"/>
  <c r="B561" i="14"/>
  <c r="B519" i="14"/>
  <c r="B596" i="14"/>
  <c r="I413" i="14"/>
  <c r="N413" i="14" s="1"/>
  <c r="B477" i="14"/>
  <c r="B246" i="14"/>
  <c r="B764" i="14"/>
  <c r="B589" i="14"/>
  <c r="B631" i="14"/>
  <c r="B337" i="14"/>
  <c r="B862" i="14"/>
  <c r="B498" i="14"/>
  <c r="B260" i="14"/>
  <c r="B694" i="14"/>
  <c r="B435" i="14"/>
  <c r="B1023" i="14"/>
  <c r="B666" i="14"/>
  <c r="B281" i="14"/>
  <c r="B708" i="14"/>
  <c r="B736" i="14"/>
  <c r="B533" i="14"/>
  <c r="B267" i="14"/>
  <c r="B358" i="14"/>
  <c r="B540" i="14"/>
  <c r="I804" i="14"/>
  <c r="N804" i="14" s="1"/>
  <c r="I823" i="14"/>
  <c r="N823" i="14" s="1"/>
  <c r="B820" i="14"/>
  <c r="I794" i="14"/>
  <c r="N794" i="14" s="1"/>
  <c r="B792" i="14"/>
  <c r="I1820" i="14"/>
  <c r="N1820" i="14" s="1"/>
  <c r="I1950" i="14"/>
  <c r="N1950" i="14" s="1"/>
  <c r="B1946" i="14"/>
  <c r="B890" i="14"/>
  <c r="B876" i="14"/>
  <c r="I839" i="14"/>
  <c r="N839" i="14" s="1"/>
  <c r="B841" i="14"/>
  <c r="I1105" i="14"/>
  <c r="N1105" i="14" s="1"/>
  <c r="I1091" i="14"/>
  <c r="N1091" i="14" s="1"/>
  <c r="B1093" i="14"/>
  <c r="I1081" i="14"/>
  <c r="N1081" i="14" s="1"/>
  <c r="I1045" i="14"/>
  <c r="N1045" i="14" s="1"/>
  <c r="I1016" i="14"/>
  <c r="N1016" i="14"/>
  <c r="I961" i="14"/>
  <c r="N961" i="14" s="1"/>
  <c r="B960" i="14"/>
  <c r="I946" i="14"/>
  <c r="N946" i="14" s="1"/>
  <c r="B946" i="14"/>
  <c r="I1756" i="14"/>
  <c r="N1756" i="14" s="1"/>
  <c r="I1657" i="14"/>
  <c r="N1657" i="14" s="1"/>
  <c r="I1248" i="14"/>
  <c r="N1248" i="14" s="1"/>
  <c r="B1247" i="14"/>
  <c r="I1537" i="14"/>
  <c r="N1537" i="14" s="1"/>
  <c r="B1534" i="14"/>
  <c r="N1152" i="14"/>
  <c r="B1268" i="14"/>
  <c r="I1269" i="14"/>
  <c r="N1269" i="14" s="1"/>
  <c r="I1283" i="14"/>
  <c r="N1283" i="14" s="1"/>
  <c r="I1754" i="14"/>
  <c r="N1754" i="14" s="1"/>
  <c r="I1347" i="14"/>
  <c r="N1347" i="14" s="1"/>
  <c r="I1421" i="14"/>
  <c r="N1421" i="14" s="1"/>
  <c r="I1680" i="14"/>
  <c r="N1680" i="14" s="1"/>
  <c r="I1217" i="14"/>
  <c r="N1217" i="14" s="1"/>
  <c r="B1219" i="14"/>
  <c r="B1079" i="14"/>
  <c r="I1129" i="14"/>
  <c r="N1129" i="14" s="1"/>
  <c r="I1745" i="14"/>
  <c r="N1745" i="14" s="1"/>
  <c r="I1057" i="14"/>
  <c r="N1057" i="14" s="1"/>
  <c r="I1994" i="14"/>
  <c r="N1994" i="14" s="1"/>
  <c r="B1998" i="14" s="1"/>
  <c r="B1995" i="14"/>
  <c r="I1331" i="14"/>
  <c r="N1331" i="14" s="1"/>
  <c r="I1366" i="14"/>
  <c r="N1366" i="14" s="1"/>
  <c r="I1732" i="14"/>
  <c r="N1732" i="14" s="1"/>
  <c r="I1377" i="14"/>
  <c r="N1377" i="14" s="1"/>
  <c r="I1233" i="14"/>
  <c r="N1233" i="14" s="1"/>
  <c r="I2095" i="14"/>
  <c r="N2095" i="14" s="1"/>
  <c r="I1748" i="14"/>
  <c r="N1748" i="14"/>
  <c r="I1172" i="14"/>
  <c r="N1172" i="14" s="1"/>
  <c r="I1354" i="14"/>
  <c r="N1354" i="14" s="1"/>
  <c r="I1742" i="14"/>
  <c r="N1742" i="14" s="1"/>
  <c r="I1572" i="14"/>
  <c r="N1572" i="14" s="1"/>
  <c r="I2107" i="14"/>
  <c r="N2107" i="14" s="1"/>
  <c r="I1424" i="14"/>
  <c r="N1424" i="14" s="1"/>
  <c r="I1587" i="14"/>
  <c r="N1587" i="14" s="1"/>
  <c r="I1698" i="14"/>
  <c r="N1698" i="14" s="1"/>
  <c r="I1375" i="14"/>
  <c r="N1375" i="14" s="1"/>
  <c r="I1305" i="14"/>
  <c r="N1305" i="14" s="1"/>
  <c r="I1925" i="14"/>
  <c r="N1925" i="14" s="1"/>
  <c r="B1928" i="14" s="1"/>
  <c r="I1158" i="14"/>
  <c r="N1158" i="14" s="1"/>
  <c r="I1696" i="14"/>
  <c r="N1696" i="14" s="1"/>
  <c r="I1911" i="14"/>
  <c r="N1911" i="14" s="1"/>
  <c r="I2024" i="14"/>
  <c r="N2024" i="14" s="1"/>
  <c r="I1570" i="14"/>
  <c r="N1570" i="14" s="1"/>
  <c r="I1829" i="14"/>
  <c r="N1829" i="14" s="1"/>
  <c r="B2023" i="14"/>
  <c r="I369" i="14"/>
  <c r="N369" i="14" s="1"/>
  <c r="B365" i="14"/>
  <c r="I1414" i="14"/>
  <c r="N1414" i="14" s="1"/>
  <c r="I1819" i="14"/>
  <c r="N1819" i="14" s="1"/>
  <c r="I1596" i="14"/>
  <c r="N1596" i="14" s="1"/>
  <c r="I273" i="14"/>
  <c r="N273" i="14" s="1"/>
  <c r="B274" i="14"/>
  <c r="I316" i="14"/>
  <c r="N316" i="14"/>
  <c r="B316" i="14"/>
  <c r="I1642" i="14"/>
  <c r="N1642" i="14" s="1"/>
  <c r="I1456" i="14"/>
  <c r="N1456" i="14" s="1"/>
  <c r="I1791" i="14"/>
  <c r="N1791" i="14" s="1"/>
  <c r="B1793" i="14"/>
  <c r="I1553" i="14"/>
  <c r="N1553" i="14" s="1"/>
  <c r="I1501" i="14"/>
  <c r="N1501" i="14" s="1"/>
  <c r="I1965" i="14"/>
  <c r="N1965" i="14" s="1"/>
  <c r="I1428" i="14"/>
  <c r="N1428" i="14" s="1"/>
  <c r="I1886" i="14"/>
  <c r="N1886" i="14" s="1"/>
  <c r="I1957" i="14"/>
  <c r="N1957" i="14" s="1"/>
  <c r="B1953" i="14"/>
  <c r="I1114" i="14"/>
  <c r="N1114" i="14" s="1"/>
  <c r="I751" i="14"/>
  <c r="N751" i="14" s="1"/>
  <c r="B750" i="14"/>
  <c r="B1991" i="14"/>
  <c r="B407" i="14"/>
  <c r="I1771" i="14"/>
  <c r="N1771" i="14" s="1"/>
  <c r="I1780" i="14"/>
  <c r="N1780" i="14" s="1"/>
  <c r="I2060" i="14"/>
  <c r="N2060" i="14"/>
  <c r="I1702" i="14"/>
  <c r="N1702" i="14" s="1"/>
  <c r="I1432" i="14"/>
  <c r="N1432" i="14" s="1"/>
  <c r="N1391" i="14"/>
  <c r="I1724" i="14"/>
  <c r="N1724" i="14" s="1"/>
  <c r="I2210" i="14"/>
  <c r="N2210" i="14" s="1"/>
  <c r="N1758" i="14"/>
  <c r="I1914" i="14"/>
  <c r="N1914" i="14" s="1"/>
  <c r="B1844" i="14"/>
  <c r="B2012" i="14"/>
  <c r="B2570" i="14"/>
  <c r="B2423" i="14"/>
  <c r="B2521" i="14"/>
  <c r="B2479" i="14"/>
  <c r="B2549" i="14"/>
  <c r="B2542" i="14"/>
  <c r="B2528" i="14"/>
  <c r="B2514" i="14"/>
  <c r="B2500" i="14"/>
  <c r="B2458" i="14"/>
  <c r="B2444" i="14"/>
  <c r="B2437" i="14"/>
  <c r="B2430" i="14"/>
  <c r="B2535" i="14"/>
  <c r="N2375" i="14"/>
  <c r="I2334" i="14"/>
  <c r="N2334" i="14" s="1"/>
  <c r="B2247" i="14"/>
  <c r="I1382" i="14"/>
  <c r="N1382" i="14" s="1"/>
  <c r="I1981" i="14"/>
  <c r="N1981" i="14" s="1"/>
  <c r="B1984" i="14" s="1"/>
  <c r="I1467" i="14"/>
  <c r="N1467" i="14" s="1"/>
  <c r="I1749" i="14"/>
  <c r="N1749" i="14" s="1"/>
  <c r="I2117" i="14"/>
  <c r="N2117" i="14" s="1"/>
  <c r="I1609" i="14"/>
  <c r="N1609" i="14" s="1"/>
  <c r="I1142" i="14"/>
  <c r="N1142" i="14" s="1"/>
  <c r="I1907" i="14"/>
  <c r="N1907" i="14"/>
  <c r="B1807" i="14"/>
  <c r="I1810" i="14"/>
  <c r="N1810" i="14" s="1"/>
  <c r="I1600" i="14"/>
  <c r="N1600" i="14" s="1"/>
  <c r="I2103" i="14"/>
  <c r="N2103" i="14" s="1"/>
  <c r="I2055" i="14"/>
  <c r="N2055" i="14" s="1"/>
  <c r="I1368" i="14"/>
  <c r="N1368" i="14" s="1"/>
  <c r="B2507" i="14"/>
  <c r="B2493" i="14"/>
  <c r="B2486" i="14"/>
  <c r="B2465" i="14"/>
  <c r="B2451" i="14"/>
  <c r="B2416" i="14"/>
  <c r="B2409" i="14"/>
  <c r="B2556" i="14"/>
  <c r="B2563" i="14"/>
  <c r="B2472" i="14"/>
  <c r="V2253" i="14"/>
  <c r="U2253" i="14"/>
  <c r="W2252" i="14"/>
  <c r="B2249" i="14"/>
  <c r="T2255" i="14"/>
  <c r="R2852" i="14"/>
  <c r="P2471" i="14"/>
  <c r="P2852" i="14"/>
  <c r="P2847" i="14"/>
  <c r="P2854" i="14"/>
  <c r="P2586" i="14"/>
  <c r="P2576" i="14"/>
  <c r="P2582" i="14"/>
  <c r="P2590" i="14"/>
  <c r="P2484" i="14"/>
  <c r="P2506" i="14"/>
  <c r="P2513" i="14"/>
  <c r="P2519" i="14"/>
  <c r="P2560" i="14"/>
  <c r="P2553" i="14"/>
  <c r="P2518" i="14"/>
  <c r="P2461" i="14"/>
  <c r="P2532" i="14"/>
  <c r="P2539" i="14"/>
  <c r="P2502" i="14"/>
  <c r="P2544" i="14"/>
  <c r="P2509" i="14"/>
  <c r="P2516" i="14"/>
  <c r="P2463" i="14"/>
  <c r="P2558" i="14"/>
  <c r="P2459" i="14"/>
  <c r="P2530" i="14"/>
  <c r="P2537" i="14"/>
  <c r="R2481" i="14"/>
  <c r="R2465" i="14"/>
  <c r="R2550" i="14"/>
  <c r="R2494" i="14"/>
  <c r="R2474" i="14"/>
  <c r="R2477" i="14"/>
  <c r="R2536" i="14"/>
  <c r="R2543" i="14"/>
  <c r="R2466" i="14"/>
  <c r="R2522" i="14"/>
  <c r="R2478" i="14"/>
  <c r="R2487" i="14"/>
  <c r="R2473" i="14"/>
  <c r="R2515" i="14"/>
  <c r="R2557" i="14"/>
  <c r="T2256" i="14"/>
  <c r="U2254" i="14"/>
  <c r="V2254" i="14"/>
  <c r="W2253" i="14"/>
  <c r="R2766" i="14"/>
  <c r="H2574" i="14"/>
  <c r="I2574" i="14" s="1"/>
  <c r="N2574" i="14" s="1"/>
  <c r="B2572" i="14" s="1"/>
  <c r="H2847" i="14"/>
  <c r="I2847" i="14" s="1"/>
  <c r="N2847" i="14" s="1"/>
  <c r="H2854" i="14"/>
  <c r="I2854" i="14" s="1"/>
  <c r="N2854" i="14" s="1"/>
  <c r="I2556" i="14"/>
  <c r="N2556" i="14"/>
  <c r="H2852" i="14"/>
  <c r="I2852" i="14" s="1"/>
  <c r="N2852" i="14" s="1"/>
  <c r="I2531" i="14"/>
  <c r="N2531" i="14"/>
  <c r="H2552" i="14"/>
  <c r="I2552" i="14" s="1"/>
  <c r="N2552" i="14" s="1"/>
  <c r="I2542" i="14"/>
  <c r="N2542" i="14"/>
  <c r="I2549" i="14"/>
  <c r="N2549" i="14"/>
  <c r="I2535" i="14"/>
  <c r="N2535" i="14"/>
  <c r="I2497" i="14"/>
  <c r="N2497" i="14"/>
  <c r="N2588" i="14"/>
  <c r="I2581" i="14"/>
  <c r="N2581" i="14"/>
  <c r="H2582" i="14"/>
  <c r="B2583" i="14" s="1"/>
  <c r="N2576" i="14"/>
  <c r="H2590" i="14"/>
  <c r="I2590" i="14" s="1"/>
  <c r="N2590" i="14" s="1"/>
  <c r="I2583" i="14"/>
  <c r="N2583" i="14"/>
  <c r="I2579" i="14"/>
  <c r="N2579" i="14"/>
  <c r="I2586" i="14"/>
  <c r="N2586" i="14"/>
  <c r="I2493" i="14"/>
  <c r="N2493" i="14"/>
  <c r="I2585" i="14"/>
  <c r="N2585" i="14"/>
  <c r="I2578" i="14"/>
  <c r="N2578" i="14"/>
  <c r="H2469" i="14"/>
  <c r="I2469" i="14" s="1"/>
  <c r="N2469" i="14" s="1"/>
  <c r="I2573" i="14"/>
  <c r="N2573" i="14"/>
  <c r="I2571" i="14"/>
  <c r="N2571" i="14"/>
  <c r="I2569" i="14"/>
  <c r="N2569" i="14"/>
  <c r="I2565" i="14"/>
  <c r="N2565" i="14"/>
  <c r="I2567" i="14"/>
  <c r="N2567" i="14"/>
  <c r="H2562" i="14"/>
  <c r="I2562" i="14" s="1"/>
  <c r="N2562" i="14" s="1"/>
  <c r="I2480" i="14"/>
  <c r="N2480" i="14"/>
  <c r="H2465" i="14"/>
  <c r="I2465" i="14" s="1"/>
  <c r="N2465" i="14" s="1"/>
  <c r="H2477" i="14"/>
  <c r="I2477" i="14" s="1"/>
  <c r="N2477" i="14" s="1"/>
  <c r="H2481" i="14"/>
  <c r="I2481" i="14" s="1"/>
  <c r="N2481" i="14" s="1"/>
  <c r="H2461" i="14"/>
  <c r="I2461" i="14" s="1"/>
  <c r="N2461" i="14" s="1"/>
  <c r="I2483" i="14"/>
  <c r="N2483" i="14"/>
  <c r="H2441" i="14"/>
  <c r="I2441" i="14" s="1"/>
  <c r="N2441" i="14" s="1"/>
  <c r="I2443" i="14"/>
  <c r="N2443" i="14"/>
  <c r="H2445" i="14"/>
  <c r="I2445" i="14" s="1"/>
  <c r="N2445" i="14" s="1"/>
  <c r="H2412" i="14"/>
  <c r="I2412" i="14" s="1"/>
  <c r="N2412" i="14" s="1"/>
  <c r="I2433" i="14"/>
  <c r="N2433" i="14"/>
  <c r="H2463" i="14"/>
  <c r="H2421" i="14"/>
  <c r="I2421" i="14" s="1"/>
  <c r="N2421" i="14" s="1"/>
  <c r="I2485" i="14"/>
  <c r="N2485" i="14"/>
  <c r="H2484" i="14"/>
  <c r="I2492" i="14"/>
  <c r="N2492" i="14"/>
  <c r="I2499" i="14"/>
  <c r="N2499" i="14"/>
  <c r="H2491" i="14"/>
  <c r="I2548" i="14"/>
  <c r="N2548" i="14"/>
  <c r="H2534" i="14"/>
  <c r="I2534" i="14" s="1"/>
  <c r="N2534" i="14" s="1"/>
  <c r="I2415" i="14"/>
  <c r="N2415" i="14"/>
  <c r="H2428" i="14"/>
  <c r="I2428" i="14" s="1"/>
  <c r="N2428" i="14" s="1"/>
  <c r="N2513" i="14"/>
  <c r="H2541" i="14"/>
  <c r="I2541" i="14"/>
  <c r="N2541" i="14" s="1"/>
  <c r="H2519" i="14"/>
  <c r="I2519" i="14" s="1"/>
  <c r="N2519" i="14" s="1"/>
  <c r="H2506" i="14"/>
  <c r="I2506" i="14" s="1"/>
  <c r="N2506" i="14" s="1"/>
  <c r="H2554" i="14"/>
  <c r="H2547" i="14"/>
  <c r="I2555" i="14"/>
  <c r="N2555" i="14"/>
  <c r="H2435" i="14"/>
  <c r="I2520" i="14"/>
  <c r="N2520" i="14"/>
  <c r="H2449" i="14"/>
  <c r="I2449" i="14" s="1"/>
  <c r="N2449" i="14" s="1"/>
  <c r="I2408" i="14"/>
  <c r="N2408" i="14"/>
  <c r="H2407" i="14"/>
  <c r="I2527" i="14"/>
  <c r="N2527" i="14"/>
  <c r="H2476" i="14"/>
  <c r="I2476" i="14" s="1"/>
  <c r="N2476" i="14" s="1"/>
  <c r="I2448" i="14"/>
  <c r="N2448" i="14"/>
  <c r="I2504" i="14"/>
  <c r="N2504" i="14"/>
  <c r="I2525" i="14"/>
  <c r="N2525" i="14"/>
  <c r="I2490" i="14"/>
  <c r="N2490" i="14"/>
  <c r="I2560" i="14"/>
  <c r="N2560" i="14"/>
  <c r="I2420" i="14"/>
  <c r="N2420" i="14"/>
  <c r="H2539" i="14"/>
  <c r="H2532" i="14"/>
  <c r="I2532" i="14" s="1"/>
  <c r="N2532" i="14" s="1"/>
  <c r="H2413" i="14"/>
  <c r="I2413" i="14" s="1"/>
  <c r="N2413" i="14" s="1"/>
  <c r="H2553" i="14"/>
  <c r="I2553" i="14" s="1"/>
  <c r="N2553" i="14" s="1"/>
  <c r="I2546" i="14"/>
  <c r="N2546" i="14"/>
  <c r="I2511" i="14"/>
  <c r="N2511" i="14"/>
  <c r="H2427" i="14"/>
  <c r="I2427" i="14" s="1"/>
  <c r="N2427" i="14" s="1"/>
  <c r="N2518" i="14"/>
  <c r="H2434" i="14"/>
  <c r="I2434" i="14" s="1"/>
  <c r="N2434" i="14" s="1"/>
  <c r="I2455" i="14"/>
  <c r="N2455" i="14"/>
  <c r="H2425" i="14"/>
  <c r="I2425" i="14" s="1"/>
  <c r="N2425" i="14" s="1"/>
  <c r="H2502" i="14"/>
  <c r="I2502" i="14" s="1"/>
  <c r="N2502" i="14" s="1"/>
  <c r="H2478" i="14"/>
  <c r="H2544" i="14"/>
  <c r="H2558" i="14"/>
  <c r="I2558" i="14" s="1"/>
  <c r="N2558" i="14" s="1"/>
  <c r="I2523" i="14"/>
  <c r="N2523" i="14"/>
  <c r="H2439" i="14"/>
  <c r="I2439" i="14" s="1"/>
  <c r="N2439" i="14" s="1"/>
  <c r="I2446" i="14"/>
  <c r="N2446" i="14"/>
  <c r="H2432" i="14"/>
  <c r="I2432" i="14"/>
  <c r="N2432" i="14" s="1"/>
  <c r="I2495" i="14"/>
  <c r="N2495" i="14"/>
  <c r="H2467" i="14"/>
  <c r="I2467" i="14" s="1"/>
  <c r="N2467" i="14" s="1"/>
  <c r="H2537" i="14"/>
  <c r="I2537" i="14" s="1"/>
  <c r="N2537" i="14" s="1"/>
  <c r="H2530" i="14"/>
  <c r="I2530" i="14" s="1"/>
  <c r="N2530" i="14" s="1"/>
  <c r="H2474" i="14"/>
  <c r="I2474" i="14" s="1"/>
  <c r="N2474" i="14" s="1"/>
  <c r="I2551" i="14"/>
  <c r="N2551" i="14"/>
  <c r="H2509" i="14"/>
  <c r="H2411" i="14"/>
  <c r="I2411" i="14" s="1"/>
  <c r="N2411" i="14" s="1"/>
  <c r="I2453" i="14"/>
  <c r="N2453" i="14"/>
  <c r="I2488" i="14"/>
  <c r="N2488" i="14"/>
  <c r="N2516" i="14"/>
  <c r="I2418" i="14"/>
  <c r="N2418" i="14"/>
  <c r="H2466" i="14"/>
  <c r="I2466" i="14"/>
  <c r="N2466" i="14" s="1"/>
  <c r="H2522" i="14"/>
  <c r="I2522" i="14" s="1"/>
  <c r="N2522" i="14" s="1"/>
  <c r="I2550" i="14"/>
  <c r="N2550" i="14" s="1"/>
  <c r="I2529" i="14"/>
  <c r="N2529" i="14"/>
  <c r="H2487" i="14"/>
  <c r="I2487" i="14" s="1"/>
  <c r="N2487" i="14" s="1"/>
  <c r="H2494" i="14"/>
  <c r="I2494" i="14" s="1"/>
  <c r="N2494" i="14" s="1"/>
  <c r="H2536" i="14"/>
  <c r="I2536" i="14" s="1"/>
  <c r="N2536" i="14" s="1"/>
  <c r="I2431" i="14"/>
  <c r="N2431" i="14"/>
  <c r="H2438" i="14"/>
  <c r="I2438" i="14" s="1"/>
  <c r="N2438" i="14" s="1"/>
  <c r="H2473" i="14"/>
  <c r="I2473" i="14" s="1"/>
  <c r="N2473" i="14" s="1"/>
  <c r="I2508" i="14"/>
  <c r="N2508" i="14"/>
  <c r="H2452" i="14"/>
  <c r="I2452" i="14" s="1"/>
  <c r="N2452" i="14" s="1"/>
  <c r="I2417" i="14"/>
  <c r="N2417" i="14"/>
  <c r="N2515" i="14"/>
  <c r="H2444" i="14"/>
  <c r="I2444" i="14" s="1"/>
  <c r="N2444" i="14" s="1"/>
  <c r="I2424" i="14"/>
  <c r="N2424" i="14"/>
  <c r="I2501" i="14"/>
  <c r="N2501" i="14"/>
  <c r="I2410" i="14"/>
  <c r="N2410" i="14"/>
  <c r="H2543" i="14"/>
  <c r="I2543" i="14" s="1"/>
  <c r="N2543" i="14" s="1"/>
  <c r="H2557" i="14"/>
  <c r="I2557" i="14"/>
  <c r="N2557" i="14" s="1"/>
  <c r="R2892" i="14"/>
  <c r="R2920" i="14"/>
  <c r="R2913" i="14"/>
  <c r="R2906" i="14"/>
  <c r="R2885" i="14"/>
  <c r="R2899" i="14"/>
  <c r="R2927" i="14"/>
  <c r="R2883" i="14"/>
  <c r="R2887" i="14"/>
  <c r="U2255" i="14"/>
  <c r="V2255" i="14"/>
  <c r="W2254" i="14"/>
  <c r="T2257" i="14"/>
  <c r="R2848" i="14"/>
  <c r="R2679" i="14"/>
  <c r="R2741" i="14"/>
  <c r="R2720" i="14"/>
  <c r="R2724" i="14"/>
  <c r="R2665" i="14"/>
  <c r="R2673" i="14"/>
  <c r="R2671" i="14"/>
  <c r="R2635" i="14"/>
  <c r="R2595" i="14"/>
  <c r="R2587" i="14"/>
  <c r="R2704" i="14"/>
  <c r="R2625" i="14"/>
  <c r="R2710" i="14"/>
  <c r="R2601" i="14"/>
  <c r="R2603" i="14"/>
  <c r="R2880" i="14"/>
  <c r="R2842" i="14"/>
  <c r="R2857" i="14"/>
  <c r="R2844" i="14"/>
  <c r="R2871" i="14"/>
  <c r="R2662" i="14"/>
  <c r="R2598" i="14"/>
  <c r="R2591" i="14"/>
  <c r="R2667" i="14"/>
  <c r="R2697" i="14"/>
  <c r="R2628" i="14"/>
  <c r="R2604" i="14"/>
  <c r="R2639" i="14"/>
  <c r="R2654" i="14"/>
  <c r="R2666" i="14"/>
  <c r="R2607" i="14"/>
  <c r="R2612" i="14"/>
  <c r="R2680" i="14"/>
  <c r="R2631" i="14"/>
  <c r="R2614" i="14"/>
  <c r="R2645" i="14"/>
  <c r="R2605" i="14"/>
  <c r="R2695" i="14"/>
  <c r="R2599" i="14"/>
  <c r="R2675" i="14"/>
  <c r="R2676" i="14"/>
  <c r="R2648" i="14"/>
  <c r="R2659" i="14"/>
  <c r="R2642" i="14"/>
  <c r="R2613" i="14"/>
  <c r="R2619" i="14"/>
  <c r="R2708" i="14"/>
  <c r="R2747" i="14"/>
  <c r="R2904" i="14"/>
  <c r="R2757" i="14"/>
  <c r="R2922" i="14"/>
  <c r="R2789" i="14"/>
  <c r="R2911" i="14"/>
  <c r="R2929" i="14"/>
  <c r="R2746" i="14"/>
  <c r="R2918" i="14"/>
  <c r="R2732" i="14"/>
  <c r="R2772" i="14"/>
  <c r="R2932" i="14"/>
  <c r="R2888" i="14"/>
  <c r="R2779" i="14"/>
  <c r="R2736" i="14"/>
  <c r="R2760" i="14"/>
  <c r="R2890" i="14"/>
  <c r="R2726" i="14"/>
  <c r="R2743" i="14"/>
  <c r="R2723" i="14"/>
  <c r="R2897" i="14"/>
  <c r="R2915" i="14"/>
  <c r="R2744" i="14"/>
  <c r="R2730" i="14"/>
  <c r="R2785" i="14"/>
  <c r="R2901" i="14"/>
  <c r="R2751" i="14"/>
  <c r="R2908" i="14"/>
  <c r="R2739" i="14"/>
  <c r="R2894" i="14"/>
  <c r="R2925" i="14"/>
  <c r="R2761" i="14"/>
  <c r="R2725" i="14"/>
  <c r="R2624" i="14"/>
  <c r="R2864" i="14"/>
  <c r="R2664" i="14"/>
  <c r="P2704" i="14"/>
  <c r="P2710" i="14"/>
  <c r="R2851" i="14"/>
  <c r="R2874" i="14"/>
  <c r="R2606" i="14"/>
  <c r="P2606" i="14"/>
  <c r="R2706" i="14"/>
  <c r="R2610" i="14"/>
  <c r="R2837" i="14"/>
  <c r="R2849" i="14"/>
  <c r="R2802" i="14"/>
  <c r="R2855" i="14"/>
  <c r="R2862" i="14"/>
  <c r="R2866" i="14"/>
  <c r="R2876" i="14"/>
  <c r="R2830" i="14"/>
  <c r="R2845" i="14"/>
  <c r="R2873" i="14"/>
  <c r="R2869" i="14"/>
  <c r="R2615" i="14"/>
  <c r="R2618" i="14"/>
  <c r="R2596" i="14"/>
  <c r="R2860" i="14"/>
  <c r="R2839" i="14"/>
  <c r="R2678" i="14"/>
  <c r="R2650" i="14"/>
  <c r="R2622" i="14"/>
  <c r="P2844" i="14"/>
  <c r="R2690" i="14"/>
  <c r="R2867" i="14"/>
  <c r="R2846" i="14"/>
  <c r="R2685" i="14"/>
  <c r="R2657" i="14"/>
  <c r="R2713" i="14"/>
  <c r="R2878" i="14"/>
  <c r="R2594" i="14"/>
  <c r="R2825" i="14"/>
  <c r="R2728" i="14"/>
  <c r="R2853" i="14"/>
  <c r="R2763" i="14"/>
  <c r="R2742" i="14"/>
  <c r="R2636" i="14"/>
  <c r="R2749" i="14"/>
  <c r="I2539" i="14"/>
  <c r="N2539" i="14" s="1"/>
  <c r="I2575" i="14"/>
  <c r="N2575" i="14"/>
  <c r="B2579" i="14"/>
  <c r="B2576" i="14"/>
  <c r="I2458" i="14"/>
  <c r="N2458" i="14"/>
  <c r="H2597" i="14"/>
  <c r="I2597" i="14" s="1"/>
  <c r="N2597" i="14" s="1"/>
  <c r="I2460" i="14"/>
  <c r="N2460" i="14"/>
  <c r="H2471" i="14"/>
  <c r="H2459" i="14"/>
  <c r="I2459" i="14" s="1"/>
  <c r="N2459" i="14" s="1"/>
  <c r="I2450" i="14"/>
  <c r="N2450" i="14"/>
  <c r="H2602" i="14"/>
  <c r="I2602" i="14" s="1"/>
  <c r="N2602" i="14" s="1"/>
  <c r="H2464" i="14"/>
  <c r="I2464" i="14" s="1"/>
  <c r="N2464" i="14" s="1"/>
  <c r="H2422" i="14"/>
  <c r="I2422" i="14"/>
  <c r="N2422" i="14" s="1"/>
  <c r="H2457" i="14"/>
  <c r="I2457" i="14" s="1"/>
  <c r="N2457" i="14" s="1"/>
  <c r="H2436" i="14"/>
  <c r="I2436" i="14" s="1"/>
  <c r="N2436" i="14" s="1"/>
  <c r="H2429" i="14"/>
  <c r="I2429" i="14" s="1"/>
  <c r="N2429" i="14" s="1"/>
  <c r="I2405" i="14"/>
  <c r="N2405" i="14"/>
  <c r="I2470" i="14"/>
  <c r="N2470" i="14"/>
  <c r="I2505" i="14"/>
  <c r="N2505" i="14"/>
  <c r="I2547" i="14"/>
  <c r="N2547" i="14" s="1"/>
  <c r="I2414" i="14"/>
  <c r="N2414" i="14"/>
  <c r="I2478" i="14"/>
  <c r="N2478" i="14" s="1"/>
  <c r="I2491" i="14"/>
  <c r="N2491" i="14" s="1"/>
  <c r="I2540" i="14"/>
  <c r="N2540" i="14"/>
  <c r="I2498" i="14"/>
  <c r="N2498" i="14"/>
  <c r="N2512" i="14"/>
  <c r="B2513" i="14"/>
  <c r="I2526" i="14"/>
  <c r="N2526" i="14"/>
  <c r="I2533" i="14"/>
  <c r="N2533" i="14"/>
  <c r="I2456" i="14"/>
  <c r="N2456" i="14"/>
  <c r="P2871" i="14"/>
  <c r="P2766" i="14"/>
  <c r="P2864" i="14"/>
  <c r="P2857" i="14"/>
  <c r="P2913" i="14"/>
  <c r="P2906" i="14"/>
  <c r="P2885" i="14"/>
  <c r="P2899" i="14"/>
  <c r="P2927" i="14"/>
  <c r="P2892" i="14"/>
  <c r="P2920" i="14"/>
  <c r="P2883" i="14"/>
  <c r="P2887" i="14"/>
  <c r="T2258" i="14"/>
  <c r="U2256" i="14"/>
  <c r="V2256" i="14"/>
  <c r="W2255" i="14"/>
  <c r="P2662" i="14"/>
  <c r="P2679" i="14"/>
  <c r="P2741" i="14"/>
  <c r="P2720" i="14"/>
  <c r="P2724" i="14"/>
  <c r="P2665" i="14"/>
  <c r="P2848" i="14"/>
  <c r="P2673" i="14"/>
  <c r="P2671" i="14"/>
  <c r="P2690" i="14"/>
  <c r="I2589" i="14"/>
  <c r="N2589" i="14"/>
  <c r="P2625" i="14"/>
  <c r="P2635" i="14"/>
  <c r="P2595" i="14"/>
  <c r="P2618" i="14"/>
  <c r="P2587" i="14"/>
  <c r="P2610" i="14"/>
  <c r="P2802" i="14"/>
  <c r="P2855" i="14"/>
  <c r="P2866" i="14"/>
  <c r="P2862" i="14"/>
  <c r="P2873" i="14"/>
  <c r="P2837" i="14"/>
  <c r="P2849" i="14"/>
  <c r="P2830" i="14"/>
  <c r="P2845" i="14"/>
  <c r="P2869" i="14"/>
  <c r="P2876" i="14"/>
  <c r="P2664" i="14"/>
  <c r="P2603" i="14"/>
  <c r="P2880" i="14"/>
  <c r="P2713" i="14"/>
  <c r="P2706" i="14"/>
  <c r="P2594" i="14"/>
  <c r="P2636" i="14"/>
  <c r="P2601" i="14"/>
  <c r="P2825" i="14"/>
  <c r="P2742" i="14"/>
  <c r="P2853" i="14"/>
  <c r="P2878" i="14"/>
  <c r="P2728" i="14"/>
  <c r="P2749" i="14"/>
  <c r="P2763" i="14"/>
  <c r="P2851" i="14"/>
  <c r="P2598" i="14"/>
  <c r="P2591" i="14"/>
  <c r="P2659" i="14"/>
  <c r="P2666" i="14"/>
  <c r="P2654" i="14"/>
  <c r="P2628" i="14"/>
  <c r="P2619" i="14"/>
  <c r="P2697" i="14"/>
  <c r="P2680" i="14"/>
  <c r="P2631" i="14"/>
  <c r="P2645" i="14"/>
  <c r="P2676" i="14"/>
  <c r="P2675" i="14"/>
  <c r="P2605" i="14"/>
  <c r="P2695" i="14"/>
  <c r="P2612" i="14"/>
  <c r="P2642" i="14"/>
  <c r="P2607" i="14"/>
  <c r="P2614" i="14"/>
  <c r="P2648" i="14"/>
  <c r="P2667" i="14"/>
  <c r="P2604" i="14"/>
  <c r="P2624" i="14"/>
  <c r="P2613" i="14"/>
  <c r="P2639" i="14"/>
  <c r="P2747" i="14"/>
  <c r="P2911" i="14"/>
  <c r="P2929" i="14"/>
  <c r="P2746" i="14"/>
  <c r="P2918" i="14"/>
  <c r="P2732" i="14"/>
  <c r="P2751" i="14"/>
  <c r="P2925" i="14"/>
  <c r="P2888" i="14"/>
  <c r="P2723" i="14"/>
  <c r="P2904" i="14"/>
  <c r="P2757" i="14"/>
  <c r="P2922" i="14"/>
  <c r="P2789" i="14"/>
  <c r="P2599" i="14"/>
  <c r="P2743" i="14"/>
  <c r="P2901" i="14"/>
  <c r="P2739" i="14"/>
  <c r="P2890" i="14"/>
  <c r="P2894" i="14"/>
  <c r="P2908" i="14"/>
  <c r="P2744" i="14"/>
  <c r="P2736" i="14"/>
  <c r="P2897" i="14"/>
  <c r="P2915" i="14"/>
  <c r="P2708" i="14"/>
  <c r="P2760" i="14"/>
  <c r="P2932" i="14"/>
  <c r="P2761" i="14"/>
  <c r="P2726" i="14"/>
  <c r="P2725" i="14"/>
  <c r="P2772" i="14"/>
  <c r="P2730" i="14"/>
  <c r="P2779" i="14"/>
  <c r="P2785" i="14"/>
  <c r="P2615" i="14"/>
  <c r="P2596" i="14"/>
  <c r="P2685" i="14"/>
  <c r="P2657" i="14"/>
  <c r="P2846" i="14"/>
  <c r="P2867" i="14"/>
  <c r="P2473" i="14"/>
  <c r="P2874" i="14"/>
  <c r="P2842" i="14"/>
  <c r="P2839" i="14"/>
  <c r="P2860" i="14"/>
  <c r="P2678" i="14"/>
  <c r="P2650" i="14"/>
  <c r="P2622" i="14"/>
  <c r="B2422" i="14"/>
  <c r="B2429" i="14"/>
  <c r="B2516" i="14"/>
  <c r="U2257" i="14"/>
  <c r="V2257" i="14"/>
  <c r="W2256" i="14"/>
  <c r="T2259" i="14"/>
  <c r="H2844" i="14"/>
  <c r="I2844" i="14" s="1"/>
  <c r="N2844" i="14" s="1"/>
  <c r="I2641" i="14"/>
  <c r="N2641" i="14"/>
  <c r="H2606" i="14"/>
  <c r="I2606" i="14" s="1"/>
  <c r="N2606" i="14" s="1"/>
  <c r="H2704" i="14"/>
  <c r="I2704" i="14" s="1"/>
  <c r="N2704" i="14" s="1"/>
  <c r="H2710" i="14"/>
  <c r="I2710" i="14"/>
  <c r="N2710" i="14" s="1"/>
  <c r="I2686" i="14"/>
  <c r="N2686" i="14"/>
  <c r="H2864" i="14"/>
  <c r="I2864" i="14" s="1"/>
  <c r="N2864" i="14" s="1"/>
  <c r="I2719" i="14"/>
  <c r="N2719" i="14"/>
  <c r="H2871" i="14"/>
  <c r="I2871" i="14" s="1"/>
  <c r="N2871" i="14" s="1"/>
  <c r="I2762" i="14"/>
  <c r="N2762" i="14"/>
  <c r="I2773" i="14"/>
  <c r="N2773" i="14"/>
  <c r="I2766" i="14"/>
  <c r="H2857" i="14"/>
  <c r="I2857" i="14" s="1"/>
  <c r="N2857" i="14" s="1"/>
  <c r="H2906" i="14"/>
  <c r="I2906" i="14" s="1"/>
  <c r="N2906" i="14" s="1"/>
  <c r="H2885" i="14"/>
  <c r="I2885" i="14" s="1"/>
  <c r="N2885" i="14" s="1"/>
  <c r="H2899" i="14"/>
  <c r="I2899" i="14" s="1"/>
  <c r="N2899" i="14" s="1"/>
  <c r="H2927" i="14"/>
  <c r="I2927" i="14" s="1"/>
  <c r="N2927" i="14" s="1"/>
  <c r="H2892" i="14"/>
  <c r="I2892" i="14" s="1"/>
  <c r="N2892" i="14" s="1"/>
  <c r="H2920" i="14"/>
  <c r="I2920" i="14" s="1"/>
  <c r="N2920" i="14" s="1"/>
  <c r="H2913" i="14"/>
  <c r="I2913" i="14" s="1"/>
  <c r="N2913" i="14" s="1"/>
  <c r="I2759" i="14"/>
  <c r="N2759" i="14"/>
  <c r="I2637" i="14"/>
  <c r="N2637" i="14"/>
  <c r="H2706" i="14"/>
  <c r="I2706" i="14" s="1"/>
  <c r="N2706" i="14" s="1"/>
  <c r="I2752" i="14"/>
  <c r="N2752" i="14"/>
  <c r="H2883" i="14"/>
  <c r="I2883" i="14" s="1"/>
  <c r="N2883" i="14" s="1"/>
  <c r="H2887" i="14"/>
  <c r="I2887" i="14" s="1"/>
  <c r="N2887" i="14" s="1"/>
  <c r="T2260" i="14"/>
  <c r="U2258" i="14"/>
  <c r="V2258" i="14"/>
  <c r="W2257" i="14"/>
  <c r="H2848" i="14"/>
  <c r="I2848" i="14" s="1"/>
  <c r="N2848" i="14" s="1"/>
  <c r="I2745" i="14"/>
  <c r="N2745" i="14"/>
  <c r="H2679" i="14"/>
  <c r="I2679" i="14" s="1"/>
  <c r="N2679" i="14" s="1"/>
  <c r="H2741" i="14"/>
  <c r="I2741" i="14" s="1"/>
  <c r="N2741" i="14" s="1"/>
  <c r="H2720" i="14"/>
  <c r="I2720" i="14" s="1"/>
  <c r="N2720" i="14" s="1"/>
  <c r="I2593" i="14"/>
  <c r="N2593" i="14"/>
  <c r="H2724" i="14"/>
  <c r="I2724" i="14"/>
  <c r="N2724" i="14" s="1"/>
  <c r="I2696" i="14"/>
  <c r="N2696" i="14"/>
  <c r="I2699" i="14"/>
  <c r="N2699" i="14"/>
  <c r="I2644" i="14"/>
  <c r="N2644" i="14"/>
  <c r="H2665" i="14"/>
  <c r="I2665" i="14" s="1"/>
  <c r="N2665" i="14" s="1"/>
  <c r="I2462" i="14"/>
  <c r="N2462" i="14"/>
  <c r="I2658" i="14"/>
  <c r="N2658" i="14"/>
  <c r="I2651" i="14"/>
  <c r="N2651" i="14"/>
  <c r="I2705" i="14"/>
  <c r="N2705" i="14"/>
  <c r="H2673" i="14"/>
  <c r="I2673" i="14" s="1"/>
  <c r="N2673" i="14" s="1"/>
  <c r="I2629" i="14"/>
  <c r="N2629" i="14"/>
  <c r="I2674" i="14"/>
  <c r="N2674" i="14"/>
  <c r="H2664" i="14"/>
  <c r="I2664" i="14"/>
  <c r="N2664" i="14" s="1"/>
  <c r="I2638" i="14"/>
  <c r="N2638" i="14"/>
  <c r="H2662" i="14"/>
  <c r="I2662" i="14" s="1"/>
  <c r="N2662" i="14" s="1"/>
  <c r="I2707" i="14"/>
  <c r="N2707" i="14"/>
  <c r="I2681" i="14"/>
  <c r="N2681" i="14"/>
  <c r="H2671" i="14"/>
  <c r="I2671" i="14" s="1"/>
  <c r="N2671" i="14" s="1"/>
  <c r="I2692" i="14"/>
  <c r="N2692" i="14"/>
  <c r="H2690" i="14"/>
  <c r="B2688" i="14" s="1"/>
  <c r="I2632" i="14"/>
  <c r="H2635" i="14"/>
  <c r="I2635" i="14" s="1"/>
  <c r="N2635" i="14" s="1"/>
  <c r="I2668" i="14"/>
  <c r="N2668" i="14"/>
  <c r="I2683" i="14"/>
  <c r="N2683" i="14"/>
  <c r="N2713" i="14"/>
  <c r="H2595" i="14"/>
  <c r="I2595" i="14" s="1"/>
  <c r="N2595" i="14" s="1"/>
  <c r="I2616" i="14"/>
  <c r="N2616" i="14"/>
  <c r="I2623" i="14"/>
  <c r="N2623" i="14"/>
  <c r="I2709" i="14"/>
  <c r="N2709" i="14"/>
  <c r="I2653" i="14"/>
  <c r="N2653" i="14"/>
  <c r="H2625" i="14"/>
  <c r="I2625" i="14" s="1"/>
  <c r="N2625" i="14" s="1"/>
  <c r="H2618" i="14"/>
  <c r="I2618" i="14" s="1"/>
  <c r="N2618" i="14" s="1"/>
  <c r="I2507" i="14"/>
  <c r="N2507" i="14"/>
  <c r="H2851" i="14"/>
  <c r="I2851" i="14" s="1"/>
  <c r="N2851" i="14" s="1"/>
  <c r="H2596" i="14"/>
  <c r="I2596" i="14" s="1"/>
  <c r="N2596" i="14" s="1"/>
  <c r="I2643" i="14"/>
  <c r="N2643" i="14"/>
  <c r="H2615" i="14"/>
  <c r="I2615" i="14" s="1"/>
  <c r="N2615" i="14" s="1"/>
  <c r="H2846" i="14"/>
  <c r="I2846" i="14" s="1"/>
  <c r="N2846" i="14" s="1"/>
  <c r="H2685" i="14"/>
  <c r="I2685" i="14" s="1"/>
  <c r="N2685" i="14" s="1"/>
  <c r="H2867" i="14"/>
  <c r="I2867" i="14" s="1"/>
  <c r="N2867" i="14" s="1"/>
  <c r="H2657" i="14"/>
  <c r="I2657" i="14" s="1"/>
  <c r="N2657" i="14" s="1"/>
  <c r="H2650" i="14"/>
  <c r="I2650" i="14" s="1"/>
  <c r="N2650" i="14" s="1"/>
  <c r="H2839" i="14"/>
  <c r="I2839" i="14" s="1"/>
  <c r="N2839" i="14" s="1"/>
  <c r="H2860" i="14"/>
  <c r="I2860" i="14" s="1"/>
  <c r="N2860" i="14" s="1"/>
  <c r="H2678" i="14"/>
  <c r="I2678" i="14" s="1"/>
  <c r="N2678" i="14" s="1"/>
  <c r="H2622" i="14"/>
  <c r="I2622" i="14" s="1"/>
  <c r="N2622" i="14" s="1"/>
  <c r="I2647" i="14"/>
  <c r="N2647" i="14"/>
  <c r="H2603" i="14"/>
  <c r="I2603" i="14" s="1"/>
  <c r="N2603" i="14" s="1"/>
  <c r="H2880" i="14"/>
  <c r="I2880" i="14" s="1"/>
  <c r="N2880" i="14" s="1"/>
  <c r="H2842" i="14"/>
  <c r="I2842" i="14" s="1"/>
  <c r="N2842" i="14" s="1"/>
  <c r="I2620" i="14"/>
  <c r="N2620" i="14"/>
  <c r="H2594" i="14"/>
  <c r="I2594" i="14" s="1"/>
  <c r="N2594" i="14" s="1"/>
  <c r="I2777" i="14"/>
  <c r="N2777" i="14"/>
  <c r="H2853" i="14"/>
  <c r="I2853" i="14" s="1"/>
  <c r="N2853" i="14" s="1"/>
  <c r="H2763" i="14"/>
  <c r="I2763" i="14" s="1"/>
  <c r="N2763" i="14" s="1"/>
  <c r="I2672" i="14"/>
  <c r="N2672" i="14"/>
  <c r="H2728" i="14"/>
  <c r="I2728" i="14" s="1"/>
  <c r="N2728" i="14" s="1"/>
  <c r="H2749" i="14"/>
  <c r="I2749" i="14" s="1"/>
  <c r="N2749" i="14" s="1"/>
  <c r="H2742" i="14"/>
  <c r="I2742" i="14" s="1"/>
  <c r="N2742" i="14" s="1"/>
  <c r="I2735" i="14"/>
  <c r="N2735" i="14"/>
  <c r="I2756" i="14"/>
  <c r="N2756" i="14"/>
  <c r="I2770" i="14"/>
  <c r="N2770" i="14"/>
  <c r="H2825" i="14"/>
  <c r="I2825" i="14" s="1"/>
  <c r="N2825" i="14" s="1"/>
  <c r="H2878" i="14"/>
  <c r="I2878" i="14" s="1"/>
  <c r="N2878" i="14" s="1"/>
  <c r="H2636" i="14"/>
  <c r="I2636" i="14" s="1"/>
  <c r="N2636" i="14" s="1"/>
  <c r="H2601" i="14"/>
  <c r="I2601" i="14" s="1"/>
  <c r="N2601" i="14" s="1"/>
  <c r="I2608" i="14"/>
  <c r="N2608" i="14"/>
  <c r="H2837" i="14"/>
  <c r="I2837" i="14" s="1"/>
  <c r="N2837" i="14" s="1"/>
  <c r="I2845" i="14"/>
  <c r="N2845" i="14"/>
  <c r="H2610" i="14"/>
  <c r="I2610" i="14" s="1"/>
  <c r="N2610" i="14" s="1"/>
  <c r="H2855" i="14"/>
  <c r="I2855" i="14" s="1"/>
  <c r="N2855" i="14" s="1"/>
  <c r="H2862" i="14"/>
  <c r="H2876" i="14"/>
  <c r="I2876" i="14" s="1"/>
  <c r="N2876" i="14" s="1"/>
  <c r="H2843" i="14"/>
  <c r="I2843" i="14" s="1"/>
  <c r="N2843" i="14" s="1"/>
  <c r="H2849" i="14"/>
  <c r="I2849" i="14" s="1"/>
  <c r="N2849" i="14" s="1"/>
  <c r="H2866" i="14"/>
  <c r="I2866" i="14" s="1"/>
  <c r="N2866" i="14" s="1"/>
  <c r="H2869" i="14"/>
  <c r="I2869" i="14" s="1"/>
  <c r="N2869" i="14" s="1"/>
  <c r="H2830" i="14"/>
  <c r="I2830" i="14" s="1"/>
  <c r="N2830" i="14" s="1"/>
  <c r="H2802" i="14"/>
  <c r="I2802" i="14" s="1"/>
  <c r="N2802" i="14" s="1"/>
  <c r="H2873" i="14"/>
  <c r="I2873" i="14" s="1"/>
  <c r="N2873" i="14" s="1"/>
  <c r="H2591" i="14"/>
  <c r="I2591" i="14" s="1"/>
  <c r="N2591" i="14" s="1"/>
  <c r="H2732" i="14"/>
  <c r="I2732" i="14" s="1"/>
  <c r="N2732" i="14" s="1"/>
  <c r="H2757" i="14"/>
  <c r="I2757" i="14" s="1"/>
  <c r="N2757" i="14" s="1"/>
  <c r="B2761" i="14" s="1"/>
  <c r="I2768" i="14"/>
  <c r="N2768" i="14"/>
  <c r="H2908" i="14"/>
  <c r="I2908" i="14" s="1"/>
  <c r="N2908" i="14" s="1"/>
  <c r="I2775" i="14"/>
  <c r="N2775" i="14"/>
  <c r="H2639" i="14"/>
  <c r="I2639" i="14" s="1"/>
  <c r="N2639" i="14" s="1"/>
  <c r="I2633" i="14"/>
  <c r="N2633" i="14"/>
  <c r="I2646" i="14"/>
  <c r="N2646" i="14"/>
  <c r="H2619" i="14"/>
  <c r="I2619" i="14" s="1"/>
  <c r="N2619" i="14" s="1"/>
  <c r="H2624" i="14"/>
  <c r="H2739" i="14"/>
  <c r="I2739" i="14" s="1"/>
  <c r="N2739" i="14" s="1"/>
  <c r="H2708" i="14"/>
  <c r="I2708" i="14" s="1"/>
  <c r="N2708" i="14" s="1"/>
  <c r="H2667" i="14"/>
  <c r="I2667" i="14" s="1"/>
  <c r="N2667" i="14" s="1"/>
  <c r="I2626" i="14"/>
  <c r="N2626" i="14"/>
  <c r="I2689" i="14"/>
  <c r="N2689" i="14"/>
  <c r="H2628" i="14"/>
  <c r="I2628" i="14" s="1"/>
  <c r="N2628" i="14" s="1"/>
  <c r="H2929" i="14"/>
  <c r="I2929" i="14"/>
  <c r="N2929" i="14" s="1"/>
  <c r="H2932" i="14"/>
  <c r="I2932" i="14" s="1"/>
  <c r="N2932" i="14" s="1"/>
  <c r="H2666" i="14"/>
  <c r="I2655" i="14"/>
  <c r="N2655" i="14"/>
  <c r="H2725" i="14"/>
  <c r="I2725" i="14"/>
  <c r="N2725" i="14" s="1"/>
  <c r="I2767" i="14"/>
  <c r="N2767" i="14"/>
  <c r="H2631" i="14"/>
  <c r="I2631" i="14" s="1"/>
  <c r="N2631" i="14" s="1"/>
  <c r="H2659" i="14"/>
  <c r="H2598" i="14"/>
  <c r="I2598" i="14" s="1"/>
  <c r="N2598" i="14" s="1"/>
  <c r="H2751" i="14"/>
  <c r="I2751" i="14" s="1"/>
  <c r="N2751" i="14" s="1"/>
  <c r="B2754" i="14" s="1"/>
  <c r="I2774" i="14"/>
  <c r="N2774" i="14"/>
  <c r="H2911" i="14"/>
  <c r="I2911" i="14" s="1"/>
  <c r="N2911" i="14" s="1"/>
  <c r="H2730" i="14"/>
  <c r="H2901" i="14"/>
  <c r="I2901" i="14" s="1"/>
  <c r="N2901" i="14" s="1"/>
  <c r="H2614" i="14"/>
  <c r="I2614" i="14" s="1"/>
  <c r="N2614" i="14" s="1"/>
  <c r="I2661" i="14"/>
  <c r="N2661" i="14"/>
  <c r="H2675" i="14"/>
  <c r="I2675" i="14" s="1"/>
  <c r="N2675" i="14" s="1"/>
  <c r="I2640" i="14"/>
  <c r="N2640" i="14"/>
  <c r="I2649" i="14"/>
  <c r="N2649" i="14"/>
  <c r="I2627" i="14"/>
  <c r="N2627" i="14"/>
  <c r="H2894" i="14"/>
  <c r="I2894" i="14" s="1"/>
  <c r="N2894" i="14" s="1"/>
  <c r="H2897" i="14"/>
  <c r="I2897" i="14" s="1"/>
  <c r="N2897" i="14" s="1"/>
  <c r="I2733" i="14"/>
  <c r="N2733" i="14"/>
  <c r="I2691" i="14"/>
  <c r="N2691" i="14"/>
  <c r="H2915" i="14"/>
  <c r="I2915" i="14" s="1"/>
  <c r="N2915" i="14" s="1"/>
  <c r="I2758" i="14"/>
  <c r="N2758" i="14"/>
  <c r="I2688" i="14"/>
  <c r="N2688" i="14"/>
  <c r="H2642" i="14"/>
  <c r="I2642" i="14" s="1"/>
  <c r="N2642" i="14" s="1"/>
  <c r="H2607" i="14"/>
  <c r="I2607" i="14" s="1"/>
  <c r="N2607" i="14" s="1"/>
  <c r="I2682" i="14"/>
  <c r="N2682" i="14"/>
  <c r="I2656" i="14"/>
  <c r="N2656" i="14"/>
  <c r="H2726" i="14"/>
  <c r="I2726" i="14" s="1"/>
  <c r="N2726" i="14" s="1"/>
  <c r="H2697" i="14"/>
  <c r="B2695" i="14" s="1"/>
  <c r="H2605" i="14"/>
  <c r="I2605" i="14" s="1"/>
  <c r="N2605" i="14" s="1"/>
  <c r="H2648" i="14"/>
  <c r="I2648" i="14" s="1"/>
  <c r="N2648" i="14" s="1"/>
  <c r="H2888" i="14"/>
  <c r="I2888" i="14" s="1"/>
  <c r="N2888" i="14" s="1"/>
  <c r="B2772" i="14"/>
  <c r="I2772" i="14"/>
  <c r="H2918" i="14"/>
  <c r="I2918" i="14" s="1"/>
  <c r="N2918" i="14" s="1"/>
  <c r="I2737" i="14"/>
  <c r="N2737" i="14"/>
  <c r="I2761" i="14"/>
  <c r="N2761" i="14"/>
  <c r="H2904" i="14"/>
  <c r="I2904" i="14" s="1"/>
  <c r="N2904" i="14" s="1"/>
  <c r="H2744" i="14"/>
  <c r="I2744" i="14" s="1"/>
  <c r="N2744" i="14" s="1"/>
  <c r="I2779" i="14"/>
  <c r="N2779" i="14" s="1"/>
  <c r="H2736" i="14"/>
  <c r="H2599" i="14"/>
  <c r="I2599" i="14" s="1"/>
  <c r="N2599" i="14" s="1"/>
  <c r="H2654" i="14"/>
  <c r="I2654" i="14" s="1"/>
  <c r="N2654" i="14" s="1"/>
  <c r="B2656" i="14" s="1"/>
  <c r="H2645" i="14"/>
  <c r="I2645" i="14" s="1"/>
  <c r="N2645" i="14" s="1"/>
  <c r="I2621" i="14"/>
  <c r="N2621" i="14"/>
  <c r="I2698" i="14"/>
  <c r="N2698" i="14"/>
  <c r="I2670" i="14"/>
  <c r="N2670" i="14"/>
  <c r="H2743" i="14"/>
  <c r="I2743" i="14" s="1"/>
  <c r="N2743" i="14" s="1"/>
  <c r="H2612" i="14"/>
  <c r="I2612" i="14"/>
  <c r="N2612" i="14" s="1"/>
  <c r="H2676" i="14"/>
  <c r="I2676" i="14"/>
  <c r="N2676" i="14" s="1"/>
  <c r="I2634" i="14"/>
  <c r="N2634" i="14"/>
  <c r="H2925" i="14"/>
  <c r="I2925" i="14" s="1"/>
  <c r="N2925" i="14" s="1"/>
  <c r="I2669" i="14"/>
  <c r="N2669" i="14"/>
  <c r="I2740" i="14"/>
  <c r="N2740" i="14"/>
  <c r="H2746" i="14"/>
  <c r="I2746" i="14" s="1"/>
  <c r="N2746" i="14" s="1"/>
  <c r="I2677" i="14"/>
  <c r="N2677" i="14"/>
  <c r="I2695" i="14"/>
  <c r="N2695" i="14"/>
  <c r="H2723" i="14"/>
  <c r="I2723" i="14" s="1"/>
  <c r="N2723" i="14" s="1"/>
  <c r="I2747" i="14"/>
  <c r="I2765" i="14"/>
  <c r="N2765" i="14"/>
  <c r="H2890" i="14"/>
  <c r="I2890" i="14" s="1"/>
  <c r="N2890" i="14" s="1"/>
  <c r="H2785" i="14"/>
  <c r="I2785" i="14" s="1"/>
  <c r="N2785" i="14" s="1"/>
  <c r="H2922" i="14"/>
  <c r="I2922" i="14" s="1"/>
  <c r="N2922" i="14" s="1"/>
  <c r="N2754" i="14"/>
  <c r="H2680" i="14"/>
  <c r="I2680" i="14" s="1"/>
  <c r="N2680" i="14" s="1"/>
  <c r="I2684" i="14"/>
  <c r="N2684" i="14"/>
  <c r="I2630" i="14"/>
  <c r="N2630" i="14"/>
  <c r="I2703" i="14"/>
  <c r="N2703" i="14"/>
  <c r="H2613" i="14"/>
  <c r="I2613" i="14" s="1"/>
  <c r="N2613" i="14" s="1"/>
  <c r="H2604" i="14"/>
  <c r="I2604" i="14" s="1"/>
  <c r="N2604" i="14" s="1"/>
  <c r="I2711" i="14"/>
  <c r="N2711" i="14"/>
  <c r="I2592" i="14"/>
  <c r="N2592" i="14"/>
  <c r="I2663" i="14"/>
  <c r="N2663" i="14"/>
  <c r="U2259" i="14"/>
  <c r="V2259" i="14"/>
  <c r="W2258" i="14"/>
  <c r="T2261" i="14"/>
  <c r="I2731" i="14"/>
  <c r="N2731" i="14"/>
  <c r="I2660" i="14"/>
  <c r="N2660" i="14"/>
  <c r="I2617" i="14"/>
  <c r="N2617" i="14"/>
  <c r="I2764" i="14"/>
  <c r="N2764" i="14"/>
  <c r="I2611" i="14"/>
  <c r="N2611" i="14"/>
  <c r="I2701" i="14"/>
  <c r="N2701" i="14"/>
  <c r="B2702" i="14"/>
  <c r="I2722" i="14"/>
  <c r="N2722" i="14"/>
  <c r="I2694" i="14"/>
  <c r="N2694" i="14"/>
  <c r="I2687" i="14"/>
  <c r="N2687" i="14"/>
  <c r="I2750" i="14"/>
  <c r="N2750" i="14"/>
  <c r="I2652" i="14"/>
  <c r="N2652" i="14"/>
  <c r="I2729" i="14"/>
  <c r="N2729" i="14"/>
  <c r="I2771" i="14"/>
  <c r="N2771" i="14"/>
  <c r="I2862" i="14"/>
  <c r="N2862" i="14" s="1"/>
  <c r="U2260" i="14"/>
  <c r="V2260" i="14"/>
  <c r="W2259" i="14"/>
  <c r="B2256" i="14"/>
  <c r="T2262" i="14"/>
  <c r="T2263" i="14"/>
  <c r="U2261" i="14"/>
  <c r="V2261" i="14"/>
  <c r="W2260" i="14"/>
  <c r="U2262" i="14"/>
  <c r="V2262" i="14"/>
  <c r="W2261" i="14"/>
  <c r="T2264" i="14"/>
  <c r="T2265" i="14"/>
  <c r="U2263" i="14"/>
  <c r="V2263" i="14"/>
  <c r="W2262" i="14"/>
  <c r="U2264" i="14"/>
  <c r="V2264" i="14"/>
  <c r="W2263" i="14"/>
  <c r="T2266" i="14"/>
  <c r="U2265" i="14"/>
  <c r="V2265" i="14"/>
  <c r="W2264" i="14"/>
  <c r="T2267" i="14"/>
  <c r="T2268" i="14"/>
  <c r="U2266" i="14"/>
  <c r="V2266" i="14"/>
  <c r="W2265" i="14"/>
  <c r="U2267" i="14"/>
  <c r="V2267" i="14"/>
  <c r="W2266" i="14"/>
  <c r="B2263" i="14"/>
  <c r="T2269" i="14"/>
  <c r="T2270" i="14"/>
  <c r="U2268" i="14"/>
  <c r="V2268" i="14"/>
  <c r="W2267" i="14"/>
  <c r="U2269" i="14"/>
  <c r="V2269" i="14"/>
  <c r="W2268" i="14"/>
  <c r="T2271" i="14"/>
  <c r="T2272" i="14"/>
  <c r="U2270" i="14"/>
  <c r="V2270" i="14"/>
  <c r="W2269" i="14"/>
  <c r="U2271" i="14"/>
  <c r="V2271" i="14"/>
  <c r="W2270" i="14"/>
  <c r="T2273" i="14"/>
  <c r="T2274" i="14"/>
  <c r="U2272" i="14"/>
  <c r="V2272" i="14"/>
  <c r="W2271" i="14"/>
  <c r="U2273" i="14"/>
  <c r="V2273" i="14"/>
  <c r="W2272" i="14"/>
  <c r="T2275" i="14"/>
  <c r="T2276" i="14"/>
  <c r="U2274" i="14"/>
  <c r="V2274" i="14"/>
  <c r="W2273" i="14"/>
  <c r="B2270" i="14"/>
  <c r="U2275" i="14"/>
  <c r="V2275" i="14"/>
  <c r="W2274" i="14"/>
  <c r="T2277" i="14"/>
  <c r="T2278" i="14"/>
  <c r="U2276" i="14"/>
  <c r="V2276" i="14"/>
  <c r="W2275" i="14"/>
  <c r="U2277" i="14"/>
  <c r="V2277" i="14"/>
  <c r="W2276" i="14"/>
  <c r="T2279" i="14"/>
  <c r="T2280" i="14"/>
  <c r="U2278" i="14"/>
  <c r="V2278" i="14"/>
  <c r="W2277" i="14"/>
  <c r="U2279" i="14"/>
  <c r="V2279" i="14"/>
  <c r="W2278" i="14"/>
  <c r="T2281" i="14"/>
  <c r="T2282" i="14"/>
  <c r="U2280" i="14"/>
  <c r="V2280" i="14"/>
  <c r="W2279" i="14"/>
  <c r="T2283" i="14"/>
  <c r="U2281" i="14"/>
  <c r="V2281" i="14"/>
  <c r="W2280" i="14"/>
  <c r="B2277" i="14"/>
  <c r="U2282" i="14"/>
  <c r="V2282" i="14"/>
  <c r="W2281" i="14"/>
  <c r="T2284" i="14"/>
  <c r="T2285" i="14"/>
  <c r="U2283" i="14"/>
  <c r="V2283" i="14"/>
  <c r="W2282" i="14"/>
  <c r="U2284" i="14"/>
  <c r="V2284" i="14"/>
  <c r="W2283" i="14"/>
  <c r="T2286" i="14"/>
  <c r="T2287" i="14"/>
  <c r="U2285" i="14"/>
  <c r="V2285" i="14"/>
  <c r="W2284" i="14"/>
  <c r="U2286" i="14"/>
  <c r="V2286" i="14"/>
  <c r="W2285" i="14"/>
  <c r="T2288" i="14"/>
  <c r="U2287" i="14"/>
  <c r="V2287" i="14"/>
  <c r="W2286" i="14"/>
  <c r="T2289" i="14"/>
  <c r="T2290" i="14"/>
  <c r="U2288" i="14"/>
  <c r="V2288" i="14"/>
  <c r="W2287" i="14"/>
  <c r="B2284" i="14"/>
  <c r="U2289" i="14"/>
  <c r="V2289" i="14"/>
  <c r="W2288" i="14"/>
  <c r="T2291" i="14"/>
  <c r="T2292" i="14"/>
  <c r="U2290" i="14"/>
  <c r="V2290" i="14"/>
  <c r="W2289" i="14"/>
  <c r="T2293" i="14"/>
  <c r="U2291" i="14"/>
  <c r="V2291" i="14"/>
  <c r="W2290" i="14"/>
  <c r="U2292" i="14"/>
  <c r="V2292" i="14"/>
  <c r="W2291" i="14"/>
  <c r="T2294" i="14"/>
  <c r="T2295" i="14"/>
  <c r="U2293" i="14"/>
  <c r="V2293" i="14"/>
  <c r="W2292" i="14"/>
  <c r="U2294" i="14"/>
  <c r="V2294" i="14"/>
  <c r="W2293" i="14"/>
  <c r="T2296" i="14"/>
  <c r="T2297" i="14"/>
  <c r="U2295" i="14"/>
  <c r="V2295" i="14"/>
  <c r="W2294" i="14"/>
  <c r="B2291" i="14"/>
  <c r="U2296" i="14"/>
  <c r="V2296" i="14"/>
  <c r="W2295" i="14"/>
  <c r="T2298" i="14"/>
  <c r="T2299" i="14"/>
  <c r="U2297" i="14"/>
  <c r="V2297" i="14"/>
  <c r="W2296" i="14"/>
  <c r="U2298" i="14"/>
  <c r="V2298" i="14"/>
  <c r="W2297" i="14"/>
  <c r="T2300" i="14"/>
  <c r="T2301" i="14"/>
  <c r="U2299" i="14"/>
  <c r="V2299" i="14"/>
  <c r="W2298" i="14"/>
  <c r="U2300" i="14"/>
  <c r="V2300" i="14"/>
  <c r="W2299" i="14"/>
  <c r="T2302" i="14"/>
  <c r="T2303" i="14"/>
  <c r="U2301" i="14"/>
  <c r="V2301" i="14"/>
  <c r="W2300" i="14"/>
  <c r="U2302" i="14"/>
  <c r="V2302" i="14"/>
  <c r="W2301" i="14"/>
  <c r="B2298" i="14"/>
  <c r="T2304" i="14"/>
  <c r="T2305" i="14"/>
  <c r="U2303" i="14"/>
  <c r="V2303" i="14"/>
  <c r="W2302" i="14"/>
  <c r="U2304" i="14"/>
  <c r="V2304" i="14"/>
  <c r="W2303" i="14"/>
  <c r="T2306" i="14"/>
  <c r="T2307" i="14"/>
  <c r="U2305" i="14"/>
  <c r="V2305" i="14"/>
  <c r="W2304" i="14"/>
  <c r="U2306" i="14"/>
  <c r="V2306" i="14"/>
  <c r="W2305" i="14"/>
  <c r="T2308" i="14"/>
  <c r="T2309" i="14"/>
  <c r="U2307" i="14"/>
  <c r="V2307" i="14"/>
  <c r="W2306" i="14"/>
  <c r="U2308" i="14"/>
  <c r="V2308" i="14"/>
  <c r="W2307" i="14"/>
  <c r="T2310" i="14"/>
  <c r="T2311" i="14"/>
  <c r="U2309" i="14"/>
  <c r="V2309" i="14"/>
  <c r="W2308" i="14"/>
  <c r="B2305" i="14"/>
  <c r="U2310" i="14"/>
  <c r="V2310" i="14"/>
  <c r="W2309" i="14"/>
  <c r="T2312" i="14"/>
  <c r="T2313" i="14"/>
  <c r="U2311" i="14"/>
  <c r="V2311" i="14"/>
  <c r="W2310" i="14"/>
  <c r="U2312" i="14"/>
  <c r="V2312" i="14"/>
  <c r="W2311" i="14"/>
  <c r="T2314" i="14"/>
  <c r="T2315" i="14"/>
  <c r="U2313" i="14"/>
  <c r="V2313" i="14"/>
  <c r="W2312" i="14"/>
  <c r="U2314" i="14"/>
  <c r="V2314" i="14"/>
  <c r="W2313" i="14"/>
  <c r="T2316" i="14"/>
  <c r="T2317" i="14"/>
  <c r="U2315" i="14"/>
  <c r="V2315" i="14"/>
  <c r="W2314" i="14"/>
  <c r="U2316" i="14"/>
  <c r="V2316" i="14"/>
  <c r="W2315" i="14"/>
  <c r="B2312" i="14"/>
  <c r="T2318" i="14"/>
  <c r="T2319" i="14"/>
  <c r="U2317" i="14"/>
  <c r="V2317" i="14"/>
  <c r="W2316" i="14"/>
  <c r="U2318" i="14"/>
  <c r="V2318" i="14"/>
  <c r="W2317" i="14"/>
  <c r="T2320" i="14"/>
  <c r="T2321" i="14"/>
  <c r="U2319" i="14"/>
  <c r="V2319" i="14"/>
  <c r="W2318" i="14"/>
  <c r="U2320" i="14"/>
  <c r="V2320" i="14"/>
  <c r="W2319" i="14"/>
  <c r="T2322" i="14"/>
  <c r="T2323" i="14"/>
  <c r="U2321" i="14"/>
  <c r="V2321" i="14"/>
  <c r="W2320" i="14"/>
  <c r="U2322" i="14"/>
  <c r="V2322" i="14"/>
  <c r="W2321" i="14"/>
  <c r="T2324" i="14"/>
  <c r="T2325" i="14"/>
  <c r="U2323" i="14"/>
  <c r="V2323" i="14"/>
  <c r="W2322" i="14"/>
  <c r="B2319" i="14"/>
  <c r="U2324" i="14"/>
  <c r="V2324" i="14"/>
  <c r="W2323" i="14"/>
  <c r="T2326" i="14"/>
  <c r="T2327" i="14"/>
  <c r="U2325" i="14"/>
  <c r="V2325" i="14"/>
  <c r="W2324" i="14"/>
  <c r="U2326" i="14"/>
  <c r="V2326" i="14"/>
  <c r="W2325" i="14"/>
  <c r="T2328" i="14"/>
  <c r="T2329" i="14"/>
  <c r="U2327" i="14"/>
  <c r="V2327" i="14"/>
  <c r="W2326" i="14"/>
  <c r="U2328" i="14"/>
  <c r="V2328" i="14"/>
  <c r="W2327" i="14"/>
  <c r="T2330" i="14"/>
  <c r="T2331" i="14"/>
  <c r="U2329" i="14"/>
  <c r="V2329" i="14"/>
  <c r="W2328" i="14"/>
  <c r="U2330" i="14"/>
  <c r="V2330" i="14"/>
  <c r="W2329" i="14"/>
  <c r="B2326" i="14"/>
  <c r="T2332" i="14"/>
  <c r="T2333" i="14"/>
  <c r="U2331" i="14"/>
  <c r="V2331" i="14"/>
  <c r="W2330" i="14"/>
  <c r="U2332" i="14"/>
  <c r="V2332" i="14"/>
  <c r="W2331" i="14"/>
  <c r="T2334" i="14"/>
  <c r="T2335" i="14"/>
  <c r="U2333" i="14"/>
  <c r="V2333" i="14"/>
  <c r="W2332" i="14"/>
  <c r="U2334" i="14"/>
  <c r="V2334" i="14"/>
  <c r="W2333" i="14"/>
  <c r="T2336" i="14"/>
  <c r="T2337" i="14"/>
  <c r="U2335" i="14"/>
  <c r="V2335" i="14"/>
  <c r="W2334" i="14"/>
  <c r="U2336" i="14"/>
  <c r="V2336" i="14"/>
  <c r="W2335" i="14"/>
  <c r="T2338" i="14"/>
  <c r="T2339" i="14"/>
  <c r="U2337" i="14"/>
  <c r="V2337" i="14"/>
  <c r="W2336" i="14"/>
  <c r="B2333" i="14"/>
  <c r="U2338" i="14"/>
  <c r="V2338" i="14"/>
  <c r="W2337" i="14"/>
  <c r="T2340" i="14"/>
  <c r="U2339" i="14"/>
  <c r="V2339" i="14"/>
  <c r="W2338" i="14"/>
  <c r="T2341" i="14"/>
  <c r="U2340" i="14"/>
  <c r="V2340" i="14"/>
  <c r="W2339" i="14"/>
  <c r="T2342" i="14"/>
  <c r="T2343" i="14"/>
  <c r="U2341" i="14"/>
  <c r="V2341" i="14"/>
  <c r="W2340" i="14"/>
  <c r="U2342" i="14"/>
  <c r="V2342" i="14"/>
  <c r="W2341" i="14"/>
  <c r="T2344" i="14"/>
  <c r="T2345" i="14"/>
  <c r="U2343" i="14"/>
  <c r="V2343" i="14"/>
  <c r="W2342" i="14"/>
  <c r="U2344" i="14"/>
  <c r="V2344" i="14"/>
  <c r="W2343" i="14"/>
  <c r="B2340" i="14"/>
  <c r="T2346" i="14"/>
  <c r="T2347" i="14"/>
  <c r="U2345" i="14"/>
  <c r="V2345" i="14"/>
  <c r="W2344" i="14"/>
  <c r="U2346" i="14"/>
  <c r="V2346" i="14"/>
  <c r="W2345" i="14"/>
  <c r="T2348" i="14"/>
  <c r="U2347" i="14"/>
  <c r="V2347" i="14"/>
  <c r="W2346" i="14"/>
  <c r="T2349" i="14"/>
  <c r="T2350" i="14"/>
  <c r="U2348" i="14"/>
  <c r="V2348" i="14"/>
  <c r="W2347" i="14"/>
  <c r="U2349" i="14"/>
  <c r="V2349" i="14"/>
  <c r="W2348" i="14"/>
  <c r="T2351" i="14"/>
  <c r="T2352" i="14"/>
  <c r="U2350" i="14"/>
  <c r="V2350" i="14"/>
  <c r="W2349" i="14"/>
  <c r="U2351" i="14"/>
  <c r="V2351" i="14"/>
  <c r="W2350" i="14"/>
  <c r="B2347" i="14"/>
  <c r="T2353" i="14"/>
  <c r="T2354" i="14"/>
  <c r="U2352" i="14"/>
  <c r="V2352" i="14"/>
  <c r="W2351" i="14"/>
  <c r="U2353" i="14"/>
  <c r="V2353" i="14"/>
  <c r="W2352" i="14"/>
  <c r="T2355" i="14"/>
  <c r="T2356" i="14"/>
  <c r="U2354" i="14"/>
  <c r="V2354" i="14"/>
  <c r="W2353" i="14"/>
  <c r="T2357" i="14"/>
  <c r="U2355" i="14"/>
  <c r="V2355" i="14"/>
  <c r="W2354" i="14"/>
  <c r="U2356" i="14"/>
  <c r="V2356" i="14"/>
  <c r="W2355" i="14"/>
  <c r="T2358" i="14"/>
  <c r="T2359" i="14"/>
  <c r="U2357" i="14"/>
  <c r="V2357" i="14"/>
  <c r="W2356" i="14"/>
  <c r="U2358" i="14"/>
  <c r="V2358" i="14"/>
  <c r="W2357" i="14"/>
  <c r="B2354" i="14"/>
  <c r="T2360" i="14"/>
  <c r="T2361" i="14"/>
  <c r="U2359" i="14"/>
  <c r="V2359" i="14"/>
  <c r="W2358" i="14"/>
  <c r="U2360" i="14"/>
  <c r="V2360" i="14"/>
  <c r="W2359" i="14"/>
  <c r="T2362" i="14"/>
  <c r="T2363" i="14"/>
  <c r="U2361" i="14"/>
  <c r="V2361" i="14"/>
  <c r="W2360" i="14"/>
  <c r="U2362" i="14"/>
  <c r="V2362" i="14"/>
  <c r="W2361" i="14"/>
  <c r="T2364" i="14"/>
  <c r="T2365" i="14"/>
  <c r="U2363" i="14"/>
  <c r="V2363" i="14"/>
  <c r="W2362" i="14"/>
  <c r="U2364" i="14"/>
  <c r="V2364" i="14"/>
  <c r="W2363" i="14"/>
  <c r="T2366" i="14"/>
  <c r="T2367" i="14"/>
  <c r="U2365" i="14"/>
  <c r="V2365" i="14"/>
  <c r="W2364" i="14"/>
  <c r="B2361" i="14"/>
  <c r="U2366" i="14"/>
  <c r="V2366" i="14"/>
  <c r="W2365" i="14"/>
  <c r="T2368" i="14"/>
  <c r="T2369" i="14"/>
  <c r="U2367" i="14"/>
  <c r="V2367" i="14"/>
  <c r="W2366" i="14"/>
  <c r="T2370" i="14"/>
  <c r="U2368" i="14"/>
  <c r="V2368" i="14"/>
  <c r="W2367" i="14"/>
  <c r="U2369" i="14"/>
  <c r="V2369" i="14"/>
  <c r="W2368" i="14"/>
  <c r="T2371" i="14"/>
  <c r="T2372" i="14"/>
  <c r="U2370" i="14"/>
  <c r="V2370" i="14"/>
  <c r="W2369" i="14"/>
  <c r="U2371" i="14"/>
  <c r="V2371" i="14"/>
  <c r="W2370" i="14"/>
  <c r="T2373" i="14"/>
  <c r="T2374" i="14"/>
  <c r="U2372" i="14"/>
  <c r="V2372" i="14"/>
  <c r="W2371" i="14"/>
  <c r="B2368" i="14"/>
  <c r="U2373" i="14"/>
  <c r="V2373" i="14"/>
  <c r="W2372" i="14"/>
  <c r="T2375" i="14"/>
  <c r="T2376" i="14"/>
  <c r="U2374" i="14"/>
  <c r="V2374" i="14"/>
  <c r="W2373" i="14"/>
  <c r="U2375" i="14"/>
  <c r="V2375" i="14"/>
  <c r="W2374" i="14"/>
  <c r="T2377" i="14"/>
  <c r="T2378" i="14"/>
  <c r="U2376" i="14"/>
  <c r="V2376" i="14"/>
  <c r="W2375" i="14"/>
  <c r="U2377" i="14"/>
  <c r="V2377" i="14"/>
  <c r="W2376" i="14"/>
  <c r="T2379" i="14"/>
  <c r="T2380" i="14"/>
  <c r="U2378" i="14"/>
  <c r="V2378" i="14"/>
  <c r="W2377" i="14"/>
  <c r="U2379" i="14"/>
  <c r="V2379" i="14"/>
  <c r="W2378" i="14"/>
  <c r="B2375" i="14"/>
  <c r="T2381" i="14"/>
  <c r="T2382" i="14"/>
  <c r="U2380" i="14"/>
  <c r="V2380" i="14"/>
  <c r="W2379" i="14"/>
  <c r="U2381" i="14"/>
  <c r="V2381" i="14"/>
  <c r="W2380" i="14"/>
  <c r="T2383" i="14"/>
  <c r="T2384" i="14"/>
  <c r="U2382" i="14"/>
  <c r="V2382" i="14"/>
  <c r="W2381" i="14"/>
  <c r="U2383" i="14"/>
  <c r="V2383" i="14"/>
  <c r="W2382" i="14"/>
  <c r="T2385" i="14"/>
  <c r="T2386" i="14"/>
  <c r="U2384" i="14"/>
  <c r="V2384" i="14"/>
  <c r="W2383" i="14"/>
  <c r="U2385" i="14"/>
  <c r="V2385" i="14"/>
  <c r="W2384" i="14"/>
  <c r="T2387" i="14"/>
  <c r="T2388" i="14"/>
  <c r="U2386" i="14"/>
  <c r="V2386" i="14"/>
  <c r="W2385" i="14"/>
  <c r="B2382" i="14"/>
  <c r="U2387" i="14"/>
  <c r="V2387" i="14"/>
  <c r="W2386" i="14"/>
  <c r="T2389" i="14"/>
  <c r="T2390" i="14"/>
  <c r="U2388" i="14"/>
  <c r="V2388" i="14"/>
  <c r="W2387" i="14"/>
  <c r="U2389" i="14"/>
  <c r="V2389" i="14"/>
  <c r="W2388" i="14"/>
  <c r="T2391" i="14"/>
  <c r="T2392" i="14"/>
  <c r="U2390" i="14"/>
  <c r="V2390" i="14"/>
  <c r="W2389" i="14"/>
  <c r="U2391" i="14"/>
  <c r="V2391" i="14"/>
  <c r="W2390" i="14"/>
  <c r="T2393" i="14"/>
  <c r="T2394" i="14"/>
  <c r="U2392" i="14"/>
  <c r="V2392" i="14"/>
  <c r="W2391" i="14"/>
  <c r="U2393" i="14"/>
  <c r="V2393" i="14"/>
  <c r="W2392" i="14"/>
  <c r="B2389" i="14"/>
  <c r="T2395" i="14"/>
  <c r="T2396" i="14"/>
  <c r="U2394" i="14"/>
  <c r="V2394" i="14"/>
  <c r="W2393" i="14"/>
  <c r="U2395" i="14"/>
  <c r="V2395" i="14"/>
  <c r="W2394" i="14"/>
  <c r="T2397" i="14"/>
  <c r="T2398" i="14"/>
  <c r="U2396" i="14"/>
  <c r="V2396" i="14"/>
  <c r="W2395" i="14"/>
  <c r="U2397" i="14"/>
  <c r="V2397" i="14"/>
  <c r="W2396" i="14"/>
  <c r="T2399" i="14"/>
  <c r="T2400" i="14"/>
  <c r="U2398" i="14"/>
  <c r="V2398" i="14"/>
  <c r="W2397" i="14"/>
  <c r="U2399" i="14"/>
  <c r="V2399" i="14"/>
  <c r="W2398" i="14"/>
  <c r="T2401" i="14"/>
  <c r="T2402" i="14"/>
  <c r="U2400" i="14"/>
  <c r="V2400" i="14"/>
  <c r="W2399" i="14"/>
  <c r="B2396" i="14"/>
  <c r="U2401" i="14"/>
  <c r="V2401" i="14"/>
  <c r="W2400" i="14"/>
  <c r="T2403" i="14"/>
  <c r="T2404" i="14"/>
  <c r="U2402" i="14"/>
  <c r="V2402" i="14"/>
  <c r="W2401" i="14"/>
  <c r="U2403" i="14"/>
  <c r="V2403" i="14"/>
  <c r="W2402" i="14"/>
  <c r="T2405" i="14"/>
  <c r="T2406" i="14"/>
  <c r="U2404" i="14"/>
  <c r="V2404" i="14"/>
  <c r="W2403" i="14"/>
  <c r="U2405" i="14"/>
  <c r="V2405" i="14"/>
  <c r="W2404" i="14"/>
  <c r="T2407" i="14"/>
  <c r="T2408" i="14"/>
  <c r="U2406" i="14"/>
  <c r="V2406" i="14"/>
  <c r="W2405" i="14"/>
  <c r="U2407" i="14"/>
  <c r="V2407" i="14"/>
  <c r="W2406" i="14"/>
  <c r="B2403" i="14"/>
  <c r="T2409" i="14"/>
  <c r="T2410" i="14"/>
  <c r="U2408" i="14"/>
  <c r="V2408" i="14"/>
  <c r="W2407" i="14"/>
  <c r="U2409" i="14"/>
  <c r="V2409" i="14"/>
  <c r="W2408" i="14"/>
  <c r="T2411" i="14"/>
  <c r="U2410" i="14"/>
  <c r="V2410" i="14"/>
  <c r="W2409" i="14"/>
  <c r="T2412" i="14"/>
  <c r="U2411" i="14"/>
  <c r="V2411" i="14"/>
  <c r="W2410" i="14"/>
  <c r="T2413" i="14"/>
  <c r="T2414" i="14"/>
  <c r="U2412" i="14"/>
  <c r="V2412" i="14"/>
  <c r="W2411" i="14"/>
  <c r="U2413" i="14"/>
  <c r="V2413" i="14"/>
  <c r="W2412" i="14"/>
  <c r="T2415" i="14"/>
  <c r="T2416" i="14"/>
  <c r="U2414" i="14"/>
  <c r="V2414" i="14"/>
  <c r="W2413" i="14"/>
  <c r="B2410" i="14"/>
  <c r="U2415" i="14"/>
  <c r="V2415" i="14"/>
  <c r="W2414" i="14"/>
  <c r="T2417" i="14"/>
  <c r="T2418" i="14"/>
  <c r="U2416" i="14"/>
  <c r="V2416" i="14"/>
  <c r="W2415" i="14"/>
  <c r="U2417" i="14"/>
  <c r="V2417" i="14"/>
  <c r="W2416" i="14"/>
  <c r="T2419" i="14"/>
  <c r="U2418" i="14"/>
  <c r="V2418" i="14"/>
  <c r="W2417" i="14"/>
  <c r="T2420" i="14"/>
  <c r="T2421" i="14"/>
  <c r="U2419" i="14"/>
  <c r="V2419" i="14"/>
  <c r="W2418" i="14"/>
  <c r="U2420" i="14"/>
  <c r="V2420" i="14"/>
  <c r="W2419" i="14"/>
  <c r="T2422" i="14"/>
  <c r="U2421" i="14"/>
  <c r="V2421" i="14"/>
  <c r="W2420" i="14"/>
  <c r="B2417" i="14"/>
  <c r="T2423" i="14"/>
  <c r="T2424" i="14"/>
  <c r="U2422" i="14"/>
  <c r="V2422" i="14"/>
  <c r="W2421" i="14"/>
  <c r="U2423" i="14"/>
  <c r="V2423" i="14"/>
  <c r="W2422" i="14"/>
  <c r="T2425" i="14"/>
  <c r="U2424" i="14"/>
  <c r="V2424" i="14"/>
  <c r="W2423" i="14"/>
  <c r="T2426" i="14"/>
  <c r="T2427" i="14"/>
  <c r="U2425" i="14"/>
  <c r="V2425" i="14"/>
  <c r="W2424" i="14"/>
  <c r="U2426" i="14"/>
  <c r="V2426" i="14"/>
  <c r="W2425" i="14"/>
  <c r="T2428" i="14"/>
  <c r="T2429" i="14"/>
  <c r="U2427" i="14"/>
  <c r="V2427" i="14"/>
  <c r="W2426" i="14"/>
  <c r="U2428" i="14"/>
  <c r="V2428" i="14"/>
  <c r="W2427" i="14"/>
  <c r="B2424" i="14"/>
  <c r="T2430" i="14"/>
  <c r="T2431" i="14"/>
  <c r="U2429" i="14"/>
  <c r="V2429" i="14"/>
  <c r="W2428" i="14"/>
  <c r="U2430" i="14"/>
  <c r="V2430" i="14"/>
  <c r="W2429" i="14"/>
  <c r="T2432" i="14"/>
  <c r="T2433" i="14"/>
  <c r="U2431" i="14"/>
  <c r="V2431" i="14"/>
  <c r="W2430" i="14"/>
  <c r="U2432" i="14"/>
  <c r="V2432" i="14"/>
  <c r="W2431" i="14"/>
  <c r="T2434" i="14"/>
  <c r="T2435" i="14"/>
  <c r="U2433" i="14"/>
  <c r="V2433" i="14"/>
  <c r="W2432" i="14"/>
  <c r="U2434" i="14"/>
  <c r="V2434" i="14"/>
  <c r="W2433" i="14"/>
  <c r="T2436" i="14"/>
  <c r="T2437" i="14"/>
  <c r="U2435" i="14"/>
  <c r="V2435" i="14"/>
  <c r="W2434" i="14"/>
  <c r="B2431" i="14"/>
  <c r="U2436" i="14"/>
  <c r="V2436" i="14"/>
  <c r="W2435" i="14"/>
  <c r="T2438" i="14"/>
  <c r="T2439" i="14"/>
  <c r="U2437" i="14"/>
  <c r="V2437" i="14"/>
  <c r="W2436" i="14"/>
  <c r="U2438" i="14"/>
  <c r="V2438" i="14"/>
  <c r="W2437" i="14"/>
  <c r="T2440" i="14"/>
  <c r="T2441" i="14"/>
  <c r="U2439" i="14"/>
  <c r="V2439" i="14"/>
  <c r="W2438" i="14"/>
  <c r="U2440" i="14"/>
  <c r="V2440" i="14"/>
  <c r="W2439" i="14"/>
  <c r="T2442" i="14"/>
  <c r="T2443" i="14"/>
  <c r="U2441" i="14"/>
  <c r="V2441" i="14"/>
  <c r="W2440" i="14"/>
  <c r="U2442" i="14"/>
  <c r="V2442" i="14"/>
  <c r="W2441" i="14"/>
  <c r="B2438" i="14"/>
  <c r="T2444" i="14"/>
  <c r="T2445" i="14"/>
  <c r="U2443" i="14"/>
  <c r="V2443" i="14"/>
  <c r="W2442" i="14"/>
  <c r="U2444" i="14"/>
  <c r="V2444" i="14"/>
  <c r="W2443" i="14"/>
  <c r="T2446" i="14"/>
  <c r="T2447" i="14"/>
  <c r="U2445" i="14"/>
  <c r="V2445" i="14"/>
  <c r="W2444" i="14"/>
  <c r="U2446" i="14"/>
  <c r="V2446" i="14"/>
  <c r="W2445" i="14"/>
  <c r="T2448" i="14"/>
  <c r="T2449" i="14"/>
  <c r="U2447" i="14"/>
  <c r="V2447" i="14"/>
  <c r="W2446" i="14"/>
  <c r="U2448" i="14"/>
  <c r="V2448" i="14"/>
  <c r="W2447" i="14"/>
  <c r="T2450" i="14"/>
  <c r="T2451" i="14"/>
  <c r="U2449" i="14"/>
  <c r="V2449" i="14"/>
  <c r="W2448" i="14"/>
  <c r="B2445" i="14"/>
  <c r="U2450" i="14"/>
  <c r="V2450" i="14"/>
  <c r="W2449" i="14"/>
  <c r="T2452" i="14"/>
  <c r="T2453" i="14"/>
  <c r="U2451" i="14"/>
  <c r="V2451" i="14"/>
  <c r="W2450" i="14"/>
  <c r="U2452" i="14"/>
  <c r="V2452" i="14"/>
  <c r="W2451" i="14"/>
  <c r="T2454" i="14"/>
  <c r="T2455" i="14"/>
  <c r="U2453" i="14"/>
  <c r="V2453" i="14"/>
  <c r="W2452" i="14"/>
  <c r="U2454" i="14"/>
  <c r="V2454" i="14"/>
  <c r="W2453" i="14"/>
  <c r="T2456" i="14"/>
  <c r="T2457" i="14"/>
  <c r="U2455" i="14"/>
  <c r="V2455" i="14"/>
  <c r="W2454" i="14"/>
  <c r="U2456" i="14"/>
  <c r="V2456" i="14"/>
  <c r="W2455" i="14"/>
  <c r="B2452" i="14"/>
  <c r="T2458" i="14"/>
  <c r="T2459" i="14"/>
  <c r="U2457" i="14"/>
  <c r="V2457" i="14"/>
  <c r="W2456" i="14"/>
  <c r="U2458" i="14"/>
  <c r="V2458" i="14"/>
  <c r="W2457" i="14"/>
  <c r="T2460" i="14"/>
  <c r="T2461" i="14"/>
  <c r="U2459" i="14"/>
  <c r="V2459" i="14"/>
  <c r="W2458" i="14"/>
  <c r="U2460" i="14"/>
  <c r="V2460" i="14"/>
  <c r="W2459" i="14"/>
  <c r="T2462" i="14"/>
  <c r="U2461" i="14"/>
  <c r="V2461" i="14"/>
  <c r="W2460" i="14"/>
  <c r="T2463" i="14"/>
  <c r="T2464" i="14"/>
  <c r="U2462" i="14"/>
  <c r="V2462" i="14"/>
  <c r="W2461" i="14"/>
  <c r="U2463" i="14"/>
  <c r="V2463" i="14"/>
  <c r="W2462" i="14"/>
  <c r="B2459" i="14"/>
  <c r="T2465" i="14"/>
  <c r="T2466" i="14"/>
  <c r="U2464" i="14"/>
  <c r="V2464" i="14"/>
  <c r="W2463" i="14"/>
  <c r="U2465" i="14"/>
  <c r="V2465" i="14"/>
  <c r="W2464" i="14"/>
  <c r="T2467" i="14"/>
  <c r="T2468" i="14"/>
  <c r="U2466" i="14"/>
  <c r="V2466" i="14"/>
  <c r="W2465" i="14"/>
  <c r="U2467" i="14"/>
  <c r="V2467" i="14"/>
  <c r="W2466" i="14"/>
  <c r="T2469" i="14"/>
  <c r="T2470" i="14"/>
  <c r="U2468" i="14"/>
  <c r="V2468" i="14"/>
  <c r="W2467" i="14"/>
  <c r="U2469" i="14"/>
  <c r="V2469" i="14"/>
  <c r="W2468" i="14"/>
  <c r="T2471" i="14"/>
  <c r="T2472" i="14"/>
  <c r="U2470" i="14"/>
  <c r="V2470" i="14"/>
  <c r="W2469" i="14"/>
  <c r="B2466" i="14"/>
  <c r="U2471" i="14"/>
  <c r="V2471" i="14"/>
  <c r="W2470" i="14"/>
  <c r="T2473" i="14"/>
  <c r="T2474" i="14"/>
  <c r="U2472" i="14"/>
  <c r="V2472" i="14"/>
  <c r="W2471" i="14"/>
  <c r="U2473" i="14"/>
  <c r="V2473" i="14"/>
  <c r="W2472" i="14"/>
  <c r="T2475" i="14"/>
  <c r="T2476" i="14"/>
  <c r="U2474" i="14"/>
  <c r="V2474" i="14"/>
  <c r="W2473" i="14"/>
  <c r="U2475" i="14"/>
  <c r="V2475" i="14"/>
  <c r="W2474" i="14"/>
  <c r="T2477" i="14"/>
  <c r="T2478" i="14"/>
  <c r="U2476" i="14"/>
  <c r="V2476" i="14"/>
  <c r="W2475" i="14"/>
  <c r="U2477" i="14"/>
  <c r="V2477" i="14"/>
  <c r="W2476" i="14"/>
  <c r="B2473" i="14"/>
  <c r="T2479" i="14"/>
  <c r="T2480" i="14"/>
  <c r="U2478" i="14"/>
  <c r="V2478" i="14"/>
  <c r="W2477" i="14"/>
  <c r="U2479" i="14"/>
  <c r="V2479" i="14"/>
  <c r="W2478" i="14"/>
  <c r="T2481" i="14"/>
  <c r="T2482" i="14"/>
  <c r="U2480" i="14"/>
  <c r="V2480" i="14"/>
  <c r="W2479" i="14"/>
  <c r="T2483" i="14"/>
  <c r="U2481" i="14"/>
  <c r="V2481" i="14"/>
  <c r="W2480" i="14"/>
  <c r="U2482" i="14"/>
  <c r="V2482" i="14"/>
  <c r="W2481" i="14"/>
  <c r="T2484" i="14"/>
  <c r="T2485" i="14"/>
  <c r="U2483" i="14"/>
  <c r="V2483" i="14"/>
  <c r="W2482" i="14"/>
  <c r="T2486" i="14"/>
  <c r="U2484" i="14"/>
  <c r="V2484" i="14"/>
  <c r="W2483" i="14"/>
  <c r="B2480" i="14"/>
  <c r="U2485" i="14"/>
  <c r="V2485" i="14"/>
  <c r="W2484" i="14"/>
  <c r="T2487" i="14"/>
  <c r="T2488" i="14"/>
  <c r="U2486" i="14"/>
  <c r="V2486" i="14"/>
  <c r="W2485" i="14"/>
  <c r="U2487" i="14"/>
  <c r="V2487" i="14"/>
  <c r="W2486" i="14"/>
  <c r="T2489" i="14"/>
  <c r="T2490" i="14"/>
  <c r="U2488" i="14"/>
  <c r="V2488" i="14"/>
  <c r="W2487" i="14"/>
  <c r="U2489" i="14"/>
  <c r="V2489" i="14"/>
  <c r="W2488" i="14"/>
  <c r="T2491" i="14"/>
  <c r="T2492" i="14"/>
  <c r="U2490" i="14"/>
  <c r="V2490" i="14"/>
  <c r="W2489" i="14"/>
  <c r="U2491" i="14"/>
  <c r="V2491" i="14"/>
  <c r="W2490" i="14"/>
  <c r="B2487" i="14"/>
  <c r="T2493" i="14"/>
  <c r="T2494" i="14"/>
  <c r="U2492" i="14"/>
  <c r="V2492" i="14"/>
  <c r="W2491" i="14"/>
  <c r="U2493" i="14"/>
  <c r="V2493" i="14"/>
  <c r="W2492" i="14"/>
  <c r="T2495" i="14"/>
  <c r="T2496" i="14"/>
  <c r="U2494" i="14"/>
  <c r="V2494" i="14"/>
  <c r="W2493" i="14"/>
  <c r="U2495" i="14"/>
  <c r="V2495" i="14"/>
  <c r="W2494" i="14"/>
  <c r="T2497" i="14"/>
  <c r="T2498" i="14"/>
  <c r="U2496" i="14"/>
  <c r="V2496" i="14"/>
  <c r="W2495" i="14"/>
  <c r="U2497" i="14"/>
  <c r="V2497" i="14"/>
  <c r="W2496" i="14"/>
  <c r="T2499" i="14"/>
  <c r="T2500" i="14"/>
  <c r="U2498" i="14"/>
  <c r="V2498" i="14"/>
  <c r="W2497" i="14"/>
  <c r="B2494" i="14"/>
  <c r="T2501" i="14"/>
  <c r="U2499" i="14"/>
  <c r="V2499" i="14"/>
  <c r="W2498" i="14"/>
  <c r="U2500" i="14"/>
  <c r="V2500" i="14"/>
  <c r="W2499" i="14"/>
  <c r="T2502" i="14"/>
  <c r="T2503" i="14"/>
  <c r="U2501" i="14"/>
  <c r="V2501" i="14"/>
  <c r="W2500" i="14"/>
  <c r="U2502" i="14"/>
  <c r="V2502" i="14"/>
  <c r="W2501" i="14"/>
  <c r="T2504" i="14"/>
  <c r="T2505" i="14"/>
  <c r="U2503" i="14"/>
  <c r="V2503" i="14"/>
  <c r="W2502" i="14"/>
  <c r="U2504" i="14"/>
  <c r="V2504" i="14"/>
  <c r="W2503" i="14"/>
  <c r="T2506" i="14"/>
  <c r="T2507" i="14"/>
  <c r="U2505" i="14"/>
  <c r="V2505" i="14"/>
  <c r="W2504" i="14"/>
  <c r="B2501" i="14"/>
  <c r="U2506" i="14"/>
  <c r="V2506" i="14"/>
  <c r="W2505" i="14"/>
  <c r="T2508" i="14"/>
  <c r="T2509" i="14"/>
  <c r="U2507" i="14"/>
  <c r="V2507" i="14"/>
  <c r="W2506" i="14"/>
  <c r="U2508" i="14"/>
  <c r="V2508" i="14"/>
  <c r="W2507" i="14"/>
  <c r="T2510" i="14"/>
  <c r="T2511" i="14"/>
  <c r="U2509" i="14"/>
  <c r="V2509" i="14"/>
  <c r="W2508" i="14"/>
  <c r="U2510" i="14"/>
  <c r="V2510" i="14"/>
  <c r="W2509" i="14"/>
  <c r="T2512" i="14"/>
  <c r="T2513" i="14"/>
  <c r="U2511" i="14"/>
  <c r="V2511" i="14"/>
  <c r="W2510" i="14"/>
  <c r="U2512" i="14"/>
  <c r="V2512" i="14"/>
  <c r="W2511" i="14"/>
  <c r="B2508" i="14"/>
  <c r="T2514" i="14"/>
  <c r="T2515" i="14"/>
  <c r="U2513" i="14"/>
  <c r="V2513" i="14"/>
  <c r="W2512" i="14"/>
  <c r="U2514" i="14"/>
  <c r="V2514" i="14"/>
  <c r="W2513" i="14"/>
  <c r="T2516" i="14"/>
  <c r="T2517" i="14"/>
  <c r="U2515" i="14"/>
  <c r="V2515" i="14"/>
  <c r="W2514" i="14"/>
  <c r="U2516" i="14"/>
  <c r="V2516" i="14"/>
  <c r="W2515" i="14"/>
  <c r="T2518" i="14"/>
  <c r="T2519" i="14"/>
  <c r="U2517" i="14"/>
  <c r="V2517" i="14"/>
  <c r="W2516" i="14"/>
  <c r="U2518" i="14"/>
  <c r="V2518" i="14"/>
  <c r="W2517" i="14"/>
  <c r="T2520" i="14"/>
  <c r="U2519" i="14"/>
  <c r="V2519" i="14"/>
  <c r="W2518" i="14"/>
  <c r="B2515" i="14"/>
  <c r="T2521" i="14"/>
  <c r="T2522" i="14"/>
  <c r="U2520" i="14"/>
  <c r="V2520" i="14"/>
  <c r="W2519" i="14"/>
  <c r="U2521" i="14"/>
  <c r="V2521" i="14"/>
  <c r="W2520" i="14"/>
  <c r="T2523" i="14"/>
  <c r="T2524" i="14"/>
  <c r="U2522" i="14"/>
  <c r="V2522" i="14"/>
  <c r="W2521" i="14"/>
  <c r="U2523" i="14"/>
  <c r="V2523" i="14"/>
  <c r="W2522" i="14"/>
  <c r="T2525" i="14"/>
  <c r="T2526" i="14"/>
  <c r="U2524" i="14"/>
  <c r="V2524" i="14"/>
  <c r="W2523" i="14"/>
  <c r="U2525" i="14"/>
  <c r="V2525" i="14"/>
  <c r="W2524" i="14"/>
  <c r="T2527" i="14"/>
  <c r="T2528" i="14"/>
  <c r="U2526" i="14"/>
  <c r="V2526" i="14"/>
  <c r="W2525" i="14"/>
  <c r="B2522" i="14"/>
  <c r="U2527" i="14"/>
  <c r="V2527" i="14"/>
  <c r="W2526" i="14"/>
  <c r="T2529" i="14"/>
  <c r="T2530" i="14"/>
  <c r="U2528" i="14"/>
  <c r="V2528" i="14"/>
  <c r="W2527" i="14"/>
  <c r="U2529" i="14"/>
  <c r="V2529" i="14"/>
  <c r="W2528" i="14"/>
  <c r="T2531" i="14"/>
  <c r="T2532" i="14"/>
  <c r="U2530" i="14"/>
  <c r="V2530" i="14"/>
  <c r="W2529" i="14"/>
  <c r="U2531" i="14"/>
  <c r="V2531" i="14"/>
  <c r="W2530" i="14"/>
  <c r="T2533" i="14"/>
  <c r="T2534" i="14"/>
  <c r="U2532" i="14"/>
  <c r="V2532" i="14"/>
  <c r="W2531" i="14"/>
  <c r="U2533" i="14"/>
  <c r="V2533" i="14"/>
  <c r="W2532" i="14"/>
  <c r="B2529" i="14"/>
  <c r="T2535" i="14"/>
  <c r="T2536" i="14"/>
  <c r="U2534" i="14"/>
  <c r="V2534" i="14"/>
  <c r="W2533" i="14"/>
  <c r="U2535" i="14"/>
  <c r="V2535" i="14"/>
  <c r="W2534" i="14"/>
  <c r="T2537" i="14"/>
  <c r="T2538" i="14"/>
  <c r="U2536" i="14"/>
  <c r="V2536" i="14"/>
  <c r="W2535" i="14"/>
  <c r="U2537" i="14"/>
  <c r="V2537" i="14"/>
  <c r="W2536" i="14"/>
  <c r="T2539" i="14"/>
  <c r="T2540" i="14"/>
  <c r="U2538" i="14"/>
  <c r="V2538" i="14"/>
  <c r="W2537" i="14"/>
  <c r="U2539" i="14"/>
  <c r="V2539" i="14"/>
  <c r="W2538" i="14"/>
  <c r="T2541" i="14"/>
  <c r="T2542" i="14"/>
  <c r="U2540" i="14"/>
  <c r="V2540" i="14"/>
  <c r="W2539" i="14"/>
  <c r="B2536" i="14"/>
  <c r="U2541" i="14"/>
  <c r="V2541" i="14"/>
  <c r="W2540" i="14"/>
  <c r="T2543" i="14"/>
  <c r="U2542" i="14"/>
  <c r="V2542" i="14"/>
  <c r="W2541" i="14"/>
  <c r="T2544" i="14"/>
  <c r="T2545" i="14"/>
  <c r="U2543" i="14"/>
  <c r="V2543" i="14"/>
  <c r="W2542" i="14"/>
  <c r="U2544" i="14"/>
  <c r="V2544" i="14"/>
  <c r="W2543" i="14"/>
  <c r="T2546" i="14"/>
  <c r="U2545" i="14"/>
  <c r="V2545" i="14"/>
  <c r="W2544" i="14"/>
  <c r="T2547" i="14"/>
  <c r="T2548" i="14"/>
  <c r="U2546" i="14"/>
  <c r="V2546" i="14"/>
  <c r="W2545" i="14"/>
  <c r="U2547" i="14"/>
  <c r="V2547" i="14"/>
  <c r="W2546" i="14"/>
  <c r="B2543" i="14"/>
  <c r="T2549" i="14"/>
  <c r="T2550" i="14"/>
  <c r="U2548" i="14"/>
  <c r="V2548" i="14"/>
  <c r="W2547" i="14"/>
  <c r="T2551" i="14"/>
  <c r="U2549" i="14"/>
  <c r="V2549" i="14"/>
  <c r="W2548" i="14"/>
  <c r="T2552" i="14"/>
  <c r="U2550" i="14"/>
  <c r="V2550" i="14"/>
  <c r="W2549" i="14"/>
  <c r="U2551" i="14"/>
  <c r="V2551" i="14"/>
  <c r="W2550" i="14"/>
  <c r="T2553" i="14"/>
  <c r="T2554" i="14"/>
  <c r="U2552" i="14"/>
  <c r="V2552" i="14"/>
  <c r="W2551" i="14"/>
  <c r="T2555" i="14"/>
  <c r="U2553" i="14"/>
  <c r="V2553" i="14"/>
  <c r="W2552" i="14"/>
  <c r="U2554" i="14"/>
  <c r="V2554" i="14"/>
  <c r="W2553" i="14"/>
  <c r="B2550" i="14"/>
  <c r="T2556" i="14"/>
  <c r="T2557" i="14" s="1"/>
  <c r="U2555" i="14"/>
  <c r="V2555" i="14"/>
  <c r="W2554" i="14"/>
  <c r="U2556" i="14"/>
  <c r="V2556" i="14"/>
  <c r="W2555" i="14"/>
  <c r="B2019" i="14" l="1"/>
  <c r="B2625" i="14"/>
  <c r="B1072" i="14"/>
  <c r="B1667" i="14"/>
  <c r="B1422" i="14"/>
  <c r="B1086" i="14"/>
  <c r="B1135" i="14"/>
  <c r="B1387" i="14"/>
  <c r="B1191" i="14"/>
  <c r="B1967" i="14"/>
  <c r="B981" i="14"/>
  <c r="B2086" i="14"/>
  <c r="B785" i="14"/>
  <c r="B2373" i="14"/>
  <c r="B1156" i="14"/>
  <c r="B1555" i="14"/>
  <c r="B1499" i="14"/>
  <c r="B1639" i="14"/>
  <c r="B1921" i="14"/>
  <c r="B2730" i="14"/>
  <c r="B1730" i="14"/>
  <c r="B1918" i="14"/>
  <c r="B1520" i="14"/>
  <c r="B2719" i="14"/>
  <c r="B1611" i="14"/>
  <c r="I1941" i="14"/>
  <c r="N1941" i="14" s="1"/>
  <c r="B1942" i="14" s="1"/>
  <c r="B1597" i="14"/>
  <c r="B1828" i="14"/>
  <c r="B918" i="14"/>
  <c r="I1176" i="14"/>
  <c r="N1176" i="14" s="1"/>
  <c r="I1121" i="14"/>
  <c r="N1121" i="14" s="1"/>
  <c r="B1527" i="14"/>
  <c r="B806" i="14"/>
  <c r="B1240" i="14"/>
  <c r="B911" i="14"/>
  <c r="B2044" i="14"/>
  <c r="B1541" i="14"/>
  <c r="B2128" i="14"/>
  <c r="B834" i="14"/>
  <c r="B855" i="14"/>
  <c r="B1429" i="14"/>
  <c r="B92" i="14"/>
  <c r="B1751" i="14"/>
  <c r="B1681" i="14"/>
  <c r="B1170" i="14"/>
  <c r="B1009" i="14"/>
  <c r="B1653" i="14"/>
  <c r="B211" i="14"/>
  <c r="I1256" i="14"/>
  <c r="N1256" i="14" s="1"/>
  <c r="B2233" i="14"/>
  <c r="B848" i="14"/>
  <c r="B932" i="14"/>
  <c r="B925" i="14"/>
  <c r="B1002" i="14"/>
  <c r="B2362" i="14"/>
  <c r="I2164" i="14"/>
  <c r="N2164" i="14" s="1"/>
  <c r="B1723" i="14"/>
  <c r="B1625" i="14"/>
  <c r="B1114" i="14"/>
  <c r="B1408" i="14"/>
  <c r="B85" i="14"/>
  <c r="B120" i="14"/>
  <c r="B1956" i="14"/>
  <c r="B1296" i="14"/>
  <c r="B134" i="14"/>
  <c r="B1858" i="14"/>
  <c r="B1786" i="14"/>
  <c r="B1443" i="14"/>
  <c r="B1338" i="14"/>
  <c r="B148" i="14"/>
  <c r="B176" i="14"/>
  <c r="I205" i="14"/>
  <c r="N205" i="14" s="1"/>
  <c r="B1205" i="14"/>
  <c r="B1030" i="14"/>
  <c r="B757" i="14"/>
  <c r="B897" i="14"/>
  <c r="I1681" i="14"/>
  <c r="N1681" i="14" s="1"/>
  <c r="I1659" i="14"/>
  <c r="N1659" i="14" s="1"/>
  <c r="I1035" i="14"/>
  <c r="N1035" i="14" s="1"/>
  <c r="I1406" i="14"/>
  <c r="N1406" i="14" s="1"/>
  <c r="B1914" i="14"/>
  <c r="B1163" i="14"/>
  <c r="B1275" i="14"/>
  <c r="B2338" i="14"/>
  <c r="B1576" i="14"/>
  <c r="B2646" i="14"/>
  <c r="B2681" i="14"/>
  <c r="B1758" i="14"/>
  <c r="B1835" i="14"/>
  <c r="B1674" i="14"/>
  <c r="B2170" i="14"/>
  <c r="B1744" i="14"/>
  <c r="B1583" i="14"/>
  <c r="B1618" i="14"/>
  <c r="I978" i="14"/>
  <c r="N978" i="14" s="1"/>
  <c r="B2366" i="14"/>
  <c r="B1963" i="14"/>
  <c r="B1352" i="14"/>
  <c r="B2569" i="14"/>
  <c r="B2555" i="14"/>
  <c r="B1457" i="14"/>
  <c r="I1638" i="14"/>
  <c r="N1638" i="14" s="1"/>
  <c r="B1401" i="14"/>
  <c r="B2058" i="14"/>
  <c r="B1149" i="14"/>
  <c r="B1198" i="14"/>
  <c r="I1524" i="14"/>
  <c r="N1524" i="14" s="1"/>
  <c r="B1513" i="14"/>
  <c r="B1324" i="14"/>
  <c r="B1065" i="14"/>
  <c r="B1716" i="14"/>
  <c r="B1646" i="14"/>
  <c r="B1450" i="14"/>
  <c r="B2040" i="14"/>
  <c r="B2061" i="14"/>
  <c r="B1949" i="14"/>
  <c r="B2709" i="14"/>
  <c r="B2551" i="14"/>
  <c r="B1485" i="14"/>
  <c r="B1331" i="14"/>
  <c r="B1184" i="14"/>
  <c r="B2289" i="14"/>
  <c r="B2093" i="14"/>
  <c r="I1499" i="14"/>
  <c r="N1499" i="14" s="1"/>
  <c r="B2380" i="14"/>
  <c r="B1632" i="14"/>
  <c r="I1338" i="14"/>
  <c r="N1338" i="14" s="1"/>
  <c r="B2142" i="14"/>
  <c r="B1226" i="14"/>
  <c r="B1765" i="14"/>
  <c r="B1506" i="14"/>
  <c r="B2114" i="14"/>
  <c r="B2219" i="14"/>
  <c r="B1373" i="14"/>
  <c r="B1883" i="14"/>
  <c r="B1886" i="14"/>
  <c r="B2471" i="14"/>
  <c r="B2121" i="14"/>
  <c r="B1128" i="14"/>
  <c r="B1394" i="14"/>
  <c r="B1974" i="14"/>
  <c r="B2212" i="14"/>
  <c r="B2359" i="14"/>
  <c r="B2096" i="14"/>
  <c r="B2453" i="14"/>
  <c r="I1736" i="14"/>
  <c r="N1736" i="14" s="1"/>
  <c r="B1737" i="14"/>
  <c r="B1709" i="14"/>
  <c r="I1708" i="14"/>
  <c r="N1708" i="14" s="1"/>
  <c r="B2478" i="14"/>
  <c r="B1303" i="14"/>
  <c r="B1289" i="14"/>
  <c r="I1293" i="14"/>
  <c r="N1293" i="14" s="1"/>
  <c r="B2401" i="14"/>
  <c r="I2407" i="14"/>
  <c r="N2407" i="14" s="1"/>
  <c r="B2411" i="14" s="1"/>
  <c r="B2408" i="14"/>
  <c r="B2072" i="14"/>
  <c r="I2624" i="14"/>
  <c r="N2624" i="14" s="1"/>
  <c r="B2684" i="14"/>
  <c r="B2534" i="14"/>
  <c r="B2499" i="14"/>
  <c r="I2471" i="14"/>
  <c r="N2471" i="14" s="1"/>
  <c r="B2506" i="14"/>
  <c r="I2394" i="14"/>
  <c r="N2394" i="14" s="1"/>
  <c r="B2397" i="14" s="1"/>
  <c r="B2191" i="14"/>
  <c r="B2100" i="14"/>
  <c r="B2285" i="14"/>
  <c r="I2173" i="14"/>
  <c r="N2173" i="14" s="1"/>
  <c r="B2173" i="14" s="1"/>
  <c r="B2131" i="14"/>
  <c r="B1814" i="14"/>
  <c r="I1812" i="14"/>
  <c r="N1812" i="14" s="1"/>
  <c r="I1880" i="14"/>
  <c r="N1880" i="14" s="1"/>
  <c r="B1879" i="14" s="1"/>
  <c r="B1876" i="14"/>
  <c r="I2484" i="14"/>
  <c r="N2484" i="14" s="1"/>
  <c r="B2488" i="14" s="1"/>
  <c r="B2485" i="14"/>
  <c r="B2737" i="14"/>
  <c r="I2730" i="14"/>
  <c r="N2730" i="14" s="1"/>
  <c r="B2733" i="14" s="1"/>
  <c r="B2611" i="14"/>
  <c r="B2450" i="14"/>
  <c r="B2548" i="14"/>
  <c r="I1619" i="14"/>
  <c r="N1619" i="14" s="1"/>
  <c r="B2418" i="14"/>
  <c r="B2159" i="14"/>
  <c r="B2149" i="14"/>
  <c r="I1824" i="14"/>
  <c r="N1824" i="14" s="1"/>
  <c r="B1821" i="14"/>
  <c r="B2075" i="14"/>
  <c r="B2051" i="14"/>
  <c r="I2051" i="14"/>
  <c r="N2051" i="14" s="1"/>
  <c r="B2054" i="14" s="1"/>
  <c r="B1779" i="14"/>
  <c r="I1605" i="14"/>
  <c r="N1605" i="14" s="1"/>
  <c r="B1604" i="14"/>
  <c r="B2660" i="14"/>
  <c r="B1907" i="14"/>
  <c r="B2369" i="14"/>
  <c r="I2659" i="14"/>
  <c r="N2659" i="14" s="1"/>
  <c r="B2663" i="14" s="1"/>
  <c r="B2632" i="14"/>
  <c r="B2635" i="14"/>
  <c r="B2590" i="14"/>
  <c r="B2457" i="14"/>
  <c r="B2562" i="14"/>
  <c r="I2582" i="14"/>
  <c r="N2582" i="14" s="1"/>
  <c r="B2586" i="14" s="1"/>
  <c r="B2446" i="14"/>
  <c r="B1415" i="14"/>
  <c r="B2026" i="14"/>
  <c r="B1212" i="14"/>
  <c r="B2317" i="14"/>
  <c r="B2642" i="14"/>
  <c r="I1470" i="14"/>
  <c r="N1470" i="14" s="1"/>
  <c r="B1471" i="14"/>
  <c r="B2667" i="14"/>
  <c r="B2443" i="14"/>
  <c r="B2495" i="14"/>
  <c r="I2554" i="14"/>
  <c r="N2554" i="14" s="1"/>
  <c r="B2558" i="14" s="1"/>
  <c r="B1590" i="14"/>
  <c r="B2184" i="14"/>
  <c r="B1772" i="14"/>
  <c r="B2222" i="14"/>
  <c r="B2215" i="14"/>
  <c r="B2180" i="14"/>
  <c r="I2078" i="14"/>
  <c r="N2078" i="14" s="1"/>
  <c r="B2082" i="14" s="1"/>
  <c r="B2079" i="14"/>
  <c r="I1316" i="14"/>
  <c r="N1316" i="14" s="1"/>
  <c r="B1317" i="14"/>
  <c r="I1359" i="14"/>
  <c r="N1359" i="14" s="1"/>
  <c r="B1359" i="14"/>
  <c r="I1281" i="14"/>
  <c r="N1281" i="14" s="1"/>
  <c r="B1282" i="14"/>
  <c r="B2628" i="14"/>
  <c r="B2723" i="14"/>
  <c r="B2751" i="14"/>
  <c r="B2415" i="14"/>
  <c r="B2464" i="14"/>
  <c r="I2463" i="14"/>
  <c r="N2463" i="14" s="1"/>
  <c r="B2467" i="14" s="1"/>
  <c r="B1569" i="14"/>
  <c r="B1345" i="14"/>
  <c r="B1016" i="14"/>
  <c r="B2198" i="14"/>
  <c r="B1478" i="14"/>
  <c r="B2177" i="14"/>
  <c r="B1897" i="14"/>
  <c r="B2345" i="14"/>
  <c r="B2107" i="14"/>
  <c r="B2527" i="14"/>
  <c r="B2607" i="14"/>
  <c r="B2541" i="14"/>
  <c r="B2436" i="14"/>
  <c r="B2492" i="14"/>
  <c r="B1904" i="14"/>
  <c r="B1058" i="14"/>
  <c r="B1562" i="14"/>
  <c r="B1380" i="14"/>
  <c r="B1548" i="14"/>
  <c r="B2334" i="14"/>
  <c r="B2201" i="14"/>
  <c r="B2502" i="14"/>
  <c r="B1911" i="14"/>
  <c r="B2047" i="14"/>
  <c r="B1925" i="14"/>
  <c r="B1702" i="14"/>
  <c r="B2404" i="14"/>
  <c r="B2600" i="14"/>
  <c r="B2537" i="14"/>
  <c r="B2474" i="14"/>
  <c r="B2523" i="14"/>
  <c r="B2481" i="14"/>
  <c r="B2327" i="14"/>
  <c r="B2355" i="14"/>
  <c r="B2341" i="14"/>
  <c r="B2425" i="14"/>
  <c r="B2376" i="14"/>
  <c r="B2348" i="14"/>
  <c r="B2103" i="14"/>
  <c r="B2712" i="14"/>
  <c r="B2747" i="14"/>
  <c r="B2726" i="14"/>
  <c r="B2621" i="14"/>
  <c r="B2432" i="14"/>
  <c r="B2383" i="14"/>
  <c r="B2194" i="14"/>
  <c r="B2229" i="14"/>
  <c r="B2649" i="14"/>
  <c r="B2705" i="14"/>
  <c r="B2614" i="14"/>
  <c r="B2677" i="14"/>
  <c r="B2460" i="14"/>
  <c r="B2565" i="14"/>
  <c r="B2390" i="14"/>
  <c r="B2208" i="14"/>
  <c r="B2593" i="14"/>
  <c r="B2320" i="14"/>
  <c r="B2187" i="14"/>
  <c r="B2166" i="14"/>
  <c r="B2145" i="14"/>
  <c r="B2205" i="14"/>
  <c r="B2387" i="14"/>
  <c r="B2324" i="14"/>
  <c r="I2528" i="14"/>
  <c r="N2528" i="14" s="1"/>
  <c r="B2530" i="14" s="1"/>
  <c r="B2597" i="14"/>
  <c r="B2758" i="14"/>
  <c r="I2736" i="14"/>
  <c r="N2736" i="14" s="1"/>
  <c r="B2740" i="14" s="1"/>
  <c r="I2690" i="14"/>
  <c r="N2690" i="14" s="1"/>
  <c r="B2691" i="14" s="1"/>
  <c r="I2292" i="14"/>
  <c r="N2292" i="14" s="1"/>
  <c r="B2292" i="14" s="1"/>
  <c r="B2618" i="14"/>
  <c r="B2744" i="14"/>
  <c r="I2697" i="14"/>
  <c r="N2697" i="14" s="1"/>
  <c r="B2698" i="14" s="1"/>
  <c r="B2520" i="14"/>
  <c r="I2509" i="14"/>
  <c r="N2509" i="14" s="1"/>
  <c r="B2509" i="14" s="1"/>
  <c r="I2544" i="14"/>
  <c r="N2544" i="14" s="1"/>
  <c r="B2544" i="14" s="1"/>
  <c r="I2435" i="14"/>
  <c r="N2435" i="14" s="1"/>
  <c r="B2439" i="14" s="1"/>
  <c r="I2152" i="14"/>
  <c r="N2152" i="14" s="1"/>
  <c r="B2152" i="14" s="1"/>
  <c r="B2226" i="14"/>
  <c r="B2282" i="14"/>
  <c r="B2156" i="14"/>
  <c r="I2115" i="14"/>
  <c r="N2115" i="14" s="1"/>
  <c r="B2117" i="14" s="1"/>
  <c r="B2716" i="14"/>
  <c r="B2604" i="14"/>
  <c r="B2331" i="14"/>
  <c r="I2112" i="14"/>
  <c r="N2112" i="14" s="1"/>
  <c r="B2110" i="14" s="1"/>
  <c r="I2068" i="14"/>
  <c r="N2068" i="14" s="1"/>
  <c r="B2068" i="14" s="1"/>
  <c r="B2065" i="14"/>
  <c r="I1697" i="14"/>
  <c r="N1697" i="14" s="1"/>
  <c r="B1695" i="14"/>
  <c r="B2674" i="14"/>
  <c r="B2352" i="14"/>
  <c r="I2259" i="14"/>
  <c r="N2259" i="14" s="1"/>
  <c r="B2257" i="14" s="1"/>
  <c r="I2666" i="14"/>
  <c r="N2666" i="14" s="1"/>
  <c r="B2670" i="14" s="1"/>
  <c r="B2653" i="14"/>
  <c r="B2639" i="14"/>
  <c r="B1464" i="14"/>
  <c r="B1044" i="14"/>
  <c r="I1434" i="14"/>
  <c r="N1434" i="14" s="1"/>
  <c r="B1436" i="14"/>
  <c r="I1686" i="14"/>
  <c r="N1686" i="14" s="1"/>
  <c r="B1688" i="14"/>
  <c r="B2822" i="14"/>
  <c r="T2558" i="14"/>
  <c r="U2557" i="14"/>
  <c r="W2556" i="14"/>
  <c r="V2557" i="14"/>
  <c r="B2864" i="14"/>
  <c r="B2829" i="14"/>
  <c r="N2766" i="14"/>
  <c r="B2768" i="14" s="1"/>
  <c r="N2772" i="14"/>
  <c r="B2775" i="14" s="1"/>
  <c r="B2765" i="14"/>
  <c r="B2811" i="14"/>
  <c r="B2808" i="14"/>
  <c r="B2790" i="14"/>
  <c r="B2783" i="14"/>
  <c r="B2849" i="14"/>
  <c r="B2852" i="14"/>
  <c r="U2558" i="14" l="1"/>
  <c r="V2558" i="14"/>
  <c r="W2557" i="14"/>
  <c r="T2559" i="14"/>
  <c r="W2558" i="14"/>
  <c r="T2560" i="14" l="1"/>
  <c r="U2559" i="14"/>
  <c r="V2559" i="14"/>
  <c r="P1163" i="14"/>
  <c r="P2828" i="14"/>
  <c r="R824" i="14"/>
  <c r="R2823" i="14"/>
  <c r="R803" i="14"/>
  <c r="R2329" i="14"/>
  <c r="R966" i="14"/>
  <c r="R1534" i="14"/>
  <c r="R184" i="14"/>
  <c r="R2828" i="14"/>
  <c r="R1163" i="14"/>
  <c r="P2641" i="14"/>
  <c r="R2641" i="14"/>
  <c r="V2560" i="14" l="1"/>
  <c r="U2560" i="14"/>
  <c r="W2559" i="14"/>
  <c r="W2560" i="14"/>
  <c r="T2561" i="14"/>
  <c r="R2811" i="14"/>
  <c r="R2832" i="14"/>
  <c r="R2809" i="14"/>
  <c r="R2813" i="14"/>
  <c r="R2791" i="14"/>
  <c r="R2804" i="14"/>
  <c r="R2817" i="14"/>
  <c r="R2815" i="14"/>
  <c r="R2934" i="14"/>
  <c r="R2819" i="14"/>
  <c r="R2859" i="14"/>
  <c r="R2795" i="14"/>
  <c r="R2762" i="14"/>
  <c r="R2861" i="14"/>
  <c r="R2651" i="14"/>
  <c r="R2588" i="14"/>
  <c r="R2889" i="14"/>
  <c r="R2875" i="14"/>
  <c r="R2623" i="14"/>
  <c r="R2616" i="14"/>
  <c r="R2790" i="14"/>
  <c r="R2818" i="14"/>
  <c r="R2868" i="14"/>
  <c r="R1457" i="14"/>
  <c r="R1330" i="14"/>
  <c r="R2114" i="14"/>
  <c r="R1577" i="14"/>
  <c r="R1491" i="14"/>
  <c r="R2364" i="14"/>
  <c r="R1405" i="14"/>
  <c r="R1187" i="14"/>
  <c r="R1435" i="14"/>
  <c r="R1508" i="14"/>
  <c r="R1355" i="14"/>
  <c r="R1369" i="14"/>
  <c r="R2735" i="14"/>
  <c r="R2443" i="14"/>
  <c r="R1175" i="14"/>
  <c r="R1741" i="14"/>
  <c r="R1836" i="14"/>
  <c r="R1168" i="14"/>
  <c r="R1894" i="14"/>
  <c r="R2070" i="14"/>
  <c r="R1440" i="14"/>
  <c r="R1229" i="14"/>
  <c r="R1831" i="14"/>
  <c r="R2462" i="14"/>
  <c r="R1351" i="14"/>
  <c r="R1360" i="14"/>
  <c r="R1484" i="14"/>
  <c r="R1582" i="14"/>
  <c r="R1453" i="14"/>
  <c r="R1887" i="14"/>
  <c r="R2903" i="14"/>
  <c r="R1653" i="14"/>
  <c r="R1571" i="14"/>
  <c r="R1685" i="14"/>
  <c r="R781" i="14"/>
  <c r="R1677" i="14"/>
  <c r="R1506" i="14"/>
  <c r="R1513" i="14"/>
  <c r="R1645" i="14"/>
  <c r="R1438" i="14"/>
  <c r="R1849" i="14"/>
  <c r="R1161" i="14"/>
  <c r="R1721" i="14"/>
  <c r="R2910" i="14"/>
  <c r="R1584" i="14"/>
  <c r="R2931" i="14"/>
  <c r="R1998" i="14"/>
  <c r="R1418" i="14"/>
  <c r="R1622" i="14"/>
  <c r="R2061" i="14"/>
  <c r="R1518" i="14"/>
  <c r="R1943" i="14"/>
  <c r="R1477" i="14"/>
  <c r="R2567" i="14"/>
  <c r="R1511" i="14"/>
  <c r="R1540" i="14"/>
  <c r="R1705" i="14"/>
  <c r="R2497" i="14"/>
  <c r="R2420" i="14"/>
  <c r="R1433" i="14"/>
  <c r="R1475" i="14"/>
  <c r="R2431" i="14"/>
  <c r="R1573" i="14"/>
  <c r="R1560" i="14"/>
  <c r="R1564" i="14"/>
  <c r="R2092" i="14"/>
  <c r="R1348" i="14"/>
  <c r="R1660" i="14"/>
  <c r="R1725" i="14"/>
  <c r="R1703" i="14"/>
  <c r="R1618" i="14"/>
  <c r="R1632" i="14"/>
  <c r="R1588" i="14"/>
  <c r="R2094" i="14"/>
  <c r="R1449" i="14"/>
  <c r="R2448" i="14"/>
  <c r="R1951" i="14"/>
  <c r="R1628" i="14"/>
  <c r="R2896" i="14"/>
  <c r="R1834" i="14"/>
  <c r="R1755" i="14"/>
  <c r="R2581" i="14"/>
  <c r="R2446" i="14"/>
  <c r="R1486" i="14"/>
  <c r="R1647" i="14"/>
  <c r="R1479" i="14"/>
  <c r="R2433" i="14"/>
  <c r="R2113" i="14"/>
  <c r="R1568" i="14"/>
  <c r="R2545" i="14"/>
  <c r="R1556" i="14"/>
  <c r="R1723" i="14"/>
  <c r="R1687" i="14"/>
  <c r="R2483" i="14"/>
  <c r="R1928" i="14"/>
  <c r="R1579" i="14"/>
  <c r="R1481" i="14"/>
  <c r="R1689" i="14"/>
  <c r="R1874" i="14"/>
  <c r="R1527" i="14"/>
  <c r="R2924" i="14"/>
  <c r="R1542" i="14"/>
  <c r="R2490" i="14"/>
  <c r="R1626" i="14"/>
  <c r="R1902" i="14"/>
  <c r="R1575" i="14"/>
  <c r="R1358" i="14"/>
  <c r="R2882" i="14"/>
  <c r="R1426" i="14"/>
  <c r="R2090" i="14"/>
  <c r="R1490" i="14"/>
  <c r="R2917" i="14"/>
  <c r="R1335" i="14"/>
  <c r="R1445" i="14"/>
  <c r="R2759" i="14"/>
  <c r="R2668" i="14"/>
  <c r="R2794" i="14"/>
  <c r="R2705" i="14"/>
  <c r="R2632" i="14"/>
  <c r="R2640" i="14"/>
  <c r="R2684" i="14"/>
  <c r="R2634" i="14"/>
  <c r="R2814" i="14"/>
  <c r="R2507" i="14"/>
  <c r="R2480" i="14"/>
  <c r="R2508" i="14"/>
  <c r="R2149" i="14"/>
  <c r="R2087" i="14"/>
  <c r="R2822" i="14"/>
  <c r="R2816" i="14"/>
  <c r="R2801" i="14"/>
  <c r="R2660" i="14"/>
  <c r="R2627" i="14"/>
  <c r="R2898" i="14"/>
  <c r="R2775" i="14"/>
  <c r="R2367" i="14"/>
  <c r="R2493" i="14"/>
  <c r="R2409" i="14"/>
  <c r="R2395" i="14"/>
  <c r="R2408" i="14"/>
  <c r="R2046" i="14"/>
  <c r="R2681" i="14"/>
  <c r="R2773" i="14"/>
  <c r="R2879" i="14"/>
  <c r="R2652" i="14"/>
  <c r="R2656" i="14"/>
  <c r="R2780" i="14"/>
  <c r="R2824" i="14"/>
  <c r="R2877" i="14"/>
  <c r="R2694" i="14"/>
  <c r="R2655" i="14"/>
  <c r="R2914" i="14"/>
  <c r="R2905" i="14"/>
  <c r="R2926" i="14"/>
  <c r="R2891" i="14"/>
  <c r="R2039" i="14"/>
  <c r="R2282" i="14"/>
  <c r="R2486" i="14"/>
  <c r="R2362" i="14"/>
  <c r="R2043" i="14"/>
  <c r="R2808" i="14"/>
  <c r="R2745" i="14"/>
  <c r="R2698" i="14"/>
  <c r="R2907" i="14"/>
  <c r="R2921" i="14"/>
  <c r="R2688" i="14"/>
  <c r="R2577" i="14"/>
  <c r="R2213" i="14"/>
  <c r="R2120" i="14"/>
  <c r="R2872" i="14"/>
  <c r="R2858" i="14"/>
  <c r="R2670" i="14"/>
  <c r="R2626" i="14"/>
  <c r="R2691" i="14"/>
  <c r="R2788" i="14"/>
  <c r="R2886" i="14"/>
  <c r="R2782" i="14"/>
  <c r="R2327" i="14"/>
  <c r="R2529" i="14"/>
  <c r="R2451" i="14"/>
  <c r="R2810" i="14"/>
  <c r="R2703" i="14"/>
  <c r="R2687" i="14"/>
  <c r="R2501" i="14"/>
  <c r="R2224" i="14"/>
  <c r="R2267" i="14"/>
  <c r="R2863" i="14"/>
  <c r="R2643" i="14"/>
  <c r="R2764" i="14"/>
  <c r="R2919" i="14"/>
  <c r="R2912" i="14"/>
  <c r="R2123" i="14"/>
  <c r="R2154" i="14"/>
  <c r="R2116" i="14"/>
  <c r="R2203" i="14"/>
  <c r="R2647" i="14"/>
  <c r="R2649" i="14"/>
  <c r="R2900" i="14"/>
  <c r="R2485" i="14"/>
  <c r="R2239" i="14"/>
  <c r="R2865" i="14"/>
  <c r="R2838" i="14"/>
  <c r="R2633" i="14"/>
  <c r="R2585" i="14"/>
  <c r="R2836" i="14"/>
  <c r="R2767" i="14"/>
  <c r="R2928" i="14"/>
  <c r="R2472" i="14"/>
  <c r="R2663" i="14"/>
  <c r="R2786" i="14"/>
  <c r="R2130" i="14"/>
  <c r="R2884" i="14"/>
  <c r="R2565" i="14"/>
  <c r="R2856" i="14"/>
  <c r="R2638" i="14"/>
  <c r="R2134" i="14"/>
  <c r="R2450" i="14"/>
  <c r="R2796" i="14"/>
  <c r="R2470" i="14"/>
  <c r="R2893" i="14"/>
  <c r="R2831" i="14"/>
  <c r="R2933" i="14"/>
  <c r="R2803" i="14"/>
  <c r="R2646" i="14"/>
  <c r="R2701" i="14"/>
  <c r="R2326" i="14"/>
  <c r="R2417" i="14"/>
  <c r="R2870" i="14"/>
  <c r="R2829" i="14"/>
  <c r="R2768" i="14"/>
  <c r="R2211" i="14"/>
  <c r="P850" i="14"/>
  <c r="P983" i="14"/>
  <c r="P960" i="14"/>
  <c r="P995" i="14"/>
  <c r="P857" i="14"/>
  <c r="P1171" i="14"/>
  <c r="P1128" i="14"/>
  <c r="P967" i="14"/>
  <c r="P886" i="14"/>
  <c r="P1025" i="14"/>
  <c r="P1183" i="14"/>
  <c r="P1164" i="14"/>
  <c r="P955" i="14"/>
  <c r="P914" i="14"/>
  <c r="P811" i="14"/>
  <c r="P906" i="14"/>
  <c r="P973" i="14"/>
  <c r="P1157" i="14"/>
  <c r="P829" i="14"/>
  <c r="P871" i="14"/>
  <c r="P1031" i="14"/>
  <c r="P1010" i="14"/>
  <c r="P991" i="14"/>
  <c r="P997" i="14"/>
  <c r="P878" i="14"/>
  <c r="P1004" i="14"/>
  <c r="P1019" i="14"/>
  <c r="P1144" i="14"/>
  <c r="P822" i="14"/>
  <c r="P862" i="14"/>
  <c r="P1048" i="14"/>
  <c r="R251" i="14"/>
  <c r="R498" i="14"/>
  <c r="R1814" i="14"/>
  <c r="R1321" i="14"/>
  <c r="R1803" i="14"/>
  <c r="R1324" i="14"/>
  <c r="R771" i="14"/>
  <c r="R791" i="14"/>
  <c r="R786" i="14"/>
  <c r="R2089" i="14"/>
  <c r="R2682" i="14"/>
  <c r="R1137" i="14"/>
  <c r="R2807" i="14"/>
  <c r="R1549" i="14"/>
  <c r="R2081" i="14"/>
  <c r="R485" i="14"/>
  <c r="R1018" i="14"/>
  <c r="R496" i="14"/>
  <c r="R377" i="14"/>
  <c r="R877" i="14"/>
  <c r="R1519" i="14"/>
  <c r="R2052" i="14"/>
  <c r="R1512" i="14"/>
  <c r="R2045" i="14"/>
  <c r="R1892" i="14"/>
  <c r="R1878" i="14"/>
  <c r="R1990" i="14"/>
  <c r="R1983" i="14"/>
  <c r="R2711" i="14"/>
  <c r="R1864" i="14"/>
  <c r="R1934" i="14"/>
  <c r="R1955" i="14"/>
  <c r="R2004" i="14"/>
  <c r="R2709" i="14"/>
  <c r="R1885" i="14"/>
  <c r="R1948" i="14"/>
  <c r="R2018" i="14"/>
  <c r="R1920" i="14"/>
  <c r="R2843" i="14"/>
  <c r="R1899" i="14"/>
  <c r="R2812" i="14"/>
  <c r="R1159" i="14"/>
  <c r="R2273" i="14"/>
  <c r="R1593" i="14"/>
  <c r="R1552" i="14"/>
  <c r="R2672" i="14"/>
  <c r="R2454" i="14"/>
  <c r="R1516" i="14"/>
  <c r="R2699" i="14"/>
  <c r="R2125" i="14"/>
  <c r="R1317" i="14"/>
  <c r="R2005" i="14"/>
  <c r="R1889" i="14"/>
  <c r="R1826" i="14"/>
  <c r="R1871" i="14"/>
  <c r="R1795" i="14"/>
  <c r="R1793" i="14"/>
  <c r="R1966" i="14"/>
  <c r="R1988" i="14"/>
  <c r="R1991" i="14"/>
  <c r="R2011" i="14"/>
  <c r="R1882" i="14"/>
  <c r="R1989" i="14"/>
  <c r="R1806" i="14"/>
  <c r="R1982" i="14"/>
  <c r="R2002" i="14"/>
  <c r="R2030" i="14"/>
  <c r="R2008" i="14"/>
  <c r="R2022" i="14"/>
  <c r="R1319" i="14"/>
  <c r="R1797" i="14"/>
  <c r="R1801" i="14"/>
  <c r="R1808" i="14"/>
  <c r="R1818" i="14"/>
  <c r="R1980" i="14"/>
  <c r="R2001" i="14"/>
  <c r="R1799" i="14"/>
  <c r="R2012" i="14"/>
  <c r="R1967" i="14"/>
  <c r="R1984" i="14"/>
  <c r="R2015" i="14"/>
  <c r="R1315" i="14"/>
  <c r="R2036" i="14"/>
  <c r="R1969" i="14"/>
  <c r="R2026" i="14"/>
  <c r="P2054" i="14"/>
  <c r="P1373" i="14"/>
  <c r="P1528" i="14"/>
  <c r="P2669" i="14"/>
  <c r="P2793" i="14"/>
  <c r="R1211" i="14"/>
  <c r="R1298" i="14"/>
  <c r="R891" i="14"/>
  <c r="R1277" i="14"/>
  <c r="R847" i="14"/>
  <c r="R868" i="14"/>
  <c r="R875" i="14"/>
  <c r="R1120" i="14"/>
  <c r="R836" i="14"/>
  <c r="R813" i="14"/>
  <c r="R1073" i="14"/>
  <c r="R834" i="14"/>
  <c r="R1274" i="14"/>
  <c r="R882" i="14"/>
  <c r="R744" i="14"/>
  <c r="R756" i="14"/>
  <c r="R1226" i="14"/>
  <c r="R1271" i="14"/>
  <c r="R962" i="14"/>
  <c r="R864" i="14"/>
  <c r="R1102" i="14"/>
  <c r="R1003" i="14"/>
  <c r="R1303" i="14"/>
  <c r="R843" i="14"/>
  <c r="R1177" i="14"/>
  <c r="R1232" i="14"/>
  <c r="R1075" i="14"/>
  <c r="R1149" i="14"/>
  <c r="R1079" i="14"/>
  <c r="R840" i="14"/>
  <c r="R1051" i="14"/>
  <c r="R1058" i="14"/>
  <c r="R826" i="14"/>
  <c r="R1087" i="14"/>
  <c r="R1094" i="14"/>
  <c r="R821" i="14"/>
  <c r="R910" i="14"/>
  <c r="R1220" i="14"/>
  <c r="R1077" i="14"/>
  <c r="R1052" i="14"/>
  <c r="R1196" i="14"/>
  <c r="R1130" i="14"/>
  <c r="R518" i="14"/>
  <c r="R1024" i="14"/>
  <c r="R889" i="14"/>
  <c r="R1113" i="14"/>
  <c r="R1242" i="14"/>
  <c r="R929" i="14"/>
  <c r="R1473" i="14"/>
  <c r="R1500" i="14"/>
  <c r="R1493" i="14"/>
  <c r="R1838" i="14"/>
  <c r="R1497" i="14"/>
  <c r="R1733" i="14"/>
  <c r="R1843" i="14"/>
  <c r="R1452" i="14"/>
  <c r="P2579" i="14"/>
  <c r="P2226" i="14"/>
  <c r="P2258" i="14"/>
  <c r="P2221" i="14"/>
  <c r="P748" i="14"/>
  <c r="P2283" i="14"/>
  <c r="P492" i="14"/>
  <c r="P2589" i="14"/>
  <c r="P2285" i="14"/>
  <c r="P2230" i="14"/>
  <c r="P427" i="14"/>
  <c r="P677" i="14"/>
  <c r="P465" i="14"/>
  <c r="P2256" i="14"/>
  <c r="P1863" i="14"/>
  <c r="P322" i="14"/>
  <c r="P2584" i="14"/>
  <c r="P2040" i="14"/>
  <c r="R1039" i="14"/>
  <c r="R1224" i="14"/>
  <c r="R927" i="14"/>
  <c r="R1193" i="14"/>
  <c r="R761" i="14"/>
  <c r="R763" i="14"/>
  <c r="R1189" i="14"/>
  <c r="R784" i="14"/>
  <c r="R758" i="14"/>
  <c r="R779" i="14"/>
  <c r="R777" i="14"/>
  <c r="R830" i="14"/>
  <c r="R808" i="14"/>
  <c r="R919" i="14"/>
  <c r="R787" i="14"/>
  <c r="R775" i="14"/>
  <c r="R831" i="14"/>
  <c r="R1001" i="14"/>
  <c r="R815" i="14"/>
  <c r="R1198" i="14"/>
  <c r="R1284" i="14"/>
  <c r="R1289" i="14"/>
  <c r="R915" i="14"/>
  <c r="R1027" i="14"/>
  <c r="P1500" i="14"/>
  <c r="P1733" i="14"/>
  <c r="P1843" i="14"/>
  <c r="P1497" i="14"/>
  <c r="P1452" i="14"/>
  <c r="P1473" i="14"/>
  <c r="P1838" i="14"/>
  <c r="P1493" i="14"/>
  <c r="R2589" i="14"/>
  <c r="R677" i="14"/>
  <c r="R748" i="14"/>
  <c r="R322" i="14"/>
  <c r="R2285" i="14"/>
  <c r="R2579" i="14"/>
  <c r="R465" i="14"/>
  <c r="R2230" i="14"/>
  <c r="R2226" i="14"/>
  <c r="R492" i="14"/>
  <c r="R427" i="14"/>
  <c r="R2584" i="14"/>
  <c r="R2256" i="14"/>
  <c r="R2221" i="14"/>
  <c r="R2258" i="14"/>
  <c r="R1863" i="14"/>
  <c r="R2040" i="14"/>
  <c r="R2283" i="14"/>
  <c r="R1373" i="14"/>
  <c r="R1528" i="14"/>
  <c r="R2669" i="14"/>
  <c r="R2800" i="14"/>
  <c r="R2054" i="14"/>
  <c r="R2793" i="14"/>
  <c r="P927" i="14"/>
  <c r="P761" i="14"/>
  <c r="P1224" i="14"/>
  <c r="P1193" i="14"/>
  <c r="P1039" i="14"/>
  <c r="R1563" i="14"/>
  <c r="R1520" i="14"/>
  <c r="R1598" i="14"/>
  <c r="R1374" i="14"/>
  <c r="R1380" i="14"/>
  <c r="R1547" i="14"/>
  <c r="R1538" i="14"/>
  <c r="R1550" i="14"/>
  <c r="R1591" i="14"/>
  <c r="R2686" i="14"/>
  <c r="R901" i="14"/>
  <c r="R1531" i="14"/>
  <c r="R992" i="14"/>
  <c r="R908" i="14"/>
  <c r="R1566" i="14"/>
  <c r="R887" i="14"/>
  <c r="R1020" i="14"/>
  <c r="R971" i="14"/>
  <c r="R451" i="14"/>
  <c r="R192" i="14"/>
  <c r="R2805" i="14"/>
  <c r="R2644" i="14"/>
  <c r="R2826" i="14"/>
  <c r="R2707" i="14"/>
  <c r="R2280" i="14"/>
  <c r="R2569" i="14"/>
  <c r="R1544" i="14"/>
  <c r="R1502" i="14"/>
  <c r="R2056" i="14"/>
  <c r="R1586" i="14"/>
  <c r="R2028" i="14"/>
  <c r="R845" i="14"/>
  <c r="R2784" i="14"/>
  <c r="R949" i="14"/>
  <c r="R2098" i="14"/>
  <c r="R2035" i="14"/>
  <c r="R852" i="14"/>
  <c r="R1125" i="14"/>
  <c r="R1139" i="14"/>
  <c r="R950" i="14"/>
  <c r="R957" i="14"/>
  <c r="R1146" i="14"/>
  <c r="R1181" i="14"/>
  <c r="R1013" i="14"/>
  <c r="R1110" i="14"/>
  <c r="R1155" i="14"/>
  <c r="R897" i="14"/>
  <c r="R1015" i="14"/>
  <c r="R768" i="14"/>
  <c r="R1069" i="14"/>
  <c r="R1245" i="14"/>
  <c r="R980" i="14"/>
  <c r="R1231" i="14"/>
  <c r="R1096" i="14"/>
  <c r="R854" i="14"/>
  <c r="R1067" i="14"/>
  <c r="R1215" i="14"/>
  <c r="R885" i="14"/>
  <c r="R1065" i="14"/>
  <c r="R1006" i="14"/>
  <c r="R1100" i="14"/>
  <c r="R1080" i="14"/>
  <c r="R799" i="14"/>
  <c r="R1083" i="14"/>
  <c r="R1141" i="14"/>
  <c r="R753" i="14"/>
  <c r="R1280" i="14"/>
  <c r="R1255" i="14"/>
  <c r="R1062" i="14"/>
  <c r="R746" i="14"/>
  <c r="R1208" i="14"/>
  <c r="R1106" i="14"/>
  <c r="R1122" i="14"/>
  <c r="R899" i="14"/>
  <c r="R975" i="14"/>
  <c r="R1151" i="14"/>
  <c r="R1153" i="14"/>
  <c r="R934" i="14"/>
  <c r="R1134" i="14"/>
  <c r="R1250" i="14"/>
  <c r="R1371" i="14"/>
  <c r="R1034" i="14"/>
  <c r="R1060" i="14"/>
  <c r="R987" i="14"/>
  <c r="R1008" i="14"/>
  <c r="R952" i="14"/>
  <c r="R905" i="14"/>
  <c r="R895" i="14"/>
  <c r="R1260" i="14"/>
  <c r="R796" i="14"/>
  <c r="R1378" i="14"/>
  <c r="R1098" i="14"/>
  <c r="R1085" i="14"/>
  <c r="R1115" i="14"/>
  <c r="R806" i="14"/>
  <c r="R1206" i="14"/>
  <c r="R1104" i="14"/>
  <c r="R1257" i="14"/>
  <c r="R1262" i="14"/>
  <c r="R1265" i="14"/>
  <c r="R1123" i="14"/>
  <c r="R941" i="14"/>
  <c r="R1247" i="14"/>
  <c r="R1090" i="14"/>
  <c r="R1022" i="14"/>
  <c r="R1282" i="14"/>
  <c r="R1533" i="14"/>
  <c r="R2007" i="14"/>
  <c r="R2077" i="14"/>
  <c r="R1447" i="14"/>
  <c r="R1495" i="14"/>
  <c r="R1526" i="14"/>
  <c r="R2637" i="14"/>
  <c r="R2629" i="14"/>
  <c r="R1595" i="14"/>
  <c r="R1993" i="14"/>
  <c r="R2014" i="14"/>
  <c r="R2538" i="14"/>
  <c r="R2840" i="14"/>
  <c r="R1554" i="14"/>
  <c r="R1691" i="14"/>
  <c r="R2252" i="14"/>
  <c r="R1930" i="14"/>
  <c r="R1649" i="14"/>
  <c r="R1488" i="14"/>
  <c r="R1522" i="14"/>
  <c r="R2511" i="14"/>
  <c r="R2756" i="14"/>
  <c r="R2042" i="14"/>
  <c r="R2021" i="14"/>
  <c r="R1845" i="14"/>
  <c r="R1728" i="14"/>
  <c r="R1111" i="14"/>
  <c r="R1514" i="14"/>
  <c r="R2531" i="14"/>
  <c r="R2770" i="14"/>
  <c r="R2504" i="14"/>
  <c r="R2546" i="14"/>
  <c r="R2658" i="14"/>
  <c r="R2833" i="14"/>
  <c r="R1747" i="14"/>
  <c r="R2084" i="14"/>
  <c r="R1630" i="14"/>
  <c r="R2798" i="14"/>
  <c r="R1118" i="14"/>
  <c r="R2777" i="14"/>
  <c r="R2049" i="14"/>
  <c r="P1018" i="14"/>
  <c r="P496" i="14"/>
  <c r="P377" i="14"/>
  <c r="P877" i="14"/>
  <c r="P485" i="14"/>
  <c r="P1547" i="14"/>
  <c r="P1591" i="14"/>
  <c r="P1598" i="14"/>
  <c r="P1563" i="14"/>
  <c r="P1374" i="14"/>
  <c r="P1538" i="14"/>
  <c r="P1550" i="14"/>
  <c r="P1520" i="14"/>
  <c r="P1380" i="14"/>
  <c r="P803" i="14"/>
  <c r="P824" i="14"/>
  <c r="P2329" i="14"/>
  <c r="P2823" i="14"/>
  <c r="R2774" i="14"/>
  <c r="R2661" i="14"/>
  <c r="R2781" i="14"/>
  <c r="R2101" i="14"/>
  <c r="R1555" i="14"/>
  <c r="R1590" i="14"/>
  <c r="R2821" i="14"/>
  <c r="R2086" i="14"/>
  <c r="R2460" i="14"/>
  <c r="R2129" i="14"/>
  <c r="R2611" i="14"/>
  <c r="R2575" i="14"/>
  <c r="R2555" i="14"/>
  <c r="R2551" i="14"/>
  <c r="R2621" i="14"/>
  <c r="R2722" i="14"/>
  <c r="R2733" i="14"/>
  <c r="R2548" i="14"/>
  <c r="R2731" i="14"/>
  <c r="R2792" i="14"/>
  <c r="R2771" i="14"/>
  <c r="R2593" i="14"/>
  <c r="R2820" i="14"/>
  <c r="R2592" i="14"/>
  <c r="R2754" i="14"/>
  <c r="R2778" i="14"/>
  <c r="R2752" i="14"/>
  <c r="R2753" i="14"/>
  <c r="R2549" i="14"/>
  <c r="R2799" i="14"/>
  <c r="R2617" i="14"/>
  <c r="R2750" i="14"/>
  <c r="R2556" i="14"/>
  <c r="R2620" i="14"/>
  <c r="R2827" i="14"/>
  <c r="R2841" i="14"/>
  <c r="R2696" i="14"/>
  <c r="R2683" i="14"/>
  <c r="R2608" i="14"/>
  <c r="R2758" i="14"/>
  <c r="R2578" i="14"/>
  <c r="R2583" i="14"/>
  <c r="R2729" i="14"/>
  <c r="R2630" i="14"/>
  <c r="R2737" i="14"/>
  <c r="R2806" i="14"/>
  <c r="R2834" i="14"/>
  <c r="R2573" i="14"/>
  <c r="R2535" i="14"/>
  <c r="R2542" i="14"/>
  <c r="R893" i="14"/>
  <c r="R936" i="14"/>
  <c r="R943" i="14"/>
  <c r="R866" i="14"/>
  <c r="R977" i="14"/>
  <c r="R817" i="14"/>
  <c r="R810" i="14"/>
  <c r="R838" i="14"/>
  <c r="P1137" i="14"/>
  <c r="P2081" i="14"/>
  <c r="P2089" i="14"/>
  <c r="P1549" i="14"/>
  <c r="P2682" i="14"/>
  <c r="R1218" i="14"/>
  <c r="R1185" i="14"/>
  <c r="R2074" i="14"/>
  <c r="R1883" i="14"/>
  <c r="R1546" i="14"/>
  <c r="R1890" i="14"/>
  <c r="R2765" i="14"/>
  <c r="R2653" i="14"/>
  <c r="P969" i="14"/>
  <c r="P766" i="14"/>
  <c r="P842" i="14"/>
  <c r="P773" i="14"/>
  <c r="P856" i="14"/>
  <c r="P849" i="14"/>
  <c r="P457" i="14"/>
  <c r="P789" i="14"/>
  <c r="P423" i="14"/>
  <c r="P1009" i="14"/>
  <c r="P641" i="14"/>
  <c r="P828" i="14"/>
  <c r="P742" i="14"/>
  <c r="P870" i="14"/>
  <c r="R969" i="14"/>
  <c r="R766" i="14"/>
  <c r="R641" i="14"/>
  <c r="R423" i="14"/>
  <c r="R457" i="14"/>
  <c r="R1009" i="14"/>
  <c r="R842" i="14"/>
  <c r="R789" i="14"/>
  <c r="R849" i="14"/>
  <c r="R773" i="14"/>
  <c r="R828" i="14"/>
  <c r="R870" i="14"/>
  <c r="R742" i="14"/>
  <c r="R856" i="14"/>
  <c r="R2136" i="14"/>
  <c r="R2835" i="14"/>
  <c r="R2689" i="14"/>
  <c r="R1562" i="14"/>
  <c r="R1143" i="14"/>
  <c r="P929" i="14"/>
  <c r="P1242" i="14"/>
  <c r="P889" i="14"/>
  <c r="P1113" i="14"/>
  <c r="R914" i="14"/>
  <c r="R955" i="14"/>
  <c r="R1128" i="14"/>
  <c r="R811" i="14"/>
  <c r="R995" i="14"/>
  <c r="R1048" i="14"/>
  <c r="R1025" i="14"/>
  <c r="R822" i="14"/>
  <c r="R857" i="14"/>
  <c r="R1004" i="14"/>
  <c r="R886" i="14"/>
  <c r="R973" i="14"/>
  <c r="R1010" i="14"/>
  <c r="R1019" i="14"/>
  <c r="R829" i="14"/>
  <c r="R1171" i="14"/>
  <c r="R967" i="14"/>
  <c r="R1031" i="14"/>
  <c r="R871" i="14"/>
  <c r="R906" i="14"/>
  <c r="R878" i="14"/>
  <c r="R850" i="14"/>
  <c r="R960" i="14"/>
  <c r="R1144" i="14"/>
  <c r="R983" i="14"/>
  <c r="R997" i="14"/>
  <c r="R991" i="14"/>
  <c r="R1164" i="14"/>
  <c r="R1183" i="14"/>
  <c r="R1157" i="14"/>
  <c r="R862" i="14"/>
  <c r="P1534" i="14"/>
  <c r="P184" i="14"/>
  <c r="P966" i="14"/>
  <c r="R1936" i="14"/>
  <c r="R964" i="14"/>
  <c r="R873" i="14"/>
  <c r="R2293" i="14"/>
  <c r="R859" i="14"/>
  <c r="R985" i="14"/>
  <c r="R1523" i="14"/>
  <c r="R2692" i="14"/>
  <c r="R880" i="14"/>
  <c r="R2301" i="14"/>
  <c r="R2133" i="14"/>
  <c r="R1166" i="14"/>
  <c r="R1597" i="14"/>
  <c r="R2122" i="14"/>
  <c r="R1156" i="14"/>
  <c r="R2740" i="14"/>
  <c r="R2053" i="14"/>
  <c r="R2102" i="14"/>
  <c r="R1869" i="14"/>
  <c r="R1412" i="14"/>
  <c r="R1922" i="14"/>
  <c r="R2033" i="14"/>
  <c r="R1672" i="14"/>
  <c r="R1861" i="14"/>
  <c r="R1339" i="14"/>
  <c r="R2437" i="14"/>
  <c r="R2029" i="14"/>
  <c r="R2047" i="14"/>
  <c r="R2719" i="14"/>
  <c r="R1866" i="14"/>
  <c r="R1932" i="14"/>
  <c r="R1881" i="14"/>
  <c r="R1896" i="14"/>
  <c r="R2523" i="14"/>
  <c r="R1693" i="14"/>
  <c r="R1668" i="14"/>
  <c r="R1661" i="14"/>
  <c r="R2410" i="14"/>
  <c r="R2390" i="14"/>
  <c r="R1944" i="14"/>
  <c r="R1471" i="14"/>
  <c r="R2127" i="14"/>
  <c r="R1342" i="14"/>
  <c r="R1785" i="14"/>
  <c r="R1409" i="14"/>
  <c r="R1623" i="14"/>
  <c r="R1344" i="14"/>
  <c r="R1337" i="14"/>
  <c r="R2456" i="14"/>
  <c r="R1666" i="14"/>
  <c r="R1935" i="14"/>
  <c r="R2082" i="14"/>
  <c r="R2106" i="14"/>
  <c r="R1612" i="14"/>
  <c r="R2424" i="14"/>
  <c r="R1841" i="14"/>
  <c r="R1637" i="14"/>
  <c r="R1422" i="14"/>
  <c r="R2099" i="14"/>
  <c r="R1710" i="14"/>
  <c r="R1949" i="14"/>
  <c r="R1399" i="14"/>
  <c r="R1828" i="14"/>
  <c r="R2458" i="14"/>
  <c r="R1610" i="14"/>
  <c r="R1927" i="14"/>
  <c r="R1326" i="14"/>
  <c r="R2488" i="14"/>
  <c r="R1529" i="14"/>
  <c r="R2322" i="14"/>
  <c r="R1667" i="14"/>
  <c r="R2540" i="14"/>
  <c r="R1415" i="14"/>
  <c r="R1450" i="14"/>
  <c r="R1924" i="14"/>
  <c r="R1498" i="14"/>
  <c r="R2131" i="14"/>
  <c r="R1625" i="14"/>
  <c r="R1656" i="14"/>
  <c r="R1859" i="14"/>
  <c r="R2067" i="14"/>
  <c r="R2062" i="14"/>
  <c r="R1633" i="14"/>
  <c r="R1328" i="14"/>
  <c r="R1730" i="14"/>
  <c r="R1995" i="14"/>
  <c r="R1403" i="14"/>
  <c r="R1787" i="14"/>
  <c r="R1719" i="14"/>
  <c r="R1939" i="14"/>
  <c r="R1455" i="14"/>
  <c r="R1365" i="14"/>
  <c r="R1872" i="14"/>
  <c r="R2019" i="14"/>
  <c r="R2085" i="14"/>
  <c r="R1709" i="14"/>
  <c r="R2079" i="14"/>
  <c r="R2050" i="14"/>
  <c r="R2525" i="14"/>
  <c r="R1893" i="14"/>
  <c r="R2009" i="14"/>
  <c r="R1875" i="14"/>
  <c r="R1743" i="14"/>
  <c r="R1420" i="14"/>
  <c r="R2209" i="14"/>
  <c r="R1707" i="14"/>
  <c r="R1443" i="14"/>
  <c r="R2058" i="14"/>
  <c r="R1658" i="14"/>
  <c r="R1504" i="14"/>
  <c r="R1397" i="14"/>
  <c r="R2495" i="14"/>
  <c r="R1790" i="14"/>
  <c r="R2674" i="14"/>
  <c r="R1879" i="14"/>
  <c r="R2217" i="14"/>
  <c r="R2065" i="14"/>
  <c r="R1367" i="14"/>
  <c r="R1673" i="14"/>
  <c r="R2124" i="14"/>
  <c r="R2677" i="14"/>
  <c r="R2108" i="14"/>
  <c r="R2075" i="14"/>
  <c r="R2405" i="14"/>
  <c r="R2418" i="14"/>
  <c r="R2121" i="14"/>
  <c r="R1926" i="14"/>
  <c r="R2032" i="14"/>
  <c r="R2571" i="14"/>
  <c r="R2368" i="14"/>
  <c r="R1695" i="14"/>
  <c r="R2206" i="14"/>
  <c r="R1333" i="14"/>
  <c r="R1979" i="14"/>
  <c r="R2072" i="14"/>
  <c r="R1945" i="14"/>
  <c r="R2275" i="14"/>
  <c r="R1616" i="14"/>
  <c r="R1900" i="14"/>
  <c r="R1751" i="14"/>
  <c r="R2287" i="14"/>
  <c r="R1401" i="14"/>
  <c r="R1431" i="14"/>
  <c r="R1716" i="14"/>
  <c r="R2453" i="14"/>
  <c r="R1670" i="14"/>
  <c r="R2016" i="14"/>
  <c r="R1651" i="14"/>
  <c r="R1608" i="14"/>
  <c r="R1918" i="14"/>
  <c r="R1904" i="14"/>
  <c r="R1483" i="14"/>
  <c r="R2240" i="14"/>
  <c r="R2302" i="14"/>
  <c r="R2499" i="14"/>
  <c r="R2330" i="14"/>
  <c r="R2401" i="14"/>
  <c r="R2527" i="14"/>
  <c r="R2220" i="14"/>
  <c r="R1963" i="14"/>
  <c r="R2268" i="14"/>
  <c r="R2393" i="14"/>
  <c r="R2526" i="14"/>
  <c r="R2254" i="14"/>
  <c r="R2236" i="14"/>
  <c r="R2264" i="14"/>
  <c r="R2492" i="14"/>
  <c r="R2414" i="14"/>
  <c r="R2521" i="14"/>
  <c r="R2232" i="14"/>
  <c r="R2313" i="14"/>
  <c r="R2340" i="14"/>
  <c r="R2331" i="14"/>
  <c r="R2350" i="14"/>
  <c r="R2520" i="14"/>
  <c r="R2389" i="14"/>
  <c r="R2284" i="14"/>
  <c r="R2184" i="14"/>
  <c r="R1956" i="14"/>
  <c r="R2311" i="14"/>
  <c r="R2344" i="14"/>
  <c r="R2228" i="14"/>
  <c r="R2505" i="14"/>
  <c r="R2271" i="14"/>
  <c r="R2306" i="14"/>
  <c r="R2348" i="14"/>
  <c r="R2303" i="14"/>
  <c r="R1961" i="14"/>
  <c r="R2218" i="14"/>
  <c r="R2243" i="14"/>
  <c r="R2312" i="14"/>
  <c r="R2289" i="14"/>
  <c r="R2225" i="14"/>
  <c r="R2338" i="14"/>
  <c r="R2110" i="14"/>
  <c r="R2233" i="14"/>
  <c r="R2199" i="14"/>
  <c r="R2498" i="14"/>
  <c r="R2415" i="14"/>
  <c r="R2337" i="14"/>
  <c r="R2201" i="14"/>
  <c r="R2261" i="14"/>
  <c r="R1952" i="14"/>
  <c r="R2347" i="14"/>
  <c r="R2359" i="14"/>
  <c r="R2360" i="14"/>
  <c r="R2387" i="14"/>
  <c r="R2333" i="14"/>
  <c r="R2400" i="14"/>
  <c r="R2255" i="14"/>
  <c r="R2533" i="14"/>
  <c r="R1962" i="14"/>
  <c r="R2324" i="14"/>
  <c r="R2376" i="14"/>
  <c r="P518" i="14"/>
  <c r="P1024" i="14"/>
  <c r="P1562" i="14"/>
  <c r="P2136" i="14"/>
  <c r="P2835" i="14"/>
  <c r="P1143" i="14"/>
  <c r="P2689" i="14"/>
  <c r="T2562" i="14" l="1"/>
  <c r="B2557" i="14"/>
  <c r="V2561" i="14"/>
  <c r="U2561" i="14"/>
  <c r="P2807" i="14"/>
  <c r="P2811" i="14"/>
  <c r="P2832" i="14"/>
  <c r="P2809" i="14"/>
  <c r="P2813" i="14"/>
  <c r="P2791" i="14"/>
  <c r="P2804" i="14"/>
  <c r="P2800" i="14"/>
  <c r="P2817" i="14"/>
  <c r="P2815" i="14"/>
  <c r="P2934" i="14"/>
  <c r="P2819" i="14"/>
  <c r="P2859" i="14"/>
  <c r="P2795" i="14"/>
  <c r="P2129" i="14"/>
  <c r="P2460" i="14"/>
  <c r="P787" i="14"/>
  <c r="P830" i="14"/>
  <c r="P784" i="14"/>
  <c r="P831" i="14"/>
  <c r="P1001" i="14"/>
  <c r="P775" i="14"/>
  <c r="P919" i="14"/>
  <c r="P763" i="14"/>
  <c r="P758" i="14"/>
  <c r="P808" i="14"/>
  <c r="P777" i="14"/>
  <c r="P1189" i="14"/>
  <c r="P779" i="14"/>
  <c r="P1226" i="14"/>
  <c r="P840" i="14"/>
  <c r="P1120" i="14"/>
  <c r="P843" i="14"/>
  <c r="P910" i="14"/>
  <c r="P1075" i="14"/>
  <c r="P756" i="14"/>
  <c r="P1003" i="14"/>
  <c r="P1274" i="14"/>
  <c r="P847" i="14"/>
  <c r="P1130" i="14"/>
  <c r="P868" i="14"/>
  <c r="P821" i="14"/>
  <c r="P1102" i="14"/>
  <c r="P1298" i="14"/>
  <c r="P1058" i="14"/>
  <c r="P1149" i="14"/>
  <c r="P1271" i="14"/>
  <c r="P1196" i="14"/>
  <c r="P882" i="14"/>
  <c r="P1073" i="14"/>
  <c r="P826" i="14"/>
  <c r="P864" i="14"/>
  <c r="P1232" i="14"/>
  <c r="P875" i="14"/>
  <c r="P836" i="14"/>
  <c r="P813" i="14"/>
  <c r="P1087" i="14"/>
  <c r="P1052" i="14"/>
  <c r="P1277" i="14"/>
  <c r="P1211" i="14"/>
  <c r="P1220" i="14"/>
  <c r="P1177" i="14"/>
  <c r="P962" i="14"/>
  <c r="P1051" i="14"/>
  <c r="P834" i="14"/>
  <c r="P1077" i="14"/>
  <c r="P1303" i="14"/>
  <c r="P1079" i="14"/>
  <c r="P891" i="14"/>
  <c r="P1094" i="14"/>
  <c r="P744" i="14"/>
  <c r="P866" i="14"/>
  <c r="P817" i="14"/>
  <c r="P838" i="14"/>
  <c r="P943" i="14"/>
  <c r="P893" i="14"/>
  <c r="P936" i="14"/>
  <c r="P810" i="14"/>
  <c r="P977" i="14"/>
  <c r="P2826" i="14"/>
  <c r="P2805" i="14"/>
  <c r="P2644" i="14"/>
  <c r="P2707" i="14"/>
  <c r="P1544" i="14"/>
  <c r="P1125" i="14"/>
  <c r="P1181" i="14"/>
  <c r="P1013" i="14"/>
  <c r="P1139" i="14"/>
  <c r="P2280" i="14"/>
  <c r="P2028" i="14"/>
  <c r="P1146" i="14"/>
  <c r="P957" i="14"/>
  <c r="P2035" i="14"/>
  <c r="P950" i="14"/>
  <c r="P2098" i="14"/>
  <c r="P2784" i="14"/>
  <c r="P2056" i="14"/>
  <c r="P949" i="14"/>
  <c r="P1502" i="14"/>
  <c r="P852" i="14"/>
  <c r="P2569" i="14"/>
  <c r="P845" i="14"/>
  <c r="P1586" i="14"/>
  <c r="P2833" i="14"/>
  <c r="P2777" i="14"/>
  <c r="P2049" i="14"/>
  <c r="P2658" i="14"/>
  <c r="P1630" i="14"/>
  <c r="P1747" i="14"/>
  <c r="P2798" i="14"/>
  <c r="P2084" i="14"/>
  <c r="P1118" i="14"/>
  <c r="P2533" i="14"/>
  <c r="P2337" i="14"/>
  <c r="P2414" i="14"/>
  <c r="P2333" i="14"/>
  <c r="P2228" i="14"/>
  <c r="P2359" i="14"/>
  <c r="P2415" i="14"/>
  <c r="P2347" i="14"/>
  <c r="P1963" i="14"/>
  <c r="P2401" i="14"/>
  <c r="P2505" i="14"/>
  <c r="P1962" i="14"/>
  <c r="P2499" i="14"/>
  <c r="P2350" i="14"/>
  <c r="P2330" i="14"/>
  <c r="P2236" i="14"/>
  <c r="P2324" i="14"/>
  <c r="P2225" i="14"/>
  <c r="P2312" i="14"/>
  <c r="P2289" i="14"/>
  <c r="P2526" i="14"/>
  <c r="P2387" i="14"/>
  <c r="P2393" i="14"/>
  <c r="P2331" i="14"/>
  <c r="P2233" i="14"/>
  <c r="P2311" i="14"/>
  <c r="P2527" i="14"/>
  <c r="P2344" i="14"/>
  <c r="P2110" i="14"/>
  <c r="P2201" i="14"/>
  <c r="P2261" i="14"/>
  <c r="P2254" i="14"/>
  <c r="P2400" i="14"/>
  <c r="P2268" i="14"/>
  <c r="P2520" i="14"/>
  <c r="P2389" i="14"/>
  <c r="P1961" i="14"/>
  <c r="P2492" i="14"/>
  <c r="P2306" i="14"/>
  <c r="P2348" i="14"/>
  <c r="P2199" i="14"/>
  <c r="P1956" i="14"/>
  <c r="P2340" i="14"/>
  <c r="P2303" i="14"/>
  <c r="P2521" i="14"/>
  <c r="P2220" i="14"/>
  <c r="P2271" i="14"/>
  <c r="P2240" i="14"/>
  <c r="P2498" i="14"/>
  <c r="P1952" i="14"/>
  <c r="P2284" i="14"/>
  <c r="P2218" i="14"/>
  <c r="P2184" i="14"/>
  <c r="P2313" i="14"/>
  <c r="P2255" i="14"/>
  <c r="P2376" i="14"/>
  <c r="P2243" i="14"/>
  <c r="P2338" i="14"/>
  <c r="P2232" i="14"/>
  <c r="P2360" i="14"/>
  <c r="P2302" i="14"/>
  <c r="P2264" i="14"/>
  <c r="P1122" i="14"/>
  <c r="P934" i="14"/>
  <c r="P1282" i="14"/>
  <c r="P1008" i="14"/>
  <c r="P1106" i="14"/>
  <c r="P1098" i="14"/>
  <c r="P1371" i="14"/>
  <c r="P768" i="14"/>
  <c r="P806" i="14"/>
  <c r="P899" i="14"/>
  <c r="P1085" i="14"/>
  <c r="P1247" i="14"/>
  <c r="P1280" i="14"/>
  <c r="P1153" i="14"/>
  <c r="P1080" i="14"/>
  <c r="P1062" i="14"/>
  <c r="P1065" i="14"/>
  <c r="P1141" i="14"/>
  <c r="P1022" i="14"/>
  <c r="P1260" i="14"/>
  <c r="P895" i="14"/>
  <c r="P1206" i="14"/>
  <c r="P753" i="14"/>
  <c r="P1069" i="14"/>
  <c r="P1262" i="14"/>
  <c r="P1265" i="14"/>
  <c r="P980" i="14"/>
  <c r="P1015" i="14"/>
  <c r="P799" i="14"/>
  <c r="P1123" i="14"/>
  <c r="P1060" i="14"/>
  <c r="P897" i="14"/>
  <c r="P1090" i="14"/>
  <c r="P1250" i="14"/>
  <c r="P854" i="14"/>
  <c r="P1115" i="14"/>
  <c r="P1257" i="14"/>
  <c r="P1215" i="14"/>
  <c r="P975" i="14"/>
  <c r="P1155" i="14"/>
  <c r="P796" i="14"/>
  <c r="P905" i="14"/>
  <c r="P1100" i="14"/>
  <c r="P1231" i="14"/>
  <c r="P1083" i="14"/>
  <c r="P1104" i="14"/>
  <c r="P1378" i="14"/>
  <c r="P1096" i="14"/>
  <c r="P1110" i="14"/>
  <c r="P1208" i="14"/>
  <c r="P941" i="14"/>
  <c r="P952" i="14"/>
  <c r="P1134" i="14"/>
  <c r="P987" i="14"/>
  <c r="P1067" i="14"/>
  <c r="P885" i="14"/>
  <c r="P1006" i="14"/>
  <c r="P1245" i="14"/>
  <c r="P1151" i="14"/>
  <c r="P1034" i="14"/>
  <c r="P1255" i="14"/>
  <c r="P746" i="14"/>
  <c r="P2709" i="14"/>
  <c r="P1955" i="14"/>
  <c r="P1899" i="14"/>
  <c r="P2018" i="14"/>
  <c r="P1990" i="14"/>
  <c r="P1920" i="14"/>
  <c r="P1864" i="14"/>
  <c r="P1885" i="14"/>
  <c r="P1983" i="14"/>
  <c r="P2843" i="14"/>
  <c r="P1934" i="14"/>
  <c r="P1892" i="14"/>
  <c r="P2711" i="14"/>
  <c r="P1878" i="14"/>
  <c r="P1948" i="14"/>
  <c r="P2004" i="14"/>
  <c r="P2731" i="14"/>
  <c r="P2820" i="14"/>
  <c r="P2841" i="14"/>
  <c r="P2752" i="14"/>
  <c r="P2696" i="14"/>
  <c r="P2548" i="14"/>
  <c r="P2737" i="14"/>
  <c r="P2575" i="14"/>
  <c r="P2827" i="14"/>
  <c r="P2683" i="14"/>
  <c r="P2611" i="14"/>
  <c r="P2806" i="14"/>
  <c r="P2834" i="14"/>
  <c r="P2753" i="14"/>
  <c r="P2583" i="14"/>
  <c r="P2754" i="14"/>
  <c r="P2555" i="14"/>
  <c r="P2542" i="14"/>
  <c r="P2778" i="14"/>
  <c r="P2535" i="14"/>
  <c r="P2551" i="14"/>
  <c r="P2608" i="14"/>
  <c r="P2592" i="14"/>
  <c r="P2758" i="14"/>
  <c r="P2620" i="14"/>
  <c r="P2573" i="14"/>
  <c r="P2621" i="14"/>
  <c r="P2771" i="14"/>
  <c r="P2556" i="14"/>
  <c r="P2722" i="14"/>
  <c r="P2733" i="14"/>
  <c r="P2630" i="14"/>
  <c r="P2792" i="14"/>
  <c r="P2578" i="14"/>
  <c r="P2617" i="14"/>
  <c r="P2799" i="14"/>
  <c r="P2729" i="14"/>
  <c r="P2593" i="14"/>
  <c r="P2549" i="14"/>
  <c r="P2750" i="14"/>
  <c r="H2835" i="14"/>
  <c r="I2835" i="14" s="1"/>
  <c r="N2835" i="14" s="1"/>
  <c r="H2828" i="14"/>
  <c r="I2828" i="14" s="1"/>
  <c r="N2828" i="14" s="1"/>
  <c r="P791" i="14"/>
  <c r="P1803" i="14"/>
  <c r="P1321" i="14"/>
  <c r="P786" i="14"/>
  <c r="P1324" i="14"/>
  <c r="P1814" i="14"/>
  <c r="P771" i="14"/>
  <c r="P1590" i="14"/>
  <c r="P2821" i="14"/>
  <c r="P1555" i="14"/>
  <c r="P2774" i="14"/>
  <c r="P2781" i="14"/>
  <c r="P2661" i="14"/>
  <c r="P2101" i="14"/>
  <c r="P2086" i="14"/>
  <c r="P1808" i="14"/>
  <c r="P2026" i="14"/>
  <c r="P1799" i="14"/>
  <c r="P1795" i="14"/>
  <c r="P1966" i="14"/>
  <c r="P1315" i="14"/>
  <c r="P1793" i="14"/>
  <c r="P1988" i="14"/>
  <c r="P2015" i="14"/>
  <c r="P2001" i="14"/>
  <c r="P1826" i="14"/>
  <c r="P2030" i="14"/>
  <c r="P1319" i="14"/>
  <c r="P1889" i="14"/>
  <c r="P1991" i="14"/>
  <c r="P1980" i="14"/>
  <c r="P1317" i="14"/>
  <c r="P2005" i="14"/>
  <c r="P1882" i="14"/>
  <c r="P1967" i="14"/>
  <c r="P2012" i="14"/>
  <c r="P1871" i="14"/>
  <c r="P1818" i="14"/>
  <c r="P2036" i="14"/>
  <c r="P1969" i="14"/>
  <c r="P1801" i="14"/>
  <c r="P1989" i="14"/>
  <c r="P1806" i="14"/>
  <c r="P1982" i="14"/>
  <c r="P2022" i="14"/>
  <c r="P1984" i="14"/>
  <c r="P2011" i="14"/>
  <c r="P2002" i="14"/>
  <c r="P2008" i="14"/>
  <c r="P1797" i="14"/>
  <c r="P2538" i="14"/>
  <c r="P2042" i="14"/>
  <c r="P1533" i="14"/>
  <c r="P2014" i="14"/>
  <c r="P1649" i="14"/>
  <c r="P1447" i="14"/>
  <c r="P2077" i="14"/>
  <c r="P1845" i="14"/>
  <c r="P1522" i="14"/>
  <c r="P1111" i="14"/>
  <c r="P1495" i="14"/>
  <c r="P1993" i="14"/>
  <c r="P1691" i="14"/>
  <c r="P1595" i="14"/>
  <c r="P2840" i="14"/>
  <c r="P2021" i="14"/>
  <c r="P2252" i="14"/>
  <c r="P1728" i="14"/>
  <c r="P2504" i="14"/>
  <c r="P2637" i="14"/>
  <c r="P2531" i="14"/>
  <c r="P1554" i="14"/>
  <c r="P1930" i="14"/>
  <c r="P2770" i="14"/>
  <c r="P2007" i="14"/>
  <c r="P2511" i="14"/>
  <c r="P1488" i="14"/>
  <c r="P1526" i="14"/>
  <c r="P1514" i="14"/>
  <c r="P2756" i="14"/>
  <c r="P2629" i="14"/>
  <c r="P2546" i="14"/>
  <c r="R262" i="14"/>
  <c r="R87" i="14"/>
  <c r="R526" i="14"/>
  <c r="R91" i="14"/>
  <c r="P498" i="14"/>
  <c r="P251" i="14"/>
  <c r="P2762" i="14"/>
  <c r="P2861" i="14"/>
  <c r="P2651" i="14"/>
  <c r="P2889" i="14"/>
  <c r="P2588" i="14"/>
  <c r="P2868" i="14"/>
  <c r="P1584" i="14"/>
  <c r="P1506" i="14"/>
  <c r="P1568" i="14"/>
  <c r="P2433" i="14"/>
  <c r="P1161" i="14"/>
  <c r="P1168" i="14"/>
  <c r="P1575" i="14"/>
  <c r="P1435" i="14"/>
  <c r="P1511" i="14"/>
  <c r="P1571" i="14"/>
  <c r="P1894" i="14"/>
  <c r="P1433" i="14"/>
  <c r="P1556" i="14"/>
  <c r="P2875" i="14"/>
  <c r="P2616" i="14"/>
  <c r="P2623" i="14"/>
  <c r="P1928" i="14"/>
  <c r="P1453" i="14"/>
  <c r="P1513" i="14"/>
  <c r="P1527" i="14"/>
  <c r="P1660" i="14"/>
  <c r="P2090" i="14"/>
  <c r="P1647" i="14"/>
  <c r="P1477" i="14"/>
  <c r="P2070" i="14"/>
  <c r="P2931" i="14"/>
  <c r="P2735" i="14"/>
  <c r="P1874" i="14"/>
  <c r="P1951" i="14"/>
  <c r="P2114" i="14"/>
  <c r="P2567" i="14"/>
  <c r="P2903" i="14"/>
  <c r="P1229" i="14"/>
  <c r="P1330" i="14"/>
  <c r="P781" i="14"/>
  <c r="P1582" i="14"/>
  <c r="P1187" i="14"/>
  <c r="P1626" i="14"/>
  <c r="P1457" i="14"/>
  <c r="P1588" i="14"/>
  <c r="P2446" i="14"/>
  <c r="P2061" i="14"/>
  <c r="P1831" i="14"/>
  <c r="P1741" i="14"/>
  <c r="P1490" i="14"/>
  <c r="P2924" i="14"/>
  <c r="P1449" i="14"/>
  <c r="P1687" i="14"/>
  <c r="P1689" i="14"/>
  <c r="P1560" i="14"/>
  <c r="P2818" i="14"/>
  <c r="P2790" i="14"/>
  <c r="P1902" i="14"/>
  <c r="P2545" i="14"/>
  <c r="P1703" i="14"/>
  <c r="P1426" i="14"/>
  <c r="P2896" i="14"/>
  <c r="P1579" i="14"/>
  <c r="P1475" i="14"/>
  <c r="P1998" i="14"/>
  <c r="P1725" i="14"/>
  <c r="P1486" i="14"/>
  <c r="P1405" i="14"/>
  <c r="P1508" i="14"/>
  <c r="P2483" i="14"/>
  <c r="P1542" i="14"/>
  <c r="P2910" i="14"/>
  <c r="P1943" i="14"/>
  <c r="P1836" i="14"/>
  <c r="P2443" i="14"/>
  <c r="P1755" i="14"/>
  <c r="P2094" i="14"/>
  <c r="P1491" i="14"/>
  <c r="P1440" i="14"/>
  <c r="P1438" i="14"/>
  <c r="P1360" i="14"/>
  <c r="P2882" i="14"/>
  <c r="P1358" i="14"/>
  <c r="P1445" i="14"/>
  <c r="P2462" i="14"/>
  <c r="P1479" i="14"/>
  <c r="P1887" i="14"/>
  <c r="P1335" i="14"/>
  <c r="P2581" i="14"/>
  <c r="P1175" i="14"/>
  <c r="P1645" i="14"/>
  <c r="P1705" i="14"/>
  <c r="P1564" i="14"/>
  <c r="P1573" i="14"/>
  <c r="P1618" i="14"/>
  <c r="P1348" i="14"/>
  <c r="P2448" i="14"/>
  <c r="P1481" i="14"/>
  <c r="P1721" i="14"/>
  <c r="P2497" i="14"/>
  <c r="P1484" i="14"/>
  <c r="P1418" i="14"/>
  <c r="P1834" i="14"/>
  <c r="P1628" i="14"/>
  <c r="P2420" i="14"/>
  <c r="P1677" i="14"/>
  <c r="P1849" i="14"/>
  <c r="P1622" i="14"/>
  <c r="P2431" i="14"/>
  <c r="P1355" i="14"/>
  <c r="P1632" i="14"/>
  <c r="P2113" i="14"/>
  <c r="P2092" i="14"/>
  <c r="P1685" i="14"/>
  <c r="P1518" i="14"/>
  <c r="P2364" i="14"/>
  <c r="P1540" i="14"/>
  <c r="P1723" i="14"/>
  <c r="P1351" i="14"/>
  <c r="P1369" i="14"/>
  <c r="P1653" i="14"/>
  <c r="P2490" i="14"/>
  <c r="P1577" i="14"/>
  <c r="P2917" i="14"/>
  <c r="P2692" i="14"/>
  <c r="P859" i="14"/>
  <c r="P873" i="14"/>
  <c r="P880" i="14"/>
  <c r="P2133" i="14"/>
  <c r="P2293" i="14"/>
  <c r="P1166" i="14"/>
  <c r="P2301" i="14"/>
  <c r="P1523" i="14"/>
  <c r="P1936" i="14"/>
  <c r="P964" i="14"/>
  <c r="P985" i="14"/>
  <c r="P2052" i="14"/>
  <c r="P2045" i="14"/>
  <c r="P1519" i="14"/>
  <c r="P1512" i="14"/>
  <c r="P915" i="14"/>
  <c r="P1027" i="14"/>
  <c r="P2653" i="14"/>
  <c r="P1883" i="14"/>
  <c r="P1890" i="14"/>
  <c r="P1546" i="14"/>
  <c r="P1218" i="14"/>
  <c r="P1185" i="14"/>
  <c r="P2765" i="14"/>
  <c r="P2074" i="14"/>
  <c r="P451" i="14"/>
  <c r="P192" i="14"/>
  <c r="P2405" i="14"/>
  <c r="P1872" i="14"/>
  <c r="P2424" i="14"/>
  <c r="P1922" i="14"/>
  <c r="P2099" i="14"/>
  <c r="P2085" i="14"/>
  <c r="P1409" i="14"/>
  <c r="P2082" i="14"/>
  <c r="P1608" i="14"/>
  <c r="P1790" i="14"/>
  <c r="P1612" i="14"/>
  <c r="P1403" i="14"/>
  <c r="P1979" i="14"/>
  <c r="P2525" i="14"/>
  <c r="P2217" i="14"/>
  <c r="P1529" i="14"/>
  <c r="P1935" i="14"/>
  <c r="P1610" i="14"/>
  <c r="P1342" i="14"/>
  <c r="P2495" i="14"/>
  <c r="P1339" i="14"/>
  <c r="P1504" i="14"/>
  <c r="P2209" i="14"/>
  <c r="P1623" i="14"/>
  <c r="P2437" i="14"/>
  <c r="P2079" i="14"/>
  <c r="P1881" i="14"/>
  <c r="P1633" i="14"/>
  <c r="P2102" i="14"/>
  <c r="P1328" i="14"/>
  <c r="P1893" i="14"/>
  <c r="P1904" i="14"/>
  <c r="P1668" i="14"/>
  <c r="P2458" i="14"/>
  <c r="P1344" i="14"/>
  <c r="P1670" i="14"/>
  <c r="P1866" i="14"/>
  <c r="P2368" i="14"/>
  <c r="P1401" i="14"/>
  <c r="P2016" i="14"/>
  <c r="P1716" i="14"/>
  <c r="P1661" i="14"/>
  <c r="P1896" i="14"/>
  <c r="P2453" i="14"/>
  <c r="P2131" i="14"/>
  <c r="P1861" i="14"/>
  <c r="P1869" i="14"/>
  <c r="P1651" i="14"/>
  <c r="P2540" i="14"/>
  <c r="P2029" i="14"/>
  <c r="P2488" i="14"/>
  <c r="P1730" i="14"/>
  <c r="P1616" i="14"/>
  <c r="P2121" i="14"/>
  <c r="P2062" i="14"/>
  <c r="P1673" i="14"/>
  <c r="P1949" i="14"/>
  <c r="P2050" i="14"/>
  <c r="P1719" i="14"/>
  <c r="P1455" i="14"/>
  <c r="P2106" i="14"/>
  <c r="P1828" i="14"/>
  <c r="P1326" i="14"/>
  <c r="P2108" i="14"/>
  <c r="P1939" i="14"/>
  <c r="P1637" i="14"/>
  <c r="P2275" i="14"/>
  <c r="P1337" i="14"/>
  <c r="P1927" i="14"/>
  <c r="P2571" i="14"/>
  <c r="P1879" i="14"/>
  <c r="P1944" i="14"/>
  <c r="P1471" i="14"/>
  <c r="P1787" i="14"/>
  <c r="P2456" i="14"/>
  <c r="P1412" i="14"/>
  <c r="P1415" i="14"/>
  <c r="P2058" i="14"/>
  <c r="P1672" i="14"/>
  <c r="P2127" i="14"/>
  <c r="P2019" i="14"/>
  <c r="P1743" i="14"/>
  <c r="P1693" i="14"/>
  <c r="P2072" i="14"/>
  <c r="P1751" i="14"/>
  <c r="P1399" i="14"/>
  <c r="P1625" i="14"/>
  <c r="P1422" i="14"/>
  <c r="P1695" i="14"/>
  <c r="P2009" i="14"/>
  <c r="P1483" i="14"/>
  <c r="P1431" i="14"/>
  <c r="P2410" i="14"/>
  <c r="P1785" i="14"/>
  <c r="P2047" i="14"/>
  <c r="P1926" i="14"/>
  <c r="P1666" i="14"/>
  <c r="P1397" i="14"/>
  <c r="P1918" i="14"/>
  <c r="P1945" i="14"/>
  <c r="P1900" i="14"/>
  <c r="P1932" i="14"/>
  <c r="P2677" i="14"/>
  <c r="P2674" i="14"/>
  <c r="P2322" i="14"/>
  <c r="P2032" i="14"/>
  <c r="P1707" i="14"/>
  <c r="P2206" i="14"/>
  <c r="P2719" i="14"/>
  <c r="P2124" i="14"/>
  <c r="P2075" i="14"/>
  <c r="P1859" i="14"/>
  <c r="P1333" i="14"/>
  <c r="P2740" i="14"/>
  <c r="P2053" i="14"/>
  <c r="P1710" i="14"/>
  <c r="P2418" i="14"/>
  <c r="P1443" i="14"/>
  <c r="P1924" i="14"/>
  <c r="P2390" i="14"/>
  <c r="P1656" i="14"/>
  <c r="P1658" i="14"/>
  <c r="P1450" i="14"/>
  <c r="P1841" i="14"/>
  <c r="P1367" i="14"/>
  <c r="P1365" i="14"/>
  <c r="P2067" i="14"/>
  <c r="P1709" i="14"/>
  <c r="P2287" i="14"/>
  <c r="P2523" i="14"/>
  <c r="P1498" i="14"/>
  <c r="P1875" i="14"/>
  <c r="P1995" i="14"/>
  <c r="P2065" i="14"/>
  <c r="P2033" i="14"/>
  <c r="P1420" i="14"/>
  <c r="P1667" i="14"/>
  <c r="P2699" i="14"/>
  <c r="P2812" i="14"/>
  <c r="P2672" i="14"/>
  <c r="P1516" i="14"/>
  <c r="P1552" i="14"/>
  <c r="P1159" i="14"/>
  <c r="P2454" i="14"/>
  <c r="P1593" i="14"/>
  <c r="P2125" i="14"/>
  <c r="P2273" i="14"/>
  <c r="P2780" i="14"/>
  <c r="P2632" i="14"/>
  <c r="P2759" i="14"/>
  <c r="P2822" i="14"/>
  <c r="P2794" i="14"/>
  <c r="P2705" i="14"/>
  <c r="P2870" i="14"/>
  <c r="P2745" i="14"/>
  <c r="P2810" i="14"/>
  <c r="P2831" i="14"/>
  <c r="P2863" i="14"/>
  <c r="P2884" i="14"/>
  <c r="P2640" i="14"/>
  <c r="P2694" i="14"/>
  <c r="P2764" i="14"/>
  <c r="P2921" i="14"/>
  <c r="P2767" i="14"/>
  <c r="P2643" i="14"/>
  <c r="P2824" i="14"/>
  <c r="P2877" i="14"/>
  <c r="P2856" i="14"/>
  <c r="P2829" i="14"/>
  <c r="P2879" i="14"/>
  <c r="P2858" i="14"/>
  <c r="P2872" i="14"/>
  <c r="P2816" i="14"/>
  <c r="P2801" i="14"/>
  <c r="P2684" i="14"/>
  <c r="P2691" i="14"/>
  <c r="P2470" i="14"/>
  <c r="P2154" i="14"/>
  <c r="P2087" i="14"/>
  <c r="P2224" i="14"/>
  <c r="P2134" i="14"/>
  <c r="P2838" i="14"/>
  <c r="P2688" i="14"/>
  <c r="P2687" i="14"/>
  <c r="P2634" i="14"/>
  <c r="P2914" i="14"/>
  <c r="P2886" i="14"/>
  <c r="P2796" i="14"/>
  <c r="P2768" i="14"/>
  <c r="P2782" i="14"/>
  <c r="P2417" i="14"/>
  <c r="P2203" i="14"/>
  <c r="P2529" i="14"/>
  <c r="P2577" i="14"/>
  <c r="P2326" i="14"/>
  <c r="P2670" i="14"/>
  <c r="P2698" i="14"/>
  <c r="P2627" i="14"/>
  <c r="P2646" i="14"/>
  <c r="P2905" i="14"/>
  <c r="P2900" i="14"/>
  <c r="P2786" i="14"/>
  <c r="P2039" i="14"/>
  <c r="P2585" i="14"/>
  <c r="P2211" i="14"/>
  <c r="P2409" i="14"/>
  <c r="P2451" i="14"/>
  <c r="P2652" i="14"/>
  <c r="P2656" i="14"/>
  <c r="P2912" i="14"/>
  <c r="P2933" i="14"/>
  <c r="P2123" i="14"/>
  <c r="P2239" i="14"/>
  <c r="P2120" i="14"/>
  <c r="P2367" i="14"/>
  <c r="P2408" i="14"/>
  <c r="P2668" i="14"/>
  <c r="P2865" i="14"/>
  <c r="P2808" i="14"/>
  <c r="P2836" i="14"/>
  <c r="P2701" i="14"/>
  <c r="P2898" i="14"/>
  <c r="P2907" i="14"/>
  <c r="P2450" i="14"/>
  <c r="P2149" i="14"/>
  <c r="P2493" i="14"/>
  <c r="P2116" i="14"/>
  <c r="P2507" i="14"/>
  <c r="P2803" i="14"/>
  <c r="P2501" i="14"/>
  <c r="P2480" i="14"/>
  <c r="P2681" i="14"/>
  <c r="P2626" i="14"/>
  <c r="P2362" i="14"/>
  <c r="P2486" i="14"/>
  <c r="P2508" i="14"/>
  <c r="P2773" i="14"/>
  <c r="P2928" i="14"/>
  <c r="P2919" i="14"/>
  <c r="P2130" i="14"/>
  <c r="P2395" i="14"/>
  <c r="P2788" i="14"/>
  <c r="P2893" i="14"/>
  <c r="P2327" i="14"/>
  <c r="P2046" i="14"/>
  <c r="P2565" i="14"/>
  <c r="P2649" i="14"/>
  <c r="P2775" i="14"/>
  <c r="P2267" i="14"/>
  <c r="P2633" i="14"/>
  <c r="P2638" i="14"/>
  <c r="P2703" i="14"/>
  <c r="P2891" i="14"/>
  <c r="P2814" i="14"/>
  <c r="P2043" i="14"/>
  <c r="P2282" i="14"/>
  <c r="P2655" i="14"/>
  <c r="P2926" i="14"/>
  <c r="P2472" i="14"/>
  <c r="P2485" i="14"/>
  <c r="P2213" i="14"/>
  <c r="P2647" i="14"/>
  <c r="P2663" i="14"/>
  <c r="P2660" i="14"/>
  <c r="P1198" i="14"/>
  <c r="P815" i="14"/>
  <c r="P1284" i="14"/>
  <c r="P1289" i="14"/>
  <c r="P2686" i="14"/>
  <c r="P887" i="14"/>
  <c r="P992" i="14"/>
  <c r="P901" i="14"/>
  <c r="P1531" i="14"/>
  <c r="P1020" i="14"/>
  <c r="P1566" i="14"/>
  <c r="P908" i="14"/>
  <c r="P971" i="14"/>
  <c r="P1156" i="14"/>
  <c r="P2122" i="14"/>
  <c r="P1597" i="14"/>
  <c r="P91" i="14"/>
  <c r="P87" i="14"/>
  <c r="P526" i="14"/>
  <c r="P262" i="14"/>
  <c r="U2562" i="14" l="1"/>
  <c r="V2562" i="14"/>
  <c r="W2561" i="14"/>
  <c r="W2562" i="14"/>
  <c r="T2563" i="14"/>
  <c r="H2793" i="14"/>
  <c r="I2793" i="14" s="1"/>
  <c r="N2793" i="14" s="1"/>
  <c r="H2840" i="14"/>
  <c r="I2840" i="14" s="1"/>
  <c r="N2840" i="14" s="1"/>
  <c r="T2564" i="14" l="1"/>
  <c r="V2563" i="14"/>
  <c r="U2563" i="14"/>
  <c r="I2811" i="14"/>
  <c r="N2811" i="14" s="1"/>
  <c r="H2832" i="14"/>
  <c r="I2832" i="14" s="1"/>
  <c r="N2832" i="14" s="1"/>
  <c r="I2813" i="14"/>
  <c r="N2813" i="14" s="1"/>
  <c r="H2823" i="14"/>
  <c r="I2823" i="14" s="1"/>
  <c r="N2823" i="14" s="1"/>
  <c r="H2812" i="14"/>
  <c r="I2812" i="14" s="1"/>
  <c r="N2812" i="14" s="1"/>
  <c r="I2807" i="14"/>
  <c r="N2807" i="14" s="1"/>
  <c r="I2809" i="14"/>
  <c r="N2809" i="14" s="1"/>
  <c r="I2791" i="14"/>
  <c r="N2791" i="14" s="1"/>
  <c r="I2804" i="14"/>
  <c r="N2804" i="14" s="1"/>
  <c r="H2800" i="14"/>
  <c r="I2800" i="14" s="1"/>
  <c r="N2800" i="14" s="1"/>
  <c r="H2817" i="14"/>
  <c r="I2817" i="14" s="1"/>
  <c r="N2817" i="14" s="1"/>
  <c r="I2815" i="14"/>
  <c r="N2815" i="14" s="1"/>
  <c r="H2934" i="14"/>
  <c r="I2934" i="14" s="1"/>
  <c r="N2934" i="14" s="1"/>
  <c r="H2819" i="14"/>
  <c r="I2819" i="14" s="1"/>
  <c r="N2819" i="14" s="1"/>
  <c r="H2859" i="14"/>
  <c r="I2859" i="14" s="1"/>
  <c r="N2859" i="14" s="1"/>
  <c r="H2795" i="14"/>
  <c r="I2795" i="14" s="1"/>
  <c r="N2795" i="14" s="1"/>
  <c r="I2821" i="14"/>
  <c r="N2821" i="14" s="1"/>
  <c r="I2781" i="14"/>
  <c r="N2781" i="14" s="1"/>
  <c r="H2884" i="14"/>
  <c r="I2803" i="14"/>
  <c r="N2803" i="14" s="1"/>
  <c r="H2863" i="14"/>
  <c r="I2816" i="14"/>
  <c r="N2816" i="14" s="1"/>
  <c r="H2877" i="14"/>
  <c r="I2801" i="14"/>
  <c r="N2801" i="14" s="1"/>
  <c r="H2831" i="14"/>
  <c r="I2831" i="14" s="1"/>
  <c r="N2831" i="14" s="1"/>
  <c r="H2900" i="14"/>
  <c r="I2900" i="14" s="1"/>
  <c r="N2900" i="14" s="1"/>
  <c r="H2933" i="14"/>
  <c r="H2829" i="14"/>
  <c r="I2829" i="14" s="1"/>
  <c r="N2829" i="14" s="1"/>
  <c r="H2856" i="14"/>
  <c r="H2858" i="14"/>
  <c r="I2858" i="14" s="1"/>
  <c r="N2858" i="14" s="1"/>
  <c r="H2928" i="14"/>
  <c r="I2928" i="14" s="1"/>
  <c r="N2928" i="14" s="1"/>
  <c r="H2907" i="14"/>
  <c r="I2907" i="14" s="1"/>
  <c r="N2907" i="14" s="1"/>
  <c r="H2921" i="14"/>
  <c r="I2921" i="14" s="1"/>
  <c r="N2921" i="14" s="1"/>
  <c r="H2912" i="14"/>
  <c r="H2794" i="14"/>
  <c r="I2794" i="14" s="1"/>
  <c r="N2794" i="14" s="1"/>
  <c r="I2780" i="14"/>
  <c r="N2780" i="14" s="1"/>
  <c r="H2865" i="14"/>
  <c r="I2865" i="14" s="1"/>
  <c r="N2865" i="14" s="1"/>
  <c r="H2914" i="14"/>
  <c r="I2914" i="14" s="1"/>
  <c r="N2914" i="14" s="1"/>
  <c r="H2893" i="14"/>
  <c r="I2893" i="14" s="1"/>
  <c r="N2893" i="14" s="1"/>
  <c r="H2808" i="14"/>
  <c r="I2808" i="14" s="1"/>
  <c r="N2808" i="14" s="1"/>
  <c r="H2814" i="14"/>
  <c r="H2905" i="14"/>
  <c r="H2891" i="14"/>
  <c r="H2879" i="14"/>
  <c r="I2879" i="14" s="1"/>
  <c r="N2879" i="14" s="1"/>
  <c r="H2919" i="14"/>
  <c r="H2824" i="14"/>
  <c r="I2824" i="14" s="1"/>
  <c r="N2824" i="14" s="1"/>
  <c r="H2796" i="14"/>
  <c r="I2796" i="14" s="1"/>
  <c r="N2796" i="14" s="1"/>
  <c r="I2782" i="14"/>
  <c r="N2782" i="14" s="1"/>
  <c r="H2836" i="14"/>
  <c r="I2836" i="14" s="1"/>
  <c r="N2836" i="14" s="1"/>
  <c r="H2886" i="14"/>
  <c r="I2886" i="14" s="1"/>
  <c r="N2886" i="14" s="1"/>
  <c r="H2898" i="14"/>
  <c r="I2788" i="14"/>
  <c r="N2788" i="14" s="1"/>
  <c r="H2870" i="14"/>
  <c r="H2926" i="14"/>
  <c r="H2872" i="14"/>
  <c r="I2872" i="14" s="1"/>
  <c r="N2872" i="14" s="1"/>
  <c r="H2810" i="14"/>
  <c r="I2810" i="14" s="1"/>
  <c r="N2810" i="14" s="1"/>
  <c r="H2822" i="14"/>
  <c r="I2822" i="14" s="1"/>
  <c r="N2822" i="14" s="1"/>
  <c r="H2838" i="14"/>
  <c r="I2838" i="14" s="1"/>
  <c r="N2838" i="14" s="1"/>
  <c r="H2833" i="14"/>
  <c r="I2833" i="14" s="1"/>
  <c r="N2833" i="14" s="1"/>
  <c r="H2798" i="14"/>
  <c r="I2798" i="14" s="1"/>
  <c r="N2798" i="14" s="1"/>
  <c r="H2861" i="14"/>
  <c r="I2861" i="14" s="1"/>
  <c r="N2861" i="14" s="1"/>
  <c r="H2910" i="14"/>
  <c r="I2910" i="14" s="1"/>
  <c r="N2910" i="14" s="1"/>
  <c r="H2889" i="14"/>
  <c r="I2889" i="14" s="1"/>
  <c r="N2889" i="14" s="1"/>
  <c r="H2903" i="14"/>
  <c r="I2903" i="14" s="1"/>
  <c r="N2903" i="14" s="1"/>
  <c r="H2882" i="14"/>
  <c r="I2882" i="14" s="1"/>
  <c r="N2882" i="14" s="1"/>
  <c r="H2790" i="14"/>
  <c r="I2790" i="14" s="1"/>
  <c r="N2790" i="14" s="1"/>
  <c r="H2875" i="14"/>
  <c r="I2875" i="14" s="1"/>
  <c r="N2875" i="14" s="1"/>
  <c r="H2924" i="14"/>
  <c r="I2924" i="14" s="1"/>
  <c r="N2924" i="14" s="1"/>
  <c r="I2818" i="14"/>
  <c r="N2818" i="14" s="1"/>
  <c r="H2917" i="14"/>
  <c r="I2917" i="14" s="1"/>
  <c r="N2917" i="14" s="1"/>
  <c r="H2868" i="14"/>
  <c r="I2868" i="14" s="1"/>
  <c r="N2868" i="14" s="1"/>
  <c r="H2896" i="14"/>
  <c r="I2896" i="14" s="1"/>
  <c r="N2896" i="14" s="1"/>
  <c r="H2931" i="14"/>
  <c r="I2931" i="14" s="1"/>
  <c r="N2931" i="14" s="1"/>
  <c r="I2805" i="14"/>
  <c r="N2805" i="14" s="1"/>
  <c r="I2784" i="14"/>
  <c r="N2784" i="14" s="1"/>
  <c r="H2826" i="14"/>
  <c r="I2826" i="14" s="1"/>
  <c r="N2826" i="14" s="1"/>
  <c r="H2820" i="14"/>
  <c r="H2834" i="14"/>
  <c r="H2841" i="14"/>
  <c r="H2827" i="14"/>
  <c r="H2806" i="14"/>
  <c r="H2792" i="14"/>
  <c r="H2799" i="14"/>
  <c r="V2564" i="14" l="1"/>
  <c r="U2564" i="14"/>
  <c r="W2564" i="14" s="1"/>
  <c r="T2565" i="14"/>
  <c r="W2563" i="14"/>
  <c r="B2842" i="14"/>
  <c r="I2841" i="14"/>
  <c r="N2841" i="14" s="1"/>
  <c r="B2845" i="14" s="1"/>
  <c r="I2926" i="14"/>
  <c r="N2926" i="14" s="1"/>
  <c r="B2929" i="14" s="1"/>
  <c r="B2926" i="14"/>
  <c r="I2877" i="14"/>
  <c r="N2877" i="14" s="1"/>
  <c r="B2880" i="14" s="1"/>
  <c r="B2877" i="14"/>
  <c r="I2856" i="14"/>
  <c r="N2856" i="14" s="1"/>
  <c r="B2859" i="14" s="1"/>
  <c r="B2856" i="14"/>
  <c r="I2863" i="14"/>
  <c r="N2863" i="14" s="1"/>
  <c r="B2866" i="14" s="1"/>
  <c r="B2863" i="14"/>
  <c r="B2793" i="14"/>
  <c r="I2792" i="14"/>
  <c r="N2792" i="14" s="1"/>
  <c r="B2796" i="14" s="1"/>
  <c r="I2820" i="14"/>
  <c r="N2820" i="14" s="1"/>
  <c r="B2824" i="14" s="1"/>
  <c r="B2821" i="14"/>
  <c r="I2870" i="14"/>
  <c r="N2870" i="14" s="1"/>
  <c r="B2873" i="14" s="1"/>
  <c r="B2870" i="14"/>
  <c r="B2898" i="14"/>
  <c r="I2898" i="14"/>
  <c r="N2898" i="14" s="1"/>
  <c r="B2901" i="14" s="1"/>
  <c r="I2806" i="14"/>
  <c r="N2806" i="14" s="1"/>
  <c r="B2810" i="14" s="1"/>
  <c r="B2807" i="14"/>
  <c r="I2905" i="14"/>
  <c r="N2905" i="14" s="1"/>
  <c r="B2908" i="14" s="1"/>
  <c r="B2905" i="14"/>
  <c r="I2912" i="14"/>
  <c r="N2912" i="14" s="1"/>
  <c r="B2915" i="14" s="1"/>
  <c r="B2912" i="14"/>
  <c r="I2933" i="14"/>
  <c r="N2933" i="14" s="1"/>
  <c r="B2936" i="14" s="1"/>
  <c r="B2933" i="14"/>
  <c r="B2884" i="14"/>
  <c r="I2884" i="14"/>
  <c r="N2884" i="14" s="1"/>
  <c r="B2887" i="14" s="1"/>
  <c r="B2835" i="14"/>
  <c r="I2834" i="14"/>
  <c r="N2834" i="14" s="1"/>
  <c r="B2838" i="14" s="1"/>
  <c r="B2779" i="14"/>
  <c r="I2778" i="14"/>
  <c r="N2778" i="14" s="1"/>
  <c r="B2782" i="14" s="1"/>
  <c r="I2814" i="14"/>
  <c r="N2814" i="14" s="1"/>
  <c r="B2817" i="14" s="1"/>
  <c r="B2814" i="14"/>
  <c r="I2919" i="14"/>
  <c r="N2919" i="14" s="1"/>
  <c r="B2922" i="14" s="1"/>
  <c r="B2919" i="14"/>
  <c r="I2799" i="14"/>
  <c r="N2799" i="14" s="1"/>
  <c r="B2803" i="14" s="1"/>
  <c r="B2800" i="14"/>
  <c r="B2891" i="14"/>
  <c r="I2891" i="14"/>
  <c r="N2891" i="14" s="1"/>
  <c r="B2894" i="14" s="1"/>
  <c r="B2828" i="14"/>
  <c r="I2827" i="14"/>
  <c r="N2827" i="14" s="1"/>
  <c r="B2831" i="14" s="1"/>
  <c r="I2786" i="14"/>
  <c r="N2786" i="14" s="1"/>
  <c r="B2789" i="14" s="1"/>
  <c r="B2786" i="14"/>
  <c r="T2566" i="14" l="1"/>
  <c r="U2565" i="14"/>
  <c r="V2565" i="14"/>
  <c r="V2566" i="14" l="1"/>
  <c r="U2566" i="14"/>
  <c r="W2566" i="14"/>
  <c r="T2567" i="14"/>
  <c r="W2565" i="14"/>
  <c r="T2568" i="14" l="1"/>
  <c r="U2567" i="14"/>
  <c r="W2567" i="14" s="1"/>
  <c r="B2564" i="14" s="1"/>
  <c r="V2567" i="14"/>
  <c r="U2568" i="14" l="1"/>
  <c r="V2568" i="14"/>
  <c r="W2568" i="14"/>
  <c r="T2569" i="14"/>
  <c r="T2570" i="14" l="1"/>
  <c r="V2569" i="14"/>
  <c r="U2569" i="14"/>
  <c r="V2570" i="14" l="1"/>
  <c r="U2570" i="14"/>
  <c r="W2570" i="14"/>
  <c r="T2571" i="14"/>
  <c r="W2569" i="14"/>
  <c r="T2572" i="14" l="1"/>
  <c r="U2571" i="14"/>
  <c r="V2571" i="14"/>
  <c r="V2572" i="14" l="1"/>
  <c r="U2572" i="14"/>
  <c r="W2572" i="14"/>
  <c r="T2573" i="14"/>
  <c r="W2571" i="14"/>
  <c r="T2574" i="14" l="1"/>
  <c r="V2573" i="14"/>
  <c r="U2573" i="14"/>
  <c r="V2574" i="14" l="1"/>
  <c r="U2574" i="14"/>
  <c r="T2575" i="14"/>
  <c r="W2574" i="14"/>
  <c r="W2573" i="14"/>
  <c r="B2571" i="14" l="1"/>
  <c r="T2576" i="14"/>
  <c r="V2575" i="14"/>
  <c r="U2575" i="14"/>
  <c r="U2576" i="14" l="1"/>
  <c r="V2576" i="14"/>
  <c r="W2575" i="14"/>
  <c r="T2577" i="14"/>
  <c r="W2576" i="14"/>
  <c r="T2578" i="14" l="1"/>
  <c r="U2577" i="14"/>
  <c r="V2577" i="14"/>
  <c r="U2578" i="14" l="1"/>
  <c r="W2578" i="14" s="1"/>
  <c r="V2578" i="14"/>
  <c r="W2577" i="14"/>
  <c r="T2579" i="14"/>
  <c r="T2580" i="14" l="1"/>
  <c r="V2579" i="14"/>
  <c r="U2579" i="14"/>
  <c r="U2580" i="14" l="1"/>
  <c r="V2580" i="14"/>
  <c r="T2581" i="14"/>
  <c r="W2580" i="14"/>
  <c r="W2579" i="14"/>
  <c r="T2582" i="14" l="1"/>
  <c r="U2581" i="14"/>
  <c r="V2581" i="14"/>
  <c r="U2582" i="14" l="1"/>
  <c r="V2582" i="14"/>
  <c r="W2582" i="14"/>
  <c r="T2583" i="14"/>
  <c r="W2581" i="14"/>
  <c r="B2578" i="14" s="1"/>
  <c r="T2584" i="14" l="1"/>
  <c r="U2583" i="14"/>
  <c r="W2583" i="14" s="1"/>
  <c r="V2583" i="14"/>
  <c r="U2584" i="14" l="1"/>
  <c r="V2584" i="14"/>
  <c r="W2584" i="14"/>
  <c r="T2585" i="14"/>
  <c r="T2586" i="14" l="1"/>
  <c r="V2585" i="14"/>
  <c r="U2585" i="14"/>
  <c r="U2586" i="14" l="1"/>
  <c r="W2586" i="14" s="1"/>
  <c r="V2586" i="14"/>
  <c r="W2585" i="14"/>
  <c r="T2587" i="14"/>
  <c r="T2588" i="14" l="1"/>
  <c r="U2587" i="14"/>
  <c r="V2587" i="14"/>
  <c r="U2588" i="14" l="1"/>
  <c r="V2588" i="14"/>
  <c r="W2587" i="14"/>
  <c r="W2588" i="14"/>
  <c r="B2585" i="14" s="1"/>
  <c r="T2589" i="14"/>
  <c r="T2590" i="14" l="1"/>
  <c r="U2589" i="14"/>
  <c r="V2589" i="14"/>
  <c r="U2590" i="14" l="1"/>
  <c r="V2590" i="14"/>
  <c r="W2590" i="14"/>
  <c r="T2591" i="14"/>
  <c r="W2589" i="14"/>
  <c r="T2592" i="14" l="1"/>
  <c r="V2591" i="14"/>
  <c r="U2591" i="14"/>
  <c r="V2592" i="14" l="1"/>
  <c r="U2592" i="14"/>
  <c r="T2593" i="14"/>
  <c r="W2591" i="14"/>
  <c r="V2593" i="14" l="1"/>
  <c r="U2593" i="14"/>
  <c r="W2593" i="14" s="1"/>
  <c r="T2594" i="14"/>
  <c r="W2592" i="14"/>
  <c r="T2595" i="14" l="1"/>
  <c r="U2594" i="14"/>
  <c r="V2594" i="14"/>
  <c r="T2596" i="14" l="1"/>
  <c r="V2595" i="14"/>
  <c r="U2595" i="14"/>
  <c r="W2594" i="14"/>
  <c r="U2596" i="14" l="1"/>
  <c r="V2596" i="14"/>
  <c r="W2595" i="14"/>
  <c r="B2592" i="14" s="1"/>
  <c r="T2597" i="14"/>
  <c r="W2596" i="14"/>
  <c r="T2598" i="14" l="1"/>
  <c r="U2597" i="14"/>
  <c r="V2597" i="14"/>
  <c r="U2598" i="14" l="1"/>
  <c r="V2598" i="14"/>
  <c r="W2597" i="14"/>
  <c r="T2599" i="14"/>
  <c r="W2598" i="14"/>
  <c r="T2600" i="14" l="1"/>
  <c r="U2599" i="14"/>
  <c r="V2599" i="14"/>
  <c r="U2600" i="14" l="1"/>
  <c r="V2600" i="14"/>
  <c r="W2599" i="14"/>
  <c r="W2600" i="14"/>
  <c r="T2601" i="14"/>
  <c r="T2602" i="14" l="1"/>
  <c r="U2601" i="14"/>
  <c r="V2601" i="14"/>
  <c r="U2602" i="14" l="1"/>
  <c r="V2602" i="14"/>
  <c r="T2603" i="14"/>
  <c r="W2602" i="14"/>
  <c r="W2601" i="14"/>
  <c r="B2599" i="14" l="1"/>
  <c r="T2604" i="14"/>
  <c r="U2603" i="14"/>
  <c r="W2603" i="14" s="1"/>
  <c r="V2603" i="14"/>
  <c r="T2605" i="14" l="1"/>
  <c r="U2604" i="14"/>
  <c r="V2604" i="14"/>
  <c r="V2605" i="14" l="1"/>
  <c r="U2605" i="14"/>
  <c r="W2604" i="14"/>
  <c r="T2606" i="14"/>
  <c r="W2605" i="14"/>
  <c r="T2607" i="14" l="1"/>
  <c r="U2606" i="14"/>
  <c r="V2606" i="14"/>
  <c r="V2607" i="14" l="1"/>
  <c r="U2607" i="14"/>
  <c r="W2606" i="14"/>
  <c r="T2608" i="14"/>
  <c r="W2607" i="14"/>
  <c r="T2609" i="14" l="1"/>
  <c r="V2608" i="14"/>
  <c r="U2608" i="14"/>
  <c r="U2609" i="14" l="1"/>
  <c r="V2609" i="14"/>
  <c r="W2608" i="14"/>
  <c r="W2609" i="14"/>
  <c r="B2606" i="14" s="1"/>
  <c r="T2610" i="14"/>
  <c r="T2611" i="14" l="1"/>
  <c r="U2610" i="14"/>
  <c r="V2610" i="14"/>
  <c r="V2611" i="14" l="1"/>
  <c r="U2611" i="14"/>
  <c r="W2610" i="14"/>
  <c r="T2612" i="14"/>
  <c r="W2611" i="14"/>
  <c r="T2613" i="14" l="1"/>
  <c r="U2612" i="14"/>
  <c r="V2612" i="14"/>
  <c r="T2614" i="14" l="1"/>
  <c r="U2613" i="14"/>
  <c r="V2613" i="14"/>
  <c r="W2612" i="14"/>
  <c r="V2614" i="14" l="1"/>
  <c r="U2614" i="14"/>
  <c r="W2614" i="14" s="1"/>
  <c r="W2613" i="14"/>
  <c r="T2615" i="14"/>
  <c r="T2616" i="14" l="1"/>
  <c r="U2615" i="14"/>
  <c r="V2615" i="14"/>
  <c r="U2616" i="14" l="1"/>
  <c r="V2616" i="14"/>
  <c r="W2615" i="14"/>
  <c r="W2616" i="14"/>
  <c r="B2613" i="14" s="1"/>
  <c r="T2617" i="14"/>
  <c r="T2618" i="14" l="1"/>
  <c r="U2617" i="14"/>
  <c r="V2617" i="14"/>
  <c r="U2618" i="14" l="1"/>
  <c r="W2618" i="14" s="1"/>
  <c r="V2618" i="14"/>
  <c r="W2617" i="14"/>
  <c r="T2619" i="14"/>
  <c r="T2620" i="14" l="1"/>
  <c r="U2619" i="14"/>
  <c r="V2619" i="14"/>
  <c r="U2620" i="14" l="1"/>
  <c r="V2620" i="14"/>
  <c r="W2620" i="14"/>
  <c r="T2621" i="14"/>
  <c r="W2619" i="14"/>
  <c r="T2622" i="14" l="1"/>
  <c r="U2621" i="14"/>
  <c r="V2621" i="14"/>
  <c r="U2622" i="14" l="1"/>
  <c r="V2622" i="14"/>
  <c r="W2621" i="14"/>
  <c r="T2623" i="14"/>
  <c r="W2622" i="14"/>
  <c r="T2624" i="14" l="1"/>
  <c r="U2623" i="14"/>
  <c r="V2623" i="14"/>
  <c r="U2624" i="14" l="1"/>
  <c r="V2624" i="14"/>
  <c r="W2624" i="14"/>
  <c r="T2625" i="14"/>
  <c r="W2623" i="14"/>
  <c r="B2620" i="14" s="1"/>
  <c r="T2626" i="14" l="1"/>
  <c r="U2625" i="14"/>
  <c r="V2625" i="14"/>
  <c r="V2626" i="14" l="1"/>
  <c r="U2626" i="14"/>
  <c r="W2626" i="14" s="1"/>
  <c r="W2625" i="14"/>
  <c r="T2627" i="14"/>
  <c r="T2628" i="14" l="1"/>
  <c r="V2627" i="14"/>
  <c r="U2627" i="14"/>
  <c r="V2628" i="14" l="1"/>
  <c r="U2628" i="14"/>
  <c r="W2628" i="14"/>
  <c r="T2629" i="14"/>
  <c r="W2627" i="14"/>
  <c r="T2630" i="14" l="1"/>
  <c r="U2629" i="14"/>
  <c r="V2629" i="14"/>
  <c r="V2630" i="14" l="1"/>
  <c r="U2630" i="14"/>
  <c r="T2631" i="14"/>
  <c r="W2630" i="14"/>
  <c r="W2629" i="14"/>
  <c r="B2627" i="14" l="1"/>
  <c r="T2632" i="14"/>
  <c r="U2631" i="14"/>
  <c r="V2631" i="14"/>
  <c r="U2632" i="14" l="1"/>
  <c r="V2632" i="14"/>
  <c r="W2631" i="14"/>
  <c r="T2633" i="14"/>
  <c r="W2632" i="14"/>
  <c r="T2634" i="14" l="1"/>
  <c r="U2633" i="14"/>
  <c r="V2633" i="14"/>
  <c r="U2634" i="14" l="1"/>
  <c r="V2634" i="14"/>
  <c r="W2633" i="14"/>
  <c r="W2634" i="14"/>
  <c r="T2635" i="14"/>
  <c r="T2636" i="14" l="1"/>
  <c r="U2635" i="14"/>
  <c r="V2635" i="14"/>
  <c r="U2636" i="14" l="1"/>
  <c r="V2636" i="14"/>
  <c r="W2636" i="14"/>
  <c r="T2637" i="14"/>
  <c r="W2635" i="14"/>
  <c r="U2637" i="14" l="1"/>
  <c r="V2637" i="14"/>
  <c r="W2637" i="14"/>
  <c r="B2634" i="14" s="1"/>
  <c r="T2638" i="14"/>
  <c r="T2639" i="14" l="1"/>
  <c r="U2638" i="14"/>
  <c r="V2638" i="14"/>
  <c r="U2639" i="14" l="1"/>
  <c r="W2639" i="14" s="1"/>
  <c r="V2639" i="14"/>
  <c r="T2640" i="14"/>
  <c r="W2638" i="14"/>
  <c r="T2641" i="14" l="1"/>
  <c r="U2640" i="14"/>
  <c r="V2640" i="14"/>
  <c r="U2641" i="14" l="1"/>
  <c r="V2641" i="14"/>
  <c r="W2641" i="14"/>
  <c r="T2642" i="14"/>
  <c r="W2640" i="14"/>
  <c r="T2643" i="14" l="1"/>
  <c r="U2642" i="14"/>
  <c r="V2642" i="14"/>
  <c r="U2643" i="14" l="1"/>
  <c r="V2643" i="14"/>
  <c r="W2642" i="14"/>
  <c r="W2643" i="14"/>
  <c r="T2644" i="14"/>
  <c r="T2645" i="14" l="1"/>
  <c r="U2644" i="14"/>
  <c r="V2644" i="14"/>
  <c r="V2645" i="14" l="1"/>
  <c r="U2645" i="14"/>
  <c r="W2644" i="14"/>
  <c r="B2641" i="14" s="1"/>
  <c r="T2646" i="14"/>
  <c r="W2645" i="14"/>
  <c r="T2647" i="14" l="1"/>
  <c r="U2646" i="14"/>
  <c r="V2646" i="14"/>
  <c r="V2647" i="14" l="1"/>
  <c r="U2647" i="14"/>
  <c r="W2647" i="14"/>
  <c r="T2648" i="14"/>
  <c r="W2646" i="14"/>
  <c r="T2649" i="14" l="1"/>
  <c r="V2648" i="14"/>
  <c r="U2648" i="14"/>
  <c r="U2649" i="14" l="1"/>
  <c r="V2649" i="14"/>
  <c r="T2650" i="14"/>
  <c r="W2649" i="14"/>
  <c r="W2648" i="14"/>
  <c r="T2651" i="14" l="1"/>
  <c r="V2650" i="14"/>
  <c r="U2650" i="14"/>
  <c r="W2650" i="14" s="1"/>
  <c r="T2652" i="14" l="1"/>
  <c r="U2651" i="14"/>
  <c r="V2651" i="14"/>
  <c r="V2652" i="14" l="1"/>
  <c r="U2652" i="14"/>
  <c r="W2652" i="14"/>
  <c r="T2653" i="14"/>
  <c r="W2651" i="14"/>
  <c r="B2648" i="14" s="1"/>
  <c r="T2654" i="14" l="1"/>
  <c r="V2653" i="14"/>
  <c r="U2653" i="14"/>
  <c r="U2654" i="14" l="1"/>
  <c r="V2654" i="14"/>
  <c r="W2653" i="14"/>
  <c r="T2655" i="14"/>
  <c r="T2656" i="14" l="1"/>
  <c r="V2655" i="14"/>
  <c r="U2655" i="14"/>
  <c r="W2655" i="14" s="1"/>
  <c r="W2654" i="14"/>
  <c r="T2657" i="14" l="1"/>
  <c r="U2656" i="14"/>
  <c r="V2656" i="14"/>
  <c r="T2658" i="14" l="1"/>
  <c r="V2657" i="14"/>
  <c r="U2657" i="14"/>
  <c r="W2656" i="14"/>
  <c r="V2658" i="14" l="1"/>
  <c r="U2658" i="14"/>
  <c r="W2657" i="14"/>
  <c r="T2659" i="14"/>
  <c r="W2658" i="14"/>
  <c r="B2655" i="14" s="1"/>
  <c r="T2660" i="14" l="1"/>
  <c r="U2659" i="14"/>
  <c r="V2659" i="14"/>
  <c r="V2660" i="14" l="1"/>
  <c r="U2660" i="14"/>
  <c r="W2660" i="14" s="1"/>
  <c r="T2661" i="14"/>
  <c r="W2659" i="14"/>
  <c r="T2662" i="14" l="1"/>
  <c r="U2661" i="14"/>
  <c r="V2661" i="14"/>
  <c r="V2662" i="14" l="1"/>
  <c r="U2662" i="14"/>
  <c r="W2662" i="14" s="1"/>
  <c r="W2661" i="14"/>
  <c r="T2663" i="14"/>
  <c r="T2664" i="14" l="1"/>
  <c r="U2663" i="14"/>
  <c r="V2663" i="14"/>
  <c r="V2664" i="14" l="1"/>
  <c r="U2664" i="14"/>
  <c r="W2663" i="14"/>
  <c r="T2665" i="14"/>
  <c r="W2664" i="14"/>
  <c r="T2666" i="14" l="1"/>
  <c r="U2665" i="14"/>
  <c r="V2665" i="14"/>
  <c r="V2666" i="14" l="1"/>
  <c r="U2666" i="14"/>
  <c r="W2665" i="14"/>
  <c r="B2662" i="14" s="1"/>
  <c r="T2667" i="14"/>
  <c r="W2666" i="14"/>
  <c r="T2668" i="14" l="1"/>
  <c r="U2667" i="14"/>
  <c r="V2667" i="14"/>
  <c r="U2668" i="14" l="1"/>
  <c r="V2668" i="14"/>
  <c r="W2667" i="14"/>
  <c r="W2668" i="14"/>
  <c r="T2669" i="14"/>
  <c r="T2670" i="14" l="1"/>
  <c r="V2669" i="14"/>
  <c r="U2669" i="14"/>
  <c r="U2670" i="14" l="1"/>
  <c r="V2670" i="14"/>
  <c r="W2669" i="14"/>
  <c r="W2670" i="14"/>
  <c r="T2671" i="14"/>
  <c r="T2672" i="14" l="1"/>
  <c r="U2671" i="14"/>
  <c r="V2671" i="14"/>
  <c r="U2672" i="14" l="1"/>
  <c r="W2672" i="14" s="1"/>
  <c r="V2672" i="14"/>
  <c r="W2671" i="14"/>
  <c r="T2673" i="14"/>
  <c r="B2669" i="14" l="1"/>
  <c r="T2674" i="14"/>
  <c r="U2673" i="14"/>
  <c r="V2673" i="14"/>
  <c r="V2674" i="14" l="1"/>
  <c r="U2674" i="14"/>
  <c r="W2674" i="14" s="1"/>
  <c r="W2673" i="14"/>
  <c r="T2675" i="14"/>
  <c r="V2675" i="14" l="1"/>
  <c r="U2675" i="14"/>
  <c r="W2675" i="14"/>
  <c r="T2676" i="14"/>
  <c r="T2677" i="14" l="1"/>
  <c r="U2676" i="14"/>
  <c r="V2676" i="14"/>
  <c r="V2677" i="14" l="1"/>
  <c r="U2677" i="14"/>
  <c r="W2677" i="14"/>
  <c r="T2678" i="14"/>
  <c r="W2676" i="14"/>
  <c r="T2679" i="14" l="1"/>
  <c r="V2678" i="14"/>
  <c r="U2678" i="14"/>
  <c r="V2679" i="14" l="1"/>
  <c r="U2679" i="14"/>
  <c r="W2678" i="14"/>
  <c r="W2679" i="14"/>
  <c r="B2676" i="14" s="1"/>
  <c r="T2680" i="14"/>
  <c r="T2681" i="14" l="1"/>
  <c r="U2680" i="14"/>
  <c r="V2680" i="14"/>
  <c r="U2681" i="14" l="1"/>
  <c r="W2681" i="14" s="1"/>
  <c r="V2681" i="14"/>
  <c r="W2680" i="14"/>
  <c r="T2682" i="14"/>
  <c r="T2683" i="14" l="1"/>
  <c r="V2682" i="14"/>
  <c r="U2682" i="14"/>
  <c r="U2683" i="14" l="1"/>
  <c r="W2683" i="14" s="1"/>
  <c r="V2683" i="14"/>
  <c r="T2684" i="14"/>
  <c r="W2682" i="14"/>
  <c r="T2685" i="14" l="1"/>
  <c r="V2684" i="14"/>
  <c r="U2684" i="14"/>
  <c r="U2685" i="14" l="1"/>
  <c r="V2685" i="14"/>
  <c r="W2685" i="14"/>
  <c r="T2686" i="14"/>
  <c r="W2684" i="14"/>
  <c r="T2687" i="14" l="1"/>
  <c r="V2686" i="14"/>
  <c r="U2686" i="14"/>
  <c r="T2688" i="14" l="1"/>
  <c r="U2687" i="14"/>
  <c r="V2687" i="14"/>
  <c r="W2686" i="14"/>
  <c r="B2683" i="14" s="1"/>
  <c r="U2688" i="14" l="1"/>
  <c r="V2688" i="14"/>
  <c r="W2688" i="14"/>
  <c r="T2689" i="14"/>
  <c r="W2687" i="14"/>
  <c r="T2690" i="14" l="1"/>
  <c r="V2689" i="14"/>
  <c r="U2689" i="14"/>
  <c r="U2690" i="14" l="1"/>
  <c r="V2690" i="14"/>
  <c r="W2690" i="14"/>
  <c r="T2691" i="14"/>
  <c r="W2689" i="14"/>
  <c r="T2692" i="14" l="1"/>
  <c r="V2691" i="14"/>
  <c r="U2691" i="14"/>
  <c r="U2692" i="14" l="1"/>
  <c r="W2692" i="14" s="1"/>
  <c r="V2692" i="14"/>
  <c r="W2691" i="14"/>
  <c r="T2693" i="14"/>
  <c r="T2694" i="14" l="1"/>
  <c r="V2693" i="14"/>
  <c r="U2693" i="14"/>
  <c r="U2694" i="14" l="1"/>
  <c r="W2694" i="14" s="1"/>
  <c r="V2694" i="14"/>
  <c r="W2693" i="14"/>
  <c r="B2690" i="14" s="1"/>
  <c r="T2695" i="14"/>
  <c r="T2696" i="14" l="1"/>
  <c r="U2695" i="14"/>
  <c r="V2695" i="14"/>
  <c r="V2696" i="14" l="1"/>
  <c r="U2696" i="14"/>
  <c r="W2695" i="14"/>
  <c r="T2697" i="14"/>
  <c r="W2696" i="14"/>
  <c r="T2698" i="14" l="1"/>
  <c r="U2697" i="14"/>
  <c r="V2697" i="14"/>
  <c r="U2698" i="14" l="1"/>
  <c r="V2698" i="14"/>
  <c r="W2697" i="14"/>
  <c r="T2699" i="14"/>
  <c r="W2698" i="14"/>
  <c r="T2700" i="14" l="1"/>
  <c r="U2699" i="14"/>
  <c r="V2699" i="14"/>
  <c r="V2700" i="14" l="1"/>
  <c r="U2700" i="14"/>
  <c r="W2699" i="14"/>
  <c r="T2701" i="14"/>
  <c r="W2700" i="14"/>
  <c r="B2697" i="14" s="1"/>
  <c r="T2702" i="14" l="1"/>
  <c r="U2701" i="14"/>
  <c r="V2701" i="14"/>
  <c r="V2702" i="14" l="1"/>
  <c r="U2702" i="14"/>
  <c r="W2702" i="14"/>
  <c r="T2703" i="14"/>
  <c r="W2701" i="14"/>
  <c r="T2704" i="14" l="1"/>
  <c r="V2703" i="14"/>
  <c r="U2703" i="14"/>
  <c r="V2704" i="14" l="1"/>
  <c r="U2704" i="14"/>
  <c r="T2705" i="14"/>
  <c r="W2703" i="14"/>
  <c r="U2705" i="14" l="1"/>
  <c r="V2705" i="14"/>
  <c r="T2706" i="14"/>
  <c r="W2705" i="14"/>
  <c r="W2704" i="14"/>
  <c r="U2706" i="14" l="1"/>
  <c r="W2706" i="14" s="1"/>
  <c r="V2706" i="14"/>
  <c r="T2707" i="14"/>
  <c r="T2708" i="14" l="1"/>
  <c r="V2707" i="14"/>
  <c r="U2707" i="14"/>
  <c r="U2708" i="14" l="1"/>
  <c r="V2708" i="14"/>
  <c r="T2709" i="14"/>
  <c r="W2707" i="14"/>
  <c r="B2704" i="14" s="1"/>
  <c r="T2710" i="14" l="1"/>
  <c r="U2709" i="14"/>
  <c r="V2709" i="14"/>
  <c r="W2708" i="14"/>
  <c r="U2710" i="14" l="1"/>
  <c r="V2710" i="14"/>
  <c r="W2709" i="14"/>
  <c r="T2711" i="14"/>
  <c r="W2710" i="14"/>
  <c r="T2712" i="14" l="1"/>
  <c r="U2711" i="14"/>
  <c r="V2711" i="14"/>
  <c r="U2712" i="14" l="1"/>
  <c r="V2712" i="14"/>
  <c r="W2711" i="14"/>
  <c r="W2712" i="14"/>
  <c r="T2713" i="14"/>
  <c r="T2714" i="14" l="1"/>
  <c r="V2713" i="14"/>
  <c r="U2713" i="14"/>
  <c r="U2714" i="14" l="1"/>
  <c r="V2714" i="14"/>
  <c r="T2715" i="14"/>
  <c r="W2714" i="14"/>
  <c r="W2713" i="14"/>
  <c r="B2711" i="14" l="1"/>
  <c r="T2716" i="14"/>
  <c r="V2715" i="14"/>
  <c r="U2715" i="14"/>
  <c r="W2715" i="14" s="1"/>
  <c r="T2717" i="14" l="1"/>
  <c r="V2716" i="14"/>
  <c r="U2716" i="14"/>
  <c r="U2717" i="14" l="1"/>
  <c r="V2717" i="14"/>
  <c r="W2716" i="14"/>
  <c r="T2718" i="14"/>
  <c r="W2717" i="14"/>
  <c r="T2719" i="14" l="1"/>
  <c r="V2718" i="14"/>
  <c r="U2718" i="14"/>
  <c r="W2718" i="14" s="1"/>
  <c r="T2720" i="14" l="1"/>
  <c r="U2719" i="14"/>
  <c r="V2719" i="14"/>
  <c r="U2720" i="14" l="1"/>
  <c r="V2720" i="14"/>
  <c r="W2719" i="14"/>
  <c r="W2720" i="14"/>
  <c r="T2721" i="14"/>
  <c r="T2722" i="14" l="1"/>
  <c r="U2721" i="14"/>
  <c r="V2721" i="14"/>
  <c r="U2722" i="14" l="1"/>
  <c r="W2722" i="14" s="1"/>
  <c r="V2722" i="14"/>
  <c r="T2723" i="14"/>
  <c r="W2721" i="14"/>
  <c r="B2718" i="14" s="1"/>
  <c r="T2724" i="14" l="1"/>
  <c r="U2723" i="14"/>
  <c r="V2723" i="14"/>
  <c r="U2724" i="14" l="1"/>
  <c r="W2724" i="14" s="1"/>
  <c r="V2724" i="14"/>
  <c r="W2723" i="14"/>
  <c r="T2725" i="14"/>
  <c r="T2726" i="14" l="1"/>
  <c r="V2725" i="14"/>
  <c r="U2725" i="14"/>
  <c r="U2726" i="14" l="1"/>
  <c r="V2726" i="14"/>
  <c r="W2725" i="14"/>
  <c r="W2726" i="14"/>
  <c r="T2727" i="14"/>
  <c r="T2728" i="14" l="1"/>
  <c r="U2727" i="14"/>
  <c r="V2727" i="14"/>
  <c r="U2728" i="14" l="1"/>
  <c r="V2728" i="14"/>
  <c r="W2727" i="14"/>
  <c r="T2729" i="14"/>
  <c r="W2728" i="14"/>
  <c r="B2725" i="14" s="1"/>
  <c r="T2730" i="14" l="1"/>
  <c r="U2729" i="14"/>
  <c r="V2729" i="14"/>
  <c r="V2730" i="14" l="1"/>
  <c r="U2730" i="14"/>
  <c r="W2729" i="14"/>
  <c r="T2731" i="14"/>
  <c r="W2730" i="14"/>
  <c r="T2732" i="14" l="1"/>
  <c r="U2731" i="14"/>
  <c r="V2731" i="14"/>
  <c r="U2732" i="14" l="1"/>
  <c r="V2732" i="14"/>
  <c r="W2732" i="14"/>
  <c r="T2733" i="14"/>
  <c r="W2731" i="14"/>
  <c r="T2734" i="14" l="1"/>
  <c r="U2733" i="14"/>
  <c r="V2733" i="14"/>
  <c r="V2734" i="14" l="1"/>
  <c r="U2734" i="14"/>
  <c r="T2735" i="14"/>
  <c r="W2733" i="14"/>
  <c r="V2735" i="14" l="1"/>
  <c r="U2735" i="14"/>
  <c r="W2735" i="14"/>
  <c r="T2736" i="14"/>
  <c r="W2734" i="14"/>
  <c r="B2732" i="14" l="1"/>
  <c r="T2737" i="14"/>
  <c r="U2736" i="14"/>
  <c r="V2736" i="14"/>
  <c r="V2737" i="14" l="1"/>
  <c r="U2737" i="14"/>
  <c r="W2736" i="14"/>
  <c r="W2737" i="14"/>
  <c r="T2738" i="14"/>
  <c r="T2739" i="14" l="1"/>
  <c r="U2738" i="14"/>
  <c r="V2738" i="14"/>
  <c r="V2739" i="14" l="1"/>
  <c r="U2739" i="14"/>
  <c r="T2740" i="14"/>
  <c r="W2739" i="14"/>
  <c r="W2738" i="14"/>
  <c r="T2741" i="14" l="1"/>
  <c r="V2740" i="14"/>
  <c r="U2740" i="14"/>
  <c r="U2741" i="14" l="1"/>
  <c r="W2741" i="14" s="1"/>
  <c r="V2741" i="14"/>
  <c r="T2742" i="14"/>
  <c r="W2740" i="14"/>
  <c r="T2743" i="14" l="1"/>
  <c r="U2742" i="14"/>
  <c r="V2742" i="14"/>
  <c r="U2743" i="14" l="1"/>
  <c r="W2743" i="14" s="1"/>
  <c r="V2743" i="14"/>
  <c r="T2744" i="14"/>
  <c r="W2742" i="14"/>
  <c r="B2739" i="14" s="1"/>
  <c r="T2745" i="14" l="1"/>
  <c r="U2744" i="14"/>
  <c r="V2744" i="14"/>
  <c r="V2745" i="14" l="1"/>
  <c r="U2745" i="14"/>
  <c r="W2744" i="14"/>
  <c r="W2745" i="14"/>
  <c r="T2746" i="14"/>
  <c r="T2747" i="14" l="1"/>
  <c r="V2746" i="14"/>
  <c r="U2746" i="14"/>
  <c r="U2747" i="14" l="1"/>
  <c r="V2747" i="14"/>
  <c r="W2746" i="14"/>
  <c r="W2747" i="14"/>
  <c r="T2748" i="14"/>
  <c r="T2749" i="14" l="1"/>
  <c r="U2748" i="14"/>
  <c r="V2748" i="14"/>
  <c r="V2749" i="14" l="1"/>
  <c r="U2749" i="14"/>
  <c r="W2748" i="14"/>
  <c r="T2750" i="14"/>
  <c r="U2750" i="14" l="1"/>
  <c r="V2750" i="14"/>
  <c r="T2751" i="14"/>
  <c r="W2750" i="14"/>
  <c r="W2749" i="14"/>
  <c r="B2746" i="14" s="1"/>
  <c r="T2752" i="14" l="1"/>
  <c r="U2751" i="14"/>
  <c r="V2751" i="14"/>
  <c r="U2752" i="14" l="1"/>
  <c r="V2752" i="14"/>
  <c r="W2751" i="14"/>
  <c r="T2753" i="14"/>
  <c r="W2752" i="14"/>
  <c r="T2754" i="14" l="1"/>
  <c r="V2753" i="14"/>
  <c r="U2753" i="14"/>
  <c r="V2754" i="14" l="1"/>
  <c r="U2754" i="14"/>
  <c r="W2754" i="14"/>
  <c r="T2755" i="14"/>
  <c r="W2753" i="14"/>
  <c r="T2756" i="14" l="1"/>
  <c r="U2755" i="14"/>
  <c r="V2755" i="14"/>
  <c r="V2756" i="14" l="1"/>
  <c r="U2756" i="14"/>
  <c r="T2757" i="14"/>
  <c r="W2756" i="14"/>
  <c r="W2755" i="14"/>
  <c r="B2753" i="14" l="1"/>
  <c r="T2758" i="14"/>
  <c r="U2757" i="14"/>
  <c r="V2757" i="14"/>
  <c r="U2758" i="14" l="1"/>
  <c r="V2758" i="14"/>
  <c r="W2757" i="14"/>
  <c r="W2758" i="14"/>
  <c r="T2759" i="14"/>
  <c r="T2760" i="14" l="1"/>
  <c r="V2759" i="14"/>
  <c r="U2759" i="14"/>
  <c r="U2760" i="14" l="1"/>
  <c r="V2760" i="14"/>
  <c r="T2761" i="14"/>
  <c r="W2760" i="14"/>
  <c r="W2759" i="14"/>
  <c r="T2762" i="14" l="1"/>
  <c r="U2761" i="14"/>
  <c r="V2761" i="14"/>
  <c r="U2762" i="14" l="1"/>
  <c r="W2762" i="14" s="1"/>
  <c r="V2762" i="14"/>
  <c r="T2763" i="14"/>
  <c r="W2761" i="14"/>
  <c r="T2764" i="14" l="1"/>
  <c r="U2763" i="14"/>
  <c r="V2763" i="14"/>
  <c r="U2764" i="14" l="1"/>
  <c r="V2764" i="14"/>
  <c r="W2764" i="14"/>
  <c r="T2765" i="14"/>
  <c r="W2763" i="14"/>
  <c r="B2760" i="14" s="1"/>
  <c r="T2766" i="14" l="1"/>
  <c r="V2765" i="14"/>
  <c r="U2765" i="14"/>
  <c r="U2766" i="14" l="1"/>
  <c r="V2766" i="14"/>
  <c r="W2765" i="14"/>
  <c r="W2766" i="14"/>
  <c r="T2767" i="14"/>
  <c r="T2768" i="14" l="1"/>
  <c r="V2767" i="14"/>
  <c r="U2767" i="14"/>
  <c r="V2768" i="14" l="1"/>
  <c r="U2768" i="14"/>
  <c r="W2768" i="14"/>
  <c r="T2769" i="14"/>
  <c r="W2767" i="14"/>
  <c r="T2770" i="14" l="1"/>
  <c r="V2769" i="14"/>
  <c r="U2769" i="14"/>
  <c r="V2770" i="14" l="1"/>
  <c r="U2770" i="14"/>
  <c r="T2771" i="14"/>
  <c r="W2770" i="14"/>
  <c r="W2769" i="14"/>
  <c r="B2767" i="14" l="1"/>
  <c r="T2772" i="14"/>
  <c r="U2771" i="14"/>
  <c r="V2771" i="14"/>
  <c r="V2772" i="14" l="1"/>
  <c r="U2772" i="14"/>
  <c r="W2772" i="14"/>
  <c r="T2773" i="14"/>
  <c r="W2771" i="14"/>
  <c r="T2774" i="14" l="1"/>
  <c r="U2773" i="14"/>
  <c r="V2773" i="14"/>
  <c r="U2774" i="14" l="1"/>
  <c r="V2774" i="14"/>
  <c r="W2773" i="14"/>
  <c r="T2775" i="14"/>
  <c r="W2774" i="14"/>
  <c r="T2776" i="14" l="1"/>
  <c r="U2775" i="14"/>
  <c r="V2775" i="14"/>
  <c r="V2776" i="14" l="1"/>
  <c r="U2776" i="14"/>
  <c r="W2775" i="14"/>
  <c r="T2777" i="14"/>
  <c r="V2777" i="14" l="1"/>
  <c r="U2777" i="14"/>
  <c r="W2776" i="14"/>
  <c r="T2778" i="14"/>
  <c r="W2777" i="14"/>
  <c r="B2774" i="14" s="1"/>
  <c r="T2779" i="14" l="1"/>
  <c r="V2778" i="14"/>
  <c r="U2778" i="14"/>
  <c r="U2779" i="14" l="1"/>
  <c r="V2779" i="14"/>
  <c r="W2778" i="14"/>
  <c r="W2779" i="14"/>
  <c r="T2780" i="14"/>
  <c r="T2781" i="14" l="1"/>
  <c r="V2780" i="14"/>
  <c r="U2780" i="14"/>
  <c r="V2781" i="14" l="1"/>
  <c r="U2781" i="14"/>
  <c r="W2780" i="14"/>
  <c r="W2781" i="14"/>
  <c r="T2782" i="14"/>
  <c r="T2783" i="14" l="1"/>
  <c r="V2782" i="14"/>
  <c r="U2782" i="14"/>
  <c r="V2783" i="14" l="1"/>
  <c r="U2783" i="14"/>
  <c r="W2782" i="14"/>
  <c r="W2783" i="14"/>
  <c r="T2784" i="14"/>
  <c r="T2785" i="14" l="1"/>
  <c r="V2784" i="14"/>
  <c r="U2784" i="14"/>
  <c r="V2785" i="14" l="1"/>
  <c r="U2785" i="14"/>
  <c r="T2786" i="14"/>
  <c r="W2785" i="14"/>
  <c r="W2784" i="14"/>
  <c r="B2781" i="14" s="1"/>
  <c r="T2787" i="14" l="1"/>
  <c r="V2786" i="14"/>
  <c r="U2786" i="14"/>
  <c r="U2787" i="14" l="1"/>
  <c r="V2787" i="14"/>
  <c r="T2788" i="14"/>
  <c r="W2787" i="14"/>
  <c r="W2786" i="14"/>
  <c r="T2789" i="14" l="1"/>
  <c r="U2788" i="14"/>
  <c r="V2788" i="14"/>
  <c r="V2789" i="14" l="1"/>
  <c r="U2789" i="14"/>
  <c r="T2790" i="14"/>
  <c r="W2788" i="14"/>
  <c r="T2791" i="14" l="1"/>
  <c r="V2790" i="14"/>
  <c r="U2790" i="14"/>
  <c r="W2789" i="14"/>
  <c r="U2791" i="14" l="1"/>
  <c r="V2791" i="14"/>
  <c r="W2790" i="14"/>
  <c r="T2792" i="14"/>
  <c r="W2791" i="14"/>
  <c r="B2788" i="14" s="1"/>
  <c r="T2793" i="14" l="1"/>
  <c r="U2792" i="14"/>
  <c r="V2792" i="14"/>
  <c r="V2793" i="14" l="1"/>
  <c r="U2793" i="14"/>
  <c r="W2792" i="14"/>
  <c r="T2794" i="14"/>
  <c r="W2793" i="14"/>
  <c r="T2795" i="14" l="1"/>
  <c r="U2794" i="14"/>
  <c r="V2794" i="14"/>
  <c r="V2795" i="14" l="1"/>
  <c r="U2795" i="14"/>
  <c r="W2794" i="14"/>
  <c r="T2796" i="14"/>
  <c r="W2795" i="14"/>
  <c r="T2797" i="14" l="1"/>
  <c r="U2796" i="14"/>
  <c r="W2796" i="14" s="1"/>
  <c r="V2796" i="14"/>
  <c r="U2797" i="14" l="1"/>
  <c r="V2797" i="14"/>
  <c r="T2798" i="14"/>
  <c r="W2797" i="14"/>
  <c r="T2799" i="14" l="1"/>
  <c r="V2798" i="14"/>
  <c r="U2798" i="14"/>
  <c r="V2799" i="14" l="1"/>
  <c r="U2799" i="14"/>
  <c r="W2798" i="14"/>
  <c r="B2795" i="14" s="1"/>
  <c r="T2800" i="14"/>
  <c r="W2799" i="14"/>
  <c r="T2801" i="14" l="1"/>
  <c r="V2800" i="14"/>
  <c r="U2800" i="14"/>
  <c r="U2801" i="14" l="1"/>
  <c r="W2801" i="14" s="1"/>
  <c r="V2801" i="14"/>
  <c r="W2800" i="14"/>
  <c r="T2802" i="14"/>
  <c r="T2803" i="14" l="1"/>
  <c r="U2802" i="14"/>
  <c r="V2802" i="14"/>
  <c r="U2803" i="14" l="1"/>
  <c r="V2803" i="14"/>
  <c r="W2802" i="14"/>
  <c r="T2804" i="14"/>
  <c r="W2803" i="14"/>
  <c r="T2805" i="14" l="1"/>
  <c r="U2804" i="14"/>
  <c r="V2804" i="14"/>
  <c r="V2805" i="14" l="1"/>
  <c r="U2805" i="14"/>
  <c r="W2805" i="14" s="1"/>
  <c r="W2804" i="14"/>
  <c r="T2806" i="14"/>
  <c r="B2802" i="14" l="1"/>
  <c r="T2807" i="14"/>
  <c r="U2806" i="14"/>
  <c r="V2806" i="14"/>
  <c r="U2807" i="14" l="1"/>
  <c r="V2807" i="14"/>
  <c r="W2806" i="14"/>
  <c r="T2808" i="14"/>
  <c r="W2807" i="14"/>
  <c r="T2809" i="14" l="1"/>
  <c r="V2808" i="14"/>
  <c r="U2808" i="14"/>
  <c r="W2808" i="14" s="1"/>
  <c r="V2809" i="14" l="1"/>
  <c r="U2809" i="14"/>
  <c r="T2810" i="14"/>
  <c r="W2809" i="14"/>
  <c r="T2811" i="14" l="1"/>
  <c r="U2810" i="14"/>
  <c r="V2810" i="14"/>
  <c r="U2811" i="14" l="1"/>
  <c r="V2811" i="14"/>
  <c r="W2810" i="14"/>
  <c r="T2812" i="14"/>
  <c r="W2811" i="14"/>
  <c r="T2813" i="14" l="1"/>
  <c r="U2812" i="14"/>
  <c r="V2812" i="14"/>
  <c r="T2814" i="14" l="1"/>
  <c r="U2813" i="14"/>
  <c r="V2813" i="14"/>
  <c r="W2812" i="14"/>
  <c r="B2809" i="14" s="1"/>
  <c r="U2814" i="14" l="1"/>
  <c r="V2814" i="14"/>
  <c r="W2813" i="14"/>
  <c r="T2815" i="14"/>
  <c r="W2814" i="14"/>
  <c r="T2816" i="14" l="1"/>
  <c r="V2815" i="14"/>
  <c r="U2815" i="14"/>
  <c r="U2816" i="14" l="1"/>
  <c r="V2816" i="14"/>
  <c r="W2815" i="14"/>
  <c r="T2817" i="14"/>
  <c r="W2816" i="14"/>
  <c r="T2818" i="14" l="1"/>
  <c r="U2817" i="14"/>
  <c r="V2817" i="14"/>
  <c r="V2818" i="14" l="1"/>
  <c r="U2818" i="14"/>
  <c r="W2817" i="14"/>
  <c r="T2819" i="14"/>
  <c r="W2818" i="14"/>
  <c r="T2820" i="14" l="1"/>
  <c r="U2819" i="14"/>
  <c r="V2819" i="14"/>
  <c r="V2820" i="14" l="1"/>
  <c r="U2820" i="14"/>
  <c r="W2819" i="14"/>
  <c r="B2816" i="14" s="1"/>
  <c r="T2821" i="14"/>
  <c r="W2820" i="14"/>
  <c r="T2822" i="14" l="1"/>
  <c r="V2821" i="14"/>
  <c r="U2821" i="14"/>
  <c r="V2822" i="14" l="1"/>
  <c r="U2822" i="14"/>
  <c r="W2821" i="14"/>
  <c r="T2823" i="14"/>
  <c r="W2822" i="14"/>
  <c r="T2824" i="14" l="1"/>
  <c r="U2823" i="14"/>
  <c r="V2823" i="14"/>
  <c r="U2824" i="14" l="1"/>
  <c r="W2824" i="14" s="1"/>
  <c r="V2824" i="14"/>
  <c r="W2823" i="14"/>
  <c r="T2825" i="14"/>
  <c r="T2826" i="14" l="1"/>
  <c r="U2825" i="14"/>
  <c r="V2825" i="14"/>
  <c r="U2826" i="14" l="1"/>
  <c r="V2826" i="14"/>
  <c r="W2825" i="14"/>
  <c r="T2827" i="14"/>
  <c r="W2826" i="14"/>
  <c r="B2823" i="14" s="1"/>
  <c r="T2828" i="14" l="1"/>
  <c r="U2827" i="14"/>
  <c r="V2827" i="14"/>
  <c r="U2828" i="14" l="1"/>
  <c r="W2828" i="14" s="1"/>
  <c r="V2828" i="14"/>
  <c r="W2827" i="14"/>
  <c r="T2829" i="14"/>
  <c r="T2830" i="14" l="1"/>
  <c r="U2829" i="14"/>
  <c r="V2829" i="14"/>
  <c r="U2830" i="14" l="1"/>
  <c r="V2830" i="14"/>
  <c r="W2829" i="14"/>
  <c r="T2831" i="14"/>
  <c r="V2831" i="14" l="1"/>
  <c r="U2831" i="14"/>
  <c r="T2832" i="14"/>
  <c r="W2831" i="14"/>
  <c r="W2830" i="14"/>
  <c r="T2833" i="14" l="1"/>
  <c r="U2832" i="14"/>
  <c r="V2832" i="14"/>
  <c r="U2833" i="14" l="1"/>
  <c r="V2833" i="14"/>
  <c r="W2832" i="14"/>
  <c r="T2834" i="14"/>
  <c r="W2833" i="14"/>
  <c r="B2830" i="14" s="1"/>
  <c r="T2835" i="14" l="1"/>
  <c r="V2834" i="14"/>
  <c r="U2834" i="14"/>
  <c r="U2835" i="14" l="1"/>
  <c r="V2835" i="14"/>
  <c r="W2834" i="14"/>
  <c r="T2836" i="14"/>
  <c r="W2835" i="14"/>
  <c r="T2837" i="14" l="1"/>
  <c r="U2836" i="14"/>
  <c r="V2836" i="14"/>
  <c r="U2837" i="14" l="1"/>
  <c r="V2837" i="14"/>
  <c r="W2836" i="14"/>
  <c r="T2838" i="14"/>
  <c r="W2837" i="14"/>
  <c r="T2839" i="14" l="1"/>
  <c r="U2838" i="14"/>
  <c r="V2838" i="14"/>
  <c r="U2839" i="14" l="1"/>
  <c r="W2839" i="14" s="1"/>
  <c r="V2839" i="14"/>
  <c r="W2838" i="14"/>
  <c r="T2840" i="14"/>
  <c r="T2841" i="14" l="1"/>
  <c r="U2840" i="14"/>
  <c r="V2840" i="14"/>
  <c r="U2841" i="14" l="1"/>
  <c r="W2841" i="14" s="1"/>
  <c r="V2841" i="14"/>
  <c r="W2840" i="14"/>
  <c r="B2837" i="14" s="1"/>
  <c r="T2842" i="14"/>
  <c r="T2843" i="14" l="1"/>
  <c r="U2842" i="14"/>
  <c r="V2842" i="14"/>
  <c r="U2843" i="14" l="1"/>
  <c r="V2843" i="14"/>
  <c r="W2842" i="14"/>
  <c r="T2844" i="14"/>
  <c r="W2843" i="14"/>
  <c r="T2845" i="14" l="1"/>
  <c r="U2844" i="14"/>
  <c r="V2844" i="14"/>
  <c r="U2845" i="14" l="1"/>
  <c r="W2845" i="14" s="1"/>
  <c r="V2845" i="14"/>
  <c r="W2844" i="14"/>
  <c r="T2846" i="14"/>
  <c r="T2847" i="14" l="1"/>
  <c r="V2846" i="14"/>
  <c r="U2846" i="14"/>
  <c r="U2847" i="14" l="1"/>
  <c r="V2847" i="14"/>
  <c r="W2846" i="14"/>
  <c r="T2848" i="14"/>
  <c r="W2847" i="14"/>
  <c r="B2844" i="14" s="1"/>
  <c r="T2849" i="14" l="1"/>
  <c r="U2848" i="14"/>
  <c r="V2848" i="14"/>
  <c r="U2849" i="14" l="1"/>
  <c r="V2849" i="14"/>
  <c r="W2848" i="14"/>
  <c r="T2850" i="14"/>
  <c r="W2849" i="14"/>
  <c r="T2851" i="14" l="1"/>
  <c r="U2850" i="14"/>
  <c r="V2850" i="14"/>
  <c r="V2851" i="14" l="1"/>
  <c r="U2851" i="14"/>
  <c r="W2850" i="14"/>
  <c r="T2852" i="14"/>
  <c r="W2851" i="14"/>
  <c r="T2853" i="14" l="1"/>
  <c r="V2852" i="14"/>
  <c r="U2852" i="14"/>
  <c r="U2853" i="14" l="1"/>
  <c r="V2853" i="14"/>
  <c r="W2852" i="14"/>
  <c r="T2854" i="14"/>
  <c r="U2854" i="14" l="1"/>
  <c r="W2854" i="14" s="1"/>
  <c r="V2854" i="14"/>
  <c r="T2855" i="14"/>
  <c r="W2853" i="14"/>
  <c r="B2851" i="14" l="1"/>
  <c r="T2856" i="14"/>
  <c r="V2855" i="14"/>
  <c r="U2855" i="14"/>
  <c r="U2856" i="14" l="1"/>
  <c r="V2856" i="14"/>
  <c r="W2855" i="14"/>
  <c r="T2857" i="14"/>
  <c r="W2856" i="14"/>
  <c r="T2858" i="14" l="1"/>
  <c r="V2857" i="14"/>
  <c r="U2857" i="14"/>
  <c r="U2858" i="14" l="1"/>
  <c r="V2858" i="14"/>
  <c r="W2857" i="14"/>
  <c r="T2859" i="14"/>
  <c r="W2858" i="14"/>
  <c r="T2860" i="14" l="1"/>
  <c r="U2859" i="14"/>
  <c r="V2859" i="14"/>
  <c r="U2860" i="14" l="1"/>
  <c r="V2860" i="14"/>
  <c r="W2859" i="14"/>
  <c r="T2861" i="14"/>
  <c r="W2860" i="14"/>
  <c r="T2862" i="14" l="1"/>
  <c r="U2861" i="14"/>
  <c r="V2861" i="14"/>
  <c r="U2862" i="14" l="1"/>
  <c r="W2862" i="14" s="1"/>
  <c r="V2862" i="14"/>
  <c r="W2861" i="14"/>
  <c r="B2858" i="14" s="1"/>
  <c r="T2863" i="14"/>
  <c r="T2864" i="14" l="1"/>
  <c r="U2863" i="14"/>
  <c r="V2863" i="14"/>
  <c r="U2864" i="14" l="1"/>
  <c r="W2864" i="14" s="1"/>
  <c r="V2864" i="14"/>
  <c r="W2863" i="14"/>
  <c r="T2865" i="14"/>
  <c r="T2866" i="14" l="1"/>
  <c r="U2865" i="14"/>
  <c r="V2865" i="14"/>
  <c r="V2866" i="14" l="1"/>
  <c r="U2866" i="14"/>
  <c r="W2865" i="14"/>
  <c r="T2867" i="14"/>
  <c r="W2866" i="14"/>
  <c r="T2868" i="14" l="1"/>
  <c r="V2867" i="14"/>
  <c r="U2867" i="14"/>
  <c r="W2867" i="14" s="1"/>
  <c r="V2868" i="14" l="1"/>
  <c r="U2868" i="14"/>
  <c r="W2868" i="14" s="1"/>
  <c r="B2865" i="14" s="1"/>
  <c r="T2869" i="14"/>
  <c r="T2870" i="14" l="1"/>
  <c r="U2869" i="14"/>
  <c r="W2869" i="14" s="1"/>
  <c r="V2869" i="14"/>
  <c r="U2870" i="14" l="1"/>
  <c r="V2870" i="14"/>
  <c r="T2871" i="14"/>
  <c r="W2870" i="14"/>
  <c r="T2872" i="14" l="1"/>
  <c r="V2871" i="14"/>
  <c r="U2871" i="14"/>
  <c r="U2872" i="14" l="1"/>
  <c r="V2872" i="14"/>
  <c r="W2871" i="14"/>
  <c r="T2873" i="14"/>
  <c r="W2872" i="14"/>
  <c r="T2874" i="14" l="1"/>
  <c r="V2873" i="14"/>
  <c r="U2873" i="14"/>
  <c r="U2874" i="14" l="1"/>
  <c r="W2874" i="14" s="1"/>
  <c r="V2874" i="14"/>
  <c r="W2873" i="14"/>
  <c r="T2875" i="14"/>
  <c r="T2876" i="14" l="1"/>
  <c r="U2875" i="14"/>
  <c r="V2875" i="14"/>
  <c r="V2876" i="14" l="1"/>
  <c r="U2876" i="14"/>
  <c r="W2876" i="14" s="1"/>
  <c r="W2875" i="14"/>
  <c r="B2872" i="14" s="1"/>
  <c r="T2877" i="14"/>
  <c r="T2878" i="14" l="1"/>
  <c r="U2877" i="14"/>
  <c r="V2877" i="14"/>
  <c r="U2878" i="14" l="1"/>
  <c r="W2878" i="14" s="1"/>
  <c r="V2878" i="14"/>
  <c r="W2877" i="14"/>
  <c r="T2879" i="14"/>
  <c r="T2880" i="14" l="1"/>
  <c r="V2879" i="14"/>
  <c r="U2879" i="14"/>
  <c r="U2880" i="14" l="1"/>
  <c r="W2880" i="14" s="1"/>
  <c r="V2880" i="14"/>
  <c r="W2879" i="14"/>
  <c r="T2881" i="14"/>
  <c r="T2882" i="14" l="1"/>
  <c r="U2881" i="14"/>
  <c r="V2881" i="14"/>
  <c r="V2882" i="14" l="1"/>
  <c r="U2882" i="14"/>
  <c r="W2882" i="14" s="1"/>
  <c r="B2879" i="14" s="1"/>
  <c r="W2881" i="14"/>
  <c r="T2883" i="14"/>
  <c r="T2884" i="14" l="1"/>
  <c r="U2883" i="14"/>
  <c r="V2883" i="14"/>
  <c r="V2884" i="14" l="1"/>
  <c r="U2884" i="14"/>
  <c r="W2883" i="14"/>
  <c r="T2885" i="14"/>
  <c r="W2884" i="14"/>
  <c r="T2886" i="14" l="1"/>
  <c r="U2885" i="14"/>
  <c r="V2885" i="14"/>
  <c r="V2886" i="14" l="1"/>
  <c r="U2886" i="14"/>
  <c r="W2885" i="14"/>
  <c r="T2887" i="14"/>
  <c r="W2886" i="14"/>
  <c r="T2888" i="14" l="1"/>
  <c r="V2887" i="14"/>
  <c r="U2887" i="14"/>
  <c r="V2888" i="14" l="1"/>
  <c r="U2888" i="14"/>
  <c r="W2887" i="14"/>
  <c r="T2889" i="14"/>
  <c r="W2888" i="14"/>
  <c r="T2890" i="14" l="1"/>
  <c r="U2889" i="14"/>
  <c r="V2889" i="14"/>
  <c r="V2890" i="14" l="1"/>
  <c r="U2890" i="14"/>
  <c r="W2889" i="14"/>
  <c r="B2886" i="14" s="1"/>
  <c r="T2891" i="14"/>
  <c r="W2890" i="14"/>
  <c r="T2892" i="14" l="1"/>
  <c r="U2891" i="14"/>
  <c r="W2891" i="14" s="1"/>
  <c r="V2891" i="14"/>
  <c r="U2892" i="14" l="1"/>
  <c r="W2892" i="14" s="1"/>
  <c r="V2892" i="14"/>
  <c r="T2893" i="14"/>
  <c r="T2894" i="14" l="1"/>
  <c r="V2893" i="14"/>
  <c r="U2893" i="14"/>
  <c r="V2894" i="14" l="1"/>
  <c r="U2894" i="14"/>
  <c r="W2893" i="14"/>
  <c r="T2895" i="14"/>
  <c r="W2894" i="14"/>
  <c r="T2896" i="14" l="1"/>
  <c r="V2895" i="14"/>
  <c r="U2895" i="14"/>
  <c r="V2896" i="14" l="1"/>
  <c r="U2896" i="14"/>
  <c r="W2896" i="14" s="1"/>
  <c r="B2893" i="14" s="1"/>
  <c r="W2895" i="14"/>
  <c r="T2897" i="14"/>
  <c r="T2898" i="14" l="1"/>
  <c r="U2897" i="14"/>
  <c r="V2897" i="14"/>
  <c r="U2898" i="14" l="1"/>
  <c r="V2898" i="14"/>
  <c r="W2897" i="14"/>
  <c r="T2899" i="14"/>
  <c r="W2898" i="14"/>
  <c r="T2900" i="14" l="1"/>
  <c r="U2899" i="14"/>
  <c r="V2899" i="14"/>
  <c r="U2900" i="14" l="1"/>
  <c r="W2900" i="14" s="1"/>
  <c r="V2900" i="14"/>
  <c r="W2899" i="14"/>
  <c r="T2901" i="14"/>
  <c r="T2902" i="14" l="1"/>
  <c r="U2901" i="14"/>
  <c r="V2901" i="14"/>
  <c r="U2902" i="14" l="1"/>
  <c r="V2902" i="14"/>
  <c r="W2901" i="14"/>
  <c r="T2903" i="14"/>
  <c r="W2902" i="14"/>
  <c r="T2904" i="14" l="1"/>
  <c r="U2903" i="14"/>
  <c r="V2903" i="14"/>
  <c r="U2904" i="14" l="1"/>
  <c r="V2904" i="14"/>
  <c r="W2903" i="14"/>
  <c r="B2900" i="14" s="1"/>
  <c r="T2905" i="14"/>
  <c r="W2904" i="14"/>
  <c r="T2906" i="14" l="1"/>
  <c r="V2905" i="14"/>
  <c r="U2905" i="14"/>
  <c r="U2906" i="14" l="1"/>
  <c r="V2906" i="14"/>
  <c r="W2905" i="14"/>
  <c r="T2907" i="14"/>
  <c r="W2906" i="14"/>
  <c r="T2908" i="14" l="1"/>
  <c r="V2907" i="14"/>
  <c r="U2907" i="14"/>
  <c r="U2908" i="14" l="1"/>
  <c r="V2908" i="14"/>
  <c r="W2907" i="14"/>
  <c r="T2909" i="14"/>
  <c r="W2908" i="14"/>
  <c r="T2910" i="14" l="1"/>
  <c r="U2909" i="14"/>
  <c r="V2909" i="14"/>
  <c r="U2910" i="14" l="1"/>
  <c r="V2910" i="14"/>
  <c r="W2909" i="14"/>
  <c r="T2911" i="14"/>
  <c r="W2910" i="14"/>
  <c r="B2907" i="14" s="1"/>
  <c r="T2912" i="14" l="1"/>
  <c r="V2911" i="14"/>
  <c r="U2911" i="14"/>
  <c r="V2912" i="14" l="1"/>
  <c r="U2912" i="14"/>
  <c r="W2911" i="14"/>
  <c r="T2913" i="14"/>
  <c r="W2912" i="14"/>
  <c r="T2914" i="14" l="1"/>
  <c r="U2913" i="14"/>
  <c r="V2913" i="14"/>
  <c r="U2914" i="14" l="1"/>
  <c r="V2914" i="14"/>
  <c r="W2913" i="14"/>
  <c r="T2915" i="14"/>
  <c r="W2914" i="14"/>
  <c r="T2916" i="14" l="1"/>
  <c r="V2915" i="14"/>
  <c r="U2915" i="14"/>
  <c r="U2916" i="14" l="1"/>
  <c r="W2916" i="14" s="1"/>
  <c r="V2916" i="14"/>
  <c r="W2915" i="14"/>
  <c r="T2917" i="14"/>
  <c r="T2918" i="14" l="1"/>
  <c r="V2917" i="14"/>
  <c r="U2917" i="14"/>
  <c r="U2918" i="14" l="1"/>
  <c r="V2918" i="14"/>
  <c r="W2917" i="14"/>
  <c r="B2914" i="14" s="1"/>
  <c r="T2919" i="14"/>
  <c r="W2918" i="14"/>
  <c r="T2920" i="14" l="1"/>
  <c r="U2919" i="14"/>
  <c r="V2919" i="14"/>
  <c r="U2920" i="14" l="1"/>
  <c r="W2920" i="14" s="1"/>
  <c r="V2920" i="14"/>
  <c r="W2919" i="14"/>
  <c r="T2921" i="14"/>
  <c r="T2922" i="14" l="1"/>
  <c r="V2921" i="14"/>
  <c r="U2921" i="14"/>
  <c r="U2922" i="14" l="1"/>
  <c r="V2922" i="14"/>
  <c r="W2921" i="14"/>
  <c r="T2923" i="14"/>
  <c r="W2922" i="14"/>
  <c r="T2924" i="14" l="1"/>
  <c r="U2923" i="14"/>
  <c r="V2923" i="14"/>
  <c r="U2924" i="14" l="1"/>
  <c r="V2924" i="14"/>
  <c r="W2923" i="14"/>
  <c r="T2925" i="14"/>
  <c r="W2924" i="14"/>
  <c r="B2921" i="14" s="1"/>
  <c r="T2926" i="14" l="1"/>
  <c r="U2925" i="14"/>
  <c r="V2925" i="14"/>
  <c r="V2926" i="14" l="1"/>
  <c r="U2926" i="14"/>
  <c r="W2925" i="14"/>
  <c r="T2927" i="14"/>
  <c r="W2926" i="14"/>
  <c r="T2928" i="14" l="1"/>
  <c r="V2927" i="14"/>
  <c r="U2927" i="14"/>
  <c r="U2928" i="14" l="1"/>
  <c r="W2928" i="14" s="1"/>
  <c r="V2928" i="14"/>
  <c r="W2927" i="14"/>
  <c r="T2929" i="14"/>
  <c r="T2930" i="14" l="1"/>
  <c r="V2929" i="14"/>
  <c r="U2929" i="14"/>
  <c r="V2930" i="14" l="1"/>
  <c r="U2930" i="14"/>
  <c r="W2929" i="14"/>
  <c r="T2931" i="14"/>
  <c r="W2930" i="14"/>
  <c r="T2932" i="14" l="1"/>
  <c r="U2931" i="14"/>
  <c r="V2931" i="14"/>
  <c r="U2932" i="14" l="1"/>
  <c r="V2932" i="14"/>
  <c r="W2931" i="14"/>
  <c r="B2928" i="14" s="1"/>
  <c r="T2933" i="14"/>
  <c r="W2932" i="14"/>
  <c r="T2934" i="14" l="1"/>
  <c r="U2933" i="14"/>
  <c r="V2933" i="14"/>
  <c r="V2934" i="14" l="1"/>
  <c r="U2934" i="14"/>
  <c r="W2934" i="14" s="1"/>
  <c r="W2933" i="14"/>
  <c r="B2935" i="14" l="1"/>
</calcChain>
</file>

<file path=xl/sharedStrings.xml><?xml version="1.0" encoding="utf-8"?>
<sst xmlns="http://schemas.openxmlformats.org/spreadsheetml/2006/main" count="8494" uniqueCount="371">
  <si>
    <t>Datum</t>
  </si>
  <si>
    <t>Art</t>
  </si>
  <si>
    <t>Zeit</t>
  </si>
  <si>
    <t>SL</t>
  </si>
  <si>
    <t>WK</t>
  </si>
  <si>
    <t>HM</t>
  </si>
  <si>
    <t>KM</t>
  </si>
  <si>
    <t>Schuh</t>
  </si>
  <si>
    <t>-</t>
  </si>
  <si>
    <t>HMRT</t>
  </si>
  <si>
    <t>LB</t>
  </si>
  <si>
    <t>FS</t>
  </si>
  <si>
    <t>GA1</t>
  </si>
  <si>
    <t>GA2</t>
  </si>
  <si>
    <t>ASICS GEL-Kayano 20</t>
  </si>
  <si>
    <t xml:space="preserve"> </t>
  </si>
  <si>
    <t>New Balance</t>
  </si>
  <si>
    <t>ASICS DynaFlite</t>
  </si>
  <si>
    <t>Watt</t>
  </si>
  <si>
    <t>INT</t>
  </si>
  <si>
    <t>HFQ</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</si>
  <si>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</si>
  <si>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</si>
  <si>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</si>
  <si>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</si>
  <si>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</si>
  <si>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</si>
  <si>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</si>
  <si>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</si>
  <si>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</si>
  <si>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</si>
  <si>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</si>
  <si>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</si>
  <si>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</si>
  <si>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</si>
  <si>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</si>
  <si>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</si>
  <si>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</si>
  <si>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</si>
  <si>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</si>
  <si>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</si>
  <si>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</si>
  <si>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</si>
  <si>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</si>
  <si>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</si>
  <si>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</si>
  <si>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</si>
  <si>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</si>
  <si>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</si>
  <si>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</si>
  <si>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</si>
  <si>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</si>
  <si>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</si>
  <si>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</si>
  <si>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</si>
  <si>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</si>
  <si>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</si>
  <si>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</si>
  <si>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</si>
  <si>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</si>
  <si>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</si>
  <si>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</si>
  <si>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</si>
  <si>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</si>
  <si>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</si>
  <si>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</si>
  <si>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</si>
  <si>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</si>
  <si>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</si>
  <si>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</si>
  <si>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</si>
  <si>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</si>
  <si>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</si>
  <si>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</si>
  <si>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</si>
  <si>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</si>
  <si>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</si>
  <si>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</si>
  <si>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</si>
  <si>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</si>
  <si>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</si>
  <si>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</si>
  <si>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</si>
  <si>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</si>
  <si>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</si>
  <si>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</si>
  <si>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</si>
  <si>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</si>
  <si>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</si>
  <si>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</si>
  <si>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</si>
  <si>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</si>
  <si>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</si>
  <si>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</si>
  <si>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</si>
  <si>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</si>
  <si>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</si>
  <si>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</si>
  <si>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</si>
  <si>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</si>
  <si>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</si>
  <si>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</si>
  <si>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</si>
  <si>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</si>
  <si>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</si>
  <si>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</si>
  <si>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</si>
  <si>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</si>
  <si>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</si>
  <si>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</si>
  <si>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</si>
  <si>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</si>
  <si>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093</t>
  </si>
  <si>
    <t>094</t>
  </si>
  <si>
    <t>095</t>
  </si>
  <si>
    <t>096</t>
  </si>
  <si>
    <t>097</t>
  </si>
  <si>
    <t>098</t>
  </si>
  <si>
    <t>099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</si>
  <si>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</si>
  <si>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</si>
  <si>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</si>
  <si>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</si>
  <si>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</si>
  <si>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</si>
  <si>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</si>
  <si>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</si>
  <si>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</si>
  <si>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</si>
  <si>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</si>
  <si>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</si>
  <si>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</si>
  <si>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</si>
  <si>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</si>
  <si>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</si>
  <si>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</si>
  <si>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</si>
  <si>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</si>
  <si>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</si>
  <si>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</si>
  <si>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</si>
  <si>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</si>
  <si>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Km</t>
  </si>
  <si>
    <t>CP</t>
  </si>
  <si>
    <t>TSS</t>
  </si>
  <si>
    <t>GA1.4</t>
  </si>
  <si>
    <t>GA1.6</t>
  </si>
  <si>
    <t>GA1.8</t>
  </si>
  <si>
    <t>GA1.10</t>
  </si>
  <si>
    <t>GA1.12</t>
  </si>
  <si>
    <t>GA1.14</t>
  </si>
  <si>
    <t>GA1.16</t>
  </si>
  <si>
    <t>GA1.18</t>
  </si>
  <si>
    <t>GA1.20</t>
  </si>
  <si>
    <t>GA1.22</t>
  </si>
  <si>
    <t>GA2.10</t>
  </si>
  <si>
    <t>GA2.12</t>
  </si>
  <si>
    <t>GA2.14</t>
  </si>
  <si>
    <t>SL10</t>
  </si>
  <si>
    <t>SL12</t>
  </si>
  <si>
    <t>SL14</t>
  </si>
  <si>
    <t>INT6</t>
  </si>
  <si>
    <t>INT8</t>
  </si>
  <si>
    <t>INT10</t>
  </si>
  <si>
    <t>INT4</t>
  </si>
  <si>
    <t>HMRT4</t>
  </si>
  <si>
    <t>HMRT6</t>
  </si>
  <si>
    <t>Pace</t>
  </si>
  <si>
    <t>PYR3</t>
  </si>
  <si>
    <t>PYR600</t>
  </si>
  <si>
    <t>PYR800</t>
  </si>
  <si>
    <t>092</t>
  </si>
  <si>
    <t>#</t>
  </si>
  <si>
    <t>rec</t>
  </si>
  <si>
    <t>4INT2k</t>
  </si>
  <si>
    <t>Adizero Boston</t>
  </si>
  <si>
    <t>Saucony München 3</t>
  </si>
  <si>
    <t>123</t>
  </si>
  <si>
    <t>124</t>
  </si>
  <si>
    <t>125</t>
  </si>
  <si>
    <t>126</t>
  </si>
  <si>
    <t>127</t>
  </si>
  <si>
    <t>128</t>
  </si>
  <si>
    <t>129</t>
  </si>
  <si>
    <t>130</t>
  </si>
  <si>
    <t>131</t>
  </si>
  <si>
    <t>132</t>
  </si>
  <si>
    <t>133</t>
  </si>
  <si>
    <t>134</t>
  </si>
  <si>
    <t>135</t>
  </si>
  <si>
    <t>136</t>
  </si>
  <si>
    <t>137</t>
  </si>
  <si>
    <t>138</t>
  </si>
  <si>
    <t>139</t>
  </si>
  <si>
    <t>140</t>
  </si>
  <si>
    <t>141</t>
  </si>
  <si>
    <t>142</t>
  </si>
  <si>
    <t>143</t>
  </si>
  <si>
    <t>wk</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</si>
  <si>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</si>
  <si>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</si>
  <si>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</si>
  <si>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</si>
  <si>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</si>
  <si>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</si>
  <si>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</si>
  <si>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</si>
  <si>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</si>
  <si>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</si>
  <si>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</si>
  <si>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</si>
  <si>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</si>
  <si>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</si>
  <si>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</si>
  <si>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</si>
  <si>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</si>
  <si>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</si>
  <si>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</si>
  <si>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</si>
  <si>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</si>
  <si>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</si>
  <si>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</si>
  <si>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</si>
  <si>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</si>
  <si>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</si>
  <si>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</si>
  <si>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</si>
  <si>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</si>
  <si>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</si>
  <si>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</si>
  <si>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</si>
  <si>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</si>
  <si>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</si>
  <si>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</si>
  <si>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</si>
  <si>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</si>
  <si>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</si>
  <si>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</si>
  <si>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</si>
  <si>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</si>
  <si>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</si>
  <si>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</si>
  <si>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</si>
  <si>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</si>
  <si>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</si>
  <si>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</si>
  <si>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</si>
  <si>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</si>
  <si>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TSB</t>
  </si>
  <si>
    <t>GA1.16s</t>
  </si>
  <si>
    <t>GA1.20s</t>
  </si>
  <si>
    <t>Saucony Guide ISO 2</t>
  </si>
  <si>
    <t>New Balance 860 v9</t>
  </si>
  <si>
    <t>New Balance 1080 v9</t>
  </si>
  <si>
    <t>ECOR</t>
  </si>
  <si>
    <t>rec60</t>
  </si>
  <si>
    <t>load</t>
  </si>
  <si>
    <t>CTL</t>
  </si>
  <si>
    <t>INT5</t>
  </si>
  <si>
    <t>Brooks Defyance 10</t>
  </si>
  <si>
    <t>REP10</t>
  </si>
  <si>
    <t>REP</t>
  </si>
  <si>
    <t>REP6</t>
  </si>
  <si>
    <t>REP8</t>
  </si>
  <si>
    <t>REP4</t>
  </si>
  <si>
    <t>REP12</t>
  </si>
  <si>
    <t>Z2.4</t>
  </si>
  <si>
    <t>Z2.6</t>
  </si>
  <si>
    <t>Z2.8</t>
  </si>
  <si>
    <t>Z2.10</t>
  </si>
  <si>
    <t>Z2.12</t>
  </si>
  <si>
    <t>Z2.14</t>
  </si>
  <si>
    <t>Z2.16</t>
  </si>
  <si>
    <t>Z2.90'</t>
  </si>
  <si>
    <t>Z2.100'</t>
  </si>
  <si>
    <t>Z2.110'</t>
  </si>
  <si>
    <t>Z2.2h</t>
  </si>
  <si>
    <t>Z1.HR</t>
  </si>
  <si>
    <t>Z2.HR</t>
  </si>
  <si>
    <t>Z2.60'</t>
  </si>
  <si>
    <t>Adizero Boston 8</t>
  </si>
  <si>
    <t>Z1.12</t>
  </si>
  <si>
    <t>Z1.mHR</t>
  </si>
  <si>
    <t>Z1.sHR</t>
  </si>
  <si>
    <t>Z2.sHR</t>
  </si>
  <si>
    <t>Z2.mHR</t>
  </si>
  <si>
    <t>Z4.30</t>
  </si>
  <si>
    <t>Z4.40</t>
  </si>
  <si>
    <t>Z4.50</t>
  </si>
  <si>
    <t>Z4.60</t>
  </si>
  <si>
    <t>FS.10</t>
  </si>
  <si>
    <t>pwr/hr</t>
  </si>
  <si>
    <t>j</t>
  </si>
  <si>
    <t>n</t>
  </si>
  <si>
    <t>k</t>
  </si>
  <si>
    <t>New Balance 1080 v10</t>
  </si>
  <si>
    <t>Z2.25</t>
  </si>
  <si>
    <t>trail</t>
  </si>
  <si>
    <t>nct-lauf</t>
  </si>
  <si>
    <t>Innov-8 Terraultra</t>
  </si>
  <si>
    <t>MON</t>
  </si>
  <si>
    <t>Z4.10k</t>
  </si>
  <si>
    <t>Z4.4x6'</t>
  </si>
  <si>
    <t>Z4.4x8'</t>
  </si>
  <si>
    <t>Z4.4x10'</t>
  </si>
  <si>
    <t>hills</t>
  </si>
  <si>
    <t>bb</t>
  </si>
  <si>
    <t>trails</t>
  </si>
  <si>
    <t>Z2.70'</t>
  </si>
  <si>
    <t>Z2.80'</t>
  </si>
  <si>
    <t>Z4.20</t>
  </si>
  <si>
    <t>Brooks Defyance 11</t>
  </si>
  <si>
    <t>Z5.5x3'</t>
  </si>
  <si>
    <t>Z5.6x3'</t>
  </si>
  <si>
    <t>Z5.8x3'</t>
  </si>
  <si>
    <t>Z6.6x90''</t>
  </si>
  <si>
    <t>Z6.8x90''</t>
  </si>
  <si>
    <t>Z4.4x5'</t>
  </si>
  <si>
    <t>Z4.3x12'</t>
  </si>
  <si>
    <t>5k-wk</t>
  </si>
  <si>
    <t>Z3.20</t>
  </si>
  <si>
    <t>Z3.60'</t>
  </si>
  <si>
    <t>Z2.45'</t>
  </si>
  <si>
    <t>Z2.30'</t>
  </si>
  <si>
    <t>Z3.10'</t>
  </si>
  <si>
    <t>Z3.20'</t>
  </si>
  <si>
    <t>Z1.45'</t>
  </si>
  <si>
    <t>Mizuno</t>
  </si>
  <si>
    <t>Adidas Solarglide 5</t>
  </si>
  <si>
    <t>HOKA Rincon 3</t>
  </si>
  <si>
    <t>5k</t>
  </si>
  <si>
    <t>str</t>
  </si>
  <si>
    <t>6x1'</t>
  </si>
  <si>
    <t>HOKA Clifton 8</t>
  </si>
  <si>
    <t>wo</t>
  </si>
  <si>
    <t>8x1'/1'</t>
  </si>
  <si>
    <t>ecor</t>
  </si>
  <si>
    <t>pw/hr</t>
  </si>
  <si>
    <t>Z3.45'</t>
  </si>
  <si>
    <t>HOKA Clifton 7</t>
  </si>
  <si>
    <t>HOKA Rincon 3 II</t>
  </si>
  <si>
    <t>HOKA Carbon X</t>
  </si>
  <si>
    <t>Innov-8 Trailfly</t>
  </si>
  <si>
    <t>Z2.40'</t>
  </si>
  <si>
    <t>FS45</t>
  </si>
  <si>
    <t>HOKA Mach 5</t>
  </si>
  <si>
    <t>Saucony Triumph 21</t>
  </si>
  <si>
    <t>RSS</t>
  </si>
  <si>
    <t>Z4.2x11</t>
  </si>
  <si>
    <t>Z2.85'</t>
  </si>
  <si>
    <t>Z2.95'</t>
  </si>
  <si>
    <t>4x3'</t>
  </si>
  <si>
    <t>ATL</t>
  </si>
  <si>
    <t>W1</t>
  </si>
  <si>
    <t>W2</t>
  </si>
  <si>
    <t>Z2.35'</t>
  </si>
  <si>
    <t xml:space="preserve">j </t>
  </si>
  <si>
    <t>HOKA Bondi 8</t>
  </si>
  <si>
    <t>HOKA Clifton 10</t>
  </si>
  <si>
    <t>Z4.2x10'</t>
  </si>
  <si>
    <t>Z4.20'</t>
  </si>
  <si>
    <t>row</t>
  </si>
  <si>
    <t>row15</t>
  </si>
  <si>
    <t>row20</t>
  </si>
  <si>
    <t>row25</t>
  </si>
  <si>
    <t>row5</t>
  </si>
  <si>
    <t>Pace/500m</t>
  </si>
  <si>
    <t>row10</t>
  </si>
  <si>
    <t>notes</t>
  </si>
  <si>
    <t>WOD</t>
  </si>
  <si>
    <t>distanz während pause 816m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</si>
</sst>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dd\.mm"/>
    <numFmt numFmtId="167" formatCode="ddd\ dd\.mm"/>
    <numFmt numFmtId="169" formatCode="0.0"/>
    <numFmt numFmtId="170" formatCode="0.000"/>
  </numFmts>
  <fonts count="21" x14ac:knownFonts="1">
    <font>
      <sz val="10"/>
      <name val="Arial"/>
      <family val="2"/>
    </font>
    <font>
      <sz val="12"/>
      <color theme="1"/>
      <name val="Calibri"/>
      <family val="2"/>
      <scheme val="minor"/>
    </font>
    <font>
      <sz val="12"/>
      <color theme="1"/>
      <name val="Calibri"/>
      <family val="2"/>
      <scheme val="minor"/>
    </font>
    <font>
      <b/>
      <sz val="10"/>
      <name val="Arial"/>
      <family val="2"/>
    </font>
    <font>
      <sz val="10"/>
      <name val="Arial"/>
      <family val="2"/>
    </font>
    <font>
      <u/>
      <sz val="10"/>
      <color theme="10"/>
      <name val="Arial"/>
      <family val="2"/>
    </font>
    <font>
      <u/>
      <sz val="10"/>
      <color theme="11"/>
      <name val="Arial"/>
      <family val="2"/>
    </font>
    <font>
      <sz val="8"/>
      <name val="Arial"/>
      <family val="2"/>
    </font>
    <font>
      <sz val="10"/>
      <name val="Arial"/>
      <family val="2"/>
    </font>
    <font>
      <sz val="9"/>
      <name val="Arial"/>
      <family val="2"/>
    </font>
    <font>
      <sz val="11"/>
      <name val="Calibri"/>
      <family val="2"/>
      <scheme val="minor"/>
    </font>
    <font>
      <b/>
      <sz val="11"/>
      <name val="Calibri"/>
      <family val="2"/>
      <scheme val="minor"/>
    </font>
    <font>
      <sz val="11"/>
      <color rgb="FF000000"/>
      <name val="Calibri"/>
      <family val="2"/>
      <scheme val="minor"/>
    </font>
    <font>
      <sz val="11"/>
      <color theme="1"/>
      <name val="Calibri"/>
      <family val="2"/>
      <scheme val="minor"/>
    </font>
    <font>
      <b/>
      <sz val="11"/>
      <color theme="1"/>
      <name val="Calibri"/>
      <family val="2"/>
      <scheme val="minor"/>
    </font>
    <font>
      <b/>
      <sz val="11"/>
      <name val="Arial"/>
      <family val="2"/>
    </font>
    <font>
      <b/>
      <u/>
      <sz val="11"/>
      <color theme="10"/>
      <name val="Calibri"/>
      <family val="2"/>
      <scheme val="minor"/>
    </font>
    <font>
      <b/>
      <sz val="11"/>
      <name val="Calibri"/>
      <family val="2"/>
    </font>
    <font>
      <b/>
      <sz val="11"/>
      <color theme="1"/>
      <name val="Arial"/>
      <family val="2"/>
    </font>
    <font>
      <b/>
      <sz val="10"/>
      <color rgb="FF000000"/>
      <name val="Arial"/>
      <family val="2"/>
    </font>
    <font>
      <sz val="10"/>
      <color rgb="FF000000"/>
      <name val="Arial"/>
      <family val="2"/>
    </font>
  </fonts>
  <fills count="18">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rgb="FFFCE4D6"/>
        <bgColor rgb="FF000000"/>
      </patternFill>
    </fill>
    <fill>
      <patternFill patternType="solid">
        <fgColor theme="4" tint="0.39997558519241921"/>
        <bgColor indexed="64"/>
      </patternFill>
    </fill>
    <fill>
      <patternFill patternType="solid">
        <fgColor theme="5" tint="-0.499984740745262"/>
        <bgColor indexed="64"/>
      </patternFill>
    </fill>
    <fill>
      <patternFill patternType="solid">
        <fgColor theme="4" tint="0.59999389629810485"/>
        <bgColor indexed="64"/>
      </patternFill>
    </fill>
    <fill>
      <patternFill patternType="solid">
        <fgColor rgb="FFC00000"/>
        <bgColor indexed="64"/>
      </patternFill>
    </fill>
    <fill>
      <patternFill patternType="solid">
        <fgColor theme="5"/>
        <bgColor indexed="64"/>
      </patternFill>
    </fill>
    <fill>
      <patternFill patternType="solid">
        <fgColor theme="9"/>
        <bgColor indexed="64"/>
      </patternFill>
    </fill>
  </fills>
  <borders count="837">
    <border>
      <left/>
      <right/>
      <top/>
      <bottom/>
      <diagonal/>
    </border>
    <border>
      <left style="medium">
        <color indexed="8"/>
      </left>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top style="thin">
        <color indexed="8"/>
      </top>
      <bottom/>
      <diagonal/>
    </border>
    <border>
      <left/>
      <right style="medium">
        <color indexed="8"/>
      </right>
      <top style="thin">
        <color indexed="8"/>
      </top>
      <bottom/>
      <diagonal/>
    </border>
    <border>
      <left/>
      <right/>
      <top style="thin">
        <color indexed="8"/>
      </top>
      <bottom/>
      <diagonal/>
    </border>
    <border>
      <left style="medium">
        <color auto="1"/>
      </left>
      <right/>
      <top/>
      <bottom/>
      <diagonal/>
    </border>
    <border>
      <left style="medium">
        <color auto="1"/>
      </left>
      <right style="medium">
        <color indexed="8"/>
      </right>
      <top style="thin">
        <color indexed="8"/>
      </top>
      <bottom style="thin">
        <color indexed="8"/>
      </bottom>
      <diagonal/>
    </border>
    <border>
      <left style="medium">
        <color auto="1"/>
      </left>
      <right/>
      <top style="medium">
        <color auto="1"/>
      </top>
      <bottom style="medium">
        <color indexed="8"/>
      </bottom>
      <diagonal/>
    </border>
    <border>
      <left style="medium">
        <color auto="1"/>
      </left>
      <right/>
      <top style="medium">
        <color indexed="8"/>
      </top>
      <bottom/>
      <diagonal/>
    </border>
    <border>
      <left style="medium">
        <color auto="1"/>
      </left>
      <right style="medium">
        <color indexed="8"/>
      </right>
      <top style="thin">
        <color indexed="8"/>
      </top>
      <bottom/>
      <diagonal/>
    </border>
    <border>
      <left style="medium">
        <color auto="1"/>
      </left>
      <right style="medium">
        <color auto="1"/>
      </right>
      <top style="medium">
        <color auto="1"/>
      </top>
      <bottom/>
      <diagonal/>
    </border>
    <border>
      <left/>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bottom/>
      <diagonal/>
    </border>
    <border>
      <left style="medium">
        <color auto="1"/>
      </left>
      <right/>
      <top style="thin">
        <color auto="1"/>
      </top>
      <bottom style="thin">
        <color auto="1"/>
      </bottom>
      <diagonal/>
    </border>
    <border>
      <left style="medium">
        <color auto="1"/>
      </left>
      <right style="medium">
        <color auto="1"/>
      </right>
      <top style="thin">
        <color auto="1"/>
      </top>
      <bottom/>
      <diagonal/>
    </border>
    <border>
      <left style="medium">
        <color auto="1"/>
      </left>
      <right/>
      <top style="thin">
        <color auto="1"/>
      </top>
      <bottom/>
      <diagonal/>
    </border>
    <border>
      <left style="medium">
        <color indexed="8"/>
      </left>
      <right/>
      <top style="thin">
        <color indexed="8"/>
      </top>
      <bottom style="thin">
        <color indexed="8"/>
      </bottom>
      <diagonal/>
    </border>
    <border>
      <left/>
      <right style="medium">
        <color auto="1"/>
      </right>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right/>
      <top style="thin">
        <color auto="1"/>
      </top>
      <bottom style="thin">
        <color auto="1"/>
      </bottom>
      <diagonal/>
    </border>
    <border>
      <left style="medium">
        <color auto="1"/>
      </left>
      <right/>
      <top style="thin">
        <color auto="1"/>
      </top>
      <bottom style="medium">
        <color indexed="64"/>
      </bottom>
      <diagonal/>
    </border>
    <border>
      <left style="medium">
        <color indexed="64"/>
      </left>
      <right/>
      <top style="thin">
        <color indexed="8"/>
      </top>
      <bottom style="thin">
        <color indexed="8"/>
      </bottom>
      <diagonal/>
    </border>
    <border>
      <left style="medium">
        <color indexed="8"/>
      </left>
      <right/>
      <top/>
      <bottom style="thin">
        <color indexed="8"/>
      </bottom>
      <diagonal/>
    </border>
    <border>
      <left/>
      <right/>
      <top/>
      <bottom style="thin">
        <color indexed="8"/>
      </bottom>
      <diagonal/>
    </border>
    <border>
      <left style="medium">
        <color auto="1"/>
      </left>
      <right/>
      <top/>
      <bottom style="thin">
        <color auto="1"/>
      </bottom>
      <diagonal/>
    </border>
    <border>
      <left style="medium">
        <color indexed="64"/>
      </left>
      <right style="medium">
        <color indexed="64"/>
      </right>
      <top/>
      <bottom style="thin">
        <color indexed="8"/>
      </bottom>
      <diagonal/>
    </border>
    <border>
      <left style="medium">
        <color indexed="64"/>
      </left>
      <right style="medium">
        <color indexed="64"/>
      </right>
      <top/>
      <bottom style="thin">
        <color indexed="64"/>
      </bottom>
      <diagonal/>
    </border>
    <border>
      <left style="medium">
        <color indexed="8"/>
      </left>
      <right style="medium">
        <color indexed="8"/>
      </right>
      <top style="thin">
        <color indexed="8"/>
      </top>
      <bottom style="thin">
        <color indexed="64"/>
      </bottom>
      <diagonal/>
    </border>
    <border>
      <left/>
      <right/>
      <top/>
      <bottom style="thin">
        <color indexed="64"/>
      </bottom>
      <diagonal/>
    </border>
    <border>
      <left/>
      <right style="medium">
        <color auto="1"/>
      </right>
      <top/>
      <bottom style="thin">
        <color indexed="64"/>
      </bottom>
      <diagonal/>
    </border>
    <border>
      <left style="medium">
        <color auto="1"/>
      </left>
      <right/>
      <top/>
      <bottom style="thin">
        <color indexed="64"/>
      </bottom>
      <diagonal/>
    </border>
    <border>
      <left/>
      <right/>
      <top style="thin">
        <color indexed="8"/>
      </top>
      <bottom style="thin">
        <color indexed="8"/>
      </bottom>
      <diagonal/>
    </border>
    <border>
      <left style="medium">
        <color indexed="64"/>
      </left>
      <right/>
      <top style="thin">
        <color indexed="8"/>
      </top>
      <bottom style="thin">
        <color indexed="8"/>
      </bottom>
      <diagonal/>
    </border>
    <border>
      <left style="medium">
        <color indexed="64"/>
      </left>
      <right/>
      <top style="thin">
        <color indexed="64"/>
      </top>
      <bottom style="medium">
        <color indexed="64"/>
      </bottom>
      <diagonal/>
    </border>
    <border>
      <left/>
      <right style="medium">
        <color indexed="64"/>
      </right>
      <top style="thin">
        <color indexed="8"/>
      </top>
      <bottom style="thin">
        <color indexed="8"/>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8"/>
      </bottom>
      <diagonal/>
    </border>
    <border>
      <left style="medium">
        <color indexed="64"/>
      </left>
      <right/>
      <top style="medium">
        <color indexed="64"/>
      </top>
      <bottom style="thin">
        <color auto="1"/>
      </bottom>
      <diagonal/>
    </border>
    <border>
      <left style="medium">
        <color indexed="64"/>
      </left>
      <right/>
      <top/>
      <bottom style="thin">
        <color indexed="8"/>
      </bottom>
      <diagonal/>
    </border>
    <border>
      <left style="medium">
        <color auto="1"/>
      </left>
      <right/>
      <top/>
      <bottom style="medium">
        <color auto="1"/>
      </bottom>
      <diagonal/>
    </border>
    <border>
      <left style="medium">
        <color auto="1"/>
      </left>
      <right style="medium">
        <color auto="1"/>
      </right>
      <top/>
      <bottom style="medium">
        <color auto="1"/>
      </bottom>
      <diagonal/>
    </border>
    <border>
      <left/>
      <right/>
      <top style="thin">
        <color auto="1"/>
      </top>
      <bottom/>
      <diagonal/>
    </border>
    <border>
      <left style="medium">
        <color indexed="64"/>
      </left>
      <right/>
      <top style="thin">
        <color auto="1"/>
      </top>
      <bottom style="thin">
        <color auto="1"/>
      </bottom>
      <diagonal/>
    </border>
    <border>
      <left/>
      <right/>
      <top style="thin">
        <color auto="1"/>
      </top>
      <bottom style="thin">
        <color auto="1"/>
      </bottom>
      <diagonal/>
    </border>
    <border>
      <left style="medium">
        <color indexed="64"/>
      </left>
      <right style="medium">
        <color indexed="64"/>
      </right>
      <top style="thin">
        <color indexed="8"/>
      </top>
      <bottom style="thin">
        <color indexed="8"/>
      </bottom>
      <diagonal/>
    </border>
    <border>
      <left/>
      <right/>
      <top style="thin">
        <color indexed="8"/>
      </top>
      <bottom style="thin">
        <color indexed="8"/>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64"/>
      </top>
      <bottom style="thin">
        <color indexed="64"/>
      </bottom>
      <diagonal/>
    </border>
    <border>
      <left/>
      <right/>
      <top style="thin">
        <color indexed="8"/>
      </top>
      <bottom style="thin">
        <color indexed="8"/>
      </bottom>
      <diagonal/>
    </border>
    <border>
      <left style="medium">
        <color indexed="64"/>
      </left>
      <right/>
      <top style="thin">
        <color indexed="8"/>
      </top>
      <bottom style="thin">
        <color indexed="8"/>
      </bottom>
      <diagonal/>
    </border>
    <border>
      <left style="medium">
        <color indexed="8"/>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top style="thin">
        <color auto="1"/>
      </top>
      <bottom style="thin">
        <color auto="1"/>
      </bottom>
      <diagonal/>
    </border>
    <border>
      <left style="medium">
        <color auto="1"/>
      </left>
      <right/>
      <top style="thin">
        <color auto="1"/>
      </top>
      <bottom/>
      <diagonal/>
    </border>
    <border>
      <left style="medium">
        <color indexed="64"/>
      </left>
      <right style="medium">
        <color indexed="64"/>
      </right>
      <top style="thin">
        <color indexed="8"/>
      </top>
      <bottom style="thin">
        <color indexed="8"/>
      </bottom>
      <diagonal/>
    </border>
    <border>
      <left style="medium">
        <color auto="1"/>
      </left>
      <right style="medium">
        <color auto="1"/>
      </right>
      <top style="thin">
        <color auto="1"/>
      </top>
      <bottom/>
      <diagonal/>
    </border>
    <border>
      <left/>
      <right/>
      <top style="thin">
        <color indexed="8"/>
      </top>
      <bottom style="thin">
        <color indexed="8"/>
      </bottom>
      <diagonal/>
    </border>
    <border>
      <left style="medium">
        <color indexed="64"/>
      </left>
      <right/>
      <top style="thin">
        <color indexed="8"/>
      </top>
      <bottom style="thin">
        <color indexed="8"/>
      </bottom>
      <diagonal/>
    </border>
    <border>
      <left style="medium">
        <color indexed="8"/>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top style="thin">
        <color auto="1"/>
      </top>
      <bottom style="thin">
        <color auto="1"/>
      </bottom>
      <diagonal/>
    </border>
    <border>
      <left/>
      <right/>
      <top style="thin">
        <color auto="1"/>
      </top>
      <bottom style="thin">
        <color auto="1"/>
      </bottom>
      <diagonal/>
    </border>
    <border>
      <left style="medium">
        <color auto="1"/>
      </left>
      <right/>
      <top style="thin">
        <color indexed="8"/>
      </top>
      <bottom style="thin">
        <color indexed="8"/>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8"/>
      </bottom>
      <diagonal/>
    </border>
    <border>
      <left style="medium">
        <color auto="1"/>
      </left>
      <right/>
      <top style="medium">
        <color indexed="64"/>
      </top>
      <bottom style="thin">
        <color indexed="8"/>
      </bottom>
      <diagonal/>
    </border>
    <border>
      <left style="medium">
        <color indexed="8"/>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style="medium">
        <color indexed="8"/>
      </left>
      <right/>
      <top style="thin">
        <color indexed="8"/>
      </top>
      <bottom style="thin">
        <color indexed="8"/>
      </bottom>
      <diagonal/>
    </border>
    <border>
      <left style="medium">
        <color indexed="64"/>
      </left>
      <right/>
      <top style="thin">
        <color indexed="64"/>
      </top>
      <bottom style="medium">
        <color indexed="64"/>
      </bottom>
      <diagonal/>
    </border>
    <border>
      <left style="medium">
        <color indexed="64"/>
      </left>
      <right style="medium">
        <color indexed="64"/>
      </right>
      <top style="thin">
        <color indexed="8"/>
      </top>
      <bottom/>
      <diagonal/>
    </border>
    <border>
      <left/>
      <right/>
      <top style="thin">
        <color indexed="8"/>
      </top>
      <bottom/>
      <diagonal/>
    </border>
    <border>
      <left style="medium">
        <color indexed="64"/>
      </left>
      <right/>
      <top style="thin">
        <color indexed="8"/>
      </top>
      <bottom/>
      <diagonal/>
    </border>
    <border>
      <left style="medium">
        <color indexed="64"/>
      </left>
      <right style="medium">
        <color indexed="64"/>
      </right>
      <top style="thin">
        <color indexed="64"/>
      </top>
      <bottom/>
      <diagonal/>
    </border>
    <border>
      <left/>
      <right style="medium">
        <color indexed="64"/>
      </right>
      <top style="thin">
        <color indexed="8"/>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8"/>
      </top>
      <bottom style="thin">
        <color indexed="8"/>
      </bottom>
      <diagonal/>
    </border>
    <border>
      <left/>
      <right/>
      <top style="thin">
        <color indexed="8"/>
      </top>
      <bottom style="thin">
        <color indexed="8"/>
      </bottom>
      <diagonal/>
    </border>
    <border>
      <left style="medium">
        <color indexed="64"/>
      </left>
      <right/>
      <top style="thin">
        <color indexed="8"/>
      </top>
      <bottom style="thin">
        <color indexed="8"/>
      </bottom>
      <diagonal/>
    </border>
    <border>
      <left style="medium">
        <color indexed="8"/>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medium">
        <color indexed="64"/>
      </right>
      <top style="thin">
        <color indexed="8"/>
      </top>
      <bottom style="medium">
        <color indexed="64"/>
      </bottom>
      <diagonal/>
    </border>
    <border>
      <left/>
      <right/>
      <top style="thin">
        <color indexed="8"/>
      </top>
      <bottom style="medium">
        <color indexed="64"/>
      </bottom>
      <diagonal/>
    </border>
    <border>
      <left style="medium">
        <color indexed="64"/>
      </left>
      <right/>
      <top style="thin">
        <color indexed="8"/>
      </top>
      <bottom style="medium">
        <color indexed="64"/>
      </bottom>
      <diagonal/>
    </border>
    <border>
      <left style="medium">
        <color indexed="8"/>
      </left>
      <right/>
      <top style="thin">
        <color indexed="8"/>
      </top>
      <bottom style="medium">
        <color indexed="64"/>
      </bottom>
      <diagonal/>
    </border>
    <border>
      <left/>
      <right style="medium">
        <color indexed="64"/>
      </right>
      <top style="thin">
        <color indexed="8"/>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8"/>
      </bottom>
      <diagonal/>
    </border>
    <border>
      <left style="medium">
        <color indexed="64"/>
      </left>
      <right style="medium">
        <color indexed="64"/>
      </right>
      <top style="medium">
        <color indexed="64"/>
      </top>
      <bottom style="thin">
        <color indexed="64"/>
      </bottom>
      <diagonal/>
    </border>
    <border>
      <left style="medium">
        <color auto="1"/>
      </left>
      <right style="medium">
        <color auto="1"/>
      </right>
      <top style="medium">
        <color indexed="64"/>
      </top>
      <bottom style="thin">
        <color auto="1"/>
      </bottom>
      <diagonal/>
    </border>
    <border>
      <left style="medium">
        <color indexed="64"/>
      </left>
      <right/>
      <top style="medium">
        <color indexed="64"/>
      </top>
      <bottom style="thin">
        <color auto="1"/>
      </bottom>
      <diagonal/>
    </border>
    <border>
      <left/>
      <right/>
      <top style="medium">
        <color indexed="64"/>
      </top>
      <bottom style="thin">
        <color indexed="8"/>
      </bottom>
      <diagonal/>
    </border>
    <border>
      <left style="medium">
        <color indexed="64"/>
      </left>
      <right/>
      <top style="medium">
        <color indexed="64"/>
      </top>
      <bottom style="thin">
        <color indexed="8"/>
      </bottom>
      <diagonal/>
    </border>
    <border>
      <left/>
      <right style="medium">
        <color indexed="64"/>
      </right>
      <top style="medium">
        <color indexed="64"/>
      </top>
      <bottom style="thin">
        <color indexed="8"/>
      </bottom>
      <diagonal/>
    </border>
    <border>
      <left style="medium">
        <color auto="1"/>
      </left>
      <right/>
      <top style="medium">
        <color indexed="64"/>
      </top>
      <bottom style="thin">
        <color indexed="64"/>
      </bottom>
      <diagonal/>
    </border>
    <border>
      <left/>
      <right/>
      <top style="medium">
        <color indexed="64"/>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medium">
        <color indexed="64"/>
      </bottom>
      <diagonal/>
    </border>
    <border>
      <left/>
      <right/>
      <top style="thin">
        <color auto="1"/>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bottom style="thin">
        <color indexed="8"/>
      </bottom>
      <diagonal/>
    </border>
    <border>
      <left style="medium">
        <color indexed="64"/>
      </left>
      <right style="medium">
        <color auto="1"/>
      </right>
      <top style="thin">
        <color auto="1"/>
      </top>
      <bottom style="thin">
        <color auto="1"/>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right/>
      <top style="thin">
        <color indexed="8"/>
      </top>
      <bottom style="thin">
        <color indexed="8"/>
      </bottom>
      <diagonal/>
    </border>
    <border>
      <left style="medium">
        <color indexed="64"/>
      </left>
      <right/>
      <top style="thin">
        <color auto="1"/>
      </top>
      <bottom style="thin">
        <color auto="1"/>
      </bottom>
      <diagonal/>
    </border>
    <border>
      <left style="medium">
        <color auto="1"/>
      </left>
      <right style="medium">
        <color indexed="8"/>
      </right>
      <top/>
      <bottom style="thin">
        <color indexed="8"/>
      </bottom>
      <diagonal/>
    </border>
    <border>
      <left style="medium">
        <color indexed="64"/>
      </left>
      <right/>
      <top style="thin">
        <color auto="1"/>
      </top>
      <bottom style="thin">
        <color auto="1"/>
      </bottom>
      <diagonal/>
    </border>
    <border>
      <left style="medium">
        <color indexed="64"/>
      </left>
      <right style="medium">
        <color indexed="64"/>
      </right>
      <top style="thin">
        <color indexed="64"/>
      </top>
      <bottom style="thin">
        <color indexed="64"/>
      </bottom>
      <diagonal/>
    </border>
    <border>
      <left style="medium">
        <color auto="1"/>
      </left>
      <right style="medium">
        <color auto="1"/>
      </right>
      <top style="thin">
        <color auto="1"/>
      </top>
      <bottom/>
      <diagonal/>
    </border>
    <border>
      <left style="medium">
        <color indexed="64"/>
      </left>
      <right/>
      <top style="thin">
        <color auto="1"/>
      </top>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right/>
      <top style="thin">
        <color indexed="8"/>
      </top>
      <bottom style="thin">
        <color indexed="8"/>
      </bottom>
      <diagonal/>
    </border>
    <border>
      <left style="medium">
        <color indexed="64"/>
      </left>
      <right/>
      <top style="thin">
        <color auto="1"/>
      </top>
      <bottom style="thin">
        <color auto="1"/>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right/>
      <top style="thin">
        <color indexed="8"/>
      </top>
      <bottom style="thin">
        <color indexed="8"/>
      </bottom>
      <diagonal/>
    </border>
    <border>
      <left style="medium">
        <color indexed="64"/>
      </left>
      <right/>
      <top style="thin">
        <color auto="1"/>
      </top>
      <bottom style="thin">
        <color auto="1"/>
      </bottom>
      <diagonal/>
    </border>
    <border>
      <left style="medium">
        <color auto="1"/>
      </left>
      <right style="medium">
        <color indexed="8"/>
      </right>
      <top style="thin">
        <color indexed="8"/>
      </top>
      <bottom/>
      <diagonal/>
    </border>
    <border>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style="medium">
        <color indexed="64"/>
      </left>
      <right style="medium">
        <color indexed="64"/>
      </right>
      <top style="thin">
        <color indexed="64"/>
      </top>
      <bottom/>
      <diagonal/>
    </border>
    <border>
      <left style="medium">
        <color indexed="64"/>
      </left>
      <right/>
      <top style="thin">
        <color auto="1"/>
      </top>
      <bottom style="thin">
        <color auto="1"/>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right/>
      <top style="thin">
        <color indexed="8"/>
      </top>
      <bottom style="thin">
        <color indexed="8"/>
      </bottom>
      <diagonal/>
    </border>
    <border>
      <left/>
      <right/>
      <top style="thin">
        <color auto="1"/>
      </top>
      <bottom style="thin">
        <color auto="1"/>
      </bottom>
      <diagonal/>
    </border>
    <border>
      <left/>
      <right/>
      <top style="thin">
        <color auto="1"/>
      </top>
      <bottom style="thin">
        <color auto="1"/>
      </bottom>
      <diagonal/>
    </border>
    <border>
      <left style="medium">
        <color auto="1"/>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right/>
      <top style="thin">
        <color indexed="8"/>
      </top>
      <bottom style="thin">
        <color indexed="8"/>
      </bottom>
      <diagonal/>
    </border>
    <border>
      <left style="medium">
        <color indexed="64"/>
      </left>
      <right/>
      <top style="thin">
        <color auto="1"/>
      </top>
      <bottom style="thin">
        <color auto="1"/>
      </bottom>
      <diagonal/>
    </border>
    <border>
      <left/>
      <right/>
      <top style="thin">
        <color auto="1"/>
      </top>
      <bottom style="thin">
        <color auto="1"/>
      </bottom>
      <diagonal/>
    </border>
    <border>
      <left style="medium">
        <color auto="1"/>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right/>
      <top style="thin">
        <color indexed="8"/>
      </top>
      <bottom style="thin">
        <color indexed="8"/>
      </bottom>
      <diagonal/>
    </border>
    <border>
      <left style="medium">
        <color indexed="64"/>
      </left>
      <right/>
      <top style="thin">
        <color auto="1"/>
      </top>
      <bottom style="thin">
        <color auto="1"/>
      </bottom>
      <diagonal/>
    </border>
    <border>
      <left style="medium">
        <color auto="1"/>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right/>
      <top style="thin">
        <color indexed="8"/>
      </top>
      <bottom style="thin">
        <color indexed="8"/>
      </bottom>
      <diagonal/>
    </border>
    <border>
      <left style="medium">
        <color indexed="64"/>
      </left>
      <right/>
      <top style="thin">
        <color auto="1"/>
      </top>
      <bottom style="thin">
        <color auto="1"/>
      </bottom>
      <diagonal/>
    </border>
    <border>
      <left style="medium">
        <color auto="1"/>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right/>
      <top style="thin">
        <color indexed="8"/>
      </top>
      <bottom style="thin">
        <color indexed="8"/>
      </bottom>
      <diagonal/>
    </border>
    <border>
      <left style="medium">
        <color indexed="64"/>
      </left>
      <right/>
      <top style="thin">
        <color auto="1"/>
      </top>
      <bottom style="thin">
        <color auto="1"/>
      </bottom>
      <diagonal/>
    </border>
    <border>
      <left style="medium">
        <color auto="1"/>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right/>
      <top style="thin">
        <color indexed="8"/>
      </top>
      <bottom style="thin">
        <color indexed="8"/>
      </bottom>
      <diagonal/>
    </border>
    <border>
      <left style="medium">
        <color indexed="64"/>
      </left>
      <right/>
      <top style="thin">
        <color auto="1"/>
      </top>
      <bottom style="thin">
        <color auto="1"/>
      </bottom>
      <diagonal/>
    </border>
    <border>
      <left/>
      <right style="medium">
        <color indexed="8"/>
      </right>
      <top style="thin">
        <color indexed="8"/>
      </top>
      <bottom style="thin">
        <color indexed="8"/>
      </bottom>
      <diagonal/>
    </border>
    <border>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top style="thin">
        <color auto="1"/>
      </top>
      <bottom style="thin">
        <color auto="1"/>
      </bottom>
      <diagonal/>
    </border>
    <border>
      <left/>
      <right style="medium">
        <color indexed="8"/>
      </right>
      <top style="thin">
        <color indexed="8"/>
      </top>
      <bottom style="thin">
        <color indexed="8"/>
      </bottom>
      <diagonal/>
    </border>
    <border>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top style="thin">
        <color auto="1"/>
      </top>
      <bottom style="thin">
        <color auto="1"/>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right/>
      <top style="thin">
        <color indexed="8"/>
      </top>
      <bottom style="thin">
        <color indexed="8"/>
      </bottom>
      <diagonal/>
    </border>
    <border>
      <left style="medium">
        <color indexed="64"/>
      </left>
      <right/>
      <top style="thin">
        <color auto="1"/>
      </top>
      <bottom style="thin">
        <color auto="1"/>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right/>
      <top style="thin">
        <color indexed="8"/>
      </top>
      <bottom style="thin">
        <color indexed="8"/>
      </bottom>
      <diagonal/>
    </border>
    <border>
      <left style="medium">
        <color indexed="64"/>
      </left>
      <right/>
      <top style="thin">
        <color auto="1"/>
      </top>
      <bottom style="thin">
        <color auto="1"/>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right/>
      <top style="thin">
        <color indexed="8"/>
      </top>
      <bottom style="thin">
        <color indexed="8"/>
      </bottom>
      <diagonal/>
    </border>
    <border>
      <left style="medium">
        <color indexed="64"/>
      </left>
      <right/>
      <top style="thin">
        <color auto="1"/>
      </top>
      <bottom style="thin">
        <color auto="1"/>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right/>
      <top style="thin">
        <color indexed="8"/>
      </top>
      <bottom style="thin">
        <color indexed="8"/>
      </bottom>
      <diagonal/>
    </border>
    <border>
      <left style="medium">
        <color indexed="64"/>
      </left>
      <right/>
      <top style="thin">
        <color auto="1"/>
      </top>
      <bottom style="thin">
        <color auto="1"/>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right/>
      <top style="thin">
        <color indexed="8"/>
      </top>
      <bottom style="thin">
        <color indexed="8"/>
      </bottom>
      <diagonal/>
    </border>
    <border>
      <left style="medium">
        <color indexed="64"/>
      </left>
      <right/>
      <top style="thin">
        <color auto="1"/>
      </top>
      <bottom style="thin">
        <color auto="1"/>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right/>
      <top style="thin">
        <color indexed="8"/>
      </top>
      <bottom style="thin">
        <color indexed="8"/>
      </bottom>
      <diagonal/>
    </border>
    <border>
      <left style="medium">
        <color indexed="64"/>
      </left>
      <right/>
      <top style="thin">
        <color auto="1"/>
      </top>
      <bottom style="thin">
        <color auto="1"/>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right/>
      <top style="thin">
        <color indexed="8"/>
      </top>
      <bottom style="thin">
        <color indexed="8"/>
      </bottom>
      <diagonal/>
    </border>
    <border>
      <left style="medium">
        <color indexed="64"/>
      </left>
      <right/>
      <top style="thin">
        <color auto="1"/>
      </top>
      <bottom style="thin">
        <color auto="1"/>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right/>
      <top style="thin">
        <color indexed="8"/>
      </top>
      <bottom style="thin">
        <color indexed="8"/>
      </bottom>
      <diagonal/>
    </border>
    <border>
      <left style="medium">
        <color indexed="64"/>
      </left>
      <right/>
      <top style="thin">
        <color auto="1"/>
      </top>
      <bottom style="thin">
        <color auto="1"/>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right/>
      <top style="thin">
        <color indexed="8"/>
      </top>
      <bottom style="thin">
        <color indexed="8"/>
      </bottom>
      <diagonal/>
    </border>
    <border>
      <left style="medium">
        <color indexed="64"/>
      </left>
      <right/>
      <top style="thin">
        <color auto="1"/>
      </top>
      <bottom style="thin">
        <color auto="1"/>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right/>
      <top style="thin">
        <color indexed="8"/>
      </top>
      <bottom style="thin">
        <color indexed="8"/>
      </bottom>
      <diagonal/>
    </border>
    <border>
      <left style="medium">
        <color indexed="64"/>
      </left>
      <right/>
      <top style="thin">
        <color auto="1"/>
      </top>
      <bottom style="thin">
        <color auto="1"/>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right/>
      <top style="thin">
        <color indexed="8"/>
      </top>
      <bottom style="thin">
        <color indexed="8"/>
      </bottom>
      <diagonal/>
    </border>
    <border>
      <left style="medium">
        <color indexed="64"/>
      </left>
      <right/>
      <top style="thin">
        <color auto="1"/>
      </top>
      <bottom style="thin">
        <color auto="1"/>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right/>
      <top style="thin">
        <color indexed="8"/>
      </top>
      <bottom style="thin">
        <color indexed="8"/>
      </bottom>
      <diagonal/>
    </border>
    <border>
      <left style="medium">
        <color indexed="64"/>
      </left>
      <right/>
      <top style="thin">
        <color auto="1"/>
      </top>
      <bottom style="thin">
        <color auto="1"/>
      </bottom>
      <diagonal/>
    </border>
    <border>
      <left style="medium">
        <color auto="1"/>
      </left>
      <right style="medium">
        <color indexed="8"/>
      </right>
      <top/>
      <bottom style="thin">
        <color indexed="8"/>
      </bottom>
      <diagonal/>
    </border>
    <border>
      <left/>
      <right style="medium">
        <color indexed="8"/>
      </right>
      <top/>
      <bottom style="thin">
        <color indexed="8"/>
      </bottom>
      <diagonal/>
    </border>
    <border>
      <left style="medium">
        <color indexed="64"/>
      </left>
      <right style="medium">
        <color indexed="64"/>
      </right>
      <top/>
      <bottom style="thin">
        <color indexed="8"/>
      </bottom>
      <diagonal/>
    </border>
    <border>
      <left/>
      <right/>
      <top/>
      <bottom style="thin">
        <color indexed="8"/>
      </bottom>
      <diagonal/>
    </border>
    <border>
      <left style="medium">
        <color indexed="64"/>
      </left>
      <right/>
      <top/>
      <bottom style="thin">
        <color auto="1"/>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right/>
      <top style="thin">
        <color indexed="8"/>
      </top>
      <bottom style="thin">
        <color indexed="8"/>
      </bottom>
      <diagonal/>
    </border>
    <border>
      <left style="medium">
        <color indexed="64"/>
      </left>
      <right/>
      <top style="thin">
        <color auto="1"/>
      </top>
      <bottom style="thin">
        <color auto="1"/>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right/>
      <top style="thin">
        <color indexed="8"/>
      </top>
      <bottom style="thin">
        <color indexed="8"/>
      </bottom>
      <diagonal/>
    </border>
    <border>
      <left style="medium">
        <color indexed="64"/>
      </left>
      <right/>
      <top style="thin">
        <color auto="1"/>
      </top>
      <bottom style="thin">
        <color auto="1"/>
      </bottom>
      <diagonal/>
    </border>
    <border>
      <left style="medium">
        <color indexed="8"/>
      </left>
      <right/>
      <top style="thin">
        <color indexed="8"/>
      </top>
      <bottom/>
      <diagonal/>
    </border>
    <border>
      <left style="medium">
        <color indexed="64"/>
      </left>
      <right style="medium">
        <color indexed="64"/>
      </right>
      <top style="thin">
        <color indexed="8"/>
      </top>
      <bottom/>
      <diagonal/>
    </border>
    <border>
      <left/>
      <right/>
      <top style="thin">
        <color indexed="8"/>
      </top>
      <bottom/>
      <diagonal/>
    </border>
    <border>
      <left/>
      <right style="medium">
        <color indexed="8"/>
      </right>
      <top style="thin">
        <color indexed="8"/>
      </top>
      <bottom style="thin">
        <color indexed="8"/>
      </bottom>
      <diagonal/>
    </border>
    <border>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top style="thin">
        <color auto="1"/>
      </top>
      <bottom style="thin">
        <color auto="1"/>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diagonal/>
    </border>
    <border>
      <left style="medium">
        <color indexed="64"/>
      </left>
      <right/>
      <top style="thin">
        <color indexed="8"/>
      </top>
      <bottom style="thin">
        <color indexed="8"/>
      </bottom>
      <diagonal/>
    </border>
    <border>
      <left style="medium">
        <color indexed="8"/>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medium">
        <color indexed="64"/>
      </right>
      <top style="thin">
        <color indexed="64"/>
      </top>
      <bottom/>
      <diagonal/>
    </border>
    <border>
      <left style="medium">
        <color indexed="8"/>
      </left>
      <right/>
      <top/>
      <bottom style="thin">
        <color indexed="8"/>
      </bottom>
      <diagonal/>
    </border>
    <border>
      <left/>
      <right style="medium">
        <color indexed="64"/>
      </right>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medium">
        <color indexed="64"/>
      </left>
      <right/>
      <top style="thin">
        <color indexed="64"/>
      </top>
      <bottom/>
      <diagonal/>
    </border>
    <border>
      <left/>
      <right/>
      <top style="thin">
        <color indexed="64"/>
      </top>
      <bottom/>
      <diagonal/>
    </border>
    <border>
      <left style="medium">
        <color indexed="64"/>
      </left>
      <right/>
      <top style="thin">
        <color indexed="8"/>
      </top>
      <bottom/>
      <diagonal/>
    </border>
    <border>
      <left style="medium">
        <color indexed="8"/>
      </left>
      <right/>
      <top style="thin">
        <color indexed="8"/>
      </top>
      <bottom/>
      <diagonal/>
    </border>
    <border>
      <left style="medium">
        <color auto="1"/>
      </left>
      <right style="medium">
        <color auto="1"/>
      </right>
      <top/>
      <bottom style="thin">
        <color auto="1"/>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8"/>
      </top>
      <bottom/>
      <diagonal/>
    </border>
    <border>
      <left/>
      <right/>
      <top style="thin">
        <color indexed="8"/>
      </top>
      <bottom/>
      <diagonal/>
    </border>
    <border>
      <left style="medium">
        <color auto="1"/>
      </left>
      <right/>
      <top style="thin">
        <color indexed="8"/>
      </top>
      <bottom/>
      <diagonal/>
    </border>
    <border>
      <left style="medium">
        <color indexed="8"/>
      </left>
      <right/>
      <top style="thin">
        <color indexed="8"/>
      </top>
      <bottom/>
      <diagonal/>
    </border>
    <border>
      <left style="medium">
        <color indexed="64"/>
      </left>
      <right style="medium">
        <color indexed="64"/>
      </right>
      <top style="thin">
        <color indexed="64"/>
      </top>
      <bottom/>
      <diagonal/>
    </border>
    <border>
      <left/>
      <right style="medium">
        <color indexed="64"/>
      </right>
      <top style="thin">
        <color indexed="8"/>
      </top>
      <bottom/>
      <diagonal/>
    </border>
    <border>
      <left style="medium">
        <color indexed="64"/>
      </left>
      <right/>
      <top style="thin">
        <color indexed="64"/>
      </top>
      <bottom/>
      <diagonal/>
    </border>
    <border>
      <left/>
      <right/>
      <top style="thin">
        <color indexed="64"/>
      </top>
      <bottom/>
      <diagonal/>
    </border>
    <border>
      <left style="medium">
        <color auto="1"/>
      </left>
      <right style="medium">
        <color indexed="8"/>
      </right>
      <top style="thin">
        <color indexed="8"/>
      </top>
      <bottom style="thin">
        <color indexed="8"/>
      </bottom>
      <diagonal/>
    </border>
    <border>
      <left style="medium">
        <color indexed="64"/>
      </left>
      <right/>
      <top style="thin">
        <color indexed="8"/>
      </top>
      <bottom style="thin">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top style="medium">
        <color indexed="64"/>
      </top>
      <bottom style="thin">
        <color auto="1"/>
      </bottom>
      <diagonal/>
    </border>
    <border>
      <left/>
      <right style="medium">
        <color indexed="8"/>
      </right>
      <top style="medium">
        <color indexed="64"/>
      </top>
      <bottom style="thin">
        <color indexed="8"/>
      </bottom>
      <diagonal/>
    </border>
    <border>
      <left style="medium">
        <color indexed="8"/>
      </left>
      <right/>
      <top style="medium">
        <color indexed="64"/>
      </top>
      <bottom style="thin">
        <color indexed="8"/>
      </bottom>
      <diagonal/>
    </border>
    <border>
      <left/>
      <right/>
      <top style="medium">
        <color indexed="64"/>
      </top>
      <bottom style="thin">
        <color indexed="8"/>
      </bottom>
      <diagonal/>
    </border>
    <border>
      <left style="medium">
        <color auto="1"/>
      </left>
      <right/>
      <top style="medium">
        <color indexed="64"/>
      </top>
      <bottom style="thin">
        <color indexed="64"/>
      </bottom>
      <diagonal/>
    </border>
    <border>
      <left/>
      <right/>
      <top style="medium">
        <color indexed="64"/>
      </top>
      <bottom style="thin">
        <color auto="1"/>
      </bottom>
      <diagonal/>
    </border>
    <border>
      <left/>
      <right/>
      <top style="thin">
        <color auto="1"/>
      </top>
      <bottom style="thin">
        <color auto="1"/>
      </bottom>
      <diagonal/>
    </border>
    <border>
      <left style="medium">
        <color indexed="64"/>
      </left>
      <right/>
      <top style="thin">
        <color auto="1"/>
      </top>
      <bottom style="medium">
        <color indexed="64"/>
      </bottom>
      <diagonal/>
    </border>
    <border>
      <left style="medium">
        <color auto="1"/>
      </left>
      <right style="medium">
        <color auto="1"/>
      </right>
      <top style="thin">
        <color auto="1"/>
      </top>
      <bottom style="medium">
        <color indexed="64"/>
      </bottom>
      <diagonal/>
    </border>
    <border>
      <left/>
      <right style="medium">
        <color indexed="8"/>
      </right>
      <top style="thin">
        <color indexed="8"/>
      </top>
      <bottom style="medium">
        <color indexed="64"/>
      </bottom>
      <diagonal/>
    </border>
    <border>
      <left style="medium">
        <color indexed="8"/>
      </left>
      <right/>
      <top style="thin">
        <color indexed="8"/>
      </top>
      <bottom style="medium">
        <color indexed="64"/>
      </bottom>
      <diagonal/>
    </border>
    <border>
      <left/>
      <right/>
      <top style="thin">
        <color indexed="8"/>
      </top>
      <bottom style="medium">
        <color indexed="64"/>
      </bottom>
      <diagonal/>
    </border>
    <border>
      <left/>
      <right/>
      <top style="thin">
        <color auto="1"/>
      </top>
      <bottom style="medium">
        <color indexed="64"/>
      </bottom>
      <diagonal/>
    </border>
    <border>
      <left/>
      <right/>
      <top style="thin">
        <color auto="1"/>
      </top>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right/>
      <top style="thin">
        <color indexed="8"/>
      </top>
      <bottom style="thin">
        <color indexed="8"/>
      </bottom>
      <diagonal/>
    </border>
    <border>
      <left style="medium">
        <color indexed="64"/>
      </left>
      <right style="medium">
        <color indexed="64"/>
      </right>
      <top style="thin">
        <color indexed="64"/>
      </top>
      <bottom style="thin">
        <color indexed="64"/>
      </bottom>
      <diagonal/>
    </border>
    <border>
      <left style="medium">
        <color indexed="64"/>
      </left>
      <right/>
      <top style="thin">
        <color auto="1"/>
      </top>
      <bottom style="thin">
        <color auto="1"/>
      </bottom>
      <diagonal/>
    </border>
    <border>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right/>
      <top style="thin">
        <color indexed="8"/>
      </top>
      <bottom style="thin">
        <color indexed="8"/>
      </bottom>
      <diagonal/>
    </border>
    <border>
      <left style="medium">
        <color indexed="64"/>
      </left>
      <right style="medium">
        <color indexed="64"/>
      </right>
      <top style="thin">
        <color auto="1"/>
      </top>
      <bottom style="thin">
        <color auto="1"/>
      </bottom>
      <diagonal/>
    </border>
    <border>
      <left style="medium">
        <color indexed="64"/>
      </left>
      <right/>
      <top style="thin">
        <color auto="1"/>
      </top>
      <bottom style="medium">
        <color indexed="64"/>
      </bottom>
      <diagonal/>
    </border>
    <border>
      <left style="medium">
        <color auto="1"/>
      </left>
      <right style="medium">
        <color auto="1"/>
      </right>
      <top style="thin">
        <color auto="1"/>
      </top>
      <bottom style="medium">
        <color indexed="64"/>
      </bottom>
      <diagonal/>
    </border>
    <border>
      <left/>
      <right style="medium">
        <color indexed="8"/>
      </right>
      <top style="thin">
        <color indexed="8"/>
      </top>
      <bottom style="medium">
        <color indexed="64"/>
      </bottom>
      <diagonal/>
    </border>
    <border>
      <left style="medium">
        <color indexed="8"/>
      </left>
      <right/>
      <top style="thin">
        <color indexed="8"/>
      </top>
      <bottom style="medium">
        <color indexed="64"/>
      </bottom>
      <diagonal/>
    </border>
    <border>
      <left/>
      <right/>
      <top style="thin">
        <color indexed="8"/>
      </top>
      <bottom style="medium">
        <color indexed="64"/>
      </bottom>
      <diagonal/>
    </border>
    <border>
      <left/>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8"/>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8"/>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right/>
      <top style="thin">
        <color indexed="64"/>
      </top>
      <bottom style="medium">
        <color indexed="64"/>
      </bottom>
      <diagonal/>
    </border>
    <border>
      <left/>
      <right/>
      <top style="thin">
        <color indexed="64"/>
      </top>
      <bottom/>
      <diagonal/>
    </border>
    <border>
      <left/>
      <right/>
      <top style="thin">
        <color indexed="8"/>
      </top>
      <bottom/>
      <diagonal/>
    </border>
    <border>
      <left style="medium">
        <color auto="1"/>
      </left>
      <right/>
      <top style="thin">
        <color indexed="8"/>
      </top>
      <bottom/>
      <diagonal/>
    </border>
    <border>
      <left style="medium">
        <color indexed="8"/>
      </left>
      <right/>
      <top style="thin">
        <color indexed="8"/>
      </top>
      <bottom/>
      <diagonal/>
    </border>
    <border>
      <left/>
      <right style="medium">
        <color indexed="64"/>
      </right>
      <top style="thin">
        <color indexed="8"/>
      </top>
      <bottom/>
      <diagonal/>
    </border>
    <border>
      <left/>
      <right/>
      <top style="thin">
        <color indexed="8"/>
      </top>
      <bottom style="thin">
        <color indexed="8"/>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auto="1"/>
      </left>
      <right style="medium">
        <color indexed="8"/>
      </right>
      <top style="thin">
        <color indexed="8"/>
      </top>
      <bottom style="thin">
        <color indexed="8"/>
      </bottom>
      <diagonal/>
    </border>
    <border>
      <left style="medium">
        <color auto="1"/>
      </left>
      <right style="medium">
        <color indexed="8"/>
      </right>
      <top style="thin">
        <color indexed="8"/>
      </top>
      <bottom style="medium">
        <color indexed="64"/>
      </bottom>
      <diagonal/>
    </border>
    <border>
      <left/>
      <right/>
      <top style="thin">
        <color indexed="8"/>
      </top>
      <bottom style="medium">
        <color indexed="64"/>
      </bottom>
      <diagonal/>
    </border>
    <border>
      <left style="medium">
        <color indexed="64"/>
      </left>
      <right/>
      <top style="thin">
        <color indexed="8"/>
      </top>
      <bottom style="medium">
        <color indexed="64"/>
      </bottom>
      <diagonal/>
    </border>
    <border>
      <left/>
      <right style="medium">
        <color indexed="64"/>
      </right>
      <top style="thin">
        <color indexed="8"/>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8"/>
      </bottom>
      <diagonal/>
    </border>
    <border>
      <left/>
      <right/>
      <top style="thin">
        <color indexed="64"/>
      </top>
      <bottom/>
      <diagonal/>
    </border>
    <border>
      <left style="medium">
        <color indexed="64"/>
      </left>
      <right style="medium">
        <color indexed="64"/>
      </right>
      <top/>
      <bottom/>
      <diagonal/>
    </border>
    <border>
      <left style="medium">
        <color auto="1"/>
      </left>
      <right style="medium">
        <color indexed="8"/>
      </right>
      <top style="medium">
        <color indexed="64"/>
      </top>
      <bottom style="thin">
        <color indexed="8"/>
      </bottom>
      <diagonal/>
    </border>
    <border>
      <left/>
      <right style="medium">
        <color indexed="8"/>
      </right>
      <top style="medium">
        <color indexed="64"/>
      </top>
      <bottom style="thin">
        <color indexed="8"/>
      </bottom>
      <diagonal/>
    </border>
    <border>
      <left style="medium">
        <color indexed="8"/>
      </left>
      <right/>
      <top style="medium">
        <color indexed="64"/>
      </top>
      <bottom style="thin">
        <color indexed="8"/>
      </bottom>
      <diagonal/>
    </border>
    <border>
      <left/>
      <right/>
      <top style="medium">
        <color indexed="64"/>
      </top>
      <bottom style="thin">
        <color indexed="8"/>
      </bottom>
      <diagonal/>
    </border>
    <border>
      <left/>
      <right/>
      <top style="medium">
        <color indexed="64"/>
      </top>
      <bottom style="thin">
        <color auto="1"/>
      </bottom>
      <diagonal/>
    </border>
    <border>
      <left/>
      <right/>
      <top style="thin">
        <color auto="1"/>
      </top>
      <bottom style="medium">
        <color indexed="64"/>
      </bottom>
      <diagonal/>
    </border>
    <border>
      <left/>
      <right/>
      <top style="thin">
        <color auto="1"/>
      </top>
      <bottom/>
      <diagonal/>
    </border>
    <border>
      <left style="medium">
        <color indexed="64"/>
      </left>
      <right/>
      <top style="medium">
        <color indexed="64"/>
      </top>
      <bottom style="thin">
        <color auto="1"/>
      </bottom>
      <diagonal/>
    </border>
    <border>
      <left style="medium">
        <color auto="1"/>
      </left>
      <right style="medium">
        <color auto="1"/>
      </right>
      <top style="medium">
        <color indexed="64"/>
      </top>
      <bottom style="thin">
        <color auto="1"/>
      </bottom>
      <diagonal/>
    </border>
    <border>
      <left style="medium">
        <color indexed="64"/>
      </left>
      <right/>
      <top style="medium">
        <color indexed="64"/>
      </top>
      <bottom style="thin">
        <color indexed="8"/>
      </bottom>
      <diagonal/>
    </border>
    <border>
      <left style="medium">
        <color indexed="64"/>
      </left>
      <right/>
      <top style="thin">
        <color indexed="8"/>
      </top>
      <bottom style="medium">
        <color indexed="64"/>
      </bottom>
      <diagonal/>
    </border>
    <border>
      <left style="medium">
        <color indexed="64"/>
      </left>
      <right/>
      <top/>
      <bottom style="thin">
        <color indexed="8"/>
      </bottom>
      <diagonal/>
    </border>
    <border>
      <left style="medium">
        <color indexed="8"/>
      </left>
      <right/>
      <top style="medium">
        <color indexed="64"/>
      </top>
      <bottom style="thin">
        <color indexed="8"/>
      </bottom>
      <diagonal/>
    </border>
    <border>
      <left style="medium">
        <color indexed="8"/>
      </left>
      <right/>
      <top style="thin">
        <color indexed="8"/>
      </top>
      <bottom style="thin">
        <color indexed="8"/>
      </bottom>
      <diagonal/>
    </border>
    <border>
      <left style="medium">
        <color indexed="64"/>
      </left>
      <right/>
      <top style="thin">
        <color indexed="8"/>
      </top>
      <bottom style="thin">
        <color indexed="8"/>
      </bottom>
      <diagonal/>
    </border>
    <border>
      <left style="medium">
        <color indexed="8"/>
      </left>
      <right style="medium">
        <color indexed="8"/>
      </right>
      <top style="thin">
        <color indexed="8"/>
      </top>
      <bottom style="thin">
        <color indexed="64"/>
      </bottom>
      <diagonal/>
    </border>
    <border>
      <left style="medium">
        <color auto="1"/>
      </left>
      <right style="medium">
        <color indexed="8"/>
      </right>
      <top/>
      <bottom style="thin">
        <color indexed="8"/>
      </bottom>
      <diagonal/>
    </border>
    <border>
      <left style="medium">
        <color indexed="8"/>
      </left>
      <right/>
      <top style="thin">
        <color indexed="8"/>
      </top>
      <bottom style="medium">
        <color indexed="64"/>
      </bottom>
      <diagonal/>
    </border>
    <border>
      <left style="medium">
        <color auto="1"/>
      </left>
      <right style="medium">
        <color indexed="8"/>
      </right>
      <top style="medium">
        <color indexed="64"/>
      </top>
      <bottom style="thin">
        <color indexed="8"/>
      </bottom>
      <diagonal/>
    </border>
    <border>
      <left style="medium">
        <color auto="1"/>
      </left>
      <right style="medium">
        <color indexed="8"/>
      </right>
      <top style="thin">
        <color indexed="8"/>
      </top>
      <bottom style="medium">
        <color indexed="64"/>
      </bottom>
      <diagonal/>
    </border>
    <border>
      <left style="medium">
        <color auto="1"/>
      </left>
      <right style="medium">
        <color indexed="8"/>
      </right>
      <top style="thin">
        <color indexed="8"/>
      </top>
      <bottom style="thin">
        <color indexed="64"/>
      </bottom>
      <diagonal/>
    </border>
    <border>
      <left/>
      <right style="medium">
        <color indexed="8"/>
      </right>
      <top style="thin">
        <color indexed="8"/>
      </top>
      <bottom style="thin">
        <color indexed="64"/>
      </bottom>
      <diagonal/>
    </border>
    <border>
      <left style="medium">
        <color indexed="8"/>
      </left>
      <right/>
      <top style="thin">
        <color indexed="8"/>
      </top>
      <bottom style="thin">
        <color indexed="64"/>
      </bottom>
      <diagonal/>
    </border>
    <border>
      <left/>
      <right/>
      <top style="thin">
        <color indexed="8"/>
      </top>
      <bottom style="thin">
        <color indexed="64"/>
      </bottom>
      <diagonal/>
    </border>
    <border>
      <left style="medium">
        <color indexed="64"/>
      </left>
      <right style="medium">
        <color indexed="8"/>
      </right>
      <top/>
      <bottom style="medium">
        <color indexed="64"/>
      </bottom>
      <diagonal/>
    </border>
    <border>
      <left/>
      <right style="medium">
        <color indexed="8"/>
      </right>
      <top/>
      <bottom style="medium">
        <color indexed="64"/>
      </bottom>
      <diagonal/>
    </border>
    <border>
      <left/>
      <right/>
      <top/>
      <bottom style="medium">
        <color indexed="64"/>
      </bottom>
      <diagonal/>
    </border>
    <border>
      <left style="medium">
        <color indexed="64"/>
      </left>
      <right/>
      <top style="thin">
        <color indexed="8"/>
      </top>
      <bottom/>
      <diagonal/>
    </border>
    <border>
      <left/>
      <right style="medium">
        <color indexed="64"/>
      </right>
      <top style="thin">
        <color indexed="8"/>
      </top>
      <bottom/>
      <diagonal/>
    </border>
    <border>
      <left/>
      <right style="medium">
        <color indexed="64"/>
      </right>
      <top style="medium">
        <color indexed="64"/>
      </top>
      <bottom style="thin">
        <color indexed="8"/>
      </bottom>
      <diagonal/>
    </border>
    <border>
      <left style="medium">
        <color indexed="64"/>
      </left>
      <right/>
      <top style="thin">
        <color indexed="8"/>
      </top>
      <bottom/>
      <diagonal/>
    </border>
    <border>
      <left style="medium">
        <color indexed="8"/>
      </left>
      <right/>
      <top style="thin">
        <color indexed="8"/>
      </top>
      <bottom/>
      <diagonal/>
    </border>
    <border>
      <left style="medium">
        <color indexed="64"/>
      </left>
      <right/>
      <top style="medium">
        <color indexed="64"/>
      </top>
      <bottom style="thin">
        <color indexed="8"/>
      </bottom>
      <diagonal/>
    </border>
    <border>
      <left style="medium">
        <color auto="1"/>
      </left>
      <right style="medium">
        <color auto="1"/>
      </right>
      <top/>
      <bottom style="medium">
        <color indexed="64"/>
      </bottom>
      <diagonal/>
    </border>
    <border>
      <left style="medium">
        <color auto="1"/>
      </left>
      <right/>
      <top style="thin">
        <color indexed="8"/>
      </top>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8"/>
      </top>
      <bottom style="medium">
        <color indexed="64"/>
      </bottom>
      <diagonal/>
    </border>
    <border>
      <left style="medium">
        <color indexed="64"/>
      </left>
      <right style="medium">
        <color indexed="64"/>
      </right>
      <top style="medium">
        <color indexed="64"/>
      </top>
      <bottom style="thin">
        <color indexed="8"/>
      </bottom>
      <diagonal/>
    </border>
    <border>
      <left style="medium">
        <color auto="1"/>
      </left>
      <right/>
      <top style="thin">
        <color auto="1"/>
      </top>
      <bottom/>
      <diagonal/>
    </border>
    <border>
      <left style="medium">
        <color auto="1"/>
      </left>
      <right/>
      <top style="thin">
        <color auto="1"/>
      </top>
      <bottom style="thin">
        <color auto="1"/>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8"/>
      </bottom>
      <diagonal/>
    </border>
    <border>
      <left/>
      <right/>
      <top style="medium">
        <color indexed="64"/>
      </top>
      <bottom style="thin">
        <color indexed="8"/>
      </bottom>
      <diagonal/>
    </border>
    <border>
      <left style="medium">
        <color indexed="64"/>
      </left>
      <right/>
      <top style="medium">
        <color indexed="64"/>
      </top>
      <bottom style="thin">
        <color indexed="8"/>
      </bottom>
      <diagonal/>
    </border>
    <border>
      <left/>
      <right style="medium">
        <color indexed="64"/>
      </right>
      <top style="medium">
        <color indexed="64"/>
      </top>
      <bottom style="thin">
        <color indexed="8"/>
      </bottom>
      <diagonal/>
    </border>
    <border>
      <left style="medium">
        <color auto="1"/>
      </left>
      <right/>
      <top style="medium">
        <color indexed="64"/>
      </top>
      <bottom style="thin">
        <color auto="1"/>
      </bottom>
      <diagonal/>
    </border>
    <border>
      <left/>
      <right/>
      <top style="medium">
        <color indexed="64"/>
      </top>
      <bottom style="thin">
        <color auto="1"/>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top style="thin">
        <color auto="1"/>
      </top>
      <bottom style="medium">
        <color indexed="64"/>
      </bottom>
      <diagonal/>
    </border>
    <border>
      <left style="medium">
        <color indexed="64"/>
      </left>
      <right/>
      <top style="thin">
        <color indexed="64"/>
      </top>
      <bottom/>
      <diagonal/>
    </border>
    <border>
      <left style="medium">
        <color indexed="64"/>
      </left>
      <right/>
      <top style="medium">
        <color indexed="64"/>
      </top>
      <bottom style="medium">
        <color indexed="8"/>
      </bottom>
      <diagonal/>
    </border>
    <border>
      <left style="medium">
        <color indexed="64"/>
      </left>
      <right/>
      <top style="thin">
        <color auto="1"/>
      </top>
      <bottom style="thin">
        <color auto="1"/>
      </bottom>
      <diagonal/>
    </border>
    <border>
      <left style="medium">
        <color auto="1"/>
      </left>
      <right style="medium">
        <color auto="1"/>
      </right>
      <top style="thin">
        <color auto="1"/>
      </top>
      <bottom/>
      <diagonal/>
    </border>
    <border>
      <left style="medium">
        <color auto="1"/>
      </left>
      <right/>
      <top style="thin">
        <color auto="1"/>
      </top>
      <bottom/>
      <diagonal/>
    </border>
    <border>
      <left style="medium">
        <color indexed="64"/>
      </left>
      <right style="medium">
        <color indexed="64"/>
      </right>
      <top style="thin">
        <color indexed="64"/>
      </top>
      <bottom style="thin">
        <color indexed="64"/>
      </bottom>
      <diagonal/>
    </border>
    <border>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8"/>
      </top>
      <bottom style="thin">
        <color indexed="8"/>
      </bottom>
      <diagonal/>
    </border>
    <border>
      <left/>
      <right style="medium">
        <color indexed="64"/>
      </right>
      <top style="thin">
        <color indexed="8"/>
      </top>
      <bottom style="thin">
        <color indexed="8"/>
      </bottom>
      <diagonal/>
    </border>
    <border>
      <left style="medium">
        <color auto="1"/>
      </left>
      <right/>
      <top style="thin">
        <color auto="1"/>
      </top>
      <bottom style="thin">
        <color auto="1"/>
      </bottom>
      <diagonal/>
    </border>
    <border>
      <left/>
      <right/>
      <top style="thin">
        <color indexed="8"/>
      </top>
      <bottom style="thin">
        <color indexed="8"/>
      </bottom>
      <diagonal/>
    </border>
    <border>
      <left/>
      <right style="medium">
        <color indexed="64"/>
      </right>
      <top style="thin">
        <color indexed="8"/>
      </top>
      <bottom style="thin">
        <color indexed="8"/>
      </bottom>
      <diagonal/>
    </border>
    <border>
      <left/>
      <right/>
      <top style="thin">
        <color auto="1"/>
      </top>
      <bottom style="thin">
        <color auto="1"/>
      </bottom>
      <diagonal/>
    </border>
    <border>
      <left style="medium">
        <color auto="1"/>
      </left>
      <right/>
      <top style="thin">
        <color auto="1"/>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auto="1"/>
      </top>
      <bottom style="thin">
        <color auto="1"/>
      </bottom>
      <diagonal/>
    </border>
    <border>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top style="thin">
        <color auto="1"/>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8"/>
      </top>
      <bottom style="thin">
        <color indexed="8"/>
      </bottom>
      <diagonal/>
    </border>
    <border>
      <left/>
      <right/>
      <top style="thin">
        <color indexed="8"/>
      </top>
      <bottom style="thin">
        <color indexed="8"/>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top style="thin">
        <color indexed="64"/>
      </top>
      <bottom style="thin">
        <color indexed="64"/>
      </bottom>
      <diagonal/>
    </border>
    <border>
      <left style="medium">
        <color indexed="64"/>
      </left>
      <right style="medium">
        <color indexed="64"/>
      </right>
      <top style="thin">
        <color indexed="8"/>
      </top>
      <bottom style="medium">
        <color indexed="64"/>
      </bottom>
      <diagonal/>
    </border>
    <border>
      <left/>
      <right/>
      <top style="thin">
        <color indexed="8"/>
      </top>
      <bottom style="medium">
        <color indexed="64"/>
      </bottom>
      <diagonal/>
    </border>
    <border>
      <left style="medium">
        <color indexed="64"/>
      </left>
      <right/>
      <top style="thin">
        <color indexed="8"/>
      </top>
      <bottom style="medium">
        <color indexed="64"/>
      </bottom>
      <diagonal/>
    </border>
    <border>
      <left/>
      <right style="medium">
        <color indexed="64"/>
      </right>
      <top style="thin">
        <color indexed="8"/>
      </top>
      <bottom style="medium">
        <color indexed="64"/>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indexed="8"/>
      </top>
      <bottom/>
      <diagonal/>
    </border>
    <border>
      <left style="medium">
        <color indexed="64"/>
      </left>
      <right style="medium">
        <color indexed="64"/>
      </right>
      <top style="thin">
        <color indexed="64"/>
      </top>
      <bottom/>
      <diagonal/>
    </border>
    <border>
      <left style="medium">
        <color auto="1"/>
      </left>
      <right style="medium">
        <color indexed="8"/>
      </right>
      <top style="thin">
        <color indexed="8"/>
      </top>
      <bottom style="thin">
        <color indexed="8"/>
      </bottom>
      <diagonal/>
    </border>
    <border>
      <left style="medium">
        <color auto="1"/>
      </left>
      <right style="medium">
        <color indexed="8"/>
      </right>
      <top style="thin">
        <color indexed="8"/>
      </top>
      <bottom style="medium">
        <color indexed="64"/>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style="medium">
        <color indexed="64"/>
      </left>
      <right/>
      <top style="thin">
        <color indexed="64"/>
      </top>
      <bottom style="thin">
        <color indexed="64"/>
      </bottom>
      <diagonal/>
    </border>
    <border>
      <left/>
      <right/>
      <top style="thin">
        <color indexed="8"/>
      </top>
      <bottom/>
      <diagonal/>
    </border>
    <border>
      <left style="medium">
        <color indexed="64"/>
      </left>
      <right/>
      <top style="thin">
        <color indexed="8"/>
      </top>
      <bottom/>
      <diagonal/>
    </border>
    <border>
      <left/>
      <right style="medium">
        <color indexed="64"/>
      </right>
      <top style="thin">
        <color indexed="8"/>
      </top>
      <bottom/>
      <diagonal/>
    </border>
    <border>
      <left style="medium">
        <color auto="1"/>
      </left>
      <right style="medium">
        <color auto="1"/>
      </right>
      <top style="medium">
        <color indexed="64"/>
      </top>
      <bottom/>
      <diagonal/>
    </border>
    <border>
      <left/>
      <right/>
      <top style="thin">
        <color indexed="64"/>
      </top>
      <bottom style="medium">
        <color indexed="64"/>
      </bottom>
      <diagonal/>
    </border>
    <border>
      <left/>
      <right/>
      <top style="thin">
        <color indexed="64"/>
      </top>
      <bottom style="thin">
        <color indexed="64"/>
      </bottom>
      <diagonal/>
    </border>
    <border>
      <left style="medium">
        <color auto="1"/>
      </left>
      <right/>
      <top/>
      <bottom style="medium">
        <color indexed="8"/>
      </bottom>
      <diagonal/>
    </border>
    <border>
      <left style="medium">
        <color indexed="64"/>
      </left>
      <right style="medium">
        <color indexed="64"/>
      </right>
      <top style="thin">
        <color indexed="8"/>
      </top>
      <bottom style="thin">
        <color indexed="8"/>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8"/>
      </bottom>
      <diagonal/>
    </border>
    <border>
      <left style="medium">
        <color auto="1"/>
      </left>
      <right/>
      <top style="thin">
        <color auto="1"/>
      </top>
      <bottom/>
      <diagonal/>
    </border>
    <border>
      <left style="medium">
        <color auto="1"/>
      </left>
      <right style="medium">
        <color auto="1"/>
      </right>
      <top style="thin">
        <color auto="1"/>
      </top>
      <bottom/>
      <diagonal/>
    </border>
    <border>
      <left/>
      <right/>
      <top style="medium">
        <color indexed="64"/>
      </top>
      <bottom style="thin">
        <color auto="1"/>
      </bottom>
      <diagonal/>
    </border>
    <border>
      <left style="medium">
        <color auto="1"/>
      </left>
      <right/>
      <top style="thin">
        <color auto="1"/>
      </top>
      <bottom style="thin">
        <color auto="1"/>
      </bottom>
      <diagonal/>
    </border>
    <border>
      <left style="medium">
        <color auto="1"/>
      </left>
      <right/>
      <top/>
      <bottom style="medium">
        <color indexed="8"/>
      </bottom>
      <diagonal/>
    </border>
    <border>
      <left/>
      <right/>
      <top style="medium">
        <color indexed="64"/>
      </top>
      <bottom style="thin">
        <color indexed="8"/>
      </bottom>
      <diagonal/>
    </border>
    <border>
      <left style="medium">
        <color indexed="64"/>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medium">
        <color indexed="64"/>
      </top>
      <bottom style="thin">
        <color auto="1"/>
      </bottom>
      <diagonal/>
    </border>
    <border>
      <left/>
      <right/>
      <top style="thin">
        <color indexed="8"/>
      </top>
      <bottom style="thin">
        <color indexed="8"/>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right/>
      <top style="thin">
        <color auto="1"/>
      </top>
      <bottom style="thin">
        <color auto="1"/>
      </bottom>
      <diagonal/>
    </border>
    <border>
      <left style="medium">
        <color indexed="64"/>
      </left>
      <right style="medium">
        <color indexed="64"/>
      </right>
      <top style="thin">
        <color indexed="8"/>
      </top>
      <bottom style="medium">
        <color indexed="64"/>
      </bottom>
      <diagonal/>
    </border>
    <border>
      <left/>
      <right/>
      <top style="thin">
        <color indexed="8"/>
      </top>
      <bottom style="medium">
        <color indexed="64"/>
      </bottom>
      <diagonal/>
    </border>
    <border>
      <left style="medium">
        <color indexed="64"/>
      </left>
      <right/>
      <top style="thin">
        <color indexed="8"/>
      </top>
      <bottom style="medium">
        <color indexed="64"/>
      </bottom>
      <diagonal/>
    </border>
    <border>
      <left/>
      <right style="medium">
        <color indexed="64"/>
      </right>
      <top style="thin">
        <color indexed="8"/>
      </top>
      <bottom style="medium">
        <color indexed="64"/>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8"/>
      </top>
      <bottom style="medium">
        <color indexed="64"/>
      </bottom>
      <diagonal/>
    </border>
    <border>
      <left style="medium">
        <color auto="1"/>
      </left>
      <right/>
      <top style="thin">
        <color auto="1"/>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8"/>
      </top>
      <bottom/>
      <diagonal/>
    </border>
    <border>
      <left style="medium">
        <color indexed="64"/>
      </left>
      <right style="medium">
        <color auto="1"/>
      </right>
      <top style="thin">
        <color auto="1"/>
      </top>
      <bottom style="thin">
        <color auto="1"/>
      </bottom>
      <diagonal/>
    </border>
    <border>
      <left/>
      <right/>
      <top style="thin">
        <color indexed="64"/>
      </top>
      <bottom style="medium">
        <color indexed="64"/>
      </bottom>
      <diagonal/>
    </border>
    <border>
      <left style="medium">
        <color indexed="64"/>
      </left>
      <right style="medium">
        <color indexed="64"/>
      </right>
      <top style="thin">
        <color indexed="8"/>
      </top>
      <bottom style="thin">
        <color indexed="8"/>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8"/>
      </top>
      <bottom style="medium">
        <color indexed="64"/>
      </bottom>
      <diagonal/>
    </border>
    <border>
      <left style="medium">
        <color indexed="64"/>
      </left>
      <right style="medium">
        <color indexed="64"/>
      </right>
      <top style="thin">
        <color indexed="64"/>
      </top>
      <bottom/>
      <diagonal/>
    </border>
    <border>
      <left style="medium">
        <color auto="1"/>
      </left>
      <right style="medium">
        <color auto="1"/>
      </right>
      <top style="thin">
        <color auto="1"/>
      </top>
      <bottom style="medium">
        <color indexed="64"/>
      </bottom>
      <diagonal/>
    </border>
    <border>
      <left style="medium">
        <color auto="1"/>
      </left>
      <right/>
      <top style="thin">
        <color auto="1"/>
      </top>
      <bottom style="medium">
        <color indexed="64"/>
      </bottom>
      <diagonal/>
    </border>
    <border>
      <left style="medium">
        <color indexed="64"/>
      </left>
      <right style="medium">
        <color indexed="64"/>
      </right>
      <top style="thin">
        <color indexed="8"/>
      </top>
      <bottom/>
      <diagonal/>
    </border>
    <border>
      <left style="medium">
        <color indexed="64"/>
      </left>
      <right/>
      <top style="thin">
        <color indexed="64"/>
      </top>
      <bottom/>
      <diagonal/>
    </border>
    <border>
      <left style="medium">
        <color indexed="64"/>
      </left>
      <right style="medium">
        <color indexed="64"/>
      </right>
      <top style="thin">
        <color indexed="8"/>
      </top>
      <bottom style="medium">
        <color indexed="64"/>
      </bottom>
      <diagonal/>
    </border>
    <border>
      <left style="medium">
        <color indexed="64"/>
      </left>
      <right style="medium">
        <color indexed="64"/>
      </right>
      <top style="thin">
        <color indexed="8"/>
      </top>
      <bottom style="thin">
        <color indexed="8"/>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8"/>
      </top>
      <bottom/>
      <diagonal/>
    </border>
    <border>
      <left style="medium">
        <color auto="1"/>
      </left>
      <right style="medium">
        <color indexed="8"/>
      </right>
      <top style="thin">
        <color indexed="8"/>
      </top>
      <bottom/>
      <diagonal/>
    </border>
    <border>
      <left/>
      <right/>
      <top style="thin">
        <color indexed="8"/>
      </top>
      <bottom/>
      <diagonal/>
    </border>
    <border>
      <left style="medium">
        <color indexed="64"/>
      </left>
      <right/>
      <top style="thin">
        <color indexed="8"/>
      </top>
      <bottom/>
      <diagonal/>
    </border>
    <border>
      <left/>
      <right style="medium">
        <color indexed="64"/>
      </right>
      <top style="thin">
        <color indexed="8"/>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8"/>
      </bottom>
      <diagonal/>
    </border>
    <border>
      <left/>
      <right/>
      <top style="medium">
        <color indexed="64"/>
      </top>
      <bottom style="thin">
        <color indexed="8"/>
      </bottom>
      <diagonal/>
    </border>
    <border>
      <left style="medium">
        <color indexed="64"/>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right/>
      <top style="thin">
        <color indexed="8"/>
      </top>
      <bottom style="thin">
        <color indexed="8"/>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right/>
      <top style="thin">
        <color indexed="8"/>
      </top>
      <bottom style="medium">
        <color indexed="64"/>
      </bottom>
      <diagonal/>
    </border>
    <border>
      <left style="medium">
        <color indexed="64"/>
      </left>
      <right/>
      <top style="thin">
        <color indexed="8"/>
      </top>
      <bottom style="medium">
        <color indexed="64"/>
      </bottom>
      <diagonal/>
    </border>
    <border>
      <left/>
      <right style="medium">
        <color indexed="64"/>
      </right>
      <top style="thin">
        <color indexed="8"/>
      </top>
      <bottom style="medium">
        <color indexed="64"/>
      </bottom>
      <diagonal/>
    </border>
    <border>
      <left/>
      <right/>
      <top style="thin">
        <color indexed="8"/>
      </top>
      <bottom/>
      <diagonal/>
    </border>
    <border>
      <left style="medium">
        <color indexed="64"/>
      </left>
      <right/>
      <top style="thin">
        <color indexed="8"/>
      </top>
      <bottom/>
      <diagonal/>
    </border>
    <border>
      <left/>
      <right style="medium">
        <color indexed="64"/>
      </right>
      <top style="thin">
        <color indexed="8"/>
      </top>
      <bottom/>
      <diagonal/>
    </border>
    <border>
      <left/>
      <right/>
      <top style="thin">
        <color indexed="8"/>
      </top>
      <bottom style="thin">
        <color indexed="8"/>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right/>
      <top style="thin">
        <color indexed="8"/>
      </top>
      <bottom style="medium">
        <color indexed="64"/>
      </bottom>
      <diagonal/>
    </border>
    <border>
      <left style="medium">
        <color indexed="64"/>
      </left>
      <right/>
      <top style="thin">
        <color indexed="8"/>
      </top>
      <bottom style="medium">
        <color indexed="64"/>
      </bottom>
      <diagonal/>
    </border>
    <border>
      <left/>
      <right style="medium">
        <color indexed="64"/>
      </right>
      <top style="thin">
        <color indexed="8"/>
      </top>
      <bottom style="medium">
        <color indexed="64"/>
      </bottom>
      <diagonal/>
    </border>
    <border>
      <left/>
      <right/>
      <top style="thin">
        <color indexed="8"/>
      </top>
      <bottom/>
      <diagonal/>
    </border>
    <border>
      <left style="medium">
        <color indexed="64"/>
      </left>
      <right/>
      <top style="thin">
        <color indexed="8"/>
      </top>
      <bottom/>
      <diagonal/>
    </border>
    <border>
      <left/>
      <right style="medium">
        <color indexed="64"/>
      </right>
      <top style="thin">
        <color indexed="8"/>
      </top>
      <bottom/>
      <diagonal/>
    </border>
    <border>
      <left/>
      <right/>
      <top style="thin">
        <color indexed="8"/>
      </top>
      <bottom style="thin">
        <color indexed="8"/>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right/>
      <top style="thin">
        <color indexed="8"/>
      </top>
      <bottom style="medium">
        <color indexed="64"/>
      </bottom>
      <diagonal/>
    </border>
    <border>
      <left style="medium">
        <color indexed="64"/>
      </left>
      <right/>
      <top style="thin">
        <color indexed="8"/>
      </top>
      <bottom style="medium">
        <color indexed="64"/>
      </bottom>
      <diagonal/>
    </border>
    <border>
      <left/>
      <right style="medium">
        <color indexed="64"/>
      </right>
      <top style="thin">
        <color indexed="8"/>
      </top>
      <bottom style="medium">
        <color indexed="64"/>
      </bottom>
      <diagonal/>
    </border>
    <border>
      <left/>
      <right/>
      <top style="thin">
        <color auto="1"/>
      </top>
      <bottom style="medium">
        <color indexed="64"/>
      </bottom>
      <diagonal/>
    </border>
    <border>
      <left style="medium">
        <color indexed="64"/>
      </left>
      <right style="medium">
        <color indexed="64"/>
      </right>
      <top style="thin">
        <color indexed="8"/>
      </top>
      <bottom style="thin">
        <color indexed="8"/>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8"/>
      </bottom>
      <diagonal/>
    </border>
    <border>
      <left style="medium">
        <color indexed="64"/>
      </left>
      <right/>
      <top style="medium">
        <color indexed="8"/>
      </top>
      <bottom/>
      <diagonal/>
    </border>
    <border>
      <left/>
      <right/>
      <top style="thin">
        <color indexed="8"/>
      </top>
      <bottom style="thin">
        <color indexed="8"/>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medium">
        <color auto="1"/>
      </right>
      <top style="medium">
        <color auto="1"/>
      </top>
      <bottom/>
      <diagonal/>
    </border>
    <border>
      <left style="medium">
        <color indexed="64"/>
      </left>
      <right style="medium">
        <color indexed="64"/>
      </right>
      <top style="thin">
        <color indexed="64"/>
      </top>
      <bottom style="double">
        <color indexed="64"/>
      </bottom>
      <diagonal/>
    </border>
    <border>
      <left/>
      <right style="medium">
        <color indexed="8"/>
      </right>
      <top style="medium">
        <color indexed="64"/>
      </top>
      <bottom style="double">
        <color indexed="64"/>
      </bottom>
      <diagonal/>
    </border>
    <border>
      <left style="medium">
        <color indexed="8"/>
      </left>
      <right/>
      <top style="medium">
        <color indexed="64"/>
      </top>
      <bottom style="double">
        <color indexed="64"/>
      </bottom>
      <diagonal/>
    </border>
    <border>
      <left style="medium">
        <color indexed="64"/>
      </left>
      <right style="medium">
        <color indexed="64"/>
      </right>
      <top style="medium">
        <color indexed="64"/>
      </top>
      <bottom style="double">
        <color indexed="64"/>
      </bottom>
      <diagonal/>
    </border>
    <border>
      <left/>
      <right/>
      <top style="medium">
        <color indexed="64"/>
      </top>
      <bottom style="double">
        <color indexed="64"/>
      </bottom>
      <diagonal/>
    </border>
    <border>
      <left style="medium">
        <color indexed="64"/>
      </left>
      <right/>
      <top style="medium">
        <color indexed="64"/>
      </top>
      <bottom style="double">
        <color indexed="64"/>
      </bottom>
      <diagonal/>
    </border>
    <border>
      <left style="medium">
        <color indexed="64"/>
      </left>
      <right style="medium">
        <color indexed="64"/>
      </right>
      <top style="medium">
        <color indexed="64"/>
      </top>
      <bottom style="thin">
        <color indexed="8"/>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auto="1"/>
      </left>
      <right/>
      <top style="thin">
        <color auto="1"/>
      </top>
      <bottom style="thin">
        <color auto="1"/>
      </bottom>
      <diagonal/>
    </border>
    <border>
      <left style="medium">
        <color auto="1"/>
      </left>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medium">
        <color indexed="64"/>
      </top>
      <bottom style="thin">
        <color auto="1"/>
      </bottom>
      <diagonal/>
    </border>
    <border>
      <left style="medium">
        <color auto="1"/>
      </left>
      <right/>
      <top style="thin">
        <color auto="1"/>
      </top>
      <bottom style="thin">
        <color auto="1"/>
      </bottom>
      <diagonal/>
    </border>
    <border>
      <left style="medium">
        <color auto="1"/>
      </left>
      <right/>
      <top style="thin">
        <color auto="1"/>
      </top>
      <bottom style="thin">
        <color auto="1"/>
      </bottom>
      <diagonal/>
    </border>
    <border>
      <left style="medium">
        <color indexed="64"/>
      </left>
      <right/>
      <top style="medium">
        <color indexed="64"/>
      </top>
      <bottom style="thin">
        <color auto="1"/>
      </bottom>
      <diagonal/>
    </border>
    <border>
      <left style="medium">
        <color auto="1"/>
      </left>
      <right/>
      <top style="thin">
        <color auto="1"/>
      </top>
      <bottom style="thin">
        <color auto="1"/>
      </bottom>
      <diagonal/>
    </border>
    <border>
      <left style="medium">
        <color auto="1"/>
      </left>
      <right/>
      <top style="thin">
        <color auto="1"/>
      </top>
      <bottom style="thin">
        <color auto="1"/>
      </bottom>
      <diagonal/>
    </border>
    <border>
      <left style="medium">
        <color indexed="64"/>
      </left>
      <right/>
      <top style="thin">
        <color auto="1"/>
      </top>
      <bottom style="thin">
        <color auto="1"/>
      </bottom>
      <diagonal/>
    </border>
    <border>
      <left style="medium">
        <color indexed="64"/>
      </left>
      <right/>
      <top style="thin">
        <color indexed="64"/>
      </top>
      <bottom style="thin">
        <color indexed="64"/>
      </bottom>
      <diagonal/>
    </border>
    <border>
      <left style="medium">
        <color indexed="64"/>
      </left>
      <right/>
      <top style="medium">
        <color indexed="64"/>
      </top>
      <bottom style="thin">
        <color auto="1"/>
      </bottom>
      <diagonal/>
    </border>
    <border>
      <left style="medium">
        <color indexed="64"/>
      </left>
      <right/>
      <top style="thin">
        <color indexed="64"/>
      </top>
      <bottom/>
      <diagonal/>
    </border>
    <border>
      <left/>
      <right style="medium">
        <color indexed="64"/>
      </right>
      <top style="medium">
        <color indexed="64"/>
      </top>
      <bottom style="thin">
        <color indexed="8"/>
      </bottom>
      <diagonal/>
    </border>
    <border>
      <left/>
      <right style="medium">
        <color indexed="64"/>
      </right>
      <top style="thin">
        <color indexed="8"/>
      </top>
      <bottom style="thin">
        <color indexed="8"/>
      </bottom>
      <diagonal/>
    </border>
    <border>
      <left/>
      <right style="medium">
        <color indexed="64"/>
      </right>
      <top style="thin">
        <color indexed="8"/>
      </top>
      <bottom style="medium">
        <color indexed="64"/>
      </bottom>
      <diagonal/>
    </border>
    <border>
      <left/>
      <right style="medium">
        <color indexed="64"/>
      </right>
      <top style="medium">
        <color indexed="64"/>
      </top>
      <bottom style="thin">
        <color indexed="8"/>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thin">
        <color auto="1"/>
      </top>
      <bottom style="thin">
        <color auto="1"/>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8"/>
      </top>
      <bottom style="thin">
        <color indexed="8"/>
      </bottom>
      <diagonal/>
    </border>
    <border>
      <left style="medium">
        <color indexed="64"/>
      </left>
      <right style="medium">
        <color auto="1"/>
      </right>
      <top style="thin">
        <color auto="1"/>
      </top>
      <bottom style="thin">
        <color auto="1"/>
      </bottom>
      <diagonal/>
    </border>
    <border>
      <left style="medium">
        <color indexed="64"/>
      </left>
      <right/>
      <top style="thin">
        <color auto="1"/>
      </top>
      <bottom style="thin">
        <color auto="1"/>
      </bottom>
      <diagonal/>
    </border>
    <border>
      <left style="medium">
        <color indexed="64"/>
      </left>
      <right style="medium">
        <color indexed="64"/>
      </right>
      <top style="thin">
        <color indexed="8"/>
      </top>
      <bottom/>
      <diagonal/>
    </border>
    <border>
      <left style="medium">
        <color indexed="64"/>
      </left>
      <right/>
      <top style="thin">
        <color auto="1"/>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style="thin">
        <color indexed="8"/>
      </bottom>
      <diagonal/>
    </border>
    <border>
      <left style="medium">
        <color auto="1"/>
      </left>
      <right/>
      <top style="thin">
        <color auto="1"/>
      </top>
      <bottom/>
      <diagonal/>
    </border>
    <border>
      <left style="medium">
        <color auto="1"/>
      </left>
      <right/>
      <top style="thin">
        <color auto="1"/>
      </top>
      <bottom style="thin">
        <color auto="1"/>
      </bottom>
      <diagonal/>
    </border>
    <border>
      <left style="medium">
        <color auto="1"/>
      </left>
      <right style="medium">
        <color auto="1"/>
      </right>
      <top style="thin">
        <color auto="1"/>
      </top>
      <bottom/>
      <diagonal/>
    </border>
    <border>
      <left style="medium">
        <color auto="1"/>
      </left>
      <right/>
      <top style="thin">
        <color auto="1"/>
      </top>
      <bottom/>
      <diagonal/>
    </border>
    <border>
      <left style="medium">
        <color auto="1"/>
      </left>
      <right/>
      <top style="thin">
        <color auto="1"/>
      </top>
      <bottom style="thin">
        <color auto="1"/>
      </bottom>
      <diagonal/>
    </border>
    <border>
      <left style="medium">
        <color auto="1"/>
      </left>
      <right style="medium">
        <color auto="1"/>
      </right>
      <top style="thin">
        <color auto="1"/>
      </top>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8"/>
      </top>
      <bottom style="medium">
        <color indexed="64"/>
      </bottom>
      <diagonal/>
    </border>
    <border>
      <left/>
      <right/>
      <top style="thin">
        <color indexed="64"/>
      </top>
      <bottom/>
      <diagonal/>
    </border>
    <border>
      <left style="medium">
        <color auto="1"/>
      </left>
      <right/>
      <top style="thin">
        <color auto="1"/>
      </top>
      <bottom/>
      <diagonal/>
    </border>
    <border>
      <left style="medium">
        <color indexed="64"/>
      </left>
      <right/>
      <top style="thin">
        <color auto="1"/>
      </top>
      <bottom style="thin">
        <color auto="1"/>
      </bottom>
      <diagonal/>
    </border>
    <border>
      <left style="medium">
        <color auto="1"/>
      </left>
      <right/>
      <top/>
      <bottom style="medium">
        <color auto="1"/>
      </bottom>
      <diagonal/>
    </border>
    <border>
      <left style="medium">
        <color indexed="64"/>
      </left>
      <right/>
      <top style="medium">
        <color auto="1"/>
      </top>
      <bottom/>
      <diagonal/>
    </border>
    <border>
      <left/>
      <right style="medium">
        <color auto="1"/>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auto="1"/>
      </top>
      <bottom style="thin">
        <color auto="1"/>
      </bottom>
      <diagonal/>
    </border>
    <border>
      <left/>
      <right/>
      <top style="thin">
        <color auto="1"/>
      </top>
      <bottom style="medium">
        <color indexed="64"/>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auto="1"/>
      </left>
      <right/>
      <top style="thin">
        <color auto="1"/>
      </top>
      <bottom style="medium">
        <color indexed="64"/>
      </bottom>
      <diagonal/>
    </border>
    <border>
      <left style="medium">
        <color auto="1"/>
      </left>
      <right style="medium">
        <color auto="1"/>
      </right>
      <top style="thin">
        <color auto="1"/>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indexed="8"/>
      </top>
      <bottom style="medium">
        <color indexed="64"/>
      </bottom>
      <diagonal/>
    </border>
    <border>
      <left style="medium">
        <color auto="1"/>
      </left>
      <right style="medium">
        <color auto="1"/>
      </right>
      <top style="thin">
        <color auto="1"/>
      </top>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medium">
        <color auto="1"/>
      </left>
      <right style="medium">
        <color auto="1"/>
      </right>
      <top style="thin">
        <color auto="1"/>
      </top>
      <bottom style="medium">
        <color indexed="64"/>
      </bottom>
      <diagonal/>
    </border>
    <border>
      <left/>
      <right/>
      <top style="medium">
        <color indexed="64"/>
      </top>
      <bottom style="thin">
        <color indexed="64"/>
      </bottom>
      <diagonal/>
    </border>
    <border>
      <left/>
      <right/>
      <top style="thin">
        <color indexed="8"/>
      </top>
      <bottom style="thin">
        <color indexed="8"/>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right/>
      <top style="thin">
        <color auto="1"/>
      </top>
      <bottom style="thin">
        <color auto="1"/>
      </bottom>
      <diagonal/>
    </border>
    <border>
      <left/>
      <right/>
      <top style="thin">
        <color indexed="8"/>
      </top>
      <bottom style="medium">
        <color indexed="64"/>
      </bottom>
      <diagonal/>
    </border>
    <border>
      <left style="medium">
        <color indexed="64"/>
      </left>
      <right/>
      <top style="thin">
        <color indexed="8"/>
      </top>
      <bottom style="medium">
        <color indexed="64"/>
      </bottom>
      <diagonal/>
    </border>
    <border>
      <left/>
      <right style="medium">
        <color indexed="64"/>
      </right>
      <top style="thin">
        <color indexed="8"/>
      </top>
      <bottom style="medium">
        <color indexed="64"/>
      </bottom>
      <diagonal/>
    </border>
    <border>
      <left/>
      <right/>
      <top style="thin">
        <color auto="1"/>
      </top>
      <bottom style="medium">
        <color indexed="64"/>
      </bottom>
      <diagonal/>
    </border>
    <border>
      <left style="medium">
        <color indexed="64"/>
      </left>
      <right style="medium">
        <color indexed="64"/>
      </right>
      <top style="medium">
        <color indexed="64"/>
      </top>
      <bottom style="thin">
        <color indexed="64"/>
      </bottom>
      <diagonal/>
    </border>
    <border>
      <left style="medium">
        <color auto="1"/>
      </left>
      <right style="medium">
        <color auto="1"/>
      </right>
      <top style="thin">
        <color auto="1"/>
      </top>
      <bottom style="thin">
        <color auto="1"/>
      </bottom>
      <diagonal/>
    </border>
    <border>
      <left/>
      <right/>
      <top style="thin">
        <color indexed="64"/>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auto="1"/>
      </left>
      <right/>
      <top style="medium">
        <color indexed="8"/>
      </top>
      <bottom/>
      <diagonal/>
    </border>
    <border>
      <left style="medium">
        <color indexed="64"/>
      </left>
      <right style="medium">
        <color indexed="64"/>
      </right>
      <top style="thin">
        <color indexed="8"/>
      </top>
      <bottom/>
      <diagonal/>
    </border>
    <border>
      <left/>
      <right/>
      <top style="thin">
        <color indexed="8"/>
      </top>
      <bottom/>
      <diagonal/>
    </border>
    <border>
      <left style="medium">
        <color indexed="64"/>
      </left>
      <right/>
      <top style="thin">
        <color indexed="8"/>
      </top>
      <bottom/>
      <diagonal/>
    </border>
    <border>
      <left style="medium">
        <color indexed="64"/>
      </left>
      <right style="medium">
        <color indexed="64"/>
      </right>
      <top style="thin">
        <color indexed="64"/>
      </top>
      <bottom/>
      <diagonal/>
    </border>
    <border>
      <left/>
      <right style="medium">
        <color indexed="64"/>
      </right>
      <top style="thin">
        <color indexed="8"/>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diagonal/>
    </border>
    <border>
      <left/>
      <right/>
      <top style="thin">
        <color indexed="64"/>
      </top>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auto="1"/>
      </top>
      <bottom style="thin">
        <color auto="1"/>
      </bottom>
      <diagonal/>
    </border>
    <border>
      <left style="medium">
        <color indexed="64"/>
      </left>
      <right style="medium">
        <color indexed="64"/>
      </right>
      <top style="thin">
        <color auto="1"/>
      </top>
      <bottom style="thin">
        <color auto="1"/>
      </bottom>
      <diagonal/>
    </border>
    <border>
      <left style="medium">
        <color auto="1"/>
      </left>
      <right style="medium">
        <color auto="1"/>
      </right>
      <top style="thin">
        <color auto="1"/>
      </top>
      <bottom style="medium">
        <color indexed="64"/>
      </bottom>
      <diagonal/>
    </border>
    <border>
      <left style="medium">
        <color indexed="64"/>
      </left>
      <right/>
      <top style="thin">
        <color auto="1"/>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auto="1"/>
      </left>
      <right style="medium">
        <color auto="1"/>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medium">
        <color indexed="64"/>
      </bottom>
      <diagonal/>
    </border>
    <border>
      <left/>
      <right/>
      <top style="thin">
        <color auto="1"/>
      </top>
      <bottom style="medium">
        <color indexed="64"/>
      </bottom>
      <diagonal/>
    </border>
    <border>
      <left style="medium">
        <color indexed="64"/>
      </left>
      <right style="medium">
        <color indexed="64"/>
      </right>
      <top style="thin">
        <color indexed="8"/>
      </top>
      <bottom style="thin">
        <color indexed="8"/>
      </bottom>
      <diagonal/>
    </border>
    <border>
      <left style="medium">
        <color auto="1"/>
      </left>
      <right/>
      <top style="thin">
        <color auto="1"/>
      </top>
      <bottom style="thin">
        <color auto="1"/>
      </bottom>
      <diagonal/>
    </border>
    <border>
      <left style="medium">
        <color indexed="64"/>
      </left>
      <right style="medium">
        <color indexed="64"/>
      </right>
      <top style="thin">
        <color indexed="8"/>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style="medium">
        <color indexed="64"/>
      </right>
      <top style="thin">
        <color indexed="8"/>
      </top>
      <bottom/>
      <diagonal/>
    </border>
    <border>
      <left/>
      <right/>
      <top style="thin">
        <color indexed="8"/>
      </top>
      <bottom/>
      <diagonal/>
    </border>
    <border>
      <left style="medium">
        <color indexed="64"/>
      </left>
      <right/>
      <top style="thin">
        <color indexed="8"/>
      </top>
      <bottom/>
      <diagonal/>
    </border>
    <border>
      <left/>
      <right style="medium">
        <color indexed="64"/>
      </right>
      <top style="thin">
        <color indexed="8"/>
      </top>
      <bottom/>
      <diagonal/>
    </border>
    <border>
      <left/>
      <right/>
      <top style="thin">
        <color indexed="8"/>
      </top>
      <bottom style="thin">
        <color indexed="8"/>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auto="1"/>
      </left>
      <right style="medium">
        <color indexed="8"/>
      </right>
      <top style="thin">
        <color indexed="8"/>
      </top>
      <bottom style="thin">
        <color indexed="8"/>
      </bottom>
      <diagonal/>
    </border>
    <border>
      <left/>
      <right/>
      <top style="thin">
        <color indexed="8"/>
      </top>
      <bottom style="medium">
        <color indexed="64"/>
      </bottom>
      <diagonal/>
    </border>
    <border>
      <left style="medium">
        <color indexed="64"/>
      </left>
      <right/>
      <top style="thin">
        <color indexed="8"/>
      </top>
      <bottom style="medium">
        <color indexed="64"/>
      </bottom>
      <diagonal/>
    </border>
    <border>
      <left/>
      <right style="medium">
        <color indexed="64"/>
      </right>
      <top style="thin">
        <color indexed="8"/>
      </top>
      <bottom style="medium">
        <color indexed="64"/>
      </bottom>
      <diagonal/>
    </border>
    <border>
      <left style="medium">
        <color auto="1"/>
      </left>
      <right style="medium">
        <color auto="1"/>
      </right>
      <top style="thin">
        <color auto="1"/>
      </top>
      <bottom style="medium">
        <color indexed="64"/>
      </bottom>
      <diagonal/>
    </border>
    <border>
      <left style="medium">
        <color auto="1"/>
      </left>
      <right/>
      <top style="thin">
        <color auto="1"/>
      </top>
      <bottom style="double">
        <color indexed="64"/>
      </bottom>
      <diagonal/>
    </border>
    <border>
      <left style="medium">
        <color indexed="64"/>
      </left>
      <right style="medium">
        <color indexed="64"/>
      </right>
      <top style="thin">
        <color indexed="8"/>
      </top>
      <bottom style="double">
        <color indexed="64"/>
      </bottom>
      <diagonal/>
    </border>
    <border>
      <left style="medium">
        <color auto="1"/>
      </left>
      <right style="medium">
        <color indexed="64"/>
      </right>
      <top style="medium">
        <color indexed="64"/>
      </top>
      <bottom style="thin">
        <color auto="1"/>
      </bottom>
      <diagonal/>
    </border>
    <border>
      <left style="medium">
        <color indexed="64"/>
      </left>
      <right/>
      <top/>
      <bottom style="thin">
        <color indexed="8"/>
      </bottom>
      <diagonal/>
    </border>
    <border>
      <left style="medium">
        <color auto="1"/>
      </left>
      <right style="medium">
        <color indexed="8"/>
      </right>
      <top style="thin">
        <color indexed="8"/>
      </top>
      <bottom style="double">
        <color indexed="64"/>
      </bottom>
      <diagonal/>
    </border>
    <border>
      <left/>
      <right/>
      <top style="thin">
        <color indexed="8"/>
      </top>
      <bottom style="double">
        <color indexed="64"/>
      </bottom>
      <diagonal/>
    </border>
    <border>
      <left style="medium">
        <color indexed="64"/>
      </left>
      <right/>
      <top style="thin">
        <color indexed="8"/>
      </top>
      <bottom style="double">
        <color indexed="64"/>
      </bottom>
      <diagonal/>
    </border>
    <border>
      <left/>
      <right style="medium">
        <color indexed="64"/>
      </right>
      <top style="thin">
        <color indexed="8"/>
      </top>
      <bottom style="double">
        <color indexed="64"/>
      </bottom>
      <diagonal/>
    </border>
    <border>
      <left/>
      <right/>
      <top style="thin">
        <color auto="1"/>
      </top>
      <bottom style="double">
        <color indexed="64"/>
      </bottom>
      <diagonal/>
    </border>
    <border>
      <left style="medium">
        <color indexed="64"/>
      </left>
      <right/>
      <top/>
      <bottom style="medium">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auto="1"/>
      </right>
      <top style="thin">
        <color indexed="64"/>
      </top>
      <bottom style="double">
        <color indexed="64"/>
      </bottom>
      <diagonal/>
    </border>
    <border>
      <left/>
      <right/>
      <top/>
      <bottom style="medium">
        <color indexed="64"/>
      </bottom>
      <diagonal/>
    </border>
    <border>
      <left/>
      <right style="medium">
        <color auto="1"/>
      </right>
      <top/>
      <bottom style="medium">
        <color auto="1"/>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auto="1"/>
      </right>
      <top style="thin">
        <color auto="1"/>
      </top>
      <bottom style="thin">
        <color auto="1"/>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auto="1"/>
      </right>
      <top style="thin">
        <color indexed="64"/>
      </top>
      <bottom style="thin">
        <color indexed="64"/>
      </bottom>
      <diagonal/>
    </border>
    <border>
      <left/>
      <right style="medium">
        <color auto="1"/>
      </right>
      <top style="thin">
        <color indexed="64"/>
      </top>
      <bottom style="thin">
        <color indexed="64"/>
      </bottom>
      <diagonal/>
    </border>
    <border>
      <left style="medium">
        <color indexed="64"/>
      </left>
      <right style="medium">
        <color auto="1"/>
      </right>
      <top style="thin">
        <color auto="1"/>
      </top>
      <bottom style="thin">
        <color auto="1"/>
      </bottom>
      <diagonal/>
    </border>
    <border>
      <left style="medium">
        <color indexed="64"/>
      </left>
      <right style="medium">
        <color indexed="64"/>
      </right>
      <top style="thin">
        <color indexed="64"/>
      </top>
      <bottom style="thin">
        <color indexed="64"/>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indexed="64"/>
      </top>
      <bottom style="thin">
        <color indexed="64"/>
      </bottom>
      <diagonal/>
    </border>
    <border>
      <left style="medium">
        <color indexed="64"/>
      </left>
      <right/>
      <top style="medium">
        <color auto="1"/>
      </top>
      <bottom/>
      <diagonal/>
    </border>
    <border>
      <left/>
      <right style="medium">
        <color indexed="64"/>
      </right>
      <top style="thin">
        <color indexed="64"/>
      </top>
      <bottom style="thin">
        <color indexed="64"/>
      </bottom>
      <diagonal/>
    </border>
    <border>
      <left style="medium">
        <color auto="1"/>
      </left>
      <right/>
      <top style="thin">
        <color auto="1"/>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style="thin">
        <color indexed="64"/>
      </bottom>
      <diagonal/>
    </border>
    <border>
      <left/>
      <right/>
      <top style="thin">
        <color indexed="8"/>
      </top>
      <bottom style="thin">
        <color indexed="8"/>
      </bottom>
      <diagonal/>
    </border>
    <border>
      <left/>
      <right/>
      <top style="thin">
        <color indexed="8"/>
      </top>
      <bottom style="medium">
        <color indexed="64"/>
      </bottom>
      <diagonal/>
    </border>
    <border>
      <left/>
      <right/>
      <top style="thin">
        <color indexed="8"/>
      </top>
      <bottom/>
      <diagonal/>
    </border>
    <border>
      <left/>
      <right/>
      <top style="thin">
        <color indexed="8"/>
      </top>
      <bottom style="thin">
        <color indexed="64"/>
      </bottom>
      <diagonal/>
    </border>
    <border>
      <left/>
      <right/>
      <top style="thin">
        <color indexed="8"/>
      </top>
      <bottom style="double">
        <color indexed="64"/>
      </bottom>
      <diagonal/>
    </border>
    <border>
      <left style="medium">
        <color indexed="64"/>
      </left>
      <right/>
      <top style="thin">
        <color indexed="64"/>
      </top>
      <bottom/>
      <diagonal/>
    </border>
    <border>
      <left style="medium">
        <color indexed="64"/>
      </left>
      <right/>
      <top style="medium">
        <color indexed="64"/>
      </top>
      <bottom/>
      <diagonal/>
    </border>
    <border>
      <left style="medium">
        <color indexed="64"/>
      </left>
      <right/>
      <top style="thin">
        <color indexed="8"/>
      </top>
      <bottom style="thin">
        <color indexed="8"/>
      </bottom>
      <diagonal/>
    </border>
    <border>
      <left style="medium">
        <color indexed="64"/>
      </left>
      <right/>
      <top style="thin">
        <color indexed="8"/>
      </top>
      <bottom style="medium">
        <color indexed="64"/>
      </bottom>
      <diagonal/>
    </border>
    <border>
      <left style="medium">
        <color indexed="64"/>
      </left>
      <right/>
      <top style="thin">
        <color indexed="8"/>
      </top>
      <bottom/>
      <diagonal/>
    </border>
    <border>
      <left style="medium">
        <color indexed="64"/>
      </left>
      <right/>
      <top style="thin">
        <color indexed="8"/>
      </top>
      <bottom style="thin">
        <color indexed="64"/>
      </bottom>
      <diagonal/>
    </border>
    <border>
      <left style="medium">
        <color indexed="64"/>
      </left>
      <right/>
      <top style="thin">
        <color indexed="8"/>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auto="1"/>
      </left>
      <right/>
      <top style="medium">
        <color indexed="64"/>
      </top>
      <bottom style="medium">
        <color indexed="64"/>
      </bottom>
      <diagonal/>
    </border>
    <border>
      <left style="medium">
        <color auto="1"/>
      </left>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indexed="64"/>
      </bottom>
      <diagonal/>
    </border>
    <border>
      <left style="medium">
        <color indexed="64"/>
      </left>
      <right/>
      <top/>
      <bottom style="medium">
        <color indexed="64"/>
      </bottom>
      <diagonal/>
    </border>
    <border>
      <left style="medium">
        <color indexed="64"/>
      </left>
      <right/>
      <top/>
      <bottom/>
      <diagonal/>
    </border>
    <border>
      <left/>
      <right style="medium">
        <color indexed="64"/>
      </right>
      <top/>
      <bottom/>
      <diagonal/>
    </border>
    <border>
      <left style="medium">
        <color auto="1"/>
      </left>
      <right/>
      <top/>
      <bottom style="medium">
        <color indexed="64"/>
      </bottom>
      <diagonal/>
    </border>
    <border>
      <left style="medium">
        <color auto="1"/>
      </left>
      <right/>
      <top/>
      <bottom style="medium">
        <color indexed="64"/>
      </bottom>
      <diagonal/>
    </border>
    <border>
      <left/>
      <right style="medium">
        <color auto="1"/>
      </right>
      <top/>
      <bottom style="medium">
        <color indexed="64"/>
      </bottom>
      <diagonal/>
    </border>
    <border>
      <left style="medium">
        <color indexed="64"/>
      </left>
      <right/>
      <top style="medium">
        <color auto="1"/>
      </top>
      <bottom/>
      <diagonal/>
    </border>
    <border>
      <left/>
      <right/>
      <top style="medium">
        <color indexed="64"/>
      </top>
      <bottom/>
      <diagonal/>
    </border>
    <border>
      <left style="medium">
        <color auto="1"/>
      </left>
      <right/>
      <top style="thin">
        <color auto="1"/>
      </top>
      <bottom style="thin">
        <color auto="1"/>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auto="1"/>
      </left>
      <right/>
      <top style="thin">
        <color auto="1"/>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64"/>
      </top>
      <bottom style="medium">
        <color indexed="64"/>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indexed="64"/>
      </right>
      <top style="thin">
        <color indexed="64"/>
      </top>
      <bottom style="thin">
        <color indexed="64"/>
      </bottom>
      <diagonal/>
    </border>
    <border>
      <left style="medium">
        <color indexed="64"/>
      </left>
      <right style="medium">
        <color indexed="64"/>
      </right>
      <top style="thin">
        <color indexed="8"/>
      </top>
      <bottom style="double">
        <color indexed="64"/>
      </bottom>
      <diagonal/>
    </border>
    <border>
      <left style="medium">
        <color indexed="64"/>
      </left>
      <right/>
      <top style="thin">
        <color indexed="8"/>
      </top>
      <bottom style="double">
        <color indexed="64"/>
      </bottom>
      <diagonal/>
    </border>
    <border>
      <left style="medium">
        <color auto="1"/>
      </left>
      <right/>
      <top style="thin">
        <color auto="1"/>
      </top>
      <bottom style="double">
        <color indexed="64"/>
      </bottom>
      <diagonal/>
    </border>
    <border>
      <left style="medium">
        <color auto="1"/>
      </left>
      <right style="medium">
        <color indexed="8"/>
      </right>
      <top/>
      <bottom style="thin">
        <color indexed="8"/>
      </bottom>
      <diagonal/>
    </border>
    <border>
      <left/>
      <right/>
      <top style="thin">
        <color indexed="8"/>
      </top>
      <bottom style="double">
        <color indexed="64"/>
      </bottom>
      <diagonal/>
    </border>
    <border>
      <left style="medium">
        <color auto="1"/>
      </left>
      <right style="medium">
        <color auto="1"/>
      </right>
      <top style="thin">
        <color auto="1"/>
      </top>
      <bottom style="double">
        <color indexed="64"/>
      </bottom>
      <diagonal/>
    </border>
    <border>
      <left/>
      <right style="medium">
        <color indexed="64"/>
      </right>
      <top style="thin">
        <color indexed="8"/>
      </top>
      <bottom style="double">
        <color indexed="64"/>
      </bottom>
      <diagonal/>
    </border>
    <border>
      <left/>
      <right/>
      <top style="thin">
        <color auto="1"/>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diagonal/>
    </border>
    <border>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auto="1"/>
      </left>
      <right/>
      <top style="thin">
        <color auto="1"/>
      </top>
      <bottom/>
      <diagonal/>
    </border>
    <border>
      <left style="medium">
        <color auto="1"/>
      </left>
      <right style="medium">
        <color auto="1"/>
      </right>
      <top style="thin">
        <color auto="1"/>
      </top>
      <bottom style="thin">
        <color auto="1"/>
      </bottom>
      <diagonal/>
    </border>
    <border>
      <left style="medium">
        <color indexed="64"/>
      </left>
      <right/>
      <top style="thin">
        <color indexed="64"/>
      </top>
      <bottom/>
      <diagonal/>
    </border>
    <border>
      <left style="medium">
        <color indexed="64"/>
      </left>
      <right style="medium">
        <color indexed="64"/>
      </right>
      <top style="thin">
        <color indexed="64"/>
      </top>
      <bottom style="thin">
        <color indexed="64"/>
      </bottom>
      <diagonal/>
    </border>
    <border>
      <left style="medium">
        <color auto="1"/>
      </left>
      <right/>
      <top style="thin">
        <color auto="1"/>
      </top>
      <bottom style="medium">
        <color indexed="64"/>
      </bottom>
      <diagonal/>
    </border>
    <border>
      <left style="medium">
        <color auto="1"/>
      </left>
      <right style="medium">
        <color auto="1"/>
      </right>
      <top style="thin">
        <color auto="1"/>
      </top>
      <bottom style="thin">
        <color auto="1"/>
      </bottom>
      <diagonal/>
    </border>
    <border>
      <left style="medium">
        <color indexed="64"/>
      </left>
      <right/>
      <top style="thin">
        <color indexed="64"/>
      </top>
      <bottom style="thin">
        <color indexed="64"/>
      </bottom>
      <diagonal/>
    </border>
    <border>
      <left style="medium">
        <color auto="1"/>
      </left>
      <right/>
      <top/>
      <bottom style="medium">
        <color indexed="8"/>
      </bottom>
      <diagonal/>
    </border>
    <border>
      <left style="medium">
        <color indexed="8"/>
      </left>
      <right/>
      <top/>
      <bottom style="thin">
        <color indexed="8"/>
      </bottom>
      <diagonal/>
    </border>
    <border>
      <left style="medium">
        <color indexed="64"/>
      </left>
      <right/>
      <top/>
      <bottom style="thin">
        <color indexed="8"/>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auto="1"/>
      </left>
      <right style="medium">
        <color auto="1"/>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auto="1"/>
      </right>
      <top/>
      <bottom style="medium">
        <color auto="1"/>
      </bottom>
      <diagonal/>
    </border>
    <border>
      <left/>
      <right/>
      <top/>
      <bottom style="medium">
        <color indexed="64"/>
      </bottom>
      <diagonal/>
    </border>
    <border>
      <left style="medium">
        <color indexed="64"/>
      </left>
      <right style="medium">
        <color indexed="64"/>
      </right>
      <top style="thin">
        <color indexed="64"/>
      </top>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thin">
        <color indexed="64"/>
      </top>
      <bottom style="thin">
        <color indexed="64"/>
      </bottom>
      <diagonal/>
    </border>
  </borders>
  <cellStyleXfs count="100">
    <xf numFmtId="0" fontId="0" fillId="0" borderId="0"/>
    <xf numFmtId="0" fontId="4" fillId="0" borderId="0" applyNumberFormat="0" applyFill="0" applyBorder="0" applyProtection="0">
      <alignment horizontal="left"/>
    </xf>
    <xf numFmtId="0" fontId="4"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Protection="0">
      <alignment horizontal="left"/>
    </xf>
    <xf numFmtId="0" fontId="4"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Protection="0">
      <alignment horizontal="left"/>
    </xf>
    <xf numFmtId="0" fontId="3" fillId="0" borderId="0" applyNumberFormat="0" applyFill="0" applyBorder="0" applyProtection="0">
      <alignment horizontal="left"/>
    </xf>
    <xf numFmtId="0" fontId="4"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Protection="0">
      <alignment horizontal="left"/>
    </xf>
    <xf numFmtId="0" fontId="3" fillId="0" borderId="0" applyNumberFormat="0" applyFill="0" applyBorder="0" applyProtection="0">
      <alignment horizontal="left"/>
    </xf>
    <xf numFmtId="0" fontId="4" fillId="0" borderId="0" applyNumberFormat="0" applyFill="0" applyBorder="0" applyAlignment="0" applyProtection="0"/>
    <xf numFmtId="0" fontId="4" fillId="0" borderId="0" applyNumberFormat="0" applyFill="0" applyBorder="0" applyProtection="0">
      <alignment horizontal="left"/>
    </xf>
    <xf numFmtId="0" fontId="4"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Protection="0">
      <alignment horizontal="left"/>
    </xf>
    <xf numFmtId="0" fontId="4"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Protection="0">
      <alignment horizontal="left"/>
    </xf>
    <xf numFmtId="0" fontId="3" fillId="0" borderId="0" applyNumberFormat="0" applyFill="0" applyBorder="0" applyProtection="0">
      <alignment horizontal="left"/>
    </xf>
    <xf numFmtId="0" fontId="4"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967">
    <xf numFmtId="0" fontId="0" fillId="0" borderId="0" xfId="0"/>
    <xf numFmtId="0" fontId="0" fillId="0" borderId="0" xfId="0" applyAlignment="1">
      <alignment horizontal="center"/>
    </xf>
    <xf numFmtId="0" fontId="3" fillId="0" borderId="0" xfId="0" applyFont="1" applyAlignment="1">
      <alignment horizontal="center"/>
    </xf>
    <xf numFmtId="0" fontId="3" fillId="0" borderId="0" xfId="0" applyFont="1"/>
    <xf numFmtId="0" fontId="0" fillId="0" borderId="0" xfId="0" applyAlignment="1">
      <alignment vertical="center"/>
    </xf>
    <xf numFmtId="0" fontId="3" fillId="0" borderId="0" xfId="0" applyFont="1" applyAlignment="1">
      <alignment horizontal="center" vertical="center"/>
    </xf>
    <xf numFmtId="0" fontId="8" fillId="0" borderId="0" xfId="0" applyFont="1"/>
    <xf numFmtId="0" fontId="8" fillId="0" borderId="0" xfId="0" applyFont="1" applyAlignment="1">
      <alignment horizontal="center"/>
    </xf>
    <xf numFmtId="165" fontId="8" fillId="0" borderId="0" xfId="0" applyNumberFormat="1" applyFont="1" applyAlignment="1">
      <alignment horizontal="center"/>
    </xf>
    <xf numFmtId="21" fontId="8" fillId="0" borderId="0" xfId="0" applyNumberFormat="1" applyFont="1" applyAlignment="1">
      <alignment horizontal="center"/>
    </xf>
    <xf numFmtId="169" fontId="8" fillId="0" borderId="0" xfId="0" applyNumberFormat="1" applyFont="1" applyAlignment="1">
      <alignment horizontal="center"/>
    </xf>
    <xf numFmtId="45" fontId="8" fillId="0" borderId="0" xfId="0" applyNumberFormat="1" applyFont="1" applyAlignment="1">
      <alignment horizontal="center"/>
    </xf>
    <xf numFmtId="1" fontId="8" fillId="0" borderId="0" xfId="0" applyNumberFormat="1" applyFont="1" applyAlignment="1">
      <alignment horizontal="center"/>
    </xf>
    <xf numFmtId="45" fontId="9" fillId="0" borderId="0" xfId="0" applyNumberFormat="1" applyFont="1" applyAlignment="1">
      <alignment horizontal="center"/>
    </xf>
    <xf numFmtId="1" fontId="8" fillId="0" borderId="0" xfId="0" applyNumberFormat="1" applyFont="1" applyAlignment="1">
      <alignment horizontal="center" vertical="center"/>
    </xf>
    <xf numFmtId="0" fontId="11" fillId="8" borderId="32" xfId="0" applyFont="1" applyFill="1" applyBorder="1" applyAlignment="1">
      <alignment horizontal="center" vertical="center"/>
    </xf>
    <xf numFmtId="1" fontId="10" fillId="2" borderId="0" xfId="0" applyNumberFormat="1" applyFont="1" applyFill="1" applyAlignment="1">
      <alignment horizontal="center"/>
    </xf>
    <xf numFmtId="1" fontId="12" fillId="2" borderId="0" xfId="0" applyNumberFormat="1" applyFont="1" applyFill="1" applyAlignment="1">
      <alignment horizontal="center"/>
    </xf>
    <xf numFmtId="0" fontId="11" fillId="0" borderId="0" xfId="0" applyFont="1" applyAlignment="1">
      <alignment horizontal="center"/>
    </xf>
    <xf numFmtId="1" fontId="12" fillId="2" borderId="728" xfId="0" applyNumberFormat="1" applyFont="1" applyFill="1" applyBorder="1" applyAlignment="1">
      <alignment horizontal="center"/>
    </xf>
    <xf numFmtId="1" fontId="12" fillId="2" borderId="729" xfId="0" applyNumberFormat="1" applyFont="1" applyFill="1" applyBorder="1" applyAlignment="1">
      <alignment horizontal="center"/>
    </xf>
    <xf numFmtId="45" fontId="10" fillId="2" borderId="0" xfId="0" applyNumberFormat="1" applyFont="1" applyFill="1" applyAlignment="1">
      <alignment horizontal="center"/>
    </xf>
    <xf numFmtId="169" fontId="10" fillId="2" borderId="0" xfId="0" applyNumberFormat="1" applyFont="1" applyFill="1" applyAlignment="1">
      <alignment horizontal="center"/>
    </xf>
    <xf numFmtId="167" fontId="10" fillId="0" borderId="305" xfId="0" applyNumberFormat="1" applyFont="1" applyBorder="1" applyAlignment="1">
      <alignment horizontal="center"/>
    </xf>
    <xf numFmtId="21" fontId="10" fillId="0" borderId="306" xfId="0" applyNumberFormat="1" applyFont="1" applyBorder="1" applyAlignment="1">
      <alignment horizontal="center"/>
    </xf>
    <xf numFmtId="169" fontId="10" fillId="0" borderId="307" xfId="0" applyNumberFormat="1" applyFont="1" applyBorder="1" applyAlignment="1">
      <alignment horizontal="center"/>
    </xf>
    <xf numFmtId="45" fontId="10" fillId="0" borderId="307" xfId="0" applyNumberFormat="1" applyFont="1" applyBorder="1" applyAlignment="1">
      <alignment horizontal="center"/>
    </xf>
    <xf numFmtId="1" fontId="10" fillId="0" borderId="307" xfId="0" applyNumberFormat="1" applyFont="1" applyBorder="1" applyAlignment="1">
      <alignment horizontal="center"/>
    </xf>
    <xf numFmtId="170" fontId="10" fillId="0" borderId="302" xfId="0" applyNumberFormat="1" applyFont="1" applyBorder="1" applyAlignment="1">
      <alignment horizontal="center"/>
    </xf>
    <xf numFmtId="45" fontId="10" fillId="0" borderId="308" xfId="0" applyNumberFormat="1" applyFont="1" applyBorder="1" applyAlignment="1">
      <alignment horizontal="center"/>
    </xf>
    <xf numFmtId="1" fontId="12" fillId="2" borderId="309" xfId="0" applyNumberFormat="1" applyFont="1" applyFill="1" applyBorder="1" applyAlignment="1">
      <alignment horizontal="center"/>
    </xf>
    <xf numFmtId="1" fontId="12" fillId="2" borderId="310" xfId="0" applyNumberFormat="1" applyFont="1" applyFill="1" applyBorder="1" applyAlignment="1">
      <alignment horizontal="center"/>
    </xf>
    <xf numFmtId="1" fontId="12" fillId="2" borderId="520" xfId="0" applyNumberFormat="1" applyFont="1" applyFill="1" applyBorder="1" applyAlignment="1">
      <alignment horizontal="center"/>
    </xf>
    <xf numFmtId="2" fontId="10" fillId="0" borderId="583" xfId="0" applyNumberFormat="1" applyFont="1" applyBorder="1" applyAlignment="1">
      <alignment horizontal="center"/>
    </xf>
    <xf numFmtId="1" fontId="10" fillId="0" borderId="359" xfId="0" applyNumberFormat="1" applyFont="1" applyBorder="1" applyAlignment="1">
      <alignment horizontal="center"/>
    </xf>
    <xf numFmtId="167" fontId="10" fillId="0" borderId="124" xfId="0" applyNumberFormat="1" applyFont="1" applyBorder="1" applyAlignment="1">
      <alignment horizontal="center"/>
    </xf>
    <xf numFmtId="1" fontId="10" fillId="0" borderId="291" xfId="0" applyNumberFormat="1" applyFont="1" applyBorder="1" applyAlignment="1">
      <alignment horizontal="center"/>
    </xf>
    <xf numFmtId="1" fontId="10" fillId="0" borderId="291" xfId="0" applyNumberFormat="1" applyFont="1" applyBorder="1" applyAlignment="1">
      <alignment horizontal="center" vertical="center"/>
    </xf>
    <xf numFmtId="21" fontId="10" fillId="0" borderId="121" xfId="0" applyNumberFormat="1" applyFont="1" applyBorder="1" applyAlignment="1">
      <alignment horizontal="center"/>
    </xf>
    <xf numFmtId="169" fontId="10" fillId="0" borderId="122" xfId="0" applyNumberFormat="1" applyFont="1" applyBorder="1" applyAlignment="1">
      <alignment horizontal="center"/>
    </xf>
    <xf numFmtId="45" fontId="10" fillId="0" borderId="122" xfId="0" applyNumberFormat="1" applyFont="1" applyBorder="1" applyAlignment="1">
      <alignment horizontal="center"/>
    </xf>
    <xf numFmtId="1" fontId="10" fillId="0" borderId="122" xfId="0" applyNumberFormat="1" applyFont="1" applyBorder="1" applyAlignment="1">
      <alignment horizontal="center"/>
    </xf>
    <xf numFmtId="170" fontId="10" fillId="0" borderId="120" xfId="0" applyNumberFormat="1" applyFont="1" applyBorder="1" applyAlignment="1">
      <alignment horizontal="center"/>
    </xf>
    <xf numFmtId="45" fontId="10" fillId="0" borderId="123" xfId="0" applyNumberFormat="1" applyFont="1" applyBorder="1" applyAlignment="1">
      <alignment horizontal="center"/>
    </xf>
    <xf numFmtId="1" fontId="12" fillId="2" borderId="124" xfId="0" applyNumberFormat="1" applyFont="1" applyFill="1" applyBorder="1" applyAlignment="1">
      <alignment horizontal="center"/>
    </xf>
    <xf numFmtId="1" fontId="12" fillId="2" borderId="311" xfId="0" applyNumberFormat="1" applyFont="1" applyFill="1" applyBorder="1" applyAlignment="1">
      <alignment horizontal="center"/>
    </xf>
    <xf numFmtId="1" fontId="12" fillId="2" borderId="614" xfId="0" applyNumberFormat="1" applyFont="1" applyFill="1" applyBorder="1" applyAlignment="1">
      <alignment horizontal="center"/>
    </xf>
    <xf numFmtId="2" fontId="10" fillId="0" borderId="616" xfId="0" applyNumberFormat="1" applyFont="1" applyBorder="1" applyAlignment="1">
      <alignment horizontal="center"/>
    </xf>
    <xf numFmtId="1" fontId="10" fillId="0" borderId="341" xfId="0" applyNumberFormat="1" applyFont="1" applyBorder="1" applyAlignment="1">
      <alignment horizontal="center"/>
    </xf>
    <xf numFmtId="1" fontId="10" fillId="0" borderId="336" xfId="0" applyNumberFormat="1" applyFont="1" applyBorder="1" applyAlignment="1">
      <alignment horizontal="center"/>
    </xf>
    <xf numFmtId="1" fontId="10" fillId="0" borderId="360" xfId="0" applyNumberFormat="1" applyFont="1" applyBorder="1" applyAlignment="1">
      <alignment horizontal="center"/>
    </xf>
    <xf numFmtId="1" fontId="10" fillId="0" borderId="120" xfId="0" applyNumberFormat="1" applyFont="1" applyBorder="1" applyAlignment="1">
      <alignment horizontal="center"/>
    </xf>
    <xf numFmtId="1" fontId="10" fillId="0" borderId="120" xfId="0" applyNumberFormat="1" applyFont="1" applyBorder="1" applyAlignment="1">
      <alignment horizontal="center" vertical="center"/>
    </xf>
    <xf numFmtId="167" fontId="10" fillId="0" borderId="312" xfId="0" applyNumberFormat="1" applyFont="1" applyBorder="1" applyAlignment="1">
      <alignment horizontal="center"/>
    </xf>
    <xf numFmtId="1" fontId="10" fillId="0" borderId="313" xfId="0" applyNumberFormat="1" applyFont="1" applyBorder="1" applyAlignment="1">
      <alignment horizontal="center"/>
    </xf>
    <xf numFmtId="1" fontId="10" fillId="0" borderId="313" xfId="0" applyNumberFormat="1" applyFont="1" applyBorder="1" applyAlignment="1">
      <alignment horizontal="center" vertical="center"/>
    </xf>
    <xf numFmtId="21" fontId="10" fillId="0" borderId="314" xfId="0" applyNumberFormat="1" applyFont="1" applyBorder="1" applyAlignment="1">
      <alignment horizontal="center"/>
    </xf>
    <xf numFmtId="169" fontId="10" fillId="0" borderId="315" xfId="0" applyNumberFormat="1" applyFont="1" applyBorder="1" applyAlignment="1">
      <alignment horizontal="center"/>
    </xf>
    <xf numFmtId="45" fontId="10" fillId="0" borderId="315" xfId="0" applyNumberFormat="1" applyFont="1" applyBorder="1" applyAlignment="1">
      <alignment horizontal="center"/>
    </xf>
    <xf numFmtId="1" fontId="10" fillId="0" borderId="315" xfId="0" applyNumberFormat="1" applyFont="1" applyBorder="1" applyAlignment="1">
      <alignment horizontal="center"/>
    </xf>
    <xf numFmtId="170" fontId="10" fillId="0" borderId="116" xfId="0" applyNumberFormat="1" applyFont="1" applyBorder="1" applyAlignment="1">
      <alignment horizontal="center"/>
    </xf>
    <xf numFmtId="45" fontId="10" fillId="0" borderId="316" xfId="0" applyNumberFormat="1" applyFont="1" applyBorder="1" applyAlignment="1">
      <alignment horizontal="center"/>
    </xf>
    <xf numFmtId="1" fontId="12" fillId="2" borderId="312" xfId="0" applyNumberFormat="1" applyFont="1" applyFill="1" applyBorder="1" applyAlignment="1">
      <alignment horizontal="center"/>
    </xf>
    <xf numFmtId="1" fontId="12" fillId="2" borderId="317" xfId="0" applyNumberFormat="1" applyFont="1" applyFill="1" applyBorder="1" applyAlignment="1">
      <alignment horizontal="center"/>
    </xf>
    <xf numFmtId="1" fontId="12" fillId="2" borderId="615" xfId="0" applyNumberFormat="1" applyFont="1" applyFill="1" applyBorder="1" applyAlignment="1">
      <alignment horizontal="center"/>
    </xf>
    <xf numFmtId="2" fontId="10" fillId="0" borderId="613" xfId="0" applyNumberFormat="1" applyFont="1" applyBorder="1" applyAlignment="1">
      <alignment horizontal="center"/>
    </xf>
    <xf numFmtId="1" fontId="10" fillId="0" borderId="340" xfId="0" applyNumberFormat="1" applyFont="1" applyBorder="1" applyAlignment="1">
      <alignment horizontal="center"/>
    </xf>
    <xf numFmtId="1" fontId="10" fillId="0" borderId="334" xfId="0" applyNumberFormat="1" applyFont="1" applyBorder="1" applyAlignment="1">
      <alignment horizontal="center"/>
    </xf>
    <xf numFmtId="1" fontId="10" fillId="0" borderId="343" xfId="0" applyNumberFormat="1" applyFont="1" applyBorder="1" applyAlignment="1">
      <alignment horizontal="center"/>
    </xf>
    <xf numFmtId="167" fontId="10" fillId="0" borderId="36" xfId="0" applyNumberFormat="1" applyFont="1" applyBorder="1" applyAlignment="1">
      <alignment horizontal="center"/>
    </xf>
    <xf numFmtId="1" fontId="10" fillId="0" borderId="32" xfId="0" applyNumberFormat="1" applyFont="1" applyBorder="1" applyAlignment="1">
      <alignment horizontal="center"/>
    </xf>
    <xf numFmtId="1" fontId="10" fillId="0" borderId="32" xfId="0" applyNumberFormat="1" applyFont="1" applyBorder="1" applyAlignment="1">
      <alignment horizontal="center" vertical="center"/>
    </xf>
    <xf numFmtId="21" fontId="10" fillId="0" borderId="252" xfId="0" applyNumberFormat="1" applyFont="1" applyBorder="1" applyAlignment="1">
      <alignment horizontal="center"/>
    </xf>
    <xf numFmtId="169" fontId="10" fillId="0" borderId="282" xfId="0" applyNumberFormat="1" applyFont="1" applyBorder="1" applyAlignment="1">
      <alignment horizontal="center"/>
    </xf>
    <xf numFmtId="45" fontId="10" fillId="0" borderId="282" xfId="0" applyNumberFormat="1" applyFont="1" applyBorder="1" applyAlignment="1">
      <alignment horizontal="center"/>
    </xf>
    <xf numFmtId="1" fontId="10" fillId="0" borderId="282" xfId="0" applyNumberFormat="1" applyFont="1" applyBorder="1" applyAlignment="1">
      <alignment horizontal="center"/>
    </xf>
    <xf numFmtId="1" fontId="10" fillId="0" borderId="254" xfId="0" applyNumberFormat="1" applyFont="1" applyBorder="1" applyAlignment="1">
      <alignment horizontal="center"/>
    </xf>
    <xf numFmtId="170" fontId="10" fillId="0" borderId="32" xfId="0" applyNumberFormat="1" applyFont="1" applyBorder="1" applyAlignment="1">
      <alignment horizontal="center"/>
    </xf>
    <xf numFmtId="45" fontId="10" fillId="0" borderId="254" xfId="0" applyNumberFormat="1" applyFont="1" applyBorder="1" applyAlignment="1">
      <alignment horizontal="center"/>
    </xf>
    <xf numFmtId="1" fontId="12" fillId="2" borderId="36" xfId="0" applyNumberFormat="1" applyFont="1" applyFill="1" applyBorder="1" applyAlignment="1">
      <alignment horizontal="center"/>
    </xf>
    <xf numFmtId="1" fontId="12" fillId="2" borderId="12" xfId="0" applyNumberFormat="1" applyFont="1" applyFill="1" applyBorder="1" applyAlignment="1">
      <alignment horizontal="center"/>
    </xf>
    <xf numFmtId="1" fontId="10" fillId="0" borderId="36" xfId="0" applyNumberFormat="1" applyFont="1" applyBorder="1" applyAlignment="1">
      <alignment horizontal="center"/>
    </xf>
    <xf numFmtId="1" fontId="10" fillId="0" borderId="34" xfId="0" applyNumberFormat="1" applyFont="1" applyBorder="1" applyAlignment="1">
      <alignment horizontal="center"/>
    </xf>
    <xf numFmtId="2" fontId="10" fillId="0" borderId="290" xfId="0" applyNumberFormat="1" applyFont="1" applyBorder="1" applyAlignment="1">
      <alignment horizontal="center"/>
    </xf>
    <xf numFmtId="167" fontId="10" fillId="0" borderId="16" xfId="0" applyNumberFormat="1" applyFont="1" applyBorder="1" applyAlignment="1">
      <alignment horizontal="center"/>
    </xf>
    <xf numFmtId="1" fontId="10" fillId="0" borderId="13" xfId="0" applyNumberFormat="1" applyFont="1" applyBorder="1" applyAlignment="1">
      <alignment horizontal="center"/>
    </xf>
    <xf numFmtId="1" fontId="10" fillId="0" borderId="13" xfId="0" applyNumberFormat="1" applyFont="1" applyBorder="1" applyAlignment="1">
      <alignment horizontal="center" vertical="center"/>
    </xf>
    <xf numFmtId="21" fontId="10" fillId="0" borderId="2" xfId="0" applyNumberFormat="1" applyFont="1" applyBorder="1" applyAlignment="1">
      <alignment horizontal="center"/>
    </xf>
    <xf numFmtId="169" fontId="10" fillId="0" borderId="1" xfId="0" applyNumberFormat="1" applyFont="1" applyBorder="1" applyAlignment="1">
      <alignment horizontal="center"/>
    </xf>
    <xf numFmtId="45" fontId="10" fillId="0" borderId="1" xfId="0" applyNumberFormat="1" applyFont="1" applyBorder="1" applyAlignment="1">
      <alignment horizontal="center"/>
    </xf>
    <xf numFmtId="1" fontId="10" fillId="0" borderId="19" xfId="0" applyNumberFormat="1" applyFont="1" applyBorder="1" applyAlignment="1">
      <alignment horizontal="center"/>
    </xf>
    <xf numFmtId="170" fontId="10" fillId="0" borderId="41" xfId="0" applyNumberFormat="1" applyFont="1" applyBorder="1" applyAlignment="1">
      <alignment horizontal="center"/>
    </xf>
    <xf numFmtId="45" fontId="10" fillId="0" borderId="53" xfId="0" applyNumberFormat="1" applyFont="1" applyBorder="1" applyAlignment="1">
      <alignment horizontal="center"/>
    </xf>
    <xf numFmtId="1" fontId="12" fillId="2" borderId="21" xfId="0" applyNumberFormat="1" applyFont="1" applyFill="1" applyBorder="1" applyAlignment="1">
      <alignment horizontal="center"/>
    </xf>
    <xf numFmtId="1" fontId="12" fillId="2" borderId="25" xfId="0" applyNumberFormat="1" applyFont="1" applyFill="1" applyBorder="1" applyAlignment="1">
      <alignment horizontal="center"/>
    </xf>
    <xf numFmtId="167" fontId="10" fillId="0" borderId="304" xfId="0" applyNumberFormat="1" applyFont="1" applyBorder="1" applyAlignment="1">
      <alignment horizontal="center"/>
    </xf>
    <xf numFmtId="1" fontId="10" fillId="0" borderId="303" xfId="0" applyNumberFormat="1" applyFont="1" applyBorder="1" applyAlignment="1">
      <alignment horizontal="center"/>
    </xf>
    <xf numFmtId="1" fontId="10" fillId="0" borderId="303" xfId="0" applyNumberFormat="1" applyFont="1" applyBorder="1" applyAlignment="1">
      <alignment horizontal="center" vertical="center"/>
    </xf>
    <xf numFmtId="21" fontId="10" fillId="0" borderId="4" xfId="0" applyNumberFormat="1" applyFont="1" applyBorder="1" applyAlignment="1">
      <alignment horizontal="center"/>
    </xf>
    <xf numFmtId="169" fontId="10" fillId="0" borderId="142" xfId="0" applyNumberFormat="1" applyFont="1" applyBorder="1" applyAlignment="1">
      <alignment horizontal="center"/>
    </xf>
    <xf numFmtId="45" fontId="10" fillId="0" borderId="142" xfId="0" applyNumberFormat="1" applyFont="1" applyBorder="1" applyAlignment="1">
      <alignment horizontal="center"/>
    </xf>
    <xf numFmtId="1" fontId="10" fillId="0" borderId="142" xfId="0" applyNumberFormat="1" applyFont="1" applyBorder="1" applyAlignment="1">
      <alignment horizontal="center"/>
    </xf>
    <xf numFmtId="1" fontId="10" fillId="0" borderId="5" xfId="0" applyNumberFormat="1" applyFont="1" applyBorder="1" applyAlignment="1">
      <alignment horizontal="center"/>
    </xf>
    <xf numFmtId="170" fontId="10" fillId="0" borderId="303" xfId="0" applyNumberFormat="1" applyFont="1" applyBorder="1" applyAlignment="1">
      <alignment horizontal="center"/>
    </xf>
    <xf numFmtId="45" fontId="10" fillId="0" borderId="5" xfId="0" applyNumberFormat="1" applyFont="1" applyBorder="1" applyAlignment="1">
      <alignment horizontal="center"/>
    </xf>
    <xf numFmtId="1" fontId="12" fillId="2" borderId="18" xfId="0" applyNumberFormat="1" applyFont="1" applyFill="1" applyBorder="1" applyAlignment="1">
      <alignment horizontal="center"/>
    </xf>
    <xf numFmtId="1" fontId="12" fillId="2" borderId="318" xfId="0" applyNumberFormat="1" applyFont="1" applyFill="1" applyBorder="1" applyAlignment="1">
      <alignment horizontal="center"/>
    </xf>
    <xf numFmtId="1" fontId="12" fillId="2" borderId="371" xfId="0" applyNumberFormat="1" applyFont="1" applyFill="1" applyBorder="1" applyAlignment="1">
      <alignment horizontal="center"/>
    </xf>
    <xf numFmtId="1" fontId="10" fillId="0" borderId="342" xfId="0" applyNumberFormat="1" applyFont="1" applyBorder="1" applyAlignment="1">
      <alignment horizontal="center"/>
    </xf>
    <xf numFmtId="1" fontId="10" fillId="0" borderId="344" xfId="0" applyNumberFormat="1" applyFont="1" applyBorder="1" applyAlignment="1">
      <alignment horizontal="center"/>
    </xf>
    <xf numFmtId="1" fontId="10" fillId="0" borderId="302" xfId="0" applyNumberFormat="1" applyFont="1" applyBorder="1" applyAlignment="1">
      <alignment horizontal="center"/>
    </xf>
    <xf numFmtId="1" fontId="10" fillId="0" borderId="302" xfId="0" applyNumberFormat="1" applyFont="1" applyBorder="1" applyAlignment="1">
      <alignment horizontal="center" vertical="center"/>
    </xf>
    <xf numFmtId="21" fontId="10" fillId="0" borderId="319" xfId="0" applyNumberFormat="1" applyFont="1" applyBorder="1" applyAlignment="1">
      <alignment horizontal="center"/>
    </xf>
    <xf numFmtId="169" fontId="10" fillId="0" borderId="320" xfId="0" applyNumberFormat="1" applyFont="1" applyBorder="1" applyAlignment="1">
      <alignment horizontal="center"/>
    </xf>
    <xf numFmtId="45" fontId="10" fillId="0" borderId="320" xfId="0" applyNumberFormat="1" applyFont="1" applyBorder="1" applyAlignment="1">
      <alignment horizontal="center"/>
    </xf>
    <xf numFmtId="1" fontId="10" fillId="0" borderId="320" xfId="0" applyNumberFormat="1" applyFont="1" applyBorder="1" applyAlignment="1">
      <alignment horizontal="center"/>
    </xf>
    <xf numFmtId="45" fontId="10" fillId="0" borderId="321" xfId="0" applyNumberFormat="1" applyFont="1" applyBorder="1" applyAlignment="1">
      <alignment horizontal="center"/>
    </xf>
    <xf numFmtId="167" fontId="10" fillId="0" borderId="323" xfId="0" applyNumberFormat="1" applyFont="1" applyBorder="1" applyAlignment="1">
      <alignment horizontal="center"/>
    </xf>
    <xf numFmtId="1" fontId="10" fillId="0" borderId="322" xfId="0" applyNumberFormat="1" applyFont="1" applyBorder="1" applyAlignment="1">
      <alignment horizontal="center"/>
    </xf>
    <xf numFmtId="1" fontId="10" fillId="0" borderId="322" xfId="0" applyNumberFormat="1" applyFont="1" applyBorder="1" applyAlignment="1">
      <alignment horizontal="center" vertical="center"/>
    </xf>
    <xf numFmtId="21" fontId="10" fillId="0" borderId="324" xfId="0" applyNumberFormat="1" applyFont="1" applyBorder="1" applyAlignment="1">
      <alignment horizontal="center"/>
    </xf>
    <xf numFmtId="169" fontId="10" fillId="0" borderId="325" xfId="0" applyNumberFormat="1" applyFont="1" applyBorder="1" applyAlignment="1">
      <alignment horizontal="center"/>
    </xf>
    <xf numFmtId="45" fontId="10" fillId="0" borderId="325" xfId="0" applyNumberFormat="1" applyFont="1" applyBorder="1" applyAlignment="1">
      <alignment horizontal="center"/>
    </xf>
    <xf numFmtId="1" fontId="10" fillId="0" borderId="325" xfId="0" applyNumberFormat="1" applyFont="1" applyBorder="1" applyAlignment="1">
      <alignment horizontal="center"/>
    </xf>
    <xf numFmtId="170" fontId="10" fillId="0" borderId="327" xfId="0" applyNumberFormat="1" applyFont="1" applyBorder="1" applyAlignment="1">
      <alignment horizontal="center"/>
    </xf>
    <xf numFmtId="45" fontId="10" fillId="0" borderId="326" xfId="0" applyNumberFormat="1" applyFont="1" applyBorder="1" applyAlignment="1">
      <alignment horizontal="center"/>
    </xf>
    <xf numFmtId="1" fontId="12" fillId="2" borderId="323" xfId="0" applyNumberFormat="1" applyFont="1" applyFill="1" applyBorder="1" applyAlignment="1">
      <alignment horizontal="center"/>
    </xf>
    <xf numFmtId="1" fontId="10" fillId="0" borderId="327" xfId="0" applyNumberFormat="1" applyFont="1" applyBorder="1" applyAlignment="1">
      <alignment horizontal="center"/>
    </xf>
    <xf numFmtId="1" fontId="10" fillId="0" borderId="327" xfId="0" applyNumberFormat="1" applyFont="1" applyBorder="1" applyAlignment="1">
      <alignment horizontal="center" vertical="center"/>
    </xf>
    <xf numFmtId="167" fontId="10" fillId="5" borderId="328" xfId="0" applyNumberFormat="1" applyFont="1" applyFill="1" applyBorder="1" applyAlignment="1">
      <alignment horizontal="center"/>
    </xf>
    <xf numFmtId="1" fontId="10" fillId="5" borderId="329" xfId="0" applyNumberFormat="1" applyFont="1" applyFill="1" applyBorder="1" applyAlignment="1">
      <alignment horizontal="center"/>
    </xf>
    <xf numFmtId="1" fontId="10" fillId="5" borderId="329" xfId="0" applyNumberFormat="1" applyFont="1" applyFill="1" applyBorder="1" applyAlignment="1">
      <alignment horizontal="center" vertical="center"/>
    </xf>
    <xf numFmtId="21" fontId="10" fillId="5" borderId="330" xfId="0" applyNumberFormat="1" applyFont="1" applyFill="1" applyBorder="1" applyAlignment="1">
      <alignment horizontal="center"/>
    </xf>
    <xf numFmtId="169" fontId="10" fillId="5" borderId="331" xfId="0" applyNumberFormat="1" applyFont="1" applyFill="1" applyBorder="1" applyAlignment="1">
      <alignment horizontal="center"/>
    </xf>
    <xf numFmtId="45" fontId="10" fillId="5" borderId="331" xfId="0" applyNumberFormat="1" applyFont="1" applyFill="1" applyBorder="1" applyAlignment="1">
      <alignment horizontal="center"/>
    </xf>
    <xf numFmtId="1" fontId="10" fillId="5" borderId="331" xfId="0" applyNumberFormat="1" applyFont="1" applyFill="1" applyBorder="1" applyAlignment="1">
      <alignment horizontal="center"/>
    </xf>
    <xf numFmtId="170" fontId="10" fillId="5" borderId="116" xfId="0" applyNumberFormat="1" applyFont="1" applyFill="1" applyBorder="1" applyAlignment="1">
      <alignment horizontal="center"/>
    </xf>
    <xf numFmtId="45" fontId="10" fillId="5" borderId="332" xfId="0" applyNumberFormat="1" applyFont="1" applyFill="1" applyBorder="1" applyAlignment="1">
      <alignment horizontal="center"/>
    </xf>
    <xf numFmtId="1" fontId="12" fillId="2" borderId="328" xfId="0" applyNumberFormat="1" applyFont="1" applyFill="1" applyBorder="1" applyAlignment="1">
      <alignment horizontal="center"/>
    </xf>
    <xf numFmtId="1" fontId="12" fillId="2" borderId="333" xfId="0" applyNumberFormat="1" applyFont="1" applyFill="1" applyBorder="1" applyAlignment="1">
      <alignment horizontal="center"/>
    </xf>
    <xf numFmtId="170" fontId="10" fillId="0" borderId="42" xfId="0" applyNumberFormat="1" applyFont="1" applyBorder="1" applyAlignment="1">
      <alignment horizontal="center"/>
    </xf>
    <xf numFmtId="167" fontId="10" fillId="0" borderId="18" xfId="0" applyNumberFormat="1" applyFont="1" applyBorder="1" applyAlignment="1">
      <alignment horizontal="center"/>
    </xf>
    <xf numFmtId="167" fontId="10" fillId="0" borderId="357" xfId="0" applyNumberFormat="1" applyFont="1" applyBorder="1" applyAlignment="1">
      <alignment horizontal="center"/>
    </xf>
    <xf numFmtId="1" fontId="10" fillId="0" borderId="358" xfId="0" applyNumberFormat="1" applyFont="1" applyBorder="1" applyAlignment="1">
      <alignment horizontal="center"/>
    </xf>
    <xf numFmtId="1" fontId="10" fillId="0" borderId="358" xfId="0" applyNumberFormat="1" applyFont="1" applyBorder="1" applyAlignment="1">
      <alignment horizontal="center" vertical="center"/>
    </xf>
    <xf numFmtId="21" fontId="10" fillId="0" borderId="366" xfId="0" applyNumberFormat="1" applyFont="1" applyBorder="1" applyAlignment="1">
      <alignment horizontal="center"/>
    </xf>
    <xf numFmtId="169" fontId="10" fillId="0" borderId="367" xfId="0" applyNumberFormat="1" applyFont="1" applyBorder="1" applyAlignment="1">
      <alignment horizontal="center"/>
    </xf>
    <xf numFmtId="45" fontId="10" fillId="0" borderId="367" xfId="0" applyNumberFormat="1" applyFont="1" applyBorder="1" applyAlignment="1">
      <alignment horizontal="center"/>
    </xf>
    <xf numFmtId="1" fontId="10" fillId="0" borderId="367" xfId="0" applyNumberFormat="1" applyFont="1" applyBorder="1" applyAlignment="1">
      <alignment horizontal="center"/>
    </xf>
    <xf numFmtId="1" fontId="10" fillId="0" borderId="368" xfId="0" applyNumberFormat="1" applyFont="1" applyBorder="1" applyAlignment="1">
      <alignment horizontal="center"/>
    </xf>
    <xf numFmtId="170" fontId="10" fillId="0" borderId="358" xfId="0" applyNumberFormat="1" applyFont="1" applyBorder="1" applyAlignment="1">
      <alignment horizontal="center"/>
    </xf>
    <xf numFmtId="45" fontId="10" fillId="0" borderId="368" xfId="0" applyNumberFormat="1" applyFont="1" applyBorder="1" applyAlignment="1">
      <alignment horizontal="center"/>
    </xf>
    <xf numFmtId="1" fontId="12" fillId="2" borderId="357" xfId="0" applyNumberFormat="1" applyFont="1" applyFill="1" applyBorder="1" applyAlignment="1">
      <alignment horizontal="center"/>
    </xf>
    <xf numFmtId="1" fontId="12" fillId="2" borderId="369" xfId="0" applyNumberFormat="1" applyFont="1" applyFill="1" applyBorder="1" applyAlignment="1">
      <alignment horizontal="center"/>
    </xf>
    <xf numFmtId="1" fontId="10" fillId="0" borderId="357" xfId="0" applyNumberFormat="1" applyFont="1" applyBorder="1" applyAlignment="1">
      <alignment horizontal="center"/>
    </xf>
    <xf numFmtId="167" fontId="10" fillId="0" borderId="341" xfId="0" applyNumberFormat="1" applyFont="1" applyBorder="1" applyAlignment="1">
      <alignment horizontal="center"/>
    </xf>
    <xf numFmtId="1" fontId="10" fillId="0" borderId="336" xfId="0" applyNumberFormat="1" applyFont="1" applyBorder="1" applyAlignment="1">
      <alignment horizontal="center" vertical="center"/>
    </xf>
    <xf numFmtId="1" fontId="10" fillId="0" borderId="349" xfId="0" applyNumberFormat="1" applyFont="1" applyBorder="1" applyAlignment="1">
      <alignment horizontal="center"/>
    </xf>
    <xf numFmtId="170" fontId="10" fillId="0" borderId="336" xfId="0" applyNumberFormat="1" applyFont="1" applyBorder="1" applyAlignment="1">
      <alignment horizontal="center"/>
    </xf>
    <xf numFmtId="45" fontId="10" fillId="0" borderId="349" xfId="0" applyNumberFormat="1" applyFont="1" applyBorder="1" applyAlignment="1">
      <alignment horizontal="center"/>
    </xf>
    <xf numFmtId="1" fontId="10" fillId="0" borderId="21" xfId="0" applyNumberFormat="1" applyFont="1" applyBorder="1" applyAlignment="1">
      <alignment horizontal="center"/>
    </xf>
    <xf numFmtId="167" fontId="10" fillId="0" borderId="21" xfId="0" applyNumberFormat="1" applyFont="1" applyBorder="1" applyAlignment="1">
      <alignment horizontal="center"/>
    </xf>
    <xf numFmtId="1" fontId="10" fillId="0" borderId="22" xfId="0" applyNumberFormat="1" applyFont="1" applyBorder="1" applyAlignment="1">
      <alignment horizontal="center"/>
    </xf>
    <xf numFmtId="1" fontId="10" fillId="0" borderId="22" xfId="0" applyNumberFormat="1" applyFont="1" applyBorder="1" applyAlignment="1">
      <alignment horizontal="center" vertical="center"/>
    </xf>
    <xf numFmtId="167" fontId="10" fillId="0" borderId="26" xfId="0" applyNumberFormat="1" applyFont="1" applyBorder="1" applyAlignment="1">
      <alignment horizontal="center"/>
    </xf>
    <xf numFmtId="1" fontId="10" fillId="0" borderId="14" xfId="0" applyNumberFormat="1" applyFont="1" applyBorder="1" applyAlignment="1">
      <alignment horizontal="center"/>
    </xf>
    <xf numFmtId="1" fontId="10" fillId="0" borderId="14" xfId="0" applyNumberFormat="1" applyFont="1" applyBorder="1" applyAlignment="1">
      <alignment horizontal="center" vertical="center"/>
    </xf>
    <xf numFmtId="21" fontId="10" fillId="0" borderId="330" xfId="0" applyNumberFormat="1" applyFont="1" applyBorder="1" applyAlignment="1">
      <alignment horizontal="center"/>
    </xf>
    <xf numFmtId="169" fontId="10" fillId="0" borderId="331" xfId="0" applyNumberFormat="1" applyFont="1" applyBorder="1" applyAlignment="1">
      <alignment horizontal="center"/>
    </xf>
    <xf numFmtId="45" fontId="10" fillId="0" borderId="331" xfId="0" applyNumberFormat="1" applyFont="1" applyBorder="1" applyAlignment="1">
      <alignment horizontal="center"/>
    </xf>
    <xf numFmtId="1" fontId="10" fillId="0" borderId="331" xfId="0" applyNumberFormat="1" applyFont="1" applyBorder="1" applyAlignment="1">
      <alignment horizontal="center"/>
    </xf>
    <xf numFmtId="1" fontId="10" fillId="0" borderId="354" xfId="0" applyNumberFormat="1" applyFont="1" applyBorder="1" applyAlignment="1">
      <alignment horizontal="center"/>
    </xf>
    <xf numFmtId="170" fontId="10" fillId="0" borderId="334" xfId="0" applyNumberFormat="1" applyFont="1" applyBorder="1" applyAlignment="1">
      <alignment horizontal="center"/>
    </xf>
    <xf numFmtId="45" fontId="10" fillId="0" borderId="354" xfId="0" applyNumberFormat="1" applyFont="1" applyBorder="1" applyAlignment="1">
      <alignment horizontal="center"/>
    </xf>
    <xf numFmtId="1" fontId="12" fillId="2" borderId="26" xfId="0" applyNumberFormat="1" applyFont="1" applyFill="1" applyBorder="1" applyAlignment="1">
      <alignment horizontal="center"/>
    </xf>
    <xf numFmtId="1" fontId="12" fillId="2" borderId="370" xfId="0" applyNumberFormat="1" applyFont="1" applyFill="1" applyBorder="1" applyAlignment="1">
      <alignment horizontal="center"/>
    </xf>
    <xf numFmtId="1" fontId="10" fillId="0" borderId="26" xfId="0" applyNumberFormat="1" applyFont="1" applyBorder="1" applyAlignment="1">
      <alignment horizontal="center"/>
    </xf>
    <xf numFmtId="1" fontId="10" fillId="0" borderId="370" xfId="0" applyNumberFormat="1" applyFont="1" applyBorder="1" applyAlignment="1">
      <alignment horizontal="center"/>
    </xf>
    <xf numFmtId="169" fontId="10" fillId="0" borderId="28" xfId="0" applyNumberFormat="1" applyFont="1" applyBorder="1" applyAlignment="1">
      <alignment horizontal="center"/>
    </xf>
    <xf numFmtId="45" fontId="10" fillId="0" borderId="28" xfId="0" applyNumberFormat="1" applyFont="1" applyBorder="1" applyAlignment="1">
      <alignment horizontal="center"/>
    </xf>
    <xf numFmtId="1" fontId="10" fillId="0" borderId="28" xfId="0" applyNumberFormat="1" applyFont="1" applyBorder="1" applyAlignment="1">
      <alignment horizontal="center"/>
    </xf>
    <xf numFmtId="1" fontId="10" fillId="0" borderId="17" xfId="0" applyNumberFormat="1" applyFont="1" applyBorder="1" applyAlignment="1">
      <alignment horizontal="center"/>
    </xf>
    <xf numFmtId="1" fontId="10" fillId="0" borderId="17" xfId="0" applyNumberFormat="1" applyFont="1" applyBorder="1" applyAlignment="1">
      <alignment horizontal="center" vertical="center"/>
    </xf>
    <xf numFmtId="169" fontId="10" fillId="0" borderId="3" xfId="0" applyNumberFormat="1" applyFont="1" applyBorder="1" applyAlignment="1">
      <alignment horizontal="center"/>
    </xf>
    <xf numFmtId="45" fontId="10" fillId="0" borderId="3" xfId="0" applyNumberFormat="1" applyFont="1" applyBorder="1" applyAlignment="1">
      <alignment horizontal="center"/>
    </xf>
    <xf numFmtId="1" fontId="10" fillId="0" borderId="3" xfId="0" applyNumberFormat="1" applyFont="1" applyBorder="1" applyAlignment="1">
      <alignment horizontal="center"/>
    </xf>
    <xf numFmtId="170" fontId="10" fillId="0" borderId="361" xfId="0" applyNumberFormat="1" applyFont="1" applyBorder="1" applyAlignment="1">
      <alignment horizontal="center"/>
    </xf>
    <xf numFmtId="1" fontId="10" fillId="0" borderId="18" xfId="0" applyNumberFormat="1" applyFont="1" applyBorder="1" applyAlignment="1">
      <alignment horizontal="center"/>
    </xf>
    <xf numFmtId="1" fontId="10" fillId="0" borderId="363" xfId="0" applyNumberFormat="1" applyFont="1" applyBorder="1" applyAlignment="1">
      <alignment horizontal="center"/>
    </xf>
    <xf numFmtId="167" fontId="10" fillId="0" borderId="372" xfId="0" applyNumberFormat="1" applyFont="1" applyBorder="1" applyAlignment="1">
      <alignment horizontal="center"/>
    </xf>
    <xf numFmtId="1" fontId="10" fillId="0" borderId="373" xfId="0" applyNumberFormat="1" applyFont="1" applyBorder="1" applyAlignment="1">
      <alignment horizontal="center"/>
    </xf>
    <xf numFmtId="1" fontId="10" fillId="0" borderId="373" xfId="0" applyNumberFormat="1" applyFont="1" applyBorder="1" applyAlignment="1">
      <alignment horizontal="center" vertical="center"/>
    </xf>
    <xf numFmtId="1" fontId="10" fillId="0" borderId="369" xfId="0" applyNumberFormat="1" applyFont="1" applyBorder="1" applyAlignment="1">
      <alignment horizontal="center"/>
    </xf>
    <xf numFmtId="167" fontId="10" fillId="0" borderId="255" xfId="0" applyNumberFormat="1" applyFont="1" applyBorder="1" applyAlignment="1">
      <alignment horizontal="center"/>
    </xf>
    <xf numFmtId="1" fontId="10" fillId="0" borderId="290" xfId="0" applyNumberFormat="1" applyFont="1" applyBorder="1" applyAlignment="1">
      <alignment horizontal="center"/>
    </xf>
    <xf numFmtId="1" fontId="10" fillId="0" borderId="290" xfId="0" applyNumberFormat="1" applyFont="1" applyBorder="1" applyAlignment="1">
      <alignment horizontal="center" vertical="center"/>
    </xf>
    <xf numFmtId="167" fontId="10" fillId="5" borderId="18" xfId="0" applyNumberFormat="1" applyFont="1" applyFill="1" applyBorder="1" applyAlignment="1">
      <alignment horizontal="center"/>
    </xf>
    <xf numFmtId="1" fontId="10" fillId="5" borderId="17" xfId="0" applyNumberFormat="1" applyFont="1" applyFill="1" applyBorder="1" applyAlignment="1">
      <alignment horizontal="center"/>
    </xf>
    <xf numFmtId="1" fontId="10" fillId="5" borderId="17" xfId="0" applyNumberFormat="1" applyFont="1" applyFill="1" applyBorder="1" applyAlignment="1">
      <alignment horizontal="center" vertical="center"/>
    </xf>
    <xf numFmtId="21" fontId="10" fillId="5" borderId="4" xfId="0" applyNumberFormat="1" applyFont="1" applyFill="1" applyBorder="1" applyAlignment="1">
      <alignment horizontal="center"/>
    </xf>
    <xf numFmtId="169" fontId="10" fillId="5" borderId="3" xfId="0" applyNumberFormat="1" applyFont="1" applyFill="1" applyBorder="1" applyAlignment="1">
      <alignment horizontal="center"/>
    </xf>
    <xf numFmtId="45" fontId="10" fillId="5" borderId="3" xfId="0" applyNumberFormat="1" applyFont="1" applyFill="1" applyBorder="1" applyAlignment="1">
      <alignment horizontal="center"/>
    </xf>
    <xf numFmtId="1" fontId="10" fillId="5" borderId="3" xfId="0" applyNumberFormat="1" applyFont="1" applyFill="1" applyBorder="1" applyAlignment="1">
      <alignment horizontal="center"/>
    </xf>
    <xf numFmtId="170" fontId="10" fillId="5" borderId="361" xfId="0" applyNumberFormat="1" applyFont="1" applyFill="1" applyBorder="1" applyAlignment="1">
      <alignment horizontal="center"/>
    </xf>
    <xf numFmtId="45" fontId="10" fillId="5" borderId="5" xfId="0" applyNumberFormat="1" applyFont="1" applyFill="1" applyBorder="1" applyAlignment="1">
      <alignment horizontal="center"/>
    </xf>
    <xf numFmtId="1" fontId="10" fillId="0" borderId="361" xfId="0" applyNumberFormat="1" applyFont="1" applyBorder="1" applyAlignment="1">
      <alignment horizontal="center"/>
    </xf>
    <xf numFmtId="1" fontId="10" fillId="0" borderId="25" xfId="0" applyNumberFormat="1" applyFont="1" applyBorder="1" applyAlignment="1">
      <alignment horizontal="center"/>
    </xf>
    <xf numFmtId="167" fontId="10" fillId="0" borderId="340" xfId="0" applyNumberFormat="1" applyFont="1" applyBorder="1" applyAlignment="1">
      <alignment horizontal="center"/>
    </xf>
    <xf numFmtId="1" fontId="10" fillId="0" borderId="334" xfId="0" applyNumberFormat="1" applyFont="1" applyBorder="1" applyAlignment="1">
      <alignment horizontal="center" vertical="center"/>
    </xf>
    <xf numFmtId="1" fontId="10" fillId="0" borderId="371" xfId="0" applyNumberFormat="1" applyFont="1" applyBorder="1" applyAlignment="1">
      <alignment horizontal="center"/>
    </xf>
    <xf numFmtId="21" fontId="10" fillId="0" borderId="368" xfId="0" applyNumberFormat="1" applyFont="1" applyBorder="1" applyAlignment="1">
      <alignment horizontal="center"/>
    </xf>
    <xf numFmtId="169" fontId="10" fillId="0" borderId="374" xfId="0" applyNumberFormat="1" applyFont="1" applyBorder="1" applyAlignment="1">
      <alignment horizontal="center"/>
    </xf>
    <xf numFmtId="45" fontId="10" fillId="0" borderId="374" xfId="0" applyNumberFormat="1" applyFont="1" applyBorder="1" applyAlignment="1">
      <alignment horizontal="center"/>
    </xf>
    <xf numFmtId="1" fontId="10" fillId="0" borderId="374" xfId="0" applyNumberFormat="1" applyFont="1" applyBorder="1" applyAlignment="1">
      <alignment horizontal="center"/>
    </xf>
    <xf numFmtId="1" fontId="12" fillId="2" borderId="372" xfId="0" applyNumberFormat="1" applyFont="1" applyFill="1" applyBorder="1" applyAlignment="1">
      <alignment horizontal="center"/>
    </xf>
    <xf numFmtId="1" fontId="10" fillId="0" borderId="372" xfId="0" applyNumberFormat="1" applyFont="1" applyBorder="1" applyAlignment="1">
      <alignment horizontal="center"/>
    </xf>
    <xf numFmtId="21" fontId="10" fillId="0" borderId="349" xfId="0" applyNumberFormat="1" applyFont="1" applyBorder="1" applyAlignment="1">
      <alignment horizontal="center"/>
    </xf>
    <xf numFmtId="169" fontId="10" fillId="0" borderId="350" xfId="0" applyNumberFormat="1" applyFont="1" applyBorder="1" applyAlignment="1">
      <alignment horizontal="center"/>
    </xf>
    <xf numFmtId="45" fontId="10" fillId="0" borderId="350" xfId="0" applyNumberFormat="1" applyFont="1" applyBorder="1" applyAlignment="1">
      <alignment horizontal="center"/>
    </xf>
    <xf numFmtId="1" fontId="10" fillId="0" borderId="350" xfId="0" applyNumberFormat="1" applyFont="1" applyBorder="1" applyAlignment="1">
      <alignment horizontal="center"/>
    </xf>
    <xf numFmtId="45" fontId="10" fillId="0" borderId="301" xfId="0" applyNumberFormat="1" applyFont="1" applyBorder="1" applyAlignment="1">
      <alignment horizontal="center"/>
    </xf>
    <xf numFmtId="1" fontId="10" fillId="0" borderId="301" xfId="0" applyNumberFormat="1" applyFont="1" applyBorder="1" applyAlignment="1">
      <alignment horizontal="center"/>
    </xf>
    <xf numFmtId="21" fontId="10" fillId="0" borderId="354" xfId="0" applyNumberFormat="1" applyFont="1" applyBorder="1" applyAlignment="1">
      <alignment horizontal="center"/>
    </xf>
    <xf numFmtId="1" fontId="10" fillId="0" borderId="375" xfId="0" applyNumberFormat="1" applyFont="1" applyBorder="1" applyAlignment="1">
      <alignment horizontal="center"/>
    </xf>
    <xf numFmtId="1" fontId="12" fillId="2" borderId="255" xfId="0" applyNumberFormat="1" applyFont="1" applyFill="1" applyBorder="1" applyAlignment="1">
      <alignment horizontal="center"/>
    </xf>
    <xf numFmtId="1" fontId="10" fillId="0" borderId="255" xfId="0" applyNumberFormat="1" applyFont="1" applyBorder="1" applyAlignment="1">
      <alignment horizontal="center"/>
    </xf>
    <xf numFmtId="21" fontId="10" fillId="0" borderId="24" xfId="0" applyNumberFormat="1" applyFont="1" applyBorder="1" applyAlignment="1">
      <alignment horizontal="center"/>
    </xf>
    <xf numFmtId="169" fontId="10" fillId="0" borderId="19" xfId="0" applyNumberFormat="1" applyFont="1" applyBorder="1" applyAlignment="1">
      <alignment horizontal="center"/>
    </xf>
    <xf numFmtId="45" fontId="10" fillId="0" borderId="27" xfId="0" applyNumberFormat="1" applyFont="1" applyBorder="1" applyAlignment="1">
      <alignment horizontal="center"/>
    </xf>
    <xf numFmtId="1" fontId="12" fillId="2" borderId="50" xfId="0" applyNumberFormat="1" applyFont="1" applyFill="1" applyBorder="1" applyAlignment="1">
      <alignment horizontal="center"/>
    </xf>
    <xf numFmtId="1" fontId="12" fillId="2" borderId="51" xfId="0" applyNumberFormat="1" applyFont="1" applyFill="1" applyBorder="1" applyAlignment="1">
      <alignment horizontal="center"/>
    </xf>
    <xf numFmtId="45" fontId="10" fillId="0" borderId="19" xfId="0" applyNumberFormat="1" applyFont="1" applyBorder="1" applyAlignment="1">
      <alignment horizontal="center"/>
    </xf>
    <xf numFmtId="1" fontId="12" fillId="5" borderId="18" xfId="0" applyNumberFormat="1" applyFont="1" applyFill="1" applyBorder="1" applyAlignment="1">
      <alignment horizontal="center"/>
    </xf>
    <xf numFmtId="1" fontId="12" fillId="5" borderId="371" xfId="0" applyNumberFormat="1" applyFont="1" applyFill="1" applyBorder="1" applyAlignment="1">
      <alignment horizontal="center"/>
    </xf>
    <xf numFmtId="169" fontId="10" fillId="0" borderId="377" xfId="0" applyNumberFormat="1" applyFont="1" applyBorder="1" applyAlignment="1">
      <alignment horizontal="center"/>
    </xf>
    <xf numFmtId="45" fontId="10" fillId="0" borderId="377" xfId="0" applyNumberFormat="1" applyFont="1" applyBorder="1" applyAlignment="1">
      <alignment horizontal="center"/>
    </xf>
    <xf numFmtId="1" fontId="10" fillId="0" borderId="377" xfId="0" applyNumberFormat="1" applyFont="1" applyBorder="1" applyAlignment="1">
      <alignment horizontal="center"/>
    </xf>
    <xf numFmtId="170" fontId="10" fillId="0" borderId="22" xfId="0" applyNumberFormat="1" applyFont="1" applyBorder="1" applyAlignment="1">
      <alignment horizontal="center"/>
    </xf>
    <xf numFmtId="45" fontId="10" fillId="0" borderId="376" xfId="0" applyNumberFormat="1" applyFont="1" applyBorder="1" applyAlignment="1">
      <alignment horizontal="center"/>
    </xf>
    <xf numFmtId="169" fontId="10" fillId="0" borderId="378" xfId="0" applyNumberFormat="1" applyFont="1" applyBorder="1" applyAlignment="1">
      <alignment horizontal="center"/>
    </xf>
    <xf numFmtId="45" fontId="10" fillId="0" borderId="379" xfId="0" applyNumberFormat="1" applyFont="1" applyBorder="1" applyAlignment="1">
      <alignment horizontal="center"/>
    </xf>
    <xf numFmtId="1" fontId="10" fillId="0" borderId="378" xfId="0" applyNumberFormat="1" applyFont="1" applyBorder="1" applyAlignment="1">
      <alignment horizontal="center"/>
    </xf>
    <xf numFmtId="45" fontId="10" fillId="0" borderId="378" xfId="0" applyNumberFormat="1" applyFont="1" applyBorder="1" applyAlignment="1">
      <alignment horizontal="center"/>
    </xf>
    <xf numFmtId="1" fontId="10" fillId="0" borderId="12" xfId="0" applyNumberFormat="1" applyFont="1" applyBorder="1" applyAlignment="1">
      <alignment horizontal="center"/>
    </xf>
    <xf numFmtId="45" fontId="10" fillId="0" borderId="33" xfId="0" applyNumberFormat="1" applyFont="1" applyBorder="1" applyAlignment="1">
      <alignment horizontal="center"/>
    </xf>
    <xf numFmtId="45" fontId="10" fillId="0" borderId="380" xfId="0" applyNumberFormat="1" applyFont="1" applyBorder="1" applyAlignment="1">
      <alignment horizontal="center"/>
    </xf>
    <xf numFmtId="167" fontId="10" fillId="2" borderId="21" xfId="0" applyNumberFormat="1" applyFont="1" applyFill="1" applyBorder="1" applyAlignment="1">
      <alignment horizontal="center"/>
    </xf>
    <xf numFmtId="1" fontId="10" fillId="2" borderId="336" xfId="0" applyNumberFormat="1" applyFont="1" applyFill="1" applyBorder="1" applyAlignment="1">
      <alignment horizontal="center"/>
    </xf>
    <xf numFmtId="1" fontId="10" fillId="2" borderId="336" xfId="0" applyNumberFormat="1" applyFont="1" applyFill="1" applyBorder="1" applyAlignment="1">
      <alignment horizontal="center" vertical="center"/>
    </xf>
    <xf numFmtId="21" fontId="10" fillId="2" borderId="324" xfId="0" applyNumberFormat="1" applyFont="1" applyFill="1" applyBorder="1" applyAlignment="1">
      <alignment horizontal="center"/>
    </xf>
    <xf numFmtId="169" fontId="10" fillId="2" borderId="378" xfId="0" applyNumberFormat="1" applyFont="1" applyFill="1" applyBorder="1" applyAlignment="1">
      <alignment horizontal="center"/>
    </xf>
    <xf numFmtId="1" fontId="10" fillId="2" borderId="378" xfId="0" applyNumberFormat="1" applyFont="1" applyFill="1" applyBorder="1" applyAlignment="1">
      <alignment horizontal="center"/>
    </xf>
    <xf numFmtId="1" fontId="10" fillId="2" borderId="349" xfId="0" applyNumberFormat="1" applyFont="1" applyFill="1" applyBorder="1" applyAlignment="1">
      <alignment horizontal="center"/>
    </xf>
    <xf numFmtId="45" fontId="10" fillId="2" borderId="349" xfId="0" applyNumberFormat="1" applyFont="1" applyFill="1" applyBorder="1" applyAlignment="1">
      <alignment horizontal="center"/>
    </xf>
    <xf numFmtId="45" fontId="10" fillId="2" borderId="378" xfId="0" applyNumberFormat="1" applyFont="1" applyFill="1" applyBorder="1" applyAlignment="1">
      <alignment horizontal="center"/>
    </xf>
    <xf numFmtId="167" fontId="10" fillId="2" borderId="340" xfId="0" applyNumberFormat="1" applyFont="1" applyFill="1" applyBorder="1" applyAlignment="1">
      <alignment horizontal="center"/>
    </xf>
    <xf numFmtId="1" fontId="10" fillId="2" borderId="334" xfId="0" applyNumberFormat="1" applyFont="1" applyFill="1" applyBorder="1" applyAlignment="1">
      <alignment horizontal="center"/>
    </xf>
    <xf numFmtId="1" fontId="10" fillId="2" borderId="334" xfId="0" applyNumberFormat="1" applyFont="1" applyFill="1" applyBorder="1" applyAlignment="1">
      <alignment horizontal="center" vertical="center"/>
    </xf>
    <xf numFmtId="21" fontId="10" fillId="2" borderId="330" xfId="0" applyNumberFormat="1" applyFont="1" applyFill="1" applyBorder="1" applyAlignment="1">
      <alignment horizontal="center"/>
    </xf>
    <xf numFmtId="169" fontId="10" fillId="2" borderId="331" xfId="0" applyNumberFormat="1" applyFont="1" applyFill="1" applyBorder="1" applyAlignment="1">
      <alignment horizontal="center"/>
    </xf>
    <xf numFmtId="45" fontId="10" fillId="2" borderId="331" xfId="0" applyNumberFormat="1" applyFont="1" applyFill="1" applyBorder="1" applyAlignment="1">
      <alignment horizontal="center"/>
    </xf>
    <xf numFmtId="1" fontId="10" fillId="2" borderId="331" xfId="0" applyNumberFormat="1" applyFont="1" applyFill="1" applyBorder="1" applyAlignment="1">
      <alignment horizontal="center"/>
    </xf>
    <xf numFmtId="1" fontId="10" fillId="2" borderId="354" xfId="0" applyNumberFormat="1" applyFont="1" applyFill="1" applyBorder="1" applyAlignment="1">
      <alignment horizontal="center"/>
    </xf>
    <xf numFmtId="45" fontId="10" fillId="2" borderId="354" xfId="0" applyNumberFormat="1" applyFont="1" applyFill="1" applyBorder="1" applyAlignment="1">
      <alignment horizontal="center"/>
    </xf>
    <xf numFmtId="167" fontId="10" fillId="2" borderId="36" xfId="0" applyNumberFormat="1" applyFont="1" applyFill="1" applyBorder="1" applyAlignment="1">
      <alignment horizontal="center"/>
    </xf>
    <xf numFmtId="1" fontId="10" fillId="2" borderId="32" xfId="0" applyNumberFormat="1" applyFont="1" applyFill="1" applyBorder="1" applyAlignment="1">
      <alignment horizontal="center"/>
    </xf>
    <xf numFmtId="1" fontId="10" fillId="2" borderId="32" xfId="0" applyNumberFormat="1" applyFont="1" applyFill="1" applyBorder="1" applyAlignment="1">
      <alignment horizontal="center" vertical="center"/>
    </xf>
    <xf numFmtId="21" fontId="10" fillId="2" borderId="252" xfId="0" applyNumberFormat="1" applyFont="1" applyFill="1" applyBorder="1" applyAlignment="1">
      <alignment horizontal="center"/>
    </xf>
    <xf numFmtId="169" fontId="10" fillId="2" borderId="28" xfId="0" applyNumberFormat="1" applyFont="1" applyFill="1" applyBorder="1" applyAlignment="1">
      <alignment horizontal="center"/>
    </xf>
    <xf numFmtId="1" fontId="10" fillId="2" borderId="28" xfId="0" applyNumberFormat="1" applyFont="1" applyFill="1" applyBorder="1" applyAlignment="1">
      <alignment horizontal="center"/>
    </xf>
    <xf numFmtId="1" fontId="10" fillId="2" borderId="254" xfId="0" applyNumberFormat="1" applyFont="1" applyFill="1" applyBorder="1" applyAlignment="1">
      <alignment horizontal="center"/>
    </xf>
    <xf numFmtId="45" fontId="10" fillId="2" borderId="254" xfId="0" applyNumberFormat="1" applyFont="1" applyFill="1" applyBorder="1" applyAlignment="1">
      <alignment horizontal="center"/>
    </xf>
    <xf numFmtId="167" fontId="10" fillId="2" borderId="16" xfId="0" applyNumberFormat="1" applyFont="1" applyFill="1" applyBorder="1" applyAlignment="1">
      <alignment horizontal="center"/>
    </xf>
    <xf numFmtId="1" fontId="10" fillId="2" borderId="22" xfId="0" applyNumberFormat="1" applyFont="1" applyFill="1" applyBorder="1" applyAlignment="1">
      <alignment horizontal="center"/>
    </xf>
    <xf numFmtId="1" fontId="10" fillId="2" borderId="22" xfId="0" applyNumberFormat="1" applyFont="1" applyFill="1" applyBorder="1" applyAlignment="1">
      <alignment horizontal="center" vertical="center"/>
    </xf>
    <xf numFmtId="21" fontId="10" fillId="2" borderId="24" xfId="0" applyNumberFormat="1" applyFont="1" applyFill="1" applyBorder="1" applyAlignment="1">
      <alignment horizontal="center"/>
    </xf>
    <xf numFmtId="169" fontId="10" fillId="2" borderId="19" xfId="0" applyNumberFormat="1" applyFont="1" applyFill="1" applyBorder="1" applyAlignment="1">
      <alignment horizontal="center"/>
    </xf>
    <xf numFmtId="45" fontId="10" fillId="2" borderId="19" xfId="0" applyNumberFormat="1" applyFont="1" applyFill="1" applyBorder="1" applyAlignment="1">
      <alignment horizontal="center"/>
    </xf>
    <xf numFmtId="1" fontId="10" fillId="2" borderId="19" xfId="0" applyNumberFormat="1" applyFont="1" applyFill="1" applyBorder="1" applyAlignment="1">
      <alignment horizontal="center"/>
    </xf>
    <xf numFmtId="45" fontId="10" fillId="2" borderId="53" xfId="0" applyNumberFormat="1" applyFont="1" applyFill="1" applyBorder="1" applyAlignment="1">
      <alignment horizontal="center"/>
    </xf>
    <xf numFmtId="167" fontId="10" fillId="2" borderId="18" xfId="0" applyNumberFormat="1" applyFont="1" applyFill="1" applyBorder="1" applyAlignment="1">
      <alignment horizontal="center"/>
    </xf>
    <xf numFmtId="1" fontId="10" fillId="2" borderId="17" xfId="0" applyNumberFormat="1" applyFont="1" applyFill="1" applyBorder="1" applyAlignment="1">
      <alignment horizontal="center"/>
    </xf>
    <xf numFmtId="1" fontId="10" fillId="2" borderId="17" xfId="0" applyNumberFormat="1" applyFont="1" applyFill="1" applyBorder="1" applyAlignment="1">
      <alignment horizontal="center" vertical="center"/>
    </xf>
    <xf numFmtId="21" fontId="10" fillId="2" borderId="4" xfId="0" applyNumberFormat="1" applyFont="1" applyFill="1" applyBorder="1" applyAlignment="1">
      <alignment horizontal="center"/>
    </xf>
    <xf numFmtId="169" fontId="10" fillId="2" borderId="3" xfId="0" applyNumberFormat="1" applyFont="1" applyFill="1" applyBorder="1" applyAlignment="1">
      <alignment horizontal="center"/>
    </xf>
    <xf numFmtId="45" fontId="10" fillId="2" borderId="3" xfId="0" applyNumberFormat="1" applyFont="1" applyFill="1" applyBorder="1" applyAlignment="1">
      <alignment horizontal="center"/>
    </xf>
    <xf numFmtId="1" fontId="10" fillId="2" borderId="3" xfId="0" applyNumberFormat="1" applyFont="1" applyFill="1" applyBorder="1" applyAlignment="1">
      <alignment horizontal="center"/>
    </xf>
    <xf numFmtId="45" fontId="10" fillId="2" borderId="5" xfId="0" applyNumberFormat="1" applyFont="1" applyFill="1" applyBorder="1" applyAlignment="1">
      <alignment horizontal="center"/>
    </xf>
    <xf numFmtId="167" fontId="10" fillId="2" borderId="372" xfId="0" applyNumberFormat="1" applyFont="1" applyFill="1" applyBorder="1" applyAlignment="1">
      <alignment horizontal="center"/>
    </xf>
    <xf numFmtId="1" fontId="10" fillId="2" borderId="358" xfId="0" applyNumberFormat="1" applyFont="1" applyFill="1" applyBorder="1" applyAlignment="1">
      <alignment horizontal="center"/>
    </xf>
    <xf numFmtId="1" fontId="10" fillId="2" borderId="358" xfId="0" applyNumberFormat="1" applyFont="1" applyFill="1" applyBorder="1" applyAlignment="1">
      <alignment horizontal="center" vertical="center"/>
    </xf>
    <xf numFmtId="21" fontId="10" fillId="2" borderId="368" xfId="0" applyNumberFormat="1" applyFont="1" applyFill="1" applyBorder="1" applyAlignment="1">
      <alignment horizontal="center"/>
    </xf>
    <xf numFmtId="169" fontId="10" fillId="2" borderId="374" xfId="0" applyNumberFormat="1" applyFont="1" applyFill="1" applyBorder="1" applyAlignment="1">
      <alignment horizontal="center"/>
    </xf>
    <xf numFmtId="45" fontId="10" fillId="2" borderId="377" xfId="0" applyNumberFormat="1" applyFont="1" applyFill="1" applyBorder="1" applyAlignment="1">
      <alignment horizontal="center"/>
    </xf>
    <xf numFmtId="1" fontId="10" fillId="2" borderId="377" xfId="0" applyNumberFormat="1" applyFont="1" applyFill="1" applyBorder="1" applyAlignment="1">
      <alignment horizontal="center"/>
    </xf>
    <xf numFmtId="1" fontId="10" fillId="2" borderId="368" xfId="0" applyNumberFormat="1" applyFont="1" applyFill="1" applyBorder="1" applyAlignment="1">
      <alignment horizontal="center"/>
    </xf>
    <xf numFmtId="45" fontId="10" fillId="2" borderId="368" xfId="0" applyNumberFormat="1" applyFont="1" applyFill="1" applyBorder="1" applyAlignment="1">
      <alignment horizontal="center"/>
    </xf>
    <xf numFmtId="167" fontId="10" fillId="2" borderId="341" xfId="0" applyNumberFormat="1" applyFont="1" applyFill="1" applyBorder="1" applyAlignment="1">
      <alignment horizontal="center"/>
    </xf>
    <xf numFmtId="21" fontId="10" fillId="2" borderId="349" xfId="0" applyNumberFormat="1" applyFont="1" applyFill="1" applyBorder="1" applyAlignment="1">
      <alignment horizontal="center"/>
    </xf>
    <xf numFmtId="169" fontId="10" fillId="2" borderId="301" xfId="0" applyNumberFormat="1" applyFont="1" applyFill="1" applyBorder="1" applyAlignment="1">
      <alignment horizontal="center"/>
    </xf>
    <xf numFmtId="45" fontId="10" fillId="2" borderId="325" xfId="0" applyNumberFormat="1" applyFont="1" applyFill="1" applyBorder="1" applyAlignment="1">
      <alignment horizontal="center"/>
    </xf>
    <xf numFmtId="1" fontId="10" fillId="2" borderId="325" xfId="0" applyNumberFormat="1" applyFont="1" applyFill="1" applyBorder="1" applyAlignment="1">
      <alignment horizontal="center"/>
    </xf>
    <xf numFmtId="21" fontId="10" fillId="2" borderId="354" xfId="0" applyNumberFormat="1" applyFont="1" applyFill="1" applyBorder="1" applyAlignment="1">
      <alignment horizontal="center"/>
    </xf>
    <xf numFmtId="169" fontId="10" fillId="2" borderId="355" xfId="0" applyNumberFormat="1" applyFont="1" applyFill="1" applyBorder="1" applyAlignment="1">
      <alignment horizontal="center"/>
    </xf>
    <xf numFmtId="45" fontId="10" fillId="0" borderId="382" xfId="0" applyNumberFormat="1" applyFont="1" applyBorder="1" applyAlignment="1">
      <alignment horizontal="center"/>
    </xf>
    <xf numFmtId="1" fontId="10" fillId="2" borderId="382" xfId="0" applyNumberFormat="1" applyFont="1" applyFill="1" applyBorder="1" applyAlignment="1">
      <alignment horizontal="center"/>
    </xf>
    <xf numFmtId="1" fontId="10" fillId="0" borderId="361" xfId="0" applyNumberFormat="1" applyFont="1" applyBorder="1" applyAlignment="1">
      <alignment horizontal="center" vertical="center"/>
    </xf>
    <xf numFmtId="169" fontId="10" fillId="0" borderId="382" xfId="0" applyNumberFormat="1" applyFont="1" applyBorder="1" applyAlignment="1">
      <alignment horizontal="center"/>
    </xf>
    <xf numFmtId="1" fontId="10" fillId="0" borderId="382" xfId="0" applyNumberFormat="1" applyFont="1" applyBorder="1" applyAlignment="1">
      <alignment horizontal="center"/>
    </xf>
    <xf numFmtId="45" fontId="10" fillId="0" borderId="362" xfId="0" applyNumberFormat="1" applyFont="1" applyBorder="1" applyAlignment="1">
      <alignment horizontal="center"/>
    </xf>
    <xf numFmtId="45" fontId="10" fillId="0" borderId="335" xfId="0" applyNumberFormat="1" applyFont="1" applyBorder="1" applyAlignment="1">
      <alignment horizontal="center"/>
    </xf>
    <xf numFmtId="45" fontId="10" fillId="0" borderId="339" xfId="0" applyNumberFormat="1" applyFont="1" applyBorder="1" applyAlignment="1">
      <alignment horizontal="center"/>
    </xf>
    <xf numFmtId="45" fontId="10" fillId="2" borderId="28" xfId="0" applyNumberFormat="1" applyFont="1" applyFill="1" applyBorder="1" applyAlignment="1">
      <alignment horizontal="center"/>
    </xf>
    <xf numFmtId="45" fontId="10" fillId="2" borderId="1" xfId="0" applyNumberFormat="1" applyFont="1" applyFill="1" applyBorder="1" applyAlignment="1">
      <alignment horizontal="center"/>
    </xf>
    <xf numFmtId="167" fontId="10" fillId="0" borderId="129" xfId="0" applyNumberFormat="1" applyFont="1" applyBorder="1" applyAlignment="1">
      <alignment horizontal="center"/>
    </xf>
    <xf numFmtId="1" fontId="10" fillId="0" borderId="128" xfId="0" applyNumberFormat="1" applyFont="1" applyBorder="1" applyAlignment="1">
      <alignment horizontal="center"/>
    </xf>
    <xf numFmtId="1" fontId="10" fillId="0" borderId="128" xfId="0" applyNumberFormat="1" applyFont="1" applyBorder="1" applyAlignment="1">
      <alignment horizontal="center" vertical="center"/>
    </xf>
    <xf numFmtId="21" fontId="10" fillId="0" borderId="141" xfId="0" applyNumberFormat="1" applyFont="1" applyBorder="1" applyAlignment="1">
      <alignment horizontal="center"/>
    </xf>
    <xf numFmtId="170" fontId="10" fillId="0" borderId="144" xfId="0" applyNumberFormat="1" applyFont="1" applyBorder="1" applyAlignment="1">
      <alignment horizontal="center"/>
    </xf>
    <xf numFmtId="45" fontId="10" fillId="0" borderId="143" xfId="0" applyNumberFormat="1" applyFont="1" applyBorder="1" applyAlignment="1">
      <alignment horizontal="center"/>
    </xf>
    <xf numFmtId="1" fontId="12" fillId="2" borderId="129" xfId="0" applyNumberFormat="1" applyFont="1" applyFill="1" applyBorder="1" applyAlignment="1">
      <alignment horizontal="center"/>
    </xf>
    <xf numFmtId="1" fontId="12" fillId="2" borderId="49" xfId="0" applyNumberFormat="1" applyFont="1" applyFill="1" applyBorder="1" applyAlignment="1">
      <alignment horizontal="center"/>
    </xf>
    <xf numFmtId="170" fontId="10" fillId="2" borderId="32" xfId="0" applyNumberFormat="1" applyFont="1" applyFill="1" applyBorder="1" applyAlignment="1">
      <alignment horizontal="center"/>
    </xf>
    <xf numFmtId="170" fontId="10" fillId="2" borderId="42" xfId="0" applyNumberFormat="1" applyFont="1" applyFill="1" applyBorder="1" applyAlignment="1">
      <alignment horizontal="center"/>
    </xf>
    <xf numFmtId="167" fontId="10" fillId="2" borderId="129" xfId="0" applyNumberFormat="1" applyFont="1" applyFill="1" applyBorder="1" applyAlignment="1">
      <alignment horizontal="center"/>
    </xf>
    <xf numFmtId="1" fontId="10" fillId="2" borderId="144" xfId="0" applyNumberFormat="1" applyFont="1" applyFill="1" applyBorder="1" applyAlignment="1">
      <alignment horizontal="center"/>
    </xf>
    <xf numFmtId="1" fontId="10" fillId="2" borderId="144" xfId="0" applyNumberFormat="1" applyFont="1" applyFill="1" applyBorder="1" applyAlignment="1">
      <alignment horizontal="center" vertical="center"/>
    </xf>
    <xf numFmtId="21" fontId="10" fillId="2" borderId="141" xfId="0" applyNumberFormat="1" applyFont="1" applyFill="1" applyBorder="1" applyAlignment="1">
      <alignment horizontal="center"/>
    </xf>
    <xf numFmtId="169" fontId="10" fillId="2" borderId="142" xfId="0" applyNumberFormat="1" applyFont="1" applyFill="1" applyBorder="1" applyAlignment="1">
      <alignment horizontal="center"/>
    </xf>
    <xf numFmtId="45" fontId="10" fillId="2" borderId="142" xfId="0" applyNumberFormat="1" applyFont="1" applyFill="1" applyBorder="1" applyAlignment="1">
      <alignment horizontal="center"/>
    </xf>
    <xf numFmtId="1" fontId="10" fillId="2" borderId="142" xfId="0" applyNumberFormat="1" applyFont="1" applyFill="1" applyBorder="1" applyAlignment="1">
      <alignment horizontal="center"/>
    </xf>
    <xf numFmtId="170" fontId="10" fillId="2" borderId="144" xfId="0" applyNumberFormat="1" applyFont="1" applyFill="1" applyBorder="1" applyAlignment="1">
      <alignment horizontal="center"/>
    </xf>
    <xf numFmtId="45" fontId="10" fillId="2" borderId="143" xfId="0" applyNumberFormat="1" applyFont="1" applyFill="1" applyBorder="1" applyAlignment="1">
      <alignment horizontal="center"/>
    </xf>
    <xf numFmtId="1" fontId="10" fillId="0" borderId="372" xfId="0" applyNumberFormat="1" applyFont="1" applyBorder="1" applyAlignment="1">
      <alignment horizontal="center" vertical="center"/>
    </xf>
    <xf numFmtId="1" fontId="10" fillId="0" borderId="21" xfId="0" applyNumberFormat="1" applyFont="1" applyBorder="1" applyAlignment="1">
      <alignment horizontal="center" vertical="center"/>
    </xf>
    <xf numFmtId="1" fontId="10" fillId="0" borderId="341" xfId="0" applyNumberFormat="1" applyFont="1" applyBorder="1" applyAlignment="1">
      <alignment horizontal="center" vertical="center"/>
    </xf>
    <xf numFmtId="1" fontId="10" fillId="0" borderId="340" xfId="0" applyNumberFormat="1" applyFont="1" applyBorder="1" applyAlignment="1">
      <alignment horizontal="center" vertical="center"/>
    </xf>
    <xf numFmtId="1" fontId="10" fillId="0" borderId="255" xfId="0" applyNumberFormat="1" applyFont="1" applyBorder="1" applyAlignment="1">
      <alignment horizontal="center" vertical="center"/>
    </xf>
    <xf numFmtId="45" fontId="10" fillId="0" borderId="253" xfId="0" applyNumberFormat="1" applyFont="1" applyBorder="1" applyAlignment="1">
      <alignment horizontal="center"/>
    </xf>
    <xf numFmtId="167" fontId="10" fillId="0" borderId="145" xfId="0" applyNumberFormat="1" applyFont="1" applyBorder="1" applyAlignment="1">
      <alignment horizontal="center"/>
    </xf>
    <xf numFmtId="1" fontId="10" fillId="0" borderId="145" xfId="0" applyNumberFormat="1" applyFont="1" applyBorder="1" applyAlignment="1">
      <alignment horizontal="center"/>
    </xf>
    <xf numFmtId="1" fontId="10" fillId="0" borderId="145" xfId="0" applyNumberFormat="1" applyFont="1" applyBorder="1" applyAlignment="1">
      <alignment horizontal="center" vertical="center"/>
    </xf>
    <xf numFmtId="21" fontId="10" fillId="0" borderId="146" xfId="0" applyNumberFormat="1" applyFont="1" applyBorder="1" applyAlignment="1">
      <alignment horizontal="center"/>
    </xf>
    <xf numFmtId="169" fontId="10" fillId="0" borderId="147" xfId="0" applyNumberFormat="1" applyFont="1" applyBorder="1" applyAlignment="1">
      <alignment horizontal="center"/>
    </xf>
    <xf numFmtId="45" fontId="10" fillId="0" borderId="148" xfId="0" applyNumberFormat="1" applyFont="1" applyBorder="1" applyAlignment="1">
      <alignment horizontal="center"/>
    </xf>
    <xf numFmtId="1" fontId="10" fillId="0" borderId="149" xfId="0" applyNumberFormat="1" applyFont="1" applyBorder="1" applyAlignment="1">
      <alignment horizontal="center"/>
    </xf>
    <xf numFmtId="170" fontId="10" fillId="0" borderId="127" xfId="0" applyNumberFormat="1" applyFont="1" applyBorder="1" applyAlignment="1">
      <alignment horizontal="center"/>
    </xf>
    <xf numFmtId="45" fontId="10" fillId="0" borderId="149" xfId="0" applyNumberFormat="1" applyFont="1" applyBorder="1" applyAlignment="1">
      <alignment horizontal="center"/>
    </xf>
    <xf numFmtId="1" fontId="12" fillId="2" borderId="145" xfId="0" applyNumberFormat="1" applyFont="1" applyFill="1" applyBorder="1" applyAlignment="1">
      <alignment horizontal="center"/>
    </xf>
    <xf numFmtId="1" fontId="12" fillId="2" borderId="150" xfId="0" applyNumberFormat="1" applyFont="1" applyFill="1" applyBorder="1" applyAlignment="1">
      <alignment horizontal="center"/>
    </xf>
    <xf numFmtId="167" fontId="10" fillId="0" borderId="139" xfId="0" applyNumberFormat="1" applyFont="1" applyBorder="1" applyAlignment="1">
      <alignment horizontal="center"/>
    </xf>
    <xf numFmtId="1" fontId="10" fillId="0" borderId="139" xfId="0" applyNumberFormat="1" applyFont="1" applyBorder="1" applyAlignment="1">
      <alignment horizontal="center"/>
    </xf>
    <xf numFmtId="1" fontId="10" fillId="0" borderId="139" xfId="0" applyNumberFormat="1" applyFont="1" applyBorder="1" applyAlignment="1">
      <alignment horizontal="center" vertical="center"/>
    </xf>
    <xf numFmtId="21" fontId="10" fillId="0" borderId="135" xfId="0" applyNumberFormat="1" applyFont="1" applyBorder="1" applyAlignment="1">
      <alignment horizontal="center"/>
    </xf>
    <xf numFmtId="169" fontId="10" fillId="0" borderId="136" xfId="0" applyNumberFormat="1" applyFont="1" applyBorder="1" applyAlignment="1">
      <alignment horizontal="center"/>
    </xf>
    <xf numFmtId="45" fontId="10" fillId="0" borderId="137" xfId="0" applyNumberFormat="1" applyFont="1" applyBorder="1" applyAlignment="1">
      <alignment horizontal="center"/>
    </xf>
    <xf numFmtId="1" fontId="10" fillId="0" borderId="138" xfId="0" applyNumberFormat="1" applyFont="1" applyBorder="1" applyAlignment="1">
      <alignment horizontal="center"/>
    </xf>
    <xf numFmtId="45" fontId="10" fillId="0" borderId="138" xfId="0" applyNumberFormat="1" applyFont="1" applyBorder="1" applyAlignment="1">
      <alignment horizontal="center"/>
    </xf>
    <xf numFmtId="1" fontId="12" fillId="2" borderId="139" xfId="0" applyNumberFormat="1" applyFont="1" applyFill="1" applyBorder="1" applyAlignment="1">
      <alignment horizontal="center"/>
    </xf>
    <xf numFmtId="1" fontId="12" fillId="2" borderId="151" xfId="0" applyNumberFormat="1" applyFont="1" applyFill="1" applyBorder="1" applyAlignment="1">
      <alignment horizontal="center"/>
    </xf>
    <xf numFmtId="167" fontId="10" fillId="0" borderId="134" xfId="0" applyNumberFormat="1" applyFont="1" applyBorder="1" applyAlignment="1">
      <alignment horizontal="center"/>
    </xf>
    <xf numFmtId="1" fontId="10" fillId="0" borderId="134" xfId="0" applyNumberFormat="1" applyFont="1" applyBorder="1" applyAlignment="1">
      <alignment horizontal="center"/>
    </xf>
    <xf numFmtId="1" fontId="10" fillId="0" borderId="134" xfId="0" applyNumberFormat="1" applyFont="1" applyBorder="1" applyAlignment="1">
      <alignment horizontal="center" vertical="center"/>
    </xf>
    <xf numFmtId="21" fontId="10" fillId="0" borderId="130" xfId="0" applyNumberFormat="1" applyFont="1" applyBorder="1" applyAlignment="1">
      <alignment horizontal="center"/>
    </xf>
    <xf numFmtId="169" fontId="10" fillId="0" borderId="131" xfId="0" applyNumberFormat="1" applyFont="1" applyBorder="1" applyAlignment="1">
      <alignment horizontal="center"/>
    </xf>
    <xf numFmtId="45" fontId="10" fillId="0" borderId="132" xfId="0" applyNumberFormat="1" applyFont="1" applyBorder="1" applyAlignment="1">
      <alignment horizontal="center"/>
    </xf>
    <xf numFmtId="1" fontId="10" fillId="0" borderId="133" xfId="0" applyNumberFormat="1" applyFont="1" applyBorder="1" applyAlignment="1">
      <alignment horizontal="center"/>
    </xf>
    <xf numFmtId="45" fontId="10" fillId="0" borderId="133" xfId="0" applyNumberFormat="1" applyFont="1" applyBorder="1" applyAlignment="1">
      <alignment horizontal="center"/>
    </xf>
    <xf numFmtId="1" fontId="12" fillId="2" borderId="134" xfId="0" applyNumberFormat="1" applyFont="1" applyFill="1" applyBorder="1" applyAlignment="1">
      <alignment horizontal="center"/>
    </xf>
    <xf numFmtId="1" fontId="10" fillId="0" borderId="18" xfId="0" applyNumberFormat="1" applyFont="1" applyBorder="1" applyAlignment="1">
      <alignment horizontal="center" vertical="center"/>
    </xf>
    <xf numFmtId="45" fontId="10" fillId="0" borderId="337" xfId="0" applyNumberFormat="1" applyFont="1" applyBorder="1" applyAlignment="1">
      <alignment horizontal="center"/>
    </xf>
    <xf numFmtId="21" fontId="10" fillId="2" borderId="366" xfId="0" applyNumberFormat="1" applyFont="1" applyFill="1" applyBorder="1" applyAlignment="1">
      <alignment horizontal="center"/>
    </xf>
    <xf numFmtId="169" fontId="10" fillId="2" borderId="377" xfId="0" applyNumberFormat="1" applyFont="1" applyFill="1" applyBorder="1" applyAlignment="1">
      <alignment horizontal="center"/>
    </xf>
    <xf numFmtId="170" fontId="10" fillId="2" borderId="358" xfId="0" applyNumberFormat="1" applyFont="1" applyFill="1" applyBorder="1" applyAlignment="1">
      <alignment horizontal="center"/>
    </xf>
    <xf numFmtId="169" fontId="10" fillId="2" borderId="325" xfId="0" applyNumberFormat="1" applyFont="1" applyFill="1" applyBorder="1" applyAlignment="1">
      <alignment horizontal="center"/>
    </xf>
    <xf numFmtId="170" fontId="10" fillId="2" borderId="336" xfId="0" applyNumberFormat="1" applyFont="1" applyFill="1" applyBorder="1" applyAlignment="1">
      <alignment horizontal="center"/>
    </xf>
    <xf numFmtId="169" fontId="10" fillId="2" borderId="382" xfId="0" applyNumberFormat="1" applyFont="1" applyFill="1" applyBorder="1" applyAlignment="1">
      <alignment horizontal="center"/>
    </xf>
    <xf numFmtId="45" fontId="10" fillId="2" borderId="382" xfId="0" applyNumberFormat="1" applyFont="1" applyFill="1" applyBorder="1" applyAlignment="1">
      <alignment horizontal="center"/>
    </xf>
    <xf numFmtId="170" fontId="10" fillId="2" borderId="334" xfId="0" applyNumberFormat="1" applyFont="1" applyFill="1" applyBorder="1" applyAlignment="1">
      <alignment horizontal="center"/>
    </xf>
    <xf numFmtId="45" fontId="10" fillId="2" borderId="253" xfId="0" applyNumberFormat="1" applyFont="1" applyFill="1" applyBorder="1" applyAlignment="1">
      <alignment horizontal="center"/>
    </xf>
    <xf numFmtId="1" fontId="10" fillId="2" borderId="127" xfId="0" applyNumberFormat="1" applyFont="1" applyFill="1" applyBorder="1" applyAlignment="1">
      <alignment horizontal="center"/>
    </xf>
    <xf numFmtId="1" fontId="10" fillId="2" borderId="127" xfId="0" applyNumberFormat="1" applyFont="1" applyFill="1" applyBorder="1" applyAlignment="1">
      <alignment horizontal="center" vertical="center"/>
    </xf>
    <xf numFmtId="21" fontId="10" fillId="2" borderId="153" xfId="0" applyNumberFormat="1" applyFont="1" applyFill="1" applyBorder="1" applyAlignment="1">
      <alignment horizontal="center"/>
    </xf>
    <xf numFmtId="169" fontId="10" fillId="2" borderId="154" xfId="0" applyNumberFormat="1" applyFont="1" applyFill="1" applyBorder="1" applyAlignment="1">
      <alignment horizontal="center"/>
    </xf>
    <xf numFmtId="45" fontId="10" fillId="2" borderId="155" xfId="0" applyNumberFormat="1" applyFont="1" applyFill="1" applyBorder="1" applyAlignment="1">
      <alignment horizontal="center"/>
    </xf>
    <xf numFmtId="1" fontId="10" fillId="2" borderId="156" xfId="0" applyNumberFormat="1" applyFont="1" applyFill="1" applyBorder="1" applyAlignment="1">
      <alignment horizontal="center"/>
    </xf>
    <xf numFmtId="170" fontId="10" fillId="2" borderId="127" xfId="0" applyNumberFormat="1" applyFont="1" applyFill="1" applyBorder="1" applyAlignment="1">
      <alignment horizontal="center"/>
    </xf>
    <xf numFmtId="45" fontId="10" fillId="2" borderId="156" xfId="0" applyNumberFormat="1" applyFont="1" applyFill="1" applyBorder="1" applyAlignment="1">
      <alignment horizontal="center"/>
    </xf>
    <xf numFmtId="1" fontId="12" fillId="2" borderId="157" xfId="0" applyNumberFormat="1" applyFont="1" applyFill="1" applyBorder="1" applyAlignment="1">
      <alignment horizontal="center"/>
    </xf>
    <xf numFmtId="1" fontId="12" fillId="2" borderId="158" xfId="0" applyNumberFormat="1" applyFont="1" applyFill="1" applyBorder="1" applyAlignment="1">
      <alignment horizontal="center"/>
    </xf>
    <xf numFmtId="21" fontId="10" fillId="2" borderId="160" xfId="0" applyNumberFormat="1" applyFont="1" applyFill="1" applyBorder="1" applyAlignment="1">
      <alignment horizontal="center"/>
    </xf>
    <xf numFmtId="169" fontId="10" fillId="2" borderId="161" xfId="0" applyNumberFormat="1" applyFont="1" applyFill="1" applyBorder="1" applyAlignment="1">
      <alignment horizontal="center"/>
    </xf>
    <xf numFmtId="45" fontId="10" fillId="2" borderId="162" xfId="0" applyNumberFormat="1" applyFont="1" applyFill="1" applyBorder="1" applyAlignment="1">
      <alignment horizontal="center"/>
    </xf>
    <xf numFmtId="1" fontId="10" fillId="2" borderId="163" xfId="0" applyNumberFormat="1" applyFont="1" applyFill="1" applyBorder="1" applyAlignment="1">
      <alignment horizontal="center"/>
    </xf>
    <xf numFmtId="45" fontId="10" fillId="2" borderId="163" xfId="0" applyNumberFormat="1" applyFont="1" applyFill="1" applyBorder="1" applyAlignment="1">
      <alignment horizontal="center"/>
    </xf>
    <xf numFmtId="1" fontId="12" fillId="2" borderId="164" xfId="0" applyNumberFormat="1" applyFont="1" applyFill="1" applyBorder="1" applyAlignment="1">
      <alignment horizontal="center"/>
    </xf>
    <xf numFmtId="21" fontId="10" fillId="2" borderId="166" xfId="0" applyNumberFormat="1" applyFont="1" applyFill="1" applyBorder="1" applyAlignment="1">
      <alignment horizontal="center"/>
    </xf>
    <xf numFmtId="169" fontId="10" fillId="2" borderId="167" xfId="0" applyNumberFormat="1" applyFont="1" applyFill="1" applyBorder="1" applyAlignment="1">
      <alignment horizontal="center"/>
    </xf>
    <xf numFmtId="45" fontId="10" fillId="2" borderId="168" xfId="0" applyNumberFormat="1" applyFont="1" applyFill="1" applyBorder="1" applyAlignment="1">
      <alignment horizontal="center"/>
    </xf>
    <xf numFmtId="1" fontId="10" fillId="2" borderId="169" xfId="0" applyNumberFormat="1" applyFont="1" applyFill="1" applyBorder="1" applyAlignment="1">
      <alignment horizontal="center"/>
    </xf>
    <xf numFmtId="45" fontId="10" fillId="2" borderId="169" xfId="0" applyNumberFormat="1" applyFont="1" applyFill="1" applyBorder="1" applyAlignment="1">
      <alignment horizontal="center"/>
    </xf>
    <xf numFmtId="1" fontId="12" fillId="2" borderId="170" xfId="0" applyNumberFormat="1" applyFont="1" applyFill="1" applyBorder="1" applyAlignment="1">
      <alignment horizontal="center"/>
    </xf>
    <xf numFmtId="21" fontId="10" fillId="2" borderId="172" xfId="0" applyNumberFormat="1" applyFont="1" applyFill="1" applyBorder="1" applyAlignment="1">
      <alignment horizontal="center"/>
    </xf>
    <xf numFmtId="169" fontId="10" fillId="2" borderId="173" xfId="0" applyNumberFormat="1" applyFont="1" applyFill="1" applyBorder="1" applyAlignment="1">
      <alignment horizontal="center"/>
    </xf>
    <xf numFmtId="45" fontId="10" fillId="2" borderId="174" xfId="0" applyNumberFormat="1" applyFont="1" applyFill="1" applyBorder="1" applyAlignment="1">
      <alignment horizontal="center"/>
    </xf>
    <xf numFmtId="1" fontId="10" fillId="2" borderId="175" xfId="0" applyNumberFormat="1" applyFont="1" applyFill="1" applyBorder="1" applyAlignment="1">
      <alignment horizontal="center"/>
    </xf>
    <xf numFmtId="45" fontId="10" fillId="2" borderId="175" xfId="0" applyNumberFormat="1" applyFont="1" applyFill="1" applyBorder="1" applyAlignment="1">
      <alignment horizontal="center"/>
    </xf>
    <xf numFmtId="1" fontId="12" fillId="2" borderId="176" xfId="0" applyNumberFormat="1" applyFont="1" applyFill="1" applyBorder="1" applyAlignment="1">
      <alignment horizontal="center"/>
    </xf>
    <xf numFmtId="167" fontId="10" fillId="5" borderId="16" xfId="0" applyNumberFormat="1" applyFont="1" applyFill="1" applyBorder="1" applyAlignment="1">
      <alignment horizontal="center"/>
    </xf>
    <xf numFmtId="1" fontId="10" fillId="5" borderId="127" xfId="0" applyNumberFormat="1" applyFont="1" applyFill="1" applyBorder="1" applyAlignment="1">
      <alignment horizontal="center"/>
    </xf>
    <xf numFmtId="1" fontId="10" fillId="5" borderId="127" xfId="0" applyNumberFormat="1" applyFont="1" applyFill="1" applyBorder="1" applyAlignment="1">
      <alignment horizontal="center" vertical="center"/>
    </xf>
    <xf numFmtId="21" fontId="10" fillId="5" borderId="178" xfId="0" applyNumberFormat="1" applyFont="1" applyFill="1" applyBorder="1" applyAlignment="1">
      <alignment horizontal="center"/>
    </xf>
    <xf numFmtId="169" fontId="10" fillId="5" borderId="179" xfId="0" applyNumberFormat="1" applyFont="1" applyFill="1" applyBorder="1" applyAlignment="1">
      <alignment horizontal="center"/>
    </xf>
    <xf numFmtId="45" fontId="10" fillId="5" borderId="180" xfId="0" applyNumberFormat="1" applyFont="1" applyFill="1" applyBorder="1" applyAlignment="1">
      <alignment horizontal="center"/>
    </xf>
    <xf numFmtId="1" fontId="10" fillId="5" borderId="181" xfId="0" applyNumberFormat="1" applyFont="1" applyFill="1" applyBorder="1" applyAlignment="1">
      <alignment horizontal="center"/>
    </xf>
    <xf numFmtId="170" fontId="10" fillId="5" borderId="127" xfId="0" applyNumberFormat="1" applyFont="1" applyFill="1" applyBorder="1" applyAlignment="1">
      <alignment horizontal="center"/>
    </xf>
    <xf numFmtId="45" fontId="10" fillId="5" borderId="181" xfId="0" applyNumberFormat="1" applyFont="1" applyFill="1" applyBorder="1" applyAlignment="1">
      <alignment horizontal="center"/>
    </xf>
    <xf numFmtId="1" fontId="12" fillId="5" borderId="182" xfId="0" applyNumberFormat="1" applyFont="1" applyFill="1" applyBorder="1" applyAlignment="1">
      <alignment horizontal="center"/>
    </xf>
    <xf numFmtId="1" fontId="12" fillId="5" borderId="158" xfId="0" applyNumberFormat="1" applyFont="1" applyFill="1" applyBorder="1" applyAlignment="1">
      <alignment horizontal="center"/>
    </xf>
    <xf numFmtId="1" fontId="12" fillId="5" borderId="614" xfId="0" applyNumberFormat="1" applyFont="1" applyFill="1" applyBorder="1" applyAlignment="1">
      <alignment horizontal="center"/>
    </xf>
    <xf numFmtId="21" fontId="10" fillId="0" borderId="254" xfId="0" applyNumberFormat="1" applyFont="1" applyBorder="1" applyAlignment="1">
      <alignment horizontal="center"/>
    </xf>
    <xf numFmtId="169" fontId="10" fillId="0" borderId="253" xfId="0" applyNumberFormat="1" applyFont="1" applyBorder="1" applyAlignment="1">
      <alignment horizontal="center"/>
    </xf>
    <xf numFmtId="1" fontId="10" fillId="0" borderId="127" xfId="0" applyNumberFormat="1" applyFont="1" applyBorder="1" applyAlignment="1">
      <alignment horizontal="center"/>
    </xf>
    <xf numFmtId="1" fontId="10" fillId="0" borderId="127" xfId="0" applyNumberFormat="1" applyFont="1" applyBorder="1" applyAlignment="1">
      <alignment horizontal="center" vertical="center"/>
    </xf>
    <xf numFmtId="21" fontId="10" fillId="0" borderId="184" xfId="0" applyNumberFormat="1" applyFont="1" applyBorder="1" applyAlignment="1">
      <alignment horizontal="center"/>
    </xf>
    <xf numFmtId="169" fontId="10" fillId="0" borderId="185" xfId="0" applyNumberFormat="1" applyFont="1" applyBorder="1" applyAlignment="1">
      <alignment horizontal="center"/>
    </xf>
    <xf numFmtId="45" fontId="10" fillId="0" borderId="185" xfId="0" applyNumberFormat="1" applyFont="1" applyBorder="1" applyAlignment="1">
      <alignment horizontal="center"/>
    </xf>
    <xf numFmtId="1" fontId="10" fillId="0" borderId="184" xfId="0" applyNumberFormat="1" applyFont="1" applyBorder="1" applyAlignment="1">
      <alignment horizontal="center"/>
    </xf>
    <xf numFmtId="45" fontId="10" fillId="0" borderId="184" xfId="0" applyNumberFormat="1" applyFont="1" applyBorder="1" applyAlignment="1">
      <alignment horizontal="center"/>
    </xf>
    <xf numFmtId="1" fontId="12" fillId="2" borderId="186" xfId="0" applyNumberFormat="1" applyFont="1" applyFill="1" applyBorder="1" applyAlignment="1">
      <alignment horizontal="center"/>
    </xf>
    <xf numFmtId="21" fontId="10" fillId="0" borderId="188" xfId="0" applyNumberFormat="1" applyFont="1" applyBorder="1" applyAlignment="1">
      <alignment horizontal="center"/>
    </xf>
    <xf numFmtId="169" fontId="10" fillId="0" borderId="189" xfId="0" applyNumberFormat="1" applyFont="1" applyBorder="1" applyAlignment="1">
      <alignment horizontal="center"/>
    </xf>
    <xf numFmtId="45" fontId="10" fillId="0" borderId="189" xfId="0" applyNumberFormat="1" applyFont="1" applyBorder="1" applyAlignment="1">
      <alignment horizontal="center"/>
    </xf>
    <xf numFmtId="1" fontId="10" fillId="0" borderId="188" xfId="0" applyNumberFormat="1" applyFont="1" applyBorder="1" applyAlignment="1">
      <alignment horizontal="center"/>
    </xf>
    <xf numFmtId="45" fontId="10" fillId="0" borderId="188" xfId="0" applyNumberFormat="1" applyFont="1" applyBorder="1" applyAlignment="1">
      <alignment horizontal="center"/>
    </xf>
    <xf numFmtId="1" fontId="12" fillId="2" borderId="190" xfId="0" applyNumberFormat="1" applyFont="1" applyFill="1" applyBorder="1" applyAlignment="1">
      <alignment horizontal="center"/>
    </xf>
    <xf numFmtId="21" fontId="10" fillId="0" borderId="5" xfId="0" applyNumberFormat="1" applyFont="1" applyBorder="1" applyAlignment="1">
      <alignment horizontal="center"/>
    </xf>
    <xf numFmtId="169" fontId="10" fillId="0" borderId="337" xfId="0" applyNumberFormat="1" applyFont="1" applyBorder="1" applyAlignment="1">
      <alignment horizontal="center"/>
    </xf>
    <xf numFmtId="21" fontId="10" fillId="2" borderId="386" xfId="0" applyNumberFormat="1" applyFont="1" applyFill="1" applyBorder="1" applyAlignment="1">
      <alignment horizontal="center"/>
    </xf>
    <xf numFmtId="169" fontId="10" fillId="2" borderId="387" xfId="0" applyNumberFormat="1" applyFont="1" applyFill="1" applyBorder="1" applyAlignment="1">
      <alignment horizontal="center"/>
    </xf>
    <xf numFmtId="45" fontId="10" fillId="2" borderId="387" xfId="0" applyNumberFormat="1" applyFont="1" applyFill="1" applyBorder="1" applyAlignment="1">
      <alignment horizontal="center"/>
    </xf>
    <xf numFmtId="1" fontId="10" fillId="2" borderId="387" xfId="0" applyNumberFormat="1" applyFont="1" applyFill="1" applyBorder="1" applyAlignment="1">
      <alignment horizontal="center"/>
    </xf>
    <xf numFmtId="45" fontId="10" fillId="2" borderId="388" xfId="0" applyNumberFormat="1" applyFont="1" applyFill="1" applyBorder="1" applyAlignment="1">
      <alignment horizontal="center"/>
    </xf>
    <xf numFmtId="1" fontId="10" fillId="2" borderId="48" xfId="0" applyNumberFormat="1" applyFont="1" applyFill="1" applyBorder="1" applyAlignment="1">
      <alignment horizontal="center"/>
    </xf>
    <xf numFmtId="1" fontId="10" fillId="2" borderId="48" xfId="0" applyNumberFormat="1" applyFont="1" applyFill="1" applyBorder="1" applyAlignment="1">
      <alignment horizontal="center" vertical="center"/>
    </xf>
    <xf numFmtId="21" fontId="10" fillId="2" borderId="390" xfId="0" applyNumberFormat="1" applyFont="1" applyFill="1" applyBorder="1" applyAlignment="1">
      <alignment horizontal="center"/>
    </xf>
    <xf numFmtId="45" fontId="10" fillId="2" borderId="391" xfId="0" applyNumberFormat="1" applyFont="1" applyFill="1" applyBorder="1" applyAlignment="1">
      <alignment horizontal="center"/>
    </xf>
    <xf numFmtId="1" fontId="12" fillId="2" borderId="340" xfId="0" applyNumberFormat="1" applyFont="1" applyFill="1" applyBorder="1" applyAlignment="1">
      <alignment horizontal="center"/>
    </xf>
    <xf numFmtId="1" fontId="12" fillId="2" borderId="343" xfId="0" applyNumberFormat="1" applyFont="1" applyFill="1" applyBorder="1" applyAlignment="1">
      <alignment horizontal="center"/>
    </xf>
    <xf numFmtId="21" fontId="10" fillId="0" borderId="191" xfId="0" applyNumberFormat="1" applyFont="1" applyBorder="1" applyAlignment="1">
      <alignment horizontal="center"/>
    </xf>
    <xf numFmtId="169" fontId="10" fillId="0" borderId="192" xfId="0" applyNumberFormat="1" applyFont="1" applyBorder="1" applyAlignment="1">
      <alignment horizontal="center"/>
    </xf>
    <xf numFmtId="45" fontId="10" fillId="0" borderId="193" xfId="0" applyNumberFormat="1" applyFont="1" applyBorder="1" applyAlignment="1">
      <alignment horizontal="center"/>
    </xf>
    <xf numFmtId="1" fontId="10" fillId="0" borderId="194" xfId="0" applyNumberFormat="1" applyFont="1" applyBorder="1" applyAlignment="1">
      <alignment horizontal="center"/>
    </xf>
    <xf numFmtId="45" fontId="10" fillId="0" borderId="194" xfId="0" applyNumberFormat="1" applyFont="1" applyBorder="1" applyAlignment="1">
      <alignment horizontal="center"/>
    </xf>
    <xf numFmtId="1" fontId="12" fillId="2" borderId="195" xfId="0" applyNumberFormat="1" applyFont="1" applyFill="1" applyBorder="1" applyAlignment="1">
      <alignment horizontal="center"/>
    </xf>
    <xf numFmtId="21" fontId="10" fillId="0" borderId="196" xfId="0" applyNumberFormat="1" applyFont="1" applyBorder="1" applyAlignment="1">
      <alignment horizontal="center"/>
    </xf>
    <xf numFmtId="169" fontId="10" fillId="0" borderId="197" xfId="0" applyNumberFormat="1" applyFont="1" applyBorder="1" applyAlignment="1">
      <alignment horizontal="center"/>
    </xf>
    <xf numFmtId="45" fontId="10" fillId="0" borderId="198" xfId="0" applyNumberFormat="1" applyFont="1" applyBorder="1" applyAlignment="1">
      <alignment horizontal="center"/>
    </xf>
    <xf numFmtId="1" fontId="10" fillId="0" borderId="199" xfId="0" applyNumberFormat="1" applyFont="1" applyBorder="1" applyAlignment="1">
      <alignment horizontal="center"/>
    </xf>
    <xf numFmtId="45" fontId="10" fillId="0" borderId="199" xfId="0" applyNumberFormat="1" applyFont="1" applyBorder="1" applyAlignment="1">
      <alignment horizontal="center"/>
    </xf>
    <xf numFmtId="1" fontId="12" fillId="2" borderId="200" xfId="0" applyNumberFormat="1" applyFont="1" applyFill="1" applyBorder="1" applyAlignment="1">
      <alignment horizontal="center"/>
    </xf>
    <xf numFmtId="21" fontId="10" fillId="0" borderId="201" xfId="0" applyNumberFormat="1" applyFont="1" applyBorder="1" applyAlignment="1">
      <alignment horizontal="center"/>
    </xf>
    <xf numFmtId="169" fontId="10" fillId="0" borderId="202" xfId="0" applyNumberFormat="1" applyFont="1" applyBorder="1" applyAlignment="1">
      <alignment horizontal="center"/>
    </xf>
    <xf numFmtId="45" fontId="10" fillId="0" borderId="203" xfId="0" applyNumberFormat="1" applyFont="1" applyBorder="1" applyAlignment="1">
      <alignment horizontal="center"/>
    </xf>
    <xf numFmtId="1" fontId="10" fillId="0" borderId="204" xfId="0" applyNumberFormat="1" applyFont="1" applyBorder="1" applyAlignment="1">
      <alignment horizontal="center"/>
    </xf>
    <xf numFmtId="45" fontId="10" fillId="0" borderId="204" xfId="0" applyNumberFormat="1" applyFont="1" applyBorder="1" applyAlignment="1">
      <alignment horizontal="center"/>
    </xf>
    <xf numFmtId="1" fontId="12" fillId="2" borderId="205" xfId="0" applyNumberFormat="1" applyFont="1" applyFill="1" applyBorder="1" applyAlignment="1">
      <alignment horizontal="center"/>
    </xf>
    <xf numFmtId="167" fontId="10" fillId="0" borderId="342" xfId="0" applyNumberFormat="1" applyFont="1" applyBorder="1" applyAlignment="1">
      <alignment horizontal="center"/>
    </xf>
    <xf numFmtId="21" fontId="10" fillId="0" borderId="206" xfId="0" applyNumberFormat="1" applyFont="1" applyBorder="1" applyAlignment="1">
      <alignment horizontal="center"/>
    </xf>
    <xf numFmtId="169" fontId="10" fillId="0" borderId="207" xfId="0" applyNumberFormat="1" applyFont="1" applyBorder="1" applyAlignment="1">
      <alignment horizontal="center"/>
    </xf>
    <xf numFmtId="45" fontId="10" fillId="0" borderId="208" xfId="0" applyNumberFormat="1" applyFont="1" applyBorder="1" applyAlignment="1">
      <alignment horizontal="center"/>
    </xf>
    <xf numFmtId="1" fontId="10" fillId="0" borderId="209" xfId="0" applyNumberFormat="1" applyFont="1" applyBorder="1" applyAlignment="1">
      <alignment horizontal="center"/>
    </xf>
    <xf numFmtId="45" fontId="10" fillId="0" borderId="209" xfId="0" applyNumberFormat="1" applyFont="1" applyBorder="1" applyAlignment="1">
      <alignment horizontal="center"/>
    </xf>
    <xf numFmtId="1" fontId="12" fillId="2" borderId="210" xfId="0" applyNumberFormat="1" applyFont="1" applyFill="1" applyBorder="1" applyAlignment="1">
      <alignment horizontal="center"/>
    </xf>
    <xf numFmtId="21" fontId="10" fillId="0" borderId="211" xfId="0" applyNumberFormat="1" applyFont="1" applyBorder="1" applyAlignment="1">
      <alignment horizontal="center"/>
    </xf>
    <xf numFmtId="169" fontId="10" fillId="0" borderId="212" xfId="0" applyNumberFormat="1" applyFont="1" applyBorder="1" applyAlignment="1">
      <alignment horizontal="center"/>
    </xf>
    <xf numFmtId="45" fontId="10" fillId="0" borderId="213" xfId="0" applyNumberFormat="1" applyFont="1" applyBorder="1" applyAlignment="1">
      <alignment horizontal="center"/>
    </xf>
    <xf numFmtId="1" fontId="10" fillId="0" borderId="214" xfId="0" applyNumberFormat="1" applyFont="1" applyBorder="1" applyAlignment="1">
      <alignment horizontal="center"/>
    </xf>
    <xf numFmtId="45" fontId="10" fillId="0" borderId="214" xfId="0" applyNumberFormat="1" applyFont="1" applyBorder="1" applyAlignment="1">
      <alignment horizontal="center"/>
    </xf>
    <xf numFmtId="1" fontId="12" fillId="2" borderId="215" xfId="0" applyNumberFormat="1" applyFont="1" applyFill="1" applyBorder="1" applyAlignment="1">
      <alignment horizontal="center"/>
    </xf>
    <xf numFmtId="21" fontId="10" fillId="0" borderId="216" xfId="0" applyNumberFormat="1" applyFont="1" applyBorder="1" applyAlignment="1">
      <alignment horizontal="center"/>
    </xf>
    <xf numFmtId="169" fontId="10" fillId="0" borderId="217" xfId="0" applyNumberFormat="1" applyFont="1" applyBorder="1" applyAlignment="1">
      <alignment horizontal="center"/>
    </xf>
    <xf numFmtId="45" fontId="10" fillId="0" borderId="218" xfId="0" applyNumberFormat="1" applyFont="1" applyBorder="1" applyAlignment="1">
      <alignment horizontal="center"/>
    </xf>
    <xf numFmtId="1" fontId="10" fillId="0" borderId="219" xfId="0" applyNumberFormat="1" applyFont="1" applyBorder="1" applyAlignment="1">
      <alignment horizontal="center"/>
    </xf>
    <xf numFmtId="45" fontId="10" fillId="0" borderId="219" xfId="0" applyNumberFormat="1" applyFont="1" applyBorder="1" applyAlignment="1">
      <alignment horizontal="center"/>
    </xf>
    <xf numFmtId="1" fontId="12" fillId="2" borderId="220" xfId="0" applyNumberFormat="1" applyFont="1" applyFill="1" applyBorder="1" applyAlignment="1">
      <alignment horizontal="center"/>
    </xf>
    <xf numFmtId="21" fontId="10" fillId="0" borderId="221" xfId="0" applyNumberFormat="1" applyFont="1" applyBorder="1" applyAlignment="1">
      <alignment horizontal="center"/>
    </xf>
    <xf numFmtId="169" fontId="10" fillId="0" borderId="222" xfId="0" applyNumberFormat="1" applyFont="1" applyBorder="1" applyAlignment="1">
      <alignment horizontal="center"/>
    </xf>
    <xf numFmtId="45" fontId="10" fillId="0" borderId="223" xfId="0" applyNumberFormat="1" applyFont="1" applyBorder="1" applyAlignment="1">
      <alignment horizontal="center"/>
    </xf>
    <xf numFmtId="1" fontId="10" fillId="0" borderId="224" xfId="0" applyNumberFormat="1" applyFont="1" applyBorder="1" applyAlignment="1">
      <alignment horizontal="center"/>
    </xf>
    <xf numFmtId="45" fontId="10" fillId="0" borderId="224" xfId="0" applyNumberFormat="1" applyFont="1" applyBorder="1" applyAlignment="1">
      <alignment horizontal="center"/>
    </xf>
    <xf numFmtId="1" fontId="12" fillId="2" borderId="225" xfId="0" applyNumberFormat="1" applyFont="1" applyFill="1" applyBorder="1" applyAlignment="1">
      <alignment horizontal="center"/>
    </xf>
    <xf numFmtId="21" fontId="10" fillId="0" borderId="226" xfId="0" applyNumberFormat="1" applyFont="1" applyBorder="1" applyAlignment="1">
      <alignment horizontal="center"/>
    </xf>
    <xf numFmtId="169" fontId="10" fillId="0" borderId="227" xfId="0" applyNumberFormat="1" applyFont="1" applyBorder="1" applyAlignment="1">
      <alignment horizontal="center"/>
    </xf>
    <xf numFmtId="45" fontId="10" fillId="0" borderId="228" xfId="0" applyNumberFormat="1" applyFont="1" applyBorder="1" applyAlignment="1">
      <alignment horizontal="center"/>
    </xf>
    <xf numFmtId="1" fontId="10" fillId="0" borderId="229" xfId="0" applyNumberFormat="1" applyFont="1" applyBorder="1" applyAlignment="1">
      <alignment horizontal="center"/>
    </xf>
    <xf numFmtId="45" fontId="10" fillId="0" borderId="229" xfId="0" applyNumberFormat="1" applyFont="1" applyBorder="1" applyAlignment="1">
      <alignment horizontal="center"/>
    </xf>
    <xf numFmtId="1" fontId="12" fillId="2" borderId="230" xfId="0" applyNumberFormat="1" applyFont="1" applyFill="1" applyBorder="1" applyAlignment="1">
      <alignment horizontal="center"/>
    </xf>
    <xf numFmtId="21" fontId="10" fillId="0" borderId="231" xfId="0" applyNumberFormat="1" applyFont="1" applyBorder="1" applyAlignment="1">
      <alignment horizontal="center"/>
    </xf>
    <xf numFmtId="169" fontId="10" fillId="0" borderId="232" xfId="0" applyNumberFormat="1" applyFont="1" applyBorder="1" applyAlignment="1">
      <alignment horizontal="center"/>
    </xf>
    <xf numFmtId="45" fontId="10" fillId="0" borderId="233" xfId="0" applyNumberFormat="1" applyFont="1" applyBorder="1" applyAlignment="1">
      <alignment horizontal="center"/>
    </xf>
    <xf numFmtId="1" fontId="10" fillId="0" borderId="234" xfId="0" applyNumberFormat="1" applyFont="1" applyBorder="1" applyAlignment="1">
      <alignment horizontal="center"/>
    </xf>
    <xf numFmtId="45" fontId="10" fillId="0" borderId="234" xfId="0" applyNumberFormat="1" applyFont="1" applyBorder="1" applyAlignment="1">
      <alignment horizontal="center"/>
    </xf>
    <xf numFmtId="1" fontId="12" fillId="2" borderId="235" xfId="0" applyNumberFormat="1" applyFont="1" applyFill="1" applyBorder="1" applyAlignment="1">
      <alignment horizontal="center"/>
    </xf>
    <xf numFmtId="21" fontId="10" fillId="0" borderId="236" xfId="0" applyNumberFormat="1" applyFont="1" applyBorder="1" applyAlignment="1">
      <alignment horizontal="center"/>
    </xf>
    <xf numFmtId="169" fontId="10" fillId="0" borderId="237" xfId="0" applyNumberFormat="1" applyFont="1" applyBorder="1" applyAlignment="1">
      <alignment horizontal="center"/>
    </xf>
    <xf numFmtId="45" fontId="10" fillId="0" borderId="238" xfId="0" applyNumberFormat="1" applyFont="1" applyBorder="1" applyAlignment="1">
      <alignment horizontal="center"/>
    </xf>
    <xf numFmtId="1" fontId="10" fillId="0" borderId="239" xfId="0" applyNumberFormat="1" applyFont="1" applyBorder="1" applyAlignment="1">
      <alignment horizontal="center"/>
    </xf>
    <xf numFmtId="45" fontId="10" fillId="0" borderId="239" xfId="0" applyNumberFormat="1" applyFont="1" applyBorder="1" applyAlignment="1">
      <alignment horizontal="center"/>
    </xf>
    <xf numFmtId="1" fontId="12" fillId="2" borderId="240" xfId="0" applyNumberFormat="1" applyFont="1" applyFill="1" applyBorder="1" applyAlignment="1">
      <alignment horizontal="center"/>
    </xf>
    <xf numFmtId="21" fontId="10" fillId="0" borderId="241" xfId="0" applyNumberFormat="1" applyFont="1" applyBorder="1" applyAlignment="1">
      <alignment horizontal="center"/>
    </xf>
    <xf numFmtId="169" fontId="10" fillId="0" borderId="242" xfId="0" applyNumberFormat="1" applyFont="1" applyBorder="1" applyAlignment="1">
      <alignment horizontal="center"/>
    </xf>
    <xf numFmtId="45" fontId="10" fillId="0" borderId="243" xfId="0" applyNumberFormat="1" applyFont="1" applyBorder="1" applyAlignment="1">
      <alignment horizontal="center"/>
    </xf>
    <xf numFmtId="1" fontId="10" fillId="0" borderId="244" xfId="0" applyNumberFormat="1" applyFont="1" applyBorder="1" applyAlignment="1">
      <alignment horizontal="center"/>
    </xf>
    <xf numFmtId="45" fontId="10" fillId="0" borderId="244" xfId="0" applyNumberFormat="1" applyFont="1" applyBorder="1" applyAlignment="1">
      <alignment horizontal="center"/>
    </xf>
    <xf numFmtId="1" fontId="12" fillId="2" borderId="245" xfId="0" applyNumberFormat="1" applyFont="1" applyFill="1" applyBorder="1" applyAlignment="1">
      <alignment horizontal="center"/>
    </xf>
    <xf numFmtId="21" fontId="10" fillId="0" borderId="246" xfId="0" applyNumberFormat="1" applyFont="1" applyBorder="1" applyAlignment="1">
      <alignment horizontal="center"/>
    </xf>
    <xf numFmtId="169" fontId="10" fillId="0" borderId="247" xfId="0" applyNumberFormat="1" applyFont="1" applyBorder="1" applyAlignment="1">
      <alignment horizontal="center"/>
    </xf>
    <xf numFmtId="45" fontId="10" fillId="0" borderId="248" xfId="0" applyNumberFormat="1" applyFont="1" applyBorder="1" applyAlignment="1">
      <alignment horizontal="center"/>
    </xf>
    <xf numFmtId="1" fontId="10" fillId="0" borderId="249" xfId="0" applyNumberFormat="1" applyFont="1" applyBorder="1" applyAlignment="1">
      <alignment horizontal="center"/>
    </xf>
    <xf numFmtId="45" fontId="10" fillId="0" borderId="249" xfId="0" applyNumberFormat="1" applyFont="1" applyBorder="1" applyAlignment="1">
      <alignment horizontal="center"/>
    </xf>
    <xf numFmtId="1" fontId="12" fillId="2" borderId="250" xfId="0" applyNumberFormat="1" applyFont="1" applyFill="1" applyBorder="1" applyAlignment="1">
      <alignment horizontal="center"/>
    </xf>
    <xf numFmtId="21" fontId="10" fillId="0" borderId="256" xfId="0" applyNumberFormat="1" applyFont="1" applyBorder="1" applyAlignment="1">
      <alignment horizontal="center"/>
    </xf>
    <xf numFmtId="169" fontId="10" fillId="0" borderId="257" xfId="0" applyNumberFormat="1" applyFont="1" applyBorder="1" applyAlignment="1">
      <alignment horizontal="center"/>
    </xf>
    <xf numFmtId="45" fontId="10" fillId="0" borderId="258" xfId="0" applyNumberFormat="1" applyFont="1" applyBorder="1" applyAlignment="1">
      <alignment horizontal="center"/>
    </xf>
    <xf numFmtId="1" fontId="10" fillId="0" borderId="259" xfId="0" applyNumberFormat="1" applyFont="1" applyBorder="1" applyAlignment="1">
      <alignment horizontal="center"/>
    </xf>
    <xf numFmtId="45" fontId="10" fillId="0" borderId="259" xfId="0" applyNumberFormat="1" applyFont="1" applyBorder="1" applyAlignment="1">
      <alignment horizontal="center"/>
    </xf>
    <xf numFmtId="1" fontId="12" fillId="2" borderId="260" xfId="0" applyNumberFormat="1" applyFont="1" applyFill="1" applyBorder="1" applyAlignment="1">
      <alignment horizontal="center"/>
    </xf>
    <xf numFmtId="21" fontId="10" fillId="0" borderId="261" xfId="0" applyNumberFormat="1" applyFont="1" applyBorder="1" applyAlignment="1">
      <alignment horizontal="center"/>
    </xf>
    <xf numFmtId="169" fontId="10" fillId="0" borderId="262" xfId="0" applyNumberFormat="1" applyFont="1" applyBorder="1" applyAlignment="1">
      <alignment horizontal="center"/>
    </xf>
    <xf numFmtId="45" fontId="10" fillId="0" borderId="263" xfId="0" applyNumberFormat="1" applyFont="1" applyBorder="1" applyAlignment="1">
      <alignment horizontal="center"/>
    </xf>
    <xf numFmtId="1" fontId="10" fillId="0" borderId="264" xfId="0" applyNumberFormat="1" applyFont="1" applyBorder="1" applyAlignment="1">
      <alignment horizontal="center"/>
    </xf>
    <xf numFmtId="45" fontId="10" fillId="0" borderId="264" xfId="0" applyNumberFormat="1" applyFont="1" applyBorder="1" applyAlignment="1">
      <alignment horizontal="center"/>
    </xf>
    <xf numFmtId="1" fontId="12" fillId="2" borderId="265" xfId="0" applyNumberFormat="1" applyFont="1" applyFill="1" applyBorder="1" applyAlignment="1">
      <alignment horizontal="center"/>
    </xf>
    <xf numFmtId="21" fontId="10" fillId="0" borderId="264" xfId="0" applyNumberFormat="1" applyFont="1" applyBorder="1" applyAlignment="1">
      <alignment horizontal="center"/>
    </xf>
    <xf numFmtId="169" fontId="10" fillId="0" borderId="263" xfId="0" applyNumberFormat="1" applyFont="1" applyBorder="1" applyAlignment="1">
      <alignment horizontal="center"/>
    </xf>
    <xf numFmtId="21" fontId="10" fillId="0" borderId="270" xfId="0" applyNumberFormat="1" applyFont="1" applyBorder="1" applyAlignment="1">
      <alignment horizontal="center"/>
    </xf>
    <xf numFmtId="169" fontId="10" fillId="0" borderId="271" xfId="0" applyNumberFormat="1" applyFont="1" applyBorder="1" applyAlignment="1">
      <alignment horizontal="center"/>
    </xf>
    <xf numFmtId="45" fontId="10" fillId="0" borderId="271" xfId="0" applyNumberFormat="1" applyFont="1" applyBorder="1" applyAlignment="1">
      <alignment horizontal="center"/>
    </xf>
    <xf numFmtId="1" fontId="10" fillId="0" borderId="270" xfId="0" applyNumberFormat="1" applyFont="1" applyBorder="1" applyAlignment="1">
      <alignment horizontal="center"/>
    </xf>
    <xf numFmtId="45" fontId="10" fillId="0" borderId="270" xfId="0" applyNumberFormat="1" applyFont="1" applyBorder="1" applyAlignment="1">
      <alignment horizontal="center"/>
    </xf>
    <xf numFmtId="1" fontId="12" fillId="2" borderId="272" xfId="0" applyNumberFormat="1" applyFont="1" applyFill="1" applyBorder="1" applyAlignment="1">
      <alignment horizontal="center"/>
    </xf>
    <xf numFmtId="167" fontId="10" fillId="0" borderId="358" xfId="0" applyNumberFormat="1" applyFont="1" applyBorder="1" applyAlignment="1">
      <alignment horizontal="center"/>
    </xf>
    <xf numFmtId="167" fontId="10" fillId="0" borderId="336" xfId="0" applyNumberFormat="1" applyFont="1" applyBorder="1" applyAlignment="1">
      <alignment horizontal="center"/>
    </xf>
    <xf numFmtId="167" fontId="10" fillId="0" borderId="334" xfId="0" applyNumberFormat="1" applyFont="1" applyBorder="1" applyAlignment="1">
      <alignment horizontal="center"/>
    </xf>
    <xf numFmtId="167" fontId="10" fillId="0" borderId="561" xfId="0" applyNumberFormat="1" applyFont="1" applyBorder="1" applyAlignment="1">
      <alignment horizontal="center"/>
    </xf>
    <xf numFmtId="1" fontId="10" fillId="0" borderId="559" xfId="0" applyNumberFormat="1" applyFont="1" applyBorder="1" applyAlignment="1">
      <alignment horizontal="center"/>
    </xf>
    <xf numFmtId="1" fontId="10" fillId="0" borderId="559" xfId="0" applyNumberFormat="1" applyFont="1" applyBorder="1" applyAlignment="1">
      <alignment horizontal="center" vertical="center"/>
    </xf>
    <xf numFmtId="21" fontId="10" fillId="0" borderId="557" xfId="0" applyNumberFormat="1" applyFont="1" applyBorder="1" applyAlignment="1">
      <alignment horizontal="center"/>
    </xf>
    <xf numFmtId="169" fontId="10" fillId="0" borderId="558" xfId="0" applyNumberFormat="1" applyFont="1" applyBorder="1" applyAlignment="1">
      <alignment horizontal="center"/>
    </xf>
    <xf numFmtId="45" fontId="10" fillId="0" borderId="558" xfId="0" applyNumberFormat="1" applyFont="1" applyBorder="1" applyAlignment="1">
      <alignment horizontal="center"/>
    </xf>
    <xf numFmtId="1" fontId="10" fillId="0" borderId="558" xfId="0" applyNumberFormat="1" applyFont="1" applyBorder="1" applyAlignment="1">
      <alignment horizontal="center"/>
    </xf>
    <xf numFmtId="1" fontId="10" fillId="0" borderId="560" xfId="0" applyNumberFormat="1" applyFont="1" applyBorder="1" applyAlignment="1">
      <alignment horizontal="center"/>
    </xf>
    <xf numFmtId="170" fontId="10" fillId="0" borderId="559" xfId="0" applyNumberFormat="1" applyFont="1" applyBorder="1" applyAlignment="1">
      <alignment horizontal="center"/>
    </xf>
    <xf numFmtId="45" fontId="10" fillId="0" borderId="560" xfId="0" applyNumberFormat="1" applyFont="1" applyBorder="1" applyAlignment="1">
      <alignment horizontal="center"/>
    </xf>
    <xf numFmtId="1" fontId="12" fillId="2" borderId="561" xfId="0" applyNumberFormat="1" applyFont="1" applyFill="1" applyBorder="1" applyAlignment="1">
      <alignment horizontal="center"/>
    </xf>
    <xf numFmtId="1" fontId="12" fillId="2" borderId="560" xfId="0" applyNumberFormat="1" applyFont="1" applyFill="1" applyBorder="1" applyAlignment="1">
      <alignment horizontal="center"/>
    </xf>
    <xf numFmtId="2" fontId="10" fillId="0" borderId="559" xfId="0" applyNumberFormat="1" applyFont="1" applyBorder="1" applyAlignment="1">
      <alignment horizontal="center"/>
    </xf>
    <xf numFmtId="1" fontId="10" fillId="0" borderId="561" xfId="0" applyNumberFormat="1" applyFont="1" applyBorder="1" applyAlignment="1">
      <alignment horizontal="center"/>
    </xf>
    <xf numFmtId="21" fontId="10" fillId="2" borderId="254" xfId="0" applyNumberFormat="1" applyFont="1" applyFill="1" applyBorder="1" applyAlignment="1">
      <alignment horizontal="center"/>
    </xf>
    <xf numFmtId="169" fontId="10" fillId="2" borderId="376" xfId="0" applyNumberFormat="1" applyFont="1" applyFill="1" applyBorder="1" applyAlignment="1">
      <alignment horizontal="center"/>
    </xf>
    <xf numFmtId="45" fontId="10" fillId="2" borderId="283" xfId="0" applyNumberFormat="1" applyFont="1" applyFill="1" applyBorder="1" applyAlignment="1">
      <alignment horizontal="center"/>
    </xf>
    <xf numFmtId="1" fontId="10" fillId="0" borderId="364" xfId="0" applyNumberFormat="1" applyFont="1" applyBorder="1" applyAlignment="1">
      <alignment horizontal="center"/>
    </xf>
    <xf numFmtId="167" fontId="10" fillId="0" borderId="265" xfId="0" applyNumberFormat="1" applyFont="1" applyBorder="1" applyAlignment="1">
      <alignment horizontal="center"/>
    </xf>
    <xf numFmtId="21" fontId="10" fillId="2" borderId="264" xfId="0" applyNumberFormat="1" applyFont="1" applyFill="1" applyBorder="1" applyAlignment="1">
      <alignment horizontal="center"/>
    </xf>
    <xf numFmtId="169" fontId="10" fillId="2" borderId="273" xfId="0" applyNumberFormat="1" applyFont="1" applyFill="1" applyBorder="1" applyAlignment="1">
      <alignment horizontal="center"/>
    </xf>
    <xf numFmtId="45" fontId="10" fillId="2" borderId="262" xfId="0" applyNumberFormat="1" applyFont="1" applyFill="1" applyBorder="1" applyAlignment="1">
      <alignment horizontal="center"/>
    </xf>
    <xf numFmtId="1" fontId="10" fillId="2" borderId="262" xfId="0" applyNumberFormat="1" applyFont="1" applyFill="1" applyBorder="1" applyAlignment="1">
      <alignment horizontal="center"/>
    </xf>
    <xf numFmtId="45" fontId="10" fillId="2" borderId="274" xfId="0" applyNumberFormat="1" applyFont="1" applyFill="1" applyBorder="1" applyAlignment="1">
      <alignment horizontal="center"/>
    </xf>
    <xf numFmtId="1" fontId="12" fillId="2" borderId="275" xfId="0" applyNumberFormat="1" applyFont="1" applyFill="1" applyBorder="1" applyAlignment="1">
      <alignment horizontal="center"/>
    </xf>
    <xf numFmtId="1" fontId="10" fillId="0" borderId="276" xfId="0" applyNumberFormat="1" applyFont="1" applyBorder="1" applyAlignment="1">
      <alignment horizontal="center"/>
    </xf>
    <xf numFmtId="45" fontId="10" fillId="0" borderId="262" xfId="0" applyNumberFormat="1" applyFont="1" applyBorder="1" applyAlignment="1">
      <alignment horizontal="center"/>
    </xf>
    <xf numFmtId="21" fontId="10" fillId="2" borderId="5" xfId="0" applyNumberFormat="1" applyFont="1" applyFill="1" applyBorder="1" applyAlignment="1">
      <alignment horizontal="center"/>
    </xf>
    <xf numFmtId="169" fontId="10" fillId="2" borderId="392" xfId="0" applyNumberFormat="1" applyFont="1" applyFill="1" applyBorder="1" applyAlignment="1">
      <alignment horizontal="center"/>
    </xf>
    <xf numFmtId="45" fontId="10" fillId="2" borderId="393" xfId="0" applyNumberFormat="1" applyFont="1" applyFill="1" applyBorder="1" applyAlignment="1">
      <alignment horizontal="center"/>
    </xf>
    <xf numFmtId="1" fontId="12" fillId="2" borderId="342" xfId="0" applyNumberFormat="1" applyFont="1" applyFill="1" applyBorder="1" applyAlignment="1">
      <alignment horizontal="center"/>
    </xf>
    <xf numFmtId="45" fontId="10" fillId="2" borderId="394" xfId="0" applyNumberFormat="1" applyFont="1" applyFill="1" applyBorder="1" applyAlignment="1">
      <alignment horizontal="center"/>
    </xf>
    <xf numFmtId="45" fontId="10" fillId="2" borderId="351" xfId="0" applyNumberFormat="1" applyFont="1" applyFill="1" applyBorder="1" applyAlignment="1">
      <alignment horizontal="center"/>
    </xf>
    <xf numFmtId="45" fontId="10" fillId="2" borderId="356" xfId="0" applyNumberFormat="1" applyFont="1" applyFill="1" applyBorder="1" applyAlignment="1">
      <alignment horizontal="center"/>
    </xf>
    <xf numFmtId="167" fontId="10" fillId="0" borderId="126" xfId="0" applyNumberFormat="1" applyFont="1" applyBorder="1" applyAlignment="1">
      <alignment horizontal="center"/>
    </xf>
    <xf numFmtId="1" fontId="10" fillId="0" borderId="115" xfId="0" applyNumberFormat="1" applyFont="1" applyBorder="1" applyAlignment="1">
      <alignment horizontal="center"/>
    </xf>
    <xf numFmtId="1" fontId="10" fillId="0" borderId="115" xfId="0" applyNumberFormat="1" applyFont="1" applyBorder="1" applyAlignment="1">
      <alignment horizontal="center" vertical="center"/>
    </xf>
    <xf numFmtId="21" fontId="10" fillId="2" borderId="117" xfId="0" applyNumberFormat="1" applyFont="1" applyFill="1" applyBorder="1" applyAlignment="1">
      <alignment horizontal="center"/>
    </xf>
    <xf numFmtId="169" fontId="10" fillId="2" borderId="278" xfId="0" applyNumberFormat="1" applyFont="1" applyFill="1" applyBorder="1" applyAlignment="1">
      <alignment horizontal="center"/>
    </xf>
    <xf numFmtId="45" fontId="10" fillId="0" borderId="279" xfId="0" applyNumberFormat="1" applyFont="1" applyBorder="1" applyAlignment="1">
      <alignment horizontal="center"/>
    </xf>
    <xf numFmtId="1" fontId="10" fillId="2" borderId="279" xfId="0" applyNumberFormat="1" applyFont="1" applyFill="1" applyBorder="1" applyAlignment="1">
      <alignment horizontal="center"/>
    </xf>
    <xf numFmtId="170" fontId="10" fillId="0" borderId="115" xfId="0" applyNumberFormat="1" applyFont="1" applyBorder="1" applyAlignment="1">
      <alignment horizontal="center"/>
    </xf>
    <xf numFmtId="45" fontId="10" fillId="2" borderId="280" xfId="0" applyNumberFormat="1" applyFont="1" applyFill="1" applyBorder="1" applyAlignment="1">
      <alignment horizontal="center"/>
    </xf>
    <xf numFmtId="1" fontId="12" fillId="2" borderId="126" xfId="0" applyNumberFormat="1" applyFont="1" applyFill="1" applyBorder="1" applyAlignment="1">
      <alignment horizontal="center"/>
    </xf>
    <xf numFmtId="1" fontId="10" fillId="0" borderId="277" xfId="0" applyNumberFormat="1" applyFont="1" applyBorder="1" applyAlignment="1">
      <alignment horizontal="center"/>
    </xf>
    <xf numFmtId="167" fontId="10" fillId="8" borderId="18" xfId="0" applyNumberFormat="1" applyFont="1" applyFill="1" applyBorder="1" applyAlignment="1">
      <alignment horizontal="center"/>
    </xf>
    <xf numFmtId="1" fontId="10" fillId="8" borderId="17" xfId="0" applyNumberFormat="1" applyFont="1" applyFill="1" applyBorder="1" applyAlignment="1">
      <alignment horizontal="center"/>
    </xf>
    <xf numFmtId="1" fontId="10" fillId="8" borderId="17" xfId="0" applyNumberFormat="1" applyFont="1" applyFill="1" applyBorder="1" applyAlignment="1">
      <alignment horizontal="center" vertical="center"/>
    </xf>
    <xf numFmtId="21" fontId="10" fillId="8" borderId="5" xfId="0" applyNumberFormat="1" applyFont="1" applyFill="1" applyBorder="1" applyAlignment="1">
      <alignment horizontal="center"/>
    </xf>
    <xf numFmtId="169" fontId="10" fillId="8" borderId="395" xfId="0" applyNumberFormat="1" applyFont="1" applyFill="1" applyBorder="1" applyAlignment="1">
      <alignment horizontal="center"/>
    </xf>
    <xf numFmtId="45" fontId="10" fillId="8" borderId="396" xfId="0" applyNumberFormat="1" applyFont="1" applyFill="1" applyBorder="1" applyAlignment="1">
      <alignment horizontal="center"/>
    </xf>
    <xf numFmtId="1" fontId="10" fillId="8" borderId="396" xfId="0" applyNumberFormat="1" applyFont="1" applyFill="1" applyBorder="1" applyAlignment="1">
      <alignment horizontal="center"/>
    </xf>
    <xf numFmtId="170" fontId="10" fillId="8" borderId="361" xfId="0" applyNumberFormat="1" applyFont="1" applyFill="1" applyBorder="1" applyAlignment="1">
      <alignment horizontal="center"/>
    </xf>
    <xf numFmtId="45" fontId="10" fillId="8" borderId="393" xfId="0" applyNumberFormat="1" applyFont="1" applyFill="1" applyBorder="1" applyAlignment="1">
      <alignment horizontal="center"/>
    </xf>
    <xf numFmtId="1" fontId="12" fillId="8" borderId="342" xfId="0" applyNumberFormat="1" applyFont="1" applyFill="1" applyBorder="1" applyAlignment="1">
      <alignment horizontal="center"/>
    </xf>
    <xf numFmtId="1" fontId="12" fillId="8" borderId="344" xfId="0" applyNumberFormat="1" applyFont="1" applyFill="1" applyBorder="1" applyAlignment="1">
      <alignment horizontal="center"/>
    </xf>
    <xf numFmtId="1" fontId="12" fillId="8" borderId="371" xfId="0" applyNumberFormat="1" applyFont="1" applyFill="1" applyBorder="1" applyAlignment="1">
      <alignment horizontal="center"/>
    </xf>
    <xf numFmtId="169" fontId="10" fillId="2" borderId="397" xfId="0" applyNumberFormat="1" applyFont="1" applyFill="1" applyBorder="1" applyAlignment="1">
      <alignment horizontal="center"/>
    </xf>
    <xf numFmtId="167" fontId="10" fillId="0" borderId="43" xfId="0" applyNumberFormat="1" applyFont="1" applyBorder="1" applyAlignment="1">
      <alignment horizontal="center"/>
    </xf>
    <xf numFmtId="1" fontId="10" fillId="0" borderId="56" xfId="0" applyNumberFormat="1" applyFont="1" applyBorder="1" applyAlignment="1">
      <alignment horizontal="center"/>
    </xf>
    <xf numFmtId="1" fontId="10" fillId="0" borderId="56" xfId="0" applyNumberFormat="1" applyFont="1" applyBorder="1" applyAlignment="1">
      <alignment horizontal="center" vertical="center"/>
    </xf>
    <xf numFmtId="21" fontId="10" fillId="2" borderId="57" xfId="0" applyNumberFormat="1" applyFont="1" applyFill="1" applyBorder="1" applyAlignment="1">
      <alignment horizontal="center"/>
    </xf>
    <xf numFmtId="169" fontId="10" fillId="2" borderId="58" xfId="0" applyNumberFormat="1" applyFont="1" applyFill="1" applyBorder="1" applyAlignment="1">
      <alignment horizontal="center"/>
    </xf>
    <xf numFmtId="45" fontId="10" fillId="0" borderId="59" xfId="0" applyNumberFormat="1" applyFont="1" applyBorder="1" applyAlignment="1">
      <alignment horizontal="center"/>
    </xf>
    <xf numFmtId="1" fontId="10" fillId="2" borderId="59" xfId="0" applyNumberFormat="1" applyFont="1" applyFill="1" applyBorder="1" applyAlignment="1">
      <alignment horizontal="center"/>
    </xf>
    <xf numFmtId="170" fontId="10" fillId="0" borderId="56" xfId="0" applyNumberFormat="1" applyFont="1" applyBorder="1" applyAlignment="1">
      <alignment horizontal="center"/>
    </xf>
    <xf numFmtId="45" fontId="10" fillId="2" borderId="60" xfId="0" applyNumberFormat="1" applyFont="1" applyFill="1" applyBorder="1" applyAlignment="1">
      <alignment horizontal="center"/>
    </xf>
    <xf numFmtId="1" fontId="12" fillId="2" borderId="61" xfId="0" applyNumberFormat="1" applyFont="1" applyFill="1" applyBorder="1" applyAlignment="1">
      <alignment horizontal="center"/>
    </xf>
    <xf numFmtId="167" fontId="10" fillId="0" borderId="276" xfId="0" applyNumberFormat="1" applyFont="1" applyBorder="1" applyAlignment="1">
      <alignment horizontal="center"/>
    </xf>
    <xf numFmtId="1" fontId="10" fillId="0" borderId="277" xfId="0" applyNumberFormat="1" applyFont="1" applyBorder="1" applyAlignment="1">
      <alignment horizontal="center" vertical="center"/>
    </xf>
    <xf numFmtId="21" fontId="10" fillId="2" borderId="268" xfId="0" applyNumberFormat="1" applyFont="1" applyFill="1" applyBorder="1" applyAlignment="1">
      <alignment horizontal="center"/>
    </xf>
    <xf numFmtId="169" fontId="10" fillId="2" borderId="284" xfId="0" applyNumberFormat="1" applyFont="1" applyFill="1" applyBorder="1" applyAlignment="1">
      <alignment horizontal="center"/>
    </xf>
    <xf numFmtId="45" fontId="10" fillId="0" borderId="266" xfId="0" applyNumberFormat="1" applyFont="1" applyBorder="1" applyAlignment="1">
      <alignment horizontal="center"/>
    </xf>
    <xf numFmtId="1" fontId="10" fillId="2" borderId="266" xfId="0" applyNumberFormat="1" applyFont="1" applyFill="1" applyBorder="1" applyAlignment="1">
      <alignment horizontal="center"/>
    </xf>
    <xf numFmtId="170" fontId="10" fillId="0" borderId="281" xfId="0" applyNumberFormat="1" applyFont="1" applyBorder="1" applyAlignment="1">
      <alignment horizontal="center"/>
    </xf>
    <xf numFmtId="45" fontId="10" fillId="2" borderId="285" xfId="0" applyNumberFormat="1" applyFont="1" applyFill="1" applyBorder="1" applyAlignment="1">
      <alignment horizontal="center"/>
    </xf>
    <xf numFmtId="1" fontId="12" fillId="2" borderId="286" xfId="0" applyNumberFormat="1" applyFont="1" applyFill="1" applyBorder="1" applyAlignment="1">
      <alignment horizontal="center"/>
    </xf>
    <xf numFmtId="1" fontId="12" fillId="2" borderId="287" xfId="0" applyNumberFormat="1" applyFont="1" applyFill="1" applyBorder="1" applyAlignment="1">
      <alignment horizontal="center"/>
    </xf>
    <xf numFmtId="1" fontId="10" fillId="0" borderId="281" xfId="0" applyNumberFormat="1" applyFont="1" applyBorder="1" applyAlignment="1">
      <alignment horizontal="center"/>
    </xf>
    <xf numFmtId="169" fontId="10" fillId="2" borderId="288" xfId="0" applyNumberFormat="1" applyFont="1" applyFill="1" applyBorder="1" applyAlignment="1">
      <alignment horizontal="center"/>
    </xf>
    <xf numFmtId="45" fontId="10" fillId="0" borderId="289" xfId="0" applyNumberFormat="1" applyFont="1" applyBorder="1" applyAlignment="1">
      <alignment horizontal="center"/>
    </xf>
    <xf numFmtId="1" fontId="10" fillId="2" borderId="289" xfId="0" applyNumberFormat="1" applyFont="1" applyFill="1" applyBorder="1" applyAlignment="1">
      <alignment horizontal="center"/>
    </xf>
    <xf numFmtId="167" fontId="10" fillId="8" borderId="340" xfId="0" applyNumberFormat="1" applyFont="1" applyFill="1" applyBorder="1" applyAlignment="1">
      <alignment horizontal="center"/>
    </xf>
    <xf numFmtId="1" fontId="10" fillId="8" borderId="334" xfId="0" applyNumberFormat="1" applyFont="1" applyFill="1" applyBorder="1" applyAlignment="1">
      <alignment horizontal="center"/>
    </xf>
    <xf numFmtId="1" fontId="10" fillId="8" borderId="334" xfId="0" applyNumberFormat="1" applyFont="1" applyFill="1" applyBorder="1" applyAlignment="1">
      <alignment horizontal="center" vertical="center"/>
    </xf>
    <xf numFmtId="21" fontId="10" fillId="8" borderId="354" xfId="0" applyNumberFormat="1" applyFont="1" applyFill="1" applyBorder="1" applyAlignment="1">
      <alignment horizontal="center"/>
    </xf>
    <xf numFmtId="169" fontId="10" fillId="8" borderId="355" xfId="0" applyNumberFormat="1" applyFont="1" applyFill="1" applyBorder="1" applyAlignment="1">
      <alignment horizontal="center"/>
    </xf>
    <xf numFmtId="45" fontId="10" fillId="8" borderId="339" xfId="0" applyNumberFormat="1" applyFont="1" applyFill="1" applyBorder="1" applyAlignment="1">
      <alignment horizontal="center"/>
    </xf>
    <xf numFmtId="1" fontId="10" fillId="8" borderId="354" xfId="0" applyNumberFormat="1" applyFont="1" applyFill="1" applyBorder="1" applyAlignment="1">
      <alignment horizontal="center"/>
    </xf>
    <xf numFmtId="170" fontId="10" fillId="8" borderId="334" xfId="0" applyNumberFormat="1" applyFont="1" applyFill="1" applyBorder="1" applyAlignment="1">
      <alignment horizontal="center"/>
    </xf>
    <xf numFmtId="45" fontId="10" fillId="8" borderId="356" xfId="0" applyNumberFormat="1" applyFont="1" applyFill="1" applyBorder="1" applyAlignment="1">
      <alignment horizontal="center"/>
    </xf>
    <xf numFmtId="1" fontId="12" fillId="8" borderId="26" xfId="0" applyNumberFormat="1" applyFont="1" applyFill="1" applyBorder="1" applyAlignment="1">
      <alignment horizontal="center"/>
    </xf>
    <xf numFmtId="1" fontId="12" fillId="8" borderId="370" xfId="0" applyNumberFormat="1" applyFont="1" applyFill="1" applyBorder="1" applyAlignment="1">
      <alignment horizontal="center"/>
    </xf>
    <xf numFmtId="1" fontId="12" fillId="8" borderId="615" xfId="0" applyNumberFormat="1" applyFont="1" applyFill="1" applyBorder="1" applyAlignment="1">
      <alignment horizontal="center"/>
    </xf>
    <xf numFmtId="170" fontId="10" fillId="0" borderId="277" xfId="0" applyNumberFormat="1" applyFont="1" applyBorder="1" applyAlignment="1">
      <alignment horizontal="center"/>
    </xf>
    <xf numFmtId="167" fontId="10" fillId="0" borderId="286" xfId="0" applyNumberFormat="1" applyFont="1" applyBorder="1" applyAlignment="1">
      <alignment horizontal="center"/>
    </xf>
    <xf numFmtId="1" fontId="10" fillId="0" borderId="281" xfId="0" applyNumberFormat="1" applyFont="1" applyBorder="1" applyAlignment="1">
      <alignment horizontal="center" vertical="center"/>
    </xf>
    <xf numFmtId="167" fontId="10" fillId="2" borderId="276" xfId="0" applyNumberFormat="1" applyFont="1" applyFill="1" applyBorder="1" applyAlignment="1">
      <alignment horizontal="center"/>
    </xf>
    <xf numFmtId="1" fontId="10" fillId="2" borderId="281" xfId="0" applyNumberFormat="1" applyFont="1" applyFill="1" applyBorder="1" applyAlignment="1">
      <alignment horizontal="center"/>
    </xf>
    <xf numFmtId="1" fontId="10" fillId="2" borderId="281" xfId="0" applyNumberFormat="1" applyFont="1" applyFill="1" applyBorder="1" applyAlignment="1">
      <alignment horizontal="center" vertical="center"/>
    </xf>
    <xf numFmtId="45" fontId="10" fillId="2" borderId="289" xfId="0" applyNumberFormat="1" applyFont="1" applyFill="1" applyBorder="1" applyAlignment="1">
      <alignment horizontal="center"/>
    </xf>
    <xf numFmtId="170" fontId="10" fillId="2" borderId="281" xfId="0" applyNumberFormat="1" applyFont="1" applyFill="1" applyBorder="1" applyAlignment="1">
      <alignment horizontal="center"/>
    </xf>
    <xf numFmtId="1" fontId="10" fillId="2" borderId="56" xfId="0" applyNumberFormat="1" applyFont="1" applyFill="1" applyBorder="1" applyAlignment="1">
      <alignment horizontal="center"/>
    </xf>
    <xf numFmtId="1" fontId="10" fillId="2" borderId="56" xfId="0" applyNumberFormat="1" applyFont="1" applyFill="1" applyBorder="1" applyAlignment="1">
      <alignment horizontal="center" vertical="center"/>
    </xf>
    <xf numFmtId="21" fontId="10" fillId="2" borderId="65" xfId="0" applyNumberFormat="1" applyFont="1" applyFill="1" applyBorder="1" applyAlignment="1">
      <alignment horizontal="center"/>
    </xf>
    <xf numFmtId="169" fontId="10" fillId="2" borderId="66" xfId="0" applyNumberFormat="1" applyFont="1" applyFill="1" applyBorder="1" applyAlignment="1">
      <alignment horizontal="center"/>
    </xf>
    <xf numFmtId="45" fontId="10" fillId="0" borderId="67" xfId="0" applyNumberFormat="1" applyFont="1" applyBorder="1" applyAlignment="1">
      <alignment horizontal="center"/>
    </xf>
    <xf numFmtId="1" fontId="10" fillId="2" borderId="67" xfId="0" applyNumberFormat="1" applyFont="1" applyFill="1" applyBorder="1" applyAlignment="1">
      <alignment horizontal="center"/>
    </xf>
    <xf numFmtId="45" fontId="10" fillId="2" borderId="68" xfId="0" applyNumberFormat="1" applyFont="1" applyFill="1" applyBorder="1" applyAlignment="1">
      <alignment horizontal="center"/>
    </xf>
    <xf numFmtId="1" fontId="12" fillId="2" borderId="69" xfId="0" applyNumberFormat="1" applyFont="1" applyFill="1" applyBorder="1" applyAlignment="1">
      <alignment horizontal="center"/>
    </xf>
    <xf numFmtId="1" fontId="12" fillId="2" borderId="70" xfId="0" applyNumberFormat="1" applyFont="1" applyFill="1" applyBorder="1" applyAlignment="1">
      <alignment horizontal="center"/>
    </xf>
    <xf numFmtId="1" fontId="10" fillId="0" borderId="64" xfId="0" applyNumberFormat="1" applyFont="1" applyBorder="1" applyAlignment="1">
      <alignment horizontal="center"/>
    </xf>
    <xf numFmtId="21" fontId="10" fillId="0" borderId="65" xfId="0" applyNumberFormat="1" applyFont="1" applyBorder="1" applyAlignment="1">
      <alignment horizontal="center"/>
    </xf>
    <xf numFmtId="169" fontId="10" fillId="0" borderId="66" xfId="0" applyNumberFormat="1" applyFont="1" applyBorder="1" applyAlignment="1">
      <alignment horizontal="center"/>
    </xf>
    <xf numFmtId="1" fontId="10" fillId="0" borderId="67" xfId="0" applyNumberFormat="1" applyFont="1" applyBorder="1" applyAlignment="1">
      <alignment horizontal="center"/>
    </xf>
    <xf numFmtId="45" fontId="10" fillId="0" borderId="68" xfId="0" applyNumberFormat="1" applyFont="1" applyBorder="1" applyAlignment="1">
      <alignment horizontal="center"/>
    </xf>
    <xf numFmtId="21" fontId="10" fillId="0" borderId="268" xfId="0" applyNumberFormat="1" applyFont="1" applyBorder="1" applyAlignment="1">
      <alignment horizontal="center"/>
    </xf>
    <xf numFmtId="169" fontId="10" fillId="0" borderId="288" xfId="0" applyNumberFormat="1" applyFont="1" applyBorder="1" applyAlignment="1">
      <alignment horizontal="center"/>
    </xf>
    <xf numFmtId="1" fontId="10" fillId="0" borderId="289" xfId="0" applyNumberFormat="1" applyFont="1" applyBorder="1" applyAlignment="1">
      <alignment horizontal="center"/>
    </xf>
    <xf numFmtId="45" fontId="10" fillId="0" borderId="285" xfId="0" applyNumberFormat="1" applyFont="1" applyBorder="1" applyAlignment="1">
      <alignment horizontal="center"/>
    </xf>
    <xf numFmtId="169" fontId="10" fillId="0" borderId="397" xfId="0" applyNumberFormat="1" applyFont="1" applyBorder="1" applyAlignment="1">
      <alignment horizontal="center"/>
    </xf>
    <xf numFmtId="45" fontId="10" fillId="0" borderId="394" xfId="0" applyNumberFormat="1" applyFont="1" applyBorder="1" applyAlignment="1">
      <alignment horizontal="center"/>
    </xf>
    <xf numFmtId="169" fontId="10" fillId="0" borderId="301" xfId="0" applyNumberFormat="1" applyFont="1" applyBorder="1" applyAlignment="1">
      <alignment horizontal="center"/>
    </xf>
    <xf numFmtId="45" fontId="10" fillId="0" borderId="351" xfId="0" applyNumberFormat="1" applyFont="1" applyBorder="1" applyAlignment="1">
      <alignment horizontal="center"/>
    </xf>
    <xf numFmtId="169" fontId="10" fillId="0" borderId="355" xfId="0" applyNumberFormat="1" applyFont="1" applyBorder="1" applyAlignment="1">
      <alignment horizontal="center"/>
    </xf>
    <xf numFmtId="45" fontId="10" fillId="0" borderId="356" xfId="0" applyNumberFormat="1" applyFont="1" applyBorder="1" applyAlignment="1">
      <alignment horizontal="center"/>
    </xf>
    <xf numFmtId="169" fontId="10" fillId="0" borderId="376" xfId="0" applyNumberFormat="1" applyFont="1" applyBorder="1" applyAlignment="1">
      <alignment horizontal="center"/>
    </xf>
    <xf numFmtId="45" fontId="10" fillId="0" borderId="283" xfId="0" applyNumberFormat="1" applyFont="1" applyBorder="1" applyAlignment="1">
      <alignment horizontal="center"/>
    </xf>
    <xf numFmtId="169" fontId="10" fillId="2" borderId="71" xfId="0" applyNumberFormat="1" applyFont="1" applyFill="1" applyBorder="1" applyAlignment="1">
      <alignment horizontal="center"/>
    </xf>
    <xf numFmtId="1" fontId="10" fillId="0" borderId="357" xfId="0" applyNumberFormat="1" applyFont="1" applyBorder="1" applyAlignment="1">
      <alignment horizontal="center" vertical="center"/>
    </xf>
    <xf numFmtId="45" fontId="10" fillId="2" borderId="402" xfId="0" applyNumberFormat="1" applyFont="1" applyFill="1" applyBorder="1" applyAlignment="1">
      <alignment horizontal="center"/>
    </xf>
    <xf numFmtId="45" fontId="10" fillId="2" borderId="400" xfId="0" applyNumberFormat="1" applyFont="1" applyFill="1" applyBorder="1" applyAlignment="1">
      <alignment horizontal="center"/>
    </xf>
    <xf numFmtId="45" fontId="10" fillId="2" borderId="401" xfId="0" applyNumberFormat="1" applyFont="1" applyFill="1" applyBorder="1" applyAlignment="1">
      <alignment horizontal="center"/>
    </xf>
    <xf numFmtId="1" fontId="10" fillId="0" borderId="72" xfId="0" applyNumberFormat="1" applyFont="1" applyBorder="1" applyAlignment="1">
      <alignment horizontal="center"/>
    </xf>
    <xf numFmtId="1" fontId="10" fillId="0" borderId="72" xfId="0" applyNumberFormat="1" applyFont="1" applyBorder="1" applyAlignment="1">
      <alignment horizontal="center" vertical="center"/>
    </xf>
    <xf numFmtId="1" fontId="10" fillId="0" borderId="69" xfId="0" applyNumberFormat="1" applyFont="1" applyBorder="1" applyAlignment="1">
      <alignment horizontal="center"/>
    </xf>
    <xf numFmtId="1" fontId="10" fillId="0" borderId="69" xfId="0" applyNumberFormat="1" applyFont="1" applyBorder="1" applyAlignment="1">
      <alignment horizontal="center" vertical="center"/>
    </xf>
    <xf numFmtId="1" fontId="10" fillId="0" borderId="276" xfId="0" applyNumberFormat="1" applyFont="1" applyBorder="1" applyAlignment="1">
      <alignment horizontal="center" vertical="center"/>
    </xf>
    <xf numFmtId="1" fontId="10" fillId="0" borderId="398" xfId="0" applyNumberFormat="1" applyFont="1" applyBorder="1" applyAlignment="1">
      <alignment horizontal="center"/>
    </xf>
    <xf numFmtId="1" fontId="10" fillId="0" borderId="398" xfId="0" applyNumberFormat="1" applyFont="1" applyBorder="1" applyAlignment="1">
      <alignment horizontal="center" vertical="center"/>
    </xf>
    <xf numFmtId="167" fontId="10" fillId="8" borderId="276" xfId="0" applyNumberFormat="1" applyFont="1" applyFill="1" applyBorder="1" applyAlignment="1">
      <alignment horizontal="center"/>
    </xf>
    <xf numFmtId="1" fontId="10" fillId="8" borderId="277" xfId="0" applyNumberFormat="1" applyFont="1" applyFill="1" applyBorder="1" applyAlignment="1">
      <alignment horizontal="center"/>
    </xf>
    <xf numFmtId="1" fontId="10" fillId="8" borderId="277" xfId="0" applyNumberFormat="1" applyFont="1" applyFill="1" applyBorder="1" applyAlignment="1">
      <alignment horizontal="center" vertical="center"/>
    </xf>
    <xf numFmtId="21" fontId="10" fillId="8" borderId="293" xfId="0" applyNumberFormat="1" applyFont="1" applyFill="1" applyBorder="1" applyAlignment="1">
      <alignment horizontal="center"/>
    </xf>
    <xf numFmtId="169" fontId="10" fillId="8" borderId="294" xfId="0" applyNumberFormat="1" applyFont="1" applyFill="1" applyBorder="1" applyAlignment="1">
      <alignment horizontal="center"/>
    </xf>
    <xf numFmtId="45" fontId="10" fillId="8" borderId="295" xfId="0" applyNumberFormat="1" applyFont="1" applyFill="1" applyBorder="1" applyAlignment="1">
      <alignment horizontal="center"/>
    </xf>
    <xf numFmtId="1" fontId="10" fillId="8" borderId="295" xfId="0" applyNumberFormat="1" applyFont="1" applyFill="1" applyBorder="1" applyAlignment="1">
      <alignment horizontal="center"/>
    </xf>
    <xf numFmtId="170" fontId="10" fillId="8" borderId="296" xfId="0" applyNumberFormat="1" applyFont="1" applyFill="1" applyBorder="1" applyAlignment="1">
      <alignment horizontal="center"/>
    </xf>
    <xf numFmtId="45" fontId="10" fillId="8" borderId="297" xfId="0" applyNumberFormat="1" applyFont="1" applyFill="1" applyBorder="1" applyAlignment="1">
      <alignment horizontal="center"/>
    </xf>
    <xf numFmtId="1" fontId="12" fillId="8" borderId="298" xfId="0" applyNumberFormat="1" applyFont="1" applyFill="1" applyBorder="1" applyAlignment="1">
      <alignment horizontal="center"/>
    </xf>
    <xf numFmtId="1" fontId="12" fillId="8" borderId="299" xfId="0" applyNumberFormat="1" applyFont="1" applyFill="1" applyBorder="1" applyAlignment="1">
      <alignment horizontal="center"/>
    </xf>
    <xf numFmtId="167" fontId="10" fillId="0" borderId="464" xfId="0" applyNumberFormat="1" applyFont="1" applyBorder="1" applyAlignment="1">
      <alignment horizontal="center"/>
    </xf>
    <xf numFmtId="167" fontId="10" fillId="0" borderId="463" xfId="0" applyNumberFormat="1" applyFont="1" applyBorder="1" applyAlignment="1">
      <alignment horizontal="center"/>
    </xf>
    <xf numFmtId="1" fontId="10" fillId="0" borderId="76" xfId="0" applyNumberFormat="1" applyFont="1" applyBorder="1" applyAlignment="1">
      <alignment horizontal="center"/>
    </xf>
    <xf numFmtId="1" fontId="10" fillId="0" borderId="76" xfId="0" applyNumberFormat="1" applyFont="1" applyBorder="1" applyAlignment="1">
      <alignment horizontal="center" vertical="center"/>
    </xf>
    <xf numFmtId="45" fontId="10" fillId="0" borderId="84" xfId="0" applyNumberFormat="1" applyFont="1" applyBorder="1" applyAlignment="1">
      <alignment horizontal="center"/>
    </xf>
    <xf numFmtId="1" fontId="10" fillId="2" borderId="84" xfId="0" applyNumberFormat="1" applyFont="1" applyFill="1" applyBorder="1" applyAlignment="1">
      <alignment horizontal="center"/>
    </xf>
    <xf numFmtId="170" fontId="10" fillId="0" borderId="76" xfId="0" applyNumberFormat="1" applyFont="1" applyBorder="1" applyAlignment="1">
      <alignment horizontal="center"/>
    </xf>
    <xf numFmtId="21" fontId="10" fillId="2" borderId="345" xfId="0" applyNumberFormat="1" applyFont="1" applyFill="1" applyBorder="1" applyAlignment="1">
      <alignment horizontal="center"/>
    </xf>
    <xf numFmtId="169" fontId="10" fillId="2" borderId="346" xfId="0" applyNumberFormat="1" applyFont="1" applyFill="1" applyBorder="1" applyAlignment="1">
      <alignment horizontal="center"/>
    </xf>
    <xf numFmtId="45" fontId="10" fillId="0" borderId="347" xfId="0" applyNumberFormat="1" applyFont="1" applyBorder="1" applyAlignment="1">
      <alignment horizontal="center"/>
    </xf>
    <xf numFmtId="1" fontId="10" fillId="2" borderId="347" xfId="0" applyNumberFormat="1" applyFont="1" applyFill="1" applyBorder="1" applyAlignment="1">
      <alignment horizontal="center"/>
    </xf>
    <xf numFmtId="170" fontId="10" fillId="0" borderId="338" xfId="0" applyNumberFormat="1" applyFont="1" applyBorder="1" applyAlignment="1">
      <alignment horizontal="center"/>
    </xf>
    <xf numFmtId="45" fontId="10" fillId="2" borderId="348" xfId="0" applyNumberFormat="1" applyFont="1" applyFill="1" applyBorder="1" applyAlignment="1">
      <alignment horizontal="center"/>
    </xf>
    <xf numFmtId="1" fontId="12" fillId="2" borderId="344" xfId="0" applyNumberFormat="1" applyFont="1" applyFill="1" applyBorder="1" applyAlignment="1">
      <alignment horizontal="center"/>
    </xf>
    <xf numFmtId="1" fontId="12" fillId="2" borderId="435" xfId="0" applyNumberFormat="1" applyFont="1" applyFill="1" applyBorder="1" applyAlignment="1">
      <alignment horizontal="center"/>
    </xf>
    <xf numFmtId="1" fontId="12" fillId="2" borderId="463" xfId="0" applyNumberFormat="1" applyFont="1" applyFill="1" applyBorder="1" applyAlignment="1">
      <alignment horizontal="center"/>
    </xf>
    <xf numFmtId="169" fontId="10" fillId="2" borderId="399" xfId="0" applyNumberFormat="1" applyFont="1" applyFill="1" applyBorder="1" applyAlignment="1">
      <alignment horizontal="center"/>
    </xf>
    <xf numFmtId="45" fontId="10" fillId="0" borderId="396" xfId="0" applyNumberFormat="1" applyFont="1" applyBorder="1" applyAlignment="1">
      <alignment horizontal="center"/>
    </xf>
    <xf numFmtId="1" fontId="10" fillId="2" borderId="396" xfId="0" applyNumberFormat="1" applyFont="1" applyFill="1" applyBorder="1" applyAlignment="1">
      <alignment horizontal="center"/>
    </xf>
    <xf numFmtId="1" fontId="10" fillId="0" borderId="91" xfId="0" applyNumberFormat="1" applyFont="1" applyBorder="1" applyAlignment="1">
      <alignment horizontal="center"/>
    </xf>
    <xf numFmtId="1" fontId="10" fillId="0" borderId="91" xfId="0" applyNumberFormat="1" applyFont="1" applyBorder="1" applyAlignment="1">
      <alignment horizontal="center" vertical="center"/>
    </xf>
    <xf numFmtId="21" fontId="10" fillId="2" borderId="93" xfId="0" applyNumberFormat="1" applyFont="1" applyFill="1" applyBorder="1" applyAlignment="1">
      <alignment horizontal="center"/>
    </xf>
    <xf numFmtId="169" fontId="10" fillId="2" borderId="94" xfId="0" applyNumberFormat="1" applyFont="1" applyFill="1" applyBorder="1" applyAlignment="1">
      <alignment horizontal="center"/>
    </xf>
    <xf numFmtId="45" fontId="10" fillId="0" borderId="95" xfId="0" applyNumberFormat="1" applyFont="1" applyBorder="1" applyAlignment="1">
      <alignment horizontal="center"/>
    </xf>
    <xf numFmtId="1" fontId="10" fillId="2" borderId="95" xfId="0" applyNumberFormat="1" applyFont="1" applyFill="1" applyBorder="1" applyAlignment="1">
      <alignment horizontal="center"/>
    </xf>
    <xf numFmtId="1" fontId="10" fillId="2" borderId="93" xfId="0" applyNumberFormat="1" applyFont="1" applyFill="1" applyBorder="1" applyAlignment="1">
      <alignment horizontal="center"/>
    </xf>
    <xf numFmtId="170" fontId="10" fillId="0" borderId="91" xfId="0" applyNumberFormat="1" applyFont="1" applyBorder="1" applyAlignment="1">
      <alignment horizontal="center"/>
    </xf>
    <xf numFmtId="45" fontId="10" fillId="2" borderId="96" xfId="0" applyNumberFormat="1" applyFont="1" applyFill="1" applyBorder="1" applyAlignment="1">
      <alignment horizontal="center"/>
    </xf>
    <xf numFmtId="167" fontId="10" fillId="0" borderId="39" xfId="0" applyNumberFormat="1" applyFont="1" applyBorder="1" applyAlignment="1">
      <alignment horizontal="center"/>
    </xf>
    <xf numFmtId="1" fontId="10" fillId="0" borderId="77" xfId="0" applyNumberFormat="1" applyFont="1" applyBorder="1" applyAlignment="1">
      <alignment horizontal="center"/>
    </xf>
    <xf numFmtId="1" fontId="10" fillId="0" borderId="77" xfId="0" applyNumberFormat="1" applyFont="1" applyBorder="1" applyAlignment="1">
      <alignment horizontal="center" vertical="center"/>
    </xf>
    <xf numFmtId="21" fontId="10" fillId="2" borderId="98" xfId="0" applyNumberFormat="1" applyFont="1" applyFill="1" applyBorder="1" applyAlignment="1">
      <alignment horizontal="center"/>
    </xf>
    <xf numFmtId="169" fontId="10" fillId="2" borderId="99" xfId="0" applyNumberFormat="1" applyFont="1" applyFill="1" applyBorder="1" applyAlignment="1">
      <alignment horizontal="center"/>
    </xf>
    <xf numFmtId="45" fontId="10" fillId="0" borderId="100" xfId="0" applyNumberFormat="1" applyFont="1" applyBorder="1" applyAlignment="1">
      <alignment horizontal="center"/>
    </xf>
    <xf numFmtId="1" fontId="10" fillId="2" borderId="100" xfId="0" applyNumberFormat="1" applyFont="1" applyFill="1" applyBorder="1" applyAlignment="1">
      <alignment horizontal="center"/>
    </xf>
    <xf numFmtId="1" fontId="10" fillId="2" borderId="98" xfId="0" applyNumberFormat="1" applyFont="1" applyFill="1" applyBorder="1" applyAlignment="1">
      <alignment horizontal="center"/>
    </xf>
    <xf numFmtId="170" fontId="10" fillId="0" borderId="77" xfId="0" applyNumberFormat="1" applyFont="1" applyBorder="1" applyAlignment="1">
      <alignment horizontal="center"/>
    </xf>
    <xf numFmtId="45" fontId="10" fillId="2" borderId="101" xfId="0" applyNumberFormat="1" applyFont="1" applyFill="1" applyBorder="1" applyAlignment="1">
      <alignment horizontal="center"/>
    </xf>
    <xf numFmtId="1" fontId="12" fillId="2" borderId="85" xfId="0" applyNumberFormat="1" applyFont="1" applyFill="1" applyBorder="1" applyAlignment="1">
      <alignment horizontal="center"/>
    </xf>
    <xf numFmtId="1" fontId="12" fillId="2" borderId="102" xfId="0" applyNumberFormat="1" applyFont="1" applyFill="1" applyBorder="1" applyAlignment="1">
      <alignment horizontal="center"/>
    </xf>
    <xf numFmtId="167" fontId="10" fillId="0" borderId="30" xfId="0" applyNumberFormat="1" applyFont="1" applyBorder="1" applyAlignment="1">
      <alignment horizontal="center"/>
    </xf>
    <xf numFmtId="21" fontId="10" fillId="2" borderId="29" xfId="0" applyNumberFormat="1" applyFont="1" applyFill="1" applyBorder="1" applyAlignment="1">
      <alignment horizontal="center"/>
    </xf>
    <xf numFmtId="169" fontId="10" fillId="2" borderId="46" xfId="0" applyNumberFormat="1" applyFont="1" applyFill="1" applyBorder="1" applyAlignment="1">
      <alignment horizontal="center"/>
    </xf>
    <xf numFmtId="45" fontId="10" fillId="0" borderId="31" xfId="0" applyNumberFormat="1" applyFont="1" applyBorder="1" applyAlignment="1">
      <alignment horizontal="center"/>
    </xf>
    <xf numFmtId="1" fontId="10" fillId="2" borderId="29" xfId="0" applyNumberFormat="1" applyFont="1" applyFill="1" applyBorder="1" applyAlignment="1">
      <alignment horizontal="center"/>
    </xf>
    <xf numFmtId="45" fontId="10" fillId="2" borderId="44" xfId="0" applyNumberFormat="1" applyFont="1" applyFill="1" applyBorder="1" applyAlignment="1">
      <alignment horizontal="center"/>
    </xf>
    <xf numFmtId="21" fontId="10" fillId="2" borderId="37" xfId="0" applyNumberFormat="1" applyFont="1" applyFill="1" applyBorder="1" applyAlignment="1">
      <alignment horizontal="center"/>
    </xf>
    <xf numFmtId="169" fontId="10" fillId="2" borderId="38" xfId="0" applyNumberFormat="1" applyFont="1" applyFill="1" applyBorder="1" applyAlignment="1">
      <alignment horizontal="center"/>
    </xf>
    <xf numFmtId="45" fontId="10" fillId="0" borderId="52" xfId="0" applyNumberFormat="1" applyFont="1" applyBorder="1" applyAlignment="1">
      <alignment horizontal="center"/>
    </xf>
    <xf numFmtId="1" fontId="10" fillId="2" borderId="53" xfId="0" applyNumberFormat="1" applyFont="1" applyFill="1" applyBorder="1" applyAlignment="1">
      <alignment horizontal="center"/>
    </xf>
    <xf numFmtId="170" fontId="10" fillId="0" borderId="54" xfId="0" applyNumberFormat="1" applyFont="1" applyBorder="1" applyAlignment="1">
      <alignment horizontal="center"/>
    </xf>
    <xf numFmtId="45" fontId="10" fillId="2" borderId="40" xfId="0" applyNumberFormat="1" applyFont="1" applyFill="1" applyBorder="1" applyAlignment="1">
      <alignment horizontal="center"/>
    </xf>
    <xf numFmtId="1" fontId="10" fillId="0" borderId="64" xfId="0" applyNumberFormat="1" applyFont="1" applyBorder="1" applyAlignment="1">
      <alignment horizontal="center" vertical="center"/>
    </xf>
    <xf numFmtId="21" fontId="10" fillId="2" borderId="87" xfId="0" applyNumberFormat="1" applyFont="1" applyFill="1" applyBorder="1" applyAlignment="1">
      <alignment horizontal="center"/>
    </xf>
    <xf numFmtId="169" fontId="10" fillId="2" borderId="88" xfId="0" applyNumberFormat="1" applyFont="1" applyFill="1" applyBorder="1" applyAlignment="1">
      <alignment horizontal="center"/>
    </xf>
    <xf numFmtId="45" fontId="10" fillId="0" borderId="86" xfId="0" applyNumberFormat="1" applyFont="1" applyBorder="1" applyAlignment="1">
      <alignment horizontal="center"/>
    </xf>
    <xf numFmtId="1" fontId="10" fillId="2" borderId="87" xfId="0" applyNumberFormat="1" applyFont="1" applyFill="1" applyBorder="1" applyAlignment="1">
      <alignment horizontal="center"/>
    </xf>
    <xf numFmtId="170" fontId="10" fillId="0" borderId="89" xfId="0" applyNumberFormat="1" applyFont="1" applyBorder="1" applyAlignment="1">
      <alignment horizontal="center"/>
    </xf>
    <xf numFmtId="45" fontId="10" fillId="2" borderId="90" xfId="0" applyNumberFormat="1" applyFont="1" applyFill="1" applyBorder="1" applyAlignment="1">
      <alignment horizontal="center"/>
    </xf>
    <xf numFmtId="1" fontId="12" fillId="2" borderId="62" xfId="0" applyNumberFormat="1" applyFont="1" applyFill="1" applyBorder="1" applyAlignment="1">
      <alignment horizontal="center"/>
    </xf>
    <xf numFmtId="167" fontId="10" fillId="0" borderId="45" xfId="0" applyNumberFormat="1" applyFont="1" applyBorder="1" applyAlignment="1">
      <alignment horizontal="center"/>
    </xf>
    <xf numFmtId="1" fontId="10" fillId="0" borderId="73" xfId="0" applyNumberFormat="1" applyFont="1" applyBorder="1" applyAlignment="1">
      <alignment horizontal="center"/>
    </xf>
    <xf numFmtId="1" fontId="10" fillId="0" borderId="73" xfId="0" applyNumberFormat="1" applyFont="1" applyBorder="1" applyAlignment="1">
      <alignment horizontal="center" vertical="center"/>
    </xf>
    <xf numFmtId="21" fontId="10" fillId="2" borderId="78" xfId="0" applyNumberFormat="1" applyFont="1" applyFill="1" applyBorder="1" applyAlignment="1">
      <alignment horizontal="center"/>
    </xf>
    <xf numFmtId="169" fontId="10" fillId="2" borderId="79" xfId="0" applyNumberFormat="1" applyFont="1" applyFill="1" applyBorder="1" applyAlignment="1">
      <alignment horizontal="center"/>
    </xf>
    <xf numFmtId="45" fontId="10" fillId="0" borderId="80" xfId="0" applyNumberFormat="1" applyFont="1" applyBorder="1" applyAlignment="1">
      <alignment horizontal="center"/>
    </xf>
    <xf numFmtId="1" fontId="10" fillId="2" borderId="80" xfId="0" applyNumberFormat="1" applyFont="1" applyFill="1" applyBorder="1" applyAlignment="1">
      <alignment horizontal="center"/>
    </xf>
    <xf numFmtId="170" fontId="10" fillId="0" borderId="73" xfId="0" applyNumberFormat="1" applyFont="1" applyBorder="1" applyAlignment="1">
      <alignment horizontal="center"/>
    </xf>
    <xf numFmtId="45" fontId="10" fillId="2" borderId="81" xfId="0" applyNumberFormat="1" applyFont="1" applyFill="1" applyBorder="1" applyAlignment="1">
      <alignment horizontal="center"/>
    </xf>
    <xf numFmtId="1" fontId="12" fillId="2" borderId="82" xfId="0" applyNumberFormat="1" applyFont="1" applyFill="1" applyBorder="1" applyAlignment="1">
      <alignment horizontal="center"/>
    </xf>
    <xf numFmtId="1" fontId="12" fillId="2" borderId="83" xfId="0" applyNumberFormat="1" applyFont="1" applyFill="1" applyBorder="1" applyAlignment="1">
      <alignment horizontal="center"/>
    </xf>
    <xf numFmtId="167" fontId="10" fillId="0" borderId="106" xfId="0" applyNumberFormat="1" applyFont="1" applyBorder="1" applyAlignment="1">
      <alignment horizontal="center"/>
    </xf>
    <xf numFmtId="1" fontId="10" fillId="0" borderId="105" xfId="0" applyNumberFormat="1" applyFont="1" applyBorder="1" applyAlignment="1">
      <alignment horizontal="center"/>
    </xf>
    <xf numFmtId="1" fontId="10" fillId="0" borderId="105" xfId="0" applyNumberFormat="1" applyFont="1" applyBorder="1" applyAlignment="1">
      <alignment horizontal="center" vertical="center"/>
    </xf>
    <xf numFmtId="21" fontId="10" fillId="2" borderId="107" xfId="0" applyNumberFormat="1" applyFont="1" applyFill="1" applyBorder="1" applyAlignment="1">
      <alignment horizontal="center"/>
    </xf>
    <xf numFmtId="169" fontId="10" fillId="2" borderId="108" xfId="0" applyNumberFormat="1" applyFont="1" applyFill="1" applyBorder="1" applyAlignment="1">
      <alignment horizontal="center"/>
    </xf>
    <xf numFmtId="45" fontId="10" fillId="0" borderId="103" xfId="0" applyNumberFormat="1" applyFont="1" applyBorder="1" applyAlignment="1">
      <alignment horizontal="center"/>
    </xf>
    <xf numFmtId="1" fontId="10" fillId="2" borderId="107" xfId="0" applyNumberFormat="1" applyFont="1" applyFill="1" applyBorder="1" applyAlignment="1">
      <alignment horizontal="center"/>
    </xf>
    <xf numFmtId="170" fontId="10" fillId="0" borderId="104" xfId="0" applyNumberFormat="1" applyFont="1" applyBorder="1" applyAlignment="1">
      <alignment horizontal="center"/>
    </xf>
    <xf numFmtId="45" fontId="10" fillId="2" borderId="109" xfId="0" applyNumberFormat="1" applyFont="1" applyFill="1" applyBorder="1" applyAlignment="1">
      <alignment horizontal="center"/>
    </xf>
    <xf numFmtId="1" fontId="12" fillId="2" borderId="110" xfId="0" applyNumberFormat="1" applyFont="1" applyFill="1" applyBorder="1" applyAlignment="1">
      <alignment horizontal="center"/>
    </xf>
    <xf numFmtId="1" fontId="12" fillId="2" borderId="111" xfId="0" applyNumberFormat="1" applyFont="1" applyFill="1" applyBorder="1" applyAlignment="1">
      <alignment horizontal="center"/>
    </xf>
    <xf numFmtId="167" fontId="10" fillId="0" borderId="69" xfId="0" applyNumberFormat="1" applyFont="1" applyBorder="1" applyAlignment="1">
      <alignment horizontal="center"/>
    </xf>
    <xf numFmtId="1" fontId="10" fillId="0" borderId="112" xfId="0" applyNumberFormat="1" applyFont="1" applyBorder="1" applyAlignment="1">
      <alignment horizontal="center"/>
    </xf>
    <xf numFmtId="1" fontId="10" fillId="0" borderId="112" xfId="0" applyNumberFormat="1" applyFont="1" applyBorder="1" applyAlignment="1">
      <alignment horizontal="center" vertical="center"/>
    </xf>
    <xf numFmtId="45" fontId="10" fillId="0" borderId="92" xfId="0" applyNumberFormat="1" applyFont="1" applyBorder="1" applyAlignment="1">
      <alignment horizontal="center"/>
    </xf>
    <xf numFmtId="167" fontId="10" fillId="0" borderId="85" xfId="0" applyNumberFormat="1" applyFont="1" applyBorder="1" applyAlignment="1">
      <alignment horizontal="center"/>
    </xf>
    <xf numFmtId="45" fontId="10" fillId="0" borderId="97" xfId="0" applyNumberFormat="1" applyFont="1" applyBorder="1" applyAlignment="1">
      <alignment horizontal="center"/>
    </xf>
    <xf numFmtId="1" fontId="12" fillId="2" borderId="113" xfId="0" applyNumberFormat="1" applyFont="1" applyFill="1" applyBorder="1" applyAlignment="1">
      <alignment horizontal="center"/>
    </xf>
    <xf numFmtId="1" fontId="12" fillId="2" borderId="114" xfId="0" applyNumberFormat="1" applyFont="1" applyFill="1" applyBorder="1" applyAlignment="1">
      <alignment horizontal="center"/>
    </xf>
    <xf numFmtId="167" fontId="10" fillId="0" borderId="411" xfId="0" applyNumberFormat="1" applyFont="1" applyBorder="1" applyAlignment="1">
      <alignment horizontal="center"/>
    </xf>
    <xf numFmtId="1" fontId="10" fillId="0" borderId="406" xfId="0" applyNumberFormat="1" applyFont="1" applyBorder="1" applyAlignment="1">
      <alignment horizontal="center"/>
    </xf>
    <xf numFmtId="1" fontId="10" fillId="0" borderId="406" xfId="0" applyNumberFormat="1" applyFont="1" applyBorder="1" applyAlignment="1">
      <alignment horizontal="center" vertical="center"/>
    </xf>
    <xf numFmtId="21" fontId="10" fillId="2" borderId="408" xfId="0" applyNumberFormat="1" applyFont="1" applyFill="1" applyBorder="1" applyAlignment="1">
      <alignment horizontal="center"/>
    </xf>
    <xf numFmtId="169" fontId="10" fillId="2" borderId="409" xfId="0" applyNumberFormat="1" applyFont="1" applyFill="1" applyBorder="1" applyAlignment="1">
      <alignment horizontal="center"/>
    </xf>
    <xf numFmtId="45" fontId="10" fillId="0" borderId="407" xfId="0" applyNumberFormat="1" applyFont="1" applyBorder="1" applyAlignment="1">
      <alignment horizontal="center"/>
    </xf>
    <xf numFmtId="1" fontId="10" fillId="2" borderId="408" xfId="0" applyNumberFormat="1" applyFont="1" applyFill="1" applyBorder="1" applyAlignment="1">
      <alignment horizontal="center"/>
    </xf>
    <xf numFmtId="170" fontId="10" fillId="0" borderId="406" xfId="0" applyNumberFormat="1" applyFont="1" applyBorder="1" applyAlignment="1">
      <alignment horizontal="center"/>
    </xf>
    <xf numFmtId="45" fontId="10" fillId="2" borderId="410" xfId="0" applyNumberFormat="1" applyFont="1" applyFill="1" applyBorder="1" applyAlignment="1">
      <alignment horizontal="center"/>
    </xf>
    <xf numFmtId="1" fontId="12" fillId="2" borderId="405" xfId="0" applyNumberFormat="1" applyFont="1" applyFill="1" applyBorder="1" applyAlignment="1">
      <alignment horizontal="center"/>
    </xf>
    <xf numFmtId="1" fontId="12" fillId="2" borderId="412" xfId="0" applyNumberFormat="1" applyFont="1" applyFill="1" applyBorder="1" applyAlignment="1">
      <alignment horizontal="center"/>
    </xf>
    <xf numFmtId="1" fontId="10" fillId="0" borderId="405" xfId="0" applyNumberFormat="1" applyFont="1" applyBorder="1" applyAlignment="1">
      <alignment horizontal="center"/>
    </xf>
    <xf numFmtId="1" fontId="10" fillId="0" borderId="556" xfId="0" applyNumberFormat="1" applyFont="1" applyBorder="1" applyAlignment="1">
      <alignment horizontal="center"/>
    </xf>
    <xf numFmtId="1" fontId="10" fillId="0" borderId="556" xfId="0" applyNumberFormat="1" applyFont="1" applyBorder="1" applyAlignment="1">
      <alignment horizontal="center" vertical="center"/>
    </xf>
    <xf numFmtId="170" fontId="10" fillId="0" borderId="556" xfId="0" applyNumberFormat="1" applyFont="1" applyBorder="1" applyAlignment="1">
      <alignment horizontal="center"/>
    </xf>
    <xf numFmtId="2" fontId="10" fillId="0" borderId="556" xfId="0" applyNumberFormat="1" applyFont="1" applyBorder="1" applyAlignment="1">
      <alignment horizontal="center"/>
    </xf>
    <xf numFmtId="167" fontId="10" fillId="0" borderId="437" xfId="0" applyNumberFormat="1" applyFont="1" applyBorder="1" applyAlignment="1">
      <alignment horizontal="center"/>
    </xf>
    <xf numFmtId="1" fontId="10" fillId="0" borderId="441" xfId="0" applyNumberFormat="1" applyFont="1" applyBorder="1" applyAlignment="1">
      <alignment horizontal="center"/>
    </xf>
    <xf numFmtId="1" fontId="10" fillId="0" borderId="441" xfId="0" applyNumberFormat="1" applyFont="1" applyBorder="1" applyAlignment="1">
      <alignment horizontal="center" vertical="center"/>
    </xf>
    <xf numFmtId="21" fontId="10" fillId="2" borderId="443" xfId="0" applyNumberFormat="1" applyFont="1" applyFill="1" applyBorder="1" applyAlignment="1">
      <alignment horizontal="center"/>
    </xf>
    <xf numFmtId="169" fontId="10" fillId="2" borderId="444" xfId="0" applyNumberFormat="1" applyFont="1" applyFill="1" applyBorder="1" applyAlignment="1">
      <alignment horizontal="center"/>
    </xf>
    <xf numFmtId="45" fontId="10" fillId="0" borderId="442" xfId="0" applyNumberFormat="1" applyFont="1" applyBorder="1" applyAlignment="1">
      <alignment horizontal="center"/>
    </xf>
    <xf numFmtId="1" fontId="10" fillId="2" borderId="443" xfId="0" applyNumberFormat="1" applyFont="1" applyFill="1" applyBorder="1" applyAlignment="1">
      <alignment horizontal="center"/>
    </xf>
    <xf numFmtId="170" fontId="10" fillId="0" borderId="441" xfId="0" applyNumberFormat="1" applyFont="1" applyBorder="1" applyAlignment="1">
      <alignment horizontal="center"/>
    </xf>
    <xf numFmtId="45" fontId="10" fillId="2" borderId="445" xfId="0" applyNumberFormat="1" applyFont="1" applyFill="1" applyBorder="1" applyAlignment="1">
      <alignment horizontal="center"/>
    </xf>
    <xf numFmtId="1" fontId="12" fillId="2" borderId="437" xfId="0" applyNumberFormat="1" applyFont="1" applyFill="1" applyBorder="1" applyAlignment="1">
      <alignment horizontal="center"/>
    </xf>
    <xf numFmtId="1" fontId="12" fillId="2" borderId="434" xfId="0" applyNumberFormat="1" applyFont="1" applyFill="1" applyBorder="1" applyAlignment="1">
      <alignment horizontal="center"/>
    </xf>
    <xf numFmtId="1" fontId="10" fillId="0" borderId="422" xfId="0" applyNumberFormat="1" applyFont="1" applyBorder="1" applyAlignment="1">
      <alignment horizontal="center"/>
    </xf>
    <xf numFmtId="1" fontId="10" fillId="0" borderId="423" xfId="0" applyNumberFormat="1" applyFont="1" applyBorder="1" applyAlignment="1">
      <alignment horizontal="center"/>
    </xf>
    <xf numFmtId="1" fontId="10" fillId="0" borderId="437" xfId="0" applyNumberFormat="1" applyFont="1" applyBorder="1" applyAlignment="1">
      <alignment horizontal="center"/>
    </xf>
    <xf numFmtId="21" fontId="10" fillId="2" borderId="448" xfId="0" applyNumberFormat="1" applyFont="1" applyFill="1" applyBorder="1" applyAlignment="1">
      <alignment horizontal="center"/>
    </xf>
    <xf numFmtId="169" fontId="10" fillId="2" borderId="449" xfId="0" applyNumberFormat="1" applyFont="1" applyFill="1" applyBorder="1" applyAlignment="1">
      <alignment horizontal="center"/>
    </xf>
    <xf numFmtId="45" fontId="10" fillId="0" borderId="447" xfId="0" applyNumberFormat="1" applyFont="1" applyBorder="1" applyAlignment="1">
      <alignment horizontal="center"/>
    </xf>
    <xf numFmtId="1" fontId="10" fillId="2" borderId="448" xfId="0" applyNumberFormat="1" applyFont="1" applyFill="1" applyBorder="1" applyAlignment="1">
      <alignment horizontal="center"/>
    </xf>
    <xf numFmtId="45" fontId="10" fillId="2" borderId="450" xfId="0" applyNumberFormat="1" applyFont="1" applyFill="1" applyBorder="1" applyAlignment="1">
      <alignment horizontal="center"/>
    </xf>
    <xf numFmtId="1" fontId="12" fillId="2" borderId="456" xfId="0" applyNumberFormat="1" applyFont="1" applyFill="1" applyBorder="1" applyAlignment="1">
      <alignment horizontal="center"/>
    </xf>
    <xf numFmtId="1" fontId="12" fillId="2" borderId="457" xfId="0" applyNumberFormat="1" applyFont="1" applyFill="1" applyBorder="1" applyAlignment="1">
      <alignment horizontal="center"/>
    </xf>
    <xf numFmtId="1" fontId="10" fillId="0" borderId="456" xfId="0" applyNumberFormat="1" applyFont="1" applyBorder="1" applyAlignment="1">
      <alignment horizontal="center"/>
    </xf>
    <xf numFmtId="167" fontId="10" fillId="0" borderId="405" xfId="0" applyNumberFormat="1" applyFont="1" applyBorder="1" applyAlignment="1">
      <alignment horizontal="center"/>
    </xf>
    <xf numFmtId="1" fontId="12" fillId="2" borderId="411" xfId="0" applyNumberFormat="1" applyFont="1" applyFill="1" applyBorder="1" applyAlignment="1">
      <alignment horizontal="center"/>
    </xf>
    <xf numFmtId="1" fontId="10" fillId="0" borderId="411" xfId="0" applyNumberFormat="1" applyFont="1" applyBorder="1" applyAlignment="1">
      <alignment horizontal="center"/>
    </xf>
    <xf numFmtId="1" fontId="10" fillId="0" borderId="451" xfId="0" applyNumberFormat="1" applyFont="1" applyBorder="1" applyAlignment="1">
      <alignment horizontal="center"/>
    </xf>
    <xf numFmtId="1" fontId="10" fillId="0" borderId="451" xfId="0" applyNumberFormat="1" applyFont="1" applyBorder="1" applyAlignment="1">
      <alignment horizontal="center" vertical="center"/>
    </xf>
    <xf numFmtId="167" fontId="10" fillId="0" borderId="467" xfId="0" applyNumberFormat="1" applyFont="1" applyBorder="1" applyAlignment="1">
      <alignment horizontal="center"/>
    </xf>
    <xf numFmtId="1" fontId="10" fillId="0" borderId="468" xfId="0" applyNumberFormat="1" applyFont="1" applyBorder="1" applyAlignment="1">
      <alignment horizontal="center"/>
    </xf>
    <xf numFmtId="1" fontId="10" fillId="0" borderId="468" xfId="0" applyNumberFormat="1" applyFont="1" applyBorder="1" applyAlignment="1">
      <alignment horizontal="center" vertical="center"/>
    </xf>
    <xf numFmtId="21" fontId="10" fillId="2" borderId="475" xfId="0" applyNumberFormat="1" applyFont="1" applyFill="1" applyBorder="1" applyAlignment="1">
      <alignment horizontal="center"/>
    </xf>
    <xf numFmtId="169" fontId="10" fillId="2" borderId="476" xfId="0" applyNumberFormat="1" applyFont="1" applyFill="1" applyBorder="1" applyAlignment="1">
      <alignment horizontal="center"/>
    </xf>
    <xf numFmtId="45" fontId="10" fillId="0" borderId="469" xfId="0" applyNumberFormat="1" applyFont="1" applyBorder="1" applyAlignment="1">
      <alignment horizontal="center"/>
    </xf>
    <xf numFmtId="1" fontId="10" fillId="2" borderId="475" xfId="0" applyNumberFormat="1" applyFont="1" applyFill="1" applyBorder="1" applyAlignment="1">
      <alignment horizontal="center"/>
    </xf>
    <xf numFmtId="170" fontId="10" fillId="0" borderId="468" xfId="0" applyNumberFormat="1" applyFont="1" applyBorder="1" applyAlignment="1">
      <alignment horizontal="center"/>
    </xf>
    <xf numFmtId="45" fontId="10" fillId="2" borderId="477" xfId="0" applyNumberFormat="1" applyFont="1" applyFill="1" applyBorder="1" applyAlignment="1">
      <alignment horizontal="center"/>
    </xf>
    <xf numFmtId="1" fontId="12" fillId="2" borderId="478" xfId="0" applyNumberFormat="1" applyFont="1" applyFill="1" applyBorder="1" applyAlignment="1">
      <alignment horizontal="center"/>
    </xf>
    <xf numFmtId="1" fontId="12" fillId="2" borderId="472" xfId="0" applyNumberFormat="1" applyFont="1" applyFill="1" applyBorder="1" applyAlignment="1">
      <alignment horizontal="center"/>
    </xf>
    <xf numFmtId="1" fontId="10" fillId="0" borderId="478" xfId="0" applyNumberFormat="1" applyFont="1" applyBorder="1" applyAlignment="1">
      <alignment horizontal="center"/>
    </xf>
    <xf numFmtId="167" fontId="10" fillId="0" borderId="458" xfId="0" applyNumberFormat="1" applyFont="1" applyBorder="1" applyAlignment="1">
      <alignment horizontal="center"/>
    </xf>
    <xf numFmtId="1" fontId="10" fillId="0" borderId="436" xfId="0" applyNumberFormat="1" applyFont="1" applyBorder="1" applyAlignment="1">
      <alignment horizontal="center"/>
    </xf>
    <xf numFmtId="1" fontId="10" fillId="0" borderId="436" xfId="0" applyNumberFormat="1" applyFont="1" applyBorder="1" applyAlignment="1">
      <alignment horizontal="center" vertical="center"/>
    </xf>
    <xf numFmtId="21" fontId="10" fillId="2" borderId="479" xfId="0" applyNumberFormat="1" applyFont="1" applyFill="1" applyBorder="1" applyAlignment="1">
      <alignment horizontal="center"/>
    </xf>
    <xf numFmtId="169" fontId="10" fillId="2" borderId="480" xfId="0" applyNumberFormat="1" applyFont="1" applyFill="1" applyBorder="1" applyAlignment="1">
      <alignment horizontal="center"/>
    </xf>
    <xf numFmtId="45" fontId="10" fillId="0" borderId="466" xfId="0" applyNumberFormat="1" applyFont="1" applyBorder="1" applyAlignment="1">
      <alignment horizontal="center"/>
    </xf>
    <xf numFmtId="1" fontId="10" fillId="2" borderId="479" xfId="0" applyNumberFormat="1" applyFont="1" applyFill="1" applyBorder="1" applyAlignment="1">
      <alignment horizontal="center"/>
    </xf>
    <xf numFmtId="170" fontId="10" fillId="0" borderId="436" xfId="0" applyNumberFormat="1" applyFont="1" applyBorder="1" applyAlignment="1">
      <alignment horizontal="center"/>
    </xf>
    <xf numFmtId="45" fontId="10" fillId="2" borderId="481" xfId="0" applyNumberFormat="1" applyFont="1" applyFill="1" applyBorder="1" applyAlignment="1">
      <alignment horizontal="center"/>
    </xf>
    <xf numFmtId="1" fontId="12" fillId="2" borderId="473" xfId="0" applyNumberFormat="1" applyFont="1" applyFill="1" applyBorder="1" applyAlignment="1">
      <alignment horizontal="center"/>
    </xf>
    <xf numFmtId="1" fontId="12" fillId="2" borderId="482" xfId="0" applyNumberFormat="1" applyFont="1" applyFill="1" applyBorder="1" applyAlignment="1">
      <alignment horizontal="center"/>
    </xf>
    <xf numFmtId="1" fontId="10" fillId="0" borderId="471" xfId="0" applyNumberFormat="1" applyFont="1" applyBorder="1" applyAlignment="1">
      <alignment horizontal="center"/>
    </xf>
    <xf numFmtId="1" fontId="10" fillId="0" borderId="470" xfId="0" applyNumberFormat="1" applyFont="1" applyBorder="1" applyAlignment="1">
      <alignment horizontal="center"/>
    </xf>
    <xf numFmtId="1" fontId="10" fillId="0" borderId="473" xfId="0" applyNumberFormat="1" applyFont="1" applyBorder="1" applyAlignment="1">
      <alignment horizontal="center"/>
    </xf>
    <xf numFmtId="167" fontId="10" fillId="0" borderId="473" xfId="0" applyNumberFormat="1" applyFont="1" applyBorder="1" applyAlignment="1">
      <alignment horizontal="center"/>
    </xf>
    <xf numFmtId="167" fontId="10" fillId="0" borderId="435" xfId="0" applyNumberFormat="1" applyFont="1" applyBorder="1" applyAlignment="1">
      <alignment horizontal="center"/>
    </xf>
    <xf numFmtId="21" fontId="10" fillId="2" borderId="484" xfId="0" applyNumberFormat="1" applyFont="1" applyFill="1" applyBorder="1" applyAlignment="1">
      <alignment horizontal="center"/>
    </xf>
    <xf numFmtId="169" fontId="10" fillId="2" borderId="485" xfId="0" applyNumberFormat="1" applyFont="1" applyFill="1" applyBorder="1" applyAlignment="1">
      <alignment horizontal="center"/>
    </xf>
    <xf numFmtId="45" fontId="10" fillId="0" borderId="483" xfId="0" applyNumberFormat="1" applyFont="1" applyBorder="1" applyAlignment="1">
      <alignment horizontal="center"/>
    </xf>
    <xf numFmtId="1" fontId="10" fillId="2" borderId="484" xfId="0" applyNumberFormat="1" applyFont="1" applyFill="1" applyBorder="1" applyAlignment="1">
      <alignment horizontal="center"/>
    </xf>
    <xf numFmtId="45" fontId="10" fillId="2" borderId="486" xfId="0" applyNumberFormat="1" applyFont="1" applyFill="1" applyBorder="1" applyAlignment="1">
      <alignment horizontal="center"/>
    </xf>
    <xf numFmtId="1" fontId="10" fillId="0" borderId="435" xfId="0" applyNumberFormat="1" applyFont="1" applyBorder="1" applyAlignment="1">
      <alignment horizontal="center"/>
    </xf>
    <xf numFmtId="167" fontId="10" fillId="0" borderId="404" xfId="0" applyNumberFormat="1" applyFont="1" applyBorder="1" applyAlignment="1">
      <alignment horizontal="center"/>
    </xf>
    <xf numFmtId="1" fontId="10" fillId="0" borderId="414" xfId="0" applyNumberFormat="1" applyFont="1" applyBorder="1" applyAlignment="1">
      <alignment horizontal="center"/>
    </xf>
    <xf numFmtId="1" fontId="10" fillId="0" borderId="414" xfId="0" applyNumberFormat="1" applyFont="1" applyBorder="1" applyAlignment="1">
      <alignment horizontal="center" vertical="center"/>
    </xf>
    <xf numFmtId="21" fontId="10" fillId="2" borderId="416" xfId="0" applyNumberFormat="1" applyFont="1" applyFill="1" applyBorder="1" applyAlignment="1">
      <alignment horizontal="center"/>
    </xf>
    <xf numFmtId="1" fontId="10" fillId="2" borderId="416" xfId="0" applyNumberFormat="1" applyFont="1" applyFill="1" applyBorder="1" applyAlignment="1">
      <alignment horizontal="center"/>
    </xf>
    <xf numFmtId="45" fontId="10" fillId="2" borderId="417" xfId="0" applyNumberFormat="1" applyFont="1" applyFill="1" applyBorder="1" applyAlignment="1">
      <alignment horizontal="center"/>
    </xf>
    <xf numFmtId="1" fontId="10" fillId="0" borderId="403" xfId="0" applyNumberFormat="1" applyFont="1" applyBorder="1" applyAlignment="1">
      <alignment horizontal="center"/>
    </xf>
    <xf numFmtId="1" fontId="10" fillId="0" borderId="404" xfId="0" applyNumberFormat="1" applyFont="1" applyBorder="1" applyAlignment="1">
      <alignment horizontal="center"/>
    </xf>
    <xf numFmtId="1" fontId="10" fillId="0" borderId="508" xfId="0" applyNumberFormat="1" applyFont="1" applyBorder="1" applyAlignment="1">
      <alignment horizontal="center"/>
    </xf>
    <xf numFmtId="1" fontId="10" fillId="0" borderId="508" xfId="0" applyNumberFormat="1" applyFont="1" applyBorder="1" applyAlignment="1">
      <alignment horizontal="center" vertical="center"/>
    </xf>
    <xf numFmtId="21" fontId="10" fillId="2" borderId="511" xfId="0" applyNumberFormat="1" applyFont="1" applyFill="1" applyBorder="1" applyAlignment="1">
      <alignment horizontal="center"/>
    </xf>
    <xf numFmtId="169" fontId="10" fillId="2" borderId="512" xfId="0" applyNumberFormat="1" applyFont="1" applyFill="1" applyBorder="1" applyAlignment="1">
      <alignment horizontal="center"/>
    </xf>
    <xf numFmtId="45" fontId="10" fillId="0" borderId="509" xfId="0" applyNumberFormat="1" applyFont="1" applyBorder="1" applyAlignment="1">
      <alignment horizontal="center"/>
    </xf>
    <xf numFmtId="1" fontId="10" fillId="2" borderId="511" xfId="0" applyNumberFormat="1" applyFont="1" applyFill="1" applyBorder="1" applyAlignment="1">
      <alignment horizontal="center"/>
    </xf>
    <xf numFmtId="170" fontId="10" fillId="0" borderId="508" xfId="0" applyNumberFormat="1" applyFont="1" applyBorder="1" applyAlignment="1">
      <alignment horizontal="center"/>
    </xf>
    <xf numFmtId="45" fontId="10" fillId="2" borderId="513" xfId="0" applyNumberFormat="1" applyFont="1" applyFill="1" applyBorder="1" applyAlignment="1">
      <alignment horizontal="center"/>
    </xf>
    <xf numFmtId="1" fontId="12" fillId="2" borderId="470" xfId="0" applyNumberFormat="1" applyFont="1" applyFill="1" applyBorder="1" applyAlignment="1">
      <alignment horizontal="center"/>
    </xf>
    <xf numFmtId="1" fontId="10" fillId="0" borderId="418" xfId="0" applyNumberFormat="1" applyFont="1" applyBorder="1" applyAlignment="1">
      <alignment horizontal="center"/>
    </xf>
    <xf numFmtId="1" fontId="10" fillId="0" borderId="519" xfId="0" applyNumberFormat="1" applyFont="1" applyBorder="1" applyAlignment="1">
      <alignment horizontal="center"/>
    </xf>
    <xf numFmtId="1" fontId="10" fillId="0" borderId="519" xfId="0" applyNumberFormat="1" applyFont="1" applyBorder="1" applyAlignment="1">
      <alignment horizontal="center" vertical="center"/>
    </xf>
    <xf numFmtId="21" fontId="10" fillId="2" borderId="516" xfId="0" applyNumberFormat="1" applyFont="1" applyFill="1" applyBorder="1" applyAlignment="1">
      <alignment horizontal="center"/>
    </xf>
    <xf numFmtId="169" fontId="10" fillId="2" borderId="517" xfId="0" applyNumberFormat="1" applyFont="1" applyFill="1" applyBorder="1" applyAlignment="1">
      <alignment horizontal="center"/>
    </xf>
    <xf numFmtId="45" fontId="10" fillId="0" borderId="515" xfId="0" applyNumberFormat="1" applyFont="1" applyBorder="1" applyAlignment="1">
      <alignment horizontal="center"/>
    </xf>
    <xf numFmtId="1" fontId="10" fillId="2" borderId="516" xfId="0" applyNumberFormat="1" applyFont="1" applyFill="1" applyBorder="1" applyAlignment="1">
      <alignment horizontal="center"/>
    </xf>
    <xf numFmtId="170" fontId="10" fillId="0" borderId="514" xfId="0" applyNumberFormat="1" applyFont="1" applyBorder="1" applyAlignment="1">
      <alignment horizontal="center"/>
    </xf>
    <xf numFmtId="45" fontId="10" fillId="2" borderId="518" xfId="0" applyNumberFormat="1" applyFont="1" applyFill="1" applyBorder="1" applyAlignment="1">
      <alignment horizontal="center"/>
    </xf>
    <xf numFmtId="1" fontId="12" fillId="2" borderId="519" xfId="0" applyNumberFormat="1" applyFont="1" applyFill="1" applyBorder="1" applyAlignment="1">
      <alignment horizontal="center"/>
    </xf>
    <xf numFmtId="1" fontId="10" fillId="0" borderId="592" xfId="0" applyNumberFormat="1" applyFont="1" applyBorder="1" applyAlignment="1">
      <alignment horizontal="center"/>
    </xf>
    <xf numFmtId="1" fontId="10" fillId="0" borderId="592" xfId="0" applyNumberFormat="1" applyFont="1" applyBorder="1" applyAlignment="1">
      <alignment horizontal="center" vertical="center"/>
    </xf>
    <xf numFmtId="21" fontId="10" fillId="2" borderId="522" xfId="0" applyNumberFormat="1" applyFont="1" applyFill="1" applyBorder="1" applyAlignment="1">
      <alignment horizontal="center"/>
    </xf>
    <xf numFmtId="169" fontId="10" fillId="2" borderId="523" xfId="0" applyNumberFormat="1" applyFont="1" applyFill="1" applyBorder="1" applyAlignment="1">
      <alignment horizontal="center"/>
    </xf>
    <xf numFmtId="45" fontId="10" fillId="0" borderId="504" xfId="0" applyNumberFormat="1" applyFont="1" applyBorder="1" applyAlignment="1">
      <alignment horizontal="center"/>
    </xf>
    <xf numFmtId="1" fontId="10" fillId="2" borderId="522" xfId="0" applyNumberFormat="1" applyFont="1" applyFill="1" applyBorder="1" applyAlignment="1">
      <alignment horizontal="center"/>
    </xf>
    <xf numFmtId="170" fontId="10" fillId="0" borderId="507" xfId="0" applyNumberFormat="1" applyFont="1" applyBorder="1" applyAlignment="1">
      <alignment horizontal="center"/>
    </xf>
    <xf numFmtId="45" fontId="10" fillId="2" borderId="524" xfId="0" applyNumberFormat="1" applyFont="1" applyFill="1" applyBorder="1" applyAlignment="1">
      <alignment horizontal="center"/>
    </xf>
    <xf numFmtId="167" fontId="10" fillId="0" borderId="419" xfId="0" applyNumberFormat="1" applyFont="1" applyBorder="1" applyAlignment="1">
      <alignment horizontal="center"/>
    </xf>
    <xf numFmtId="1" fontId="10" fillId="0" borderId="589" xfId="0" applyNumberFormat="1" applyFont="1" applyBorder="1" applyAlignment="1">
      <alignment horizontal="center"/>
    </xf>
    <xf numFmtId="1" fontId="10" fillId="0" borderId="589" xfId="0" applyNumberFormat="1" applyFont="1" applyBorder="1" applyAlignment="1">
      <alignment horizontal="center" vertical="center"/>
    </xf>
    <xf numFmtId="21" fontId="10" fillId="2" borderId="525" xfId="0" applyNumberFormat="1" applyFont="1" applyFill="1" applyBorder="1" applyAlignment="1">
      <alignment horizontal="center"/>
    </xf>
    <xf numFmtId="169" fontId="10" fillId="2" borderId="526" xfId="0" applyNumberFormat="1" applyFont="1" applyFill="1" applyBorder="1" applyAlignment="1">
      <alignment horizontal="center"/>
    </xf>
    <xf numFmtId="45" fontId="10" fillId="0" borderId="503" xfId="0" applyNumberFormat="1" applyFont="1" applyBorder="1" applyAlignment="1">
      <alignment horizontal="center"/>
    </xf>
    <xf numFmtId="1" fontId="10" fillId="2" borderId="525" xfId="0" applyNumberFormat="1" applyFont="1" applyFill="1" applyBorder="1" applyAlignment="1">
      <alignment horizontal="center"/>
    </xf>
    <xf numFmtId="45" fontId="10" fillId="2" borderId="527" xfId="0" applyNumberFormat="1" applyFont="1" applyFill="1" applyBorder="1" applyAlignment="1">
      <alignment horizontal="center"/>
    </xf>
    <xf numFmtId="167" fontId="10" fillId="0" borderId="415" xfId="0" applyNumberFormat="1" applyFont="1" applyBorder="1" applyAlignment="1">
      <alignment horizontal="center"/>
    </xf>
    <xf numFmtId="1" fontId="10" fillId="0" borderId="470" xfId="0" applyNumberFormat="1" applyFont="1" applyBorder="1" applyAlignment="1">
      <alignment horizontal="center" vertical="center"/>
    </xf>
    <xf numFmtId="21" fontId="10" fillId="2" borderId="528" xfId="0" applyNumberFormat="1" applyFont="1" applyFill="1" applyBorder="1" applyAlignment="1">
      <alignment horizontal="center"/>
    </xf>
    <xf numFmtId="169" fontId="10" fillId="2" borderId="529" xfId="0" applyNumberFormat="1" applyFont="1" applyFill="1" applyBorder="1" applyAlignment="1">
      <alignment horizontal="center"/>
    </xf>
    <xf numFmtId="45" fontId="10" fillId="0" borderId="491" xfId="0" applyNumberFormat="1" applyFont="1" applyBorder="1" applyAlignment="1">
      <alignment horizontal="center"/>
    </xf>
    <xf numFmtId="1" fontId="10" fillId="2" borderId="528" xfId="0" applyNumberFormat="1" applyFont="1" applyFill="1" applyBorder="1" applyAlignment="1">
      <alignment horizontal="center"/>
    </xf>
    <xf numFmtId="170" fontId="10" fillId="0" borderId="490" xfId="0" applyNumberFormat="1" applyFont="1" applyBorder="1" applyAlignment="1">
      <alignment horizontal="center"/>
    </xf>
    <xf numFmtId="45" fontId="10" fillId="2" borderId="530" xfId="0" applyNumberFormat="1" applyFont="1" applyFill="1" applyBorder="1" applyAlignment="1">
      <alignment horizontal="center"/>
    </xf>
    <xf numFmtId="1" fontId="10" fillId="0" borderId="577" xfId="0" applyNumberFormat="1" applyFont="1" applyBorder="1" applyAlignment="1">
      <alignment horizontal="center"/>
    </xf>
    <xf numFmtId="1" fontId="10" fillId="0" borderId="577" xfId="0" applyNumberFormat="1" applyFont="1" applyBorder="1" applyAlignment="1">
      <alignment horizontal="center" vertical="center"/>
    </xf>
    <xf numFmtId="21" fontId="10" fillId="2" borderId="531" xfId="0" applyNumberFormat="1" applyFont="1" applyFill="1" applyBorder="1" applyAlignment="1">
      <alignment horizontal="center"/>
    </xf>
    <xf numFmtId="169" fontId="10" fillId="2" borderId="532" xfId="0" applyNumberFormat="1" applyFont="1" applyFill="1" applyBorder="1" applyAlignment="1">
      <alignment horizontal="center"/>
    </xf>
    <xf numFmtId="45" fontId="10" fillId="0" borderId="487" xfId="0" applyNumberFormat="1" applyFont="1" applyBorder="1" applyAlignment="1">
      <alignment horizontal="center"/>
    </xf>
    <xf numFmtId="1" fontId="10" fillId="2" borderId="531" xfId="0" applyNumberFormat="1" applyFont="1" applyFill="1" applyBorder="1" applyAlignment="1">
      <alignment horizontal="center"/>
    </xf>
    <xf numFmtId="45" fontId="10" fillId="2" borderId="533" xfId="0" applyNumberFormat="1" applyFont="1" applyFill="1" applyBorder="1" applyAlignment="1">
      <alignment horizontal="center"/>
    </xf>
    <xf numFmtId="1" fontId="10" fillId="0" borderId="594" xfId="0" applyNumberFormat="1" applyFont="1" applyBorder="1" applyAlignment="1">
      <alignment horizontal="center"/>
    </xf>
    <xf numFmtId="1" fontId="10" fillId="0" borderId="594" xfId="0" applyNumberFormat="1" applyFont="1" applyBorder="1" applyAlignment="1">
      <alignment horizontal="center" vertical="center"/>
    </xf>
    <xf numFmtId="21" fontId="10" fillId="2" borderId="534" xfId="0" applyNumberFormat="1" applyFont="1" applyFill="1" applyBorder="1" applyAlignment="1">
      <alignment horizontal="center"/>
    </xf>
    <xf numFmtId="169" fontId="10" fillId="2" borderId="535" xfId="0" applyNumberFormat="1" applyFont="1" applyFill="1" applyBorder="1" applyAlignment="1">
      <alignment horizontal="center"/>
    </xf>
    <xf numFmtId="45" fontId="10" fillId="0" borderId="488" xfId="0" applyNumberFormat="1" applyFont="1" applyBorder="1" applyAlignment="1">
      <alignment horizontal="center"/>
    </xf>
    <xf numFmtId="1" fontId="10" fillId="2" borderId="534" xfId="0" applyNumberFormat="1" applyFont="1" applyFill="1" applyBorder="1" applyAlignment="1">
      <alignment horizontal="center"/>
    </xf>
    <xf numFmtId="45" fontId="10" fillId="2" borderId="536" xfId="0" applyNumberFormat="1" applyFont="1" applyFill="1" applyBorder="1" applyAlignment="1">
      <alignment horizontal="center"/>
    </xf>
    <xf numFmtId="1" fontId="12" fillId="2" borderId="489" xfId="0" applyNumberFormat="1" applyFont="1" applyFill="1" applyBorder="1" applyAlignment="1">
      <alignment horizontal="center"/>
    </xf>
    <xf numFmtId="1" fontId="12" fillId="2" borderId="493" xfId="0" applyNumberFormat="1" applyFont="1" applyFill="1" applyBorder="1" applyAlignment="1">
      <alignment horizontal="center"/>
    </xf>
    <xf numFmtId="167" fontId="10" fillId="0" borderId="423" xfId="0" applyNumberFormat="1" applyFont="1" applyBorder="1" applyAlignment="1">
      <alignment horizontal="center"/>
    </xf>
    <xf numFmtId="1" fontId="10" fillId="0" borderId="36" xfId="0" applyNumberFormat="1" applyFont="1" applyBorder="1" applyAlignment="1">
      <alignment horizontal="center" vertical="center"/>
    </xf>
    <xf numFmtId="1" fontId="10" fillId="0" borderId="603" xfId="0" applyNumberFormat="1" applyFont="1" applyBorder="1" applyAlignment="1">
      <alignment horizontal="center"/>
    </xf>
    <xf numFmtId="1" fontId="10" fillId="0" borderId="603" xfId="0" applyNumberFormat="1" applyFont="1" applyBorder="1" applyAlignment="1">
      <alignment horizontal="center" vertical="center"/>
    </xf>
    <xf numFmtId="21" fontId="10" fillId="2" borderId="438" xfId="0" applyNumberFormat="1" applyFont="1" applyFill="1" applyBorder="1" applyAlignment="1">
      <alignment horizontal="center"/>
    </xf>
    <xf numFmtId="1" fontId="10" fillId="2" borderId="438" xfId="0" applyNumberFormat="1" applyFont="1" applyFill="1" applyBorder="1" applyAlignment="1">
      <alignment horizontal="center"/>
    </xf>
    <xf numFmtId="45" fontId="10" fillId="2" borderId="439" xfId="0" applyNumberFormat="1" applyFont="1" applyFill="1" applyBorder="1" applyAlignment="1">
      <alignment horizontal="center"/>
    </xf>
    <xf numFmtId="1" fontId="10" fillId="0" borderId="602" xfId="0" applyNumberFormat="1" applyFont="1" applyBorder="1" applyAlignment="1">
      <alignment horizontal="center"/>
    </xf>
    <xf numFmtId="1" fontId="10" fillId="0" borderId="602" xfId="0" applyNumberFormat="1" applyFont="1" applyBorder="1" applyAlignment="1">
      <alignment horizontal="center" vertical="center"/>
    </xf>
    <xf numFmtId="21" fontId="10" fillId="2" borderId="537" xfId="0" applyNumberFormat="1" applyFont="1" applyFill="1" applyBorder="1" applyAlignment="1">
      <alignment horizontal="center"/>
    </xf>
    <xf numFmtId="169" fontId="10" fillId="2" borderId="538" xfId="0" applyNumberFormat="1" applyFont="1" applyFill="1" applyBorder="1" applyAlignment="1">
      <alignment horizontal="center"/>
    </xf>
    <xf numFmtId="45" fontId="10" fillId="0" borderId="501" xfId="0" applyNumberFormat="1" applyFont="1" applyBorder="1" applyAlignment="1">
      <alignment horizontal="center"/>
    </xf>
    <xf numFmtId="1" fontId="10" fillId="2" borderId="537" xfId="0" applyNumberFormat="1" applyFont="1" applyFill="1" applyBorder="1" applyAlignment="1">
      <alignment horizontal="center"/>
    </xf>
    <xf numFmtId="170" fontId="10" fillId="0" borderId="498" xfId="0" applyNumberFormat="1" applyFont="1" applyBorder="1" applyAlignment="1">
      <alignment horizontal="center"/>
    </xf>
    <xf numFmtId="45" fontId="10" fillId="2" borderId="539" xfId="0" applyNumberFormat="1" applyFont="1" applyFill="1" applyBorder="1" applyAlignment="1">
      <alignment horizontal="center"/>
    </xf>
    <xf numFmtId="1" fontId="10" fillId="0" borderId="440" xfId="0" applyNumberFormat="1" applyFont="1" applyBorder="1" applyAlignment="1">
      <alignment horizontal="center"/>
    </xf>
    <xf numFmtId="1" fontId="10" fillId="0" borderId="514" xfId="0" applyNumberFormat="1" applyFont="1" applyBorder="1" applyAlignment="1">
      <alignment horizontal="center"/>
    </xf>
    <xf numFmtId="1" fontId="10" fillId="0" borderId="514" xfId="0" applyNumberFormat="1" applyFont="1" applyBorder="1" applyAlignment="1">
      <alignment horizontal="center" vertical="center"/>
    </xf>
    <xf numFmtId="1" fontId="10" fillId="0" borderId="584" xfId="0" applyNumberFormat="1" applyFont="1" applyBorder="1" applyAlignment="1">
      <alignment horizontal="center"/>
    </xf>
    <xf numFmtId="1" fontId="10" fillId="0" borderId="584" xfId="0" applyNumberFormat="1" applyFont="1" applyBorder="1" applyAlignment="1">
      <alignment horizontal="center" vertical="center"/>
    </xf>
    <xf numFmtId="21" fontId="10" fillId="2" borderId="540" xfId="0" applyNumberFormat="1" applyFont="1" applyFill="1" applyBorder="1" applyAlignment="1">
      <alignment horizontal="center"/>
    </xf>
    <xf numFmtId="169" fontId="10" fillId="2" borderId="541" xfId="0" applyNumberFormat="1" applyFont="1" applyFill="1" applyBorder="1" applyAlignment="1">
      <alignment horizontal="center"/>
    </xf>
    <xf numFmtId="45" fontId="10" fillId="0" borderId="494" xfId="0" applyNumberFormat="1" applyFont="1" applyBorder="1" applyAlignment="1">
      <alignment horizontal="center"/>
    </xf>
    <xf numFmtId="1" fontId="10" fillId="2" borderId="540" xfId="0" applyNumberFormat="1" applyFont="1" applyFill="1" applyBorder="1" applyAlignment="1">
      <alignment horizontal="center"/>
    </xf>
    <xf numFmtId="170" fontId="10" fillId="0" borderId="496" xfId="0" applyNumberFormat="1" applyFont="1" applyBorder="1" applyAlignment="1">
      <alignment horizontal="center"/>
    </xf>
    <xf numFmtId="45" fontId="10" fillId="2" borderId="542" xfId="0" applyNumberFormat="1" applyFont="1" applyFill="1" applyBorder="1" applyAlignment="1">
      <alignment horizontal="center"/>
    </xf>
    <xf numFmtId="167" fontId="10" fillId="0" borderId="440" xfId="0" applyNumberFormat="1" applyFont="1" applyBorder="1" applyAlignment="1">
      <alignment horizontal="center"/>
    </xf>
    <xf numFmtId="1" fontId="10" fillId="0" borderId="585" xfId="0" applyNumberFormat="1" applyFont="1" applyBorder="1" applyAlignment="1">
      <alignment horizontal="center"/>
    </xf>
    <xf numFmtId="1" fontId="10" fillId="0" borderId="585" xfId="0" applyNumberFormat="1" applyFont="1" applyBorder="1" applyAlignment="1">
      <alignment horizontal="center" vertical="center"/>
    </xf>
    <xf numFmtId="21" fontId="10" fillId="2" borderId="543" xfId="0" applyNumberFormat="1" applyFont="1" applyFill="1" applyBorder="1" applyAlignment="1">
      <alignment horizontal="center"/>
    </xf>
    <xf numFmtId="169" fontId="10" fillId="2" borderId="544" xfId="0" applyNumberFormat="1" applyFont="1" applyFill="1" applyBorder="1" applyAlignment="1">
      <alignment horizontal="center"/>
    </xf>
    <xf numFmtId="45" fontId="10" fillId="0" borderId="497" xfId="0" applyNumberFormat="1" applyFont="1" applyBorder="1" applyAlignment="1">
      <alignment horizontal="center"/>
    </xf>
    <xf numFmtId="1" fontId="10" fillId="2" borderId="543" xfId="0" applyNumberFormat="1" applyFont="1" applyFill="1" applyBorder="1" applyAlignment="1">
      <alignment horizontal="center"/>
    </xf>
    <xf numFmtId="45" fontId="10" fillId="2" borderId="545" xfId="0" applyNumberFormat="1" applyFont="1" applyFill="1" applyBorder="1" applyAlignment="1">
      <alignment horizontal="center"/>
    </xf>
    <xf numFmtId="1" fontId="12" fillId="2" borderId="500" xfId="0" applyNumberFormat="1" applyFont="1" applyFill="1" applyBorder="1" applyAlignment="1">
      <alignment horizontal="center"/>
    </xf>
    <xf numFmtId="1" fontId="12" fillId="2" borderId="546" xfId="0" applyNumberFormat="1" applyFont="1" applyFill="1" applyBorder="1" applyAlignment="1">
      <alignment horizontal="center"/>
    </xf>
    <xf numFmtId="1" fontId="10" fillId="0" borderId="586" xfId="0" applyNumberFormat="1" applyFont="1" applyBorder="1" applyAlignment="1">
      <alignment horizontal="center"/>
    </xf>
    <xf numFmtId="1" fontId="10" fillId="0" borderId="586" xfId="0" applyNumberFormat="1" applyFont="1" applyBorder="1" applyAlignment="1">
      <alignment horizontal="center" vertical="center"/>
    </xf>
    <xf numFmtId="1" fontId="10" fillId="0" borderId="600" xfId="0" applyNumberFormat="1" applyFont="1" applyBorder="1" applyAlignment="1">
      <alignment horizontal="center"/>
    </xf>
    <xf numFmtId="1" fontId="10" fillId="0" borderId="600" xfId="0" applyNumberFormat="1" applyFont="1" applyBorder="1" applyAlignment="1">
      <alignment horizontal="center" vertical="center"/>
    </xf>
    <xf numFmtId="21" fontId="10" fillId="0" borderId="443" xfId="0" applyNumberFormat="1" applyFont="1" applyBorder="1" applyAlignment="1">
      <alignment horizontal="center"/>
    </xf>
    <xf numFmtId="169" fontId="10" fillId="0" borderId="94" xfId="0" applyNumberFormat="1" applyFont="1" applyBorder="1" applyAlignment="1">
      <alignment horizontal="center"/>
    </xf>
    <xf numFmtId="1" fontId="10" fillId="0" borderId="443" xfId="0" applyNumberFormat="1" applyFont="1" applyBorder="1" applyAlignment="1">
      <alignment horizontal="center"/>
    </xf>
    <xf numFmtId="45" fontId="10" fillId="0" borderId="445" xfId="0" applyNumberFormat="1" applyFont="1" applyBorder="1" applyAlignment="1">
      <alignment horizontal="center"/>
    </xf>
    <xf numFmtId="1" fontId="10" fillId="0" borderId="599" xfId="0" applyNumberFormat="1" applyFont="1" applyBorder="1" applyAlignment="1">
      <alignment horizontal="center"/>
    </xf>
    <xf numFmtId="1" fontId="10" fillId="0" borderId="599" xfId="0" applyNumberFormat="1" applyFont="1" applyBorder="1" applyAlignment="1">
      <alignment horizontal="center" vertical="center"/>
    </xf>
    <xf numFmtId="169" fontId="10" fillId="2" borderId="598" xfId="0" applyNumberFormat="1" applyFont="1" applyFill="1" applyBorder="1" applyAlignment="1">
      <alignment horizontal="center"/>
    </xf>
    <xf numFmtId="1" fontId="10" fillId="0" borderId="496" xfId="0" applyNumberFormat="1" applyFont="1" applyBorder="1" applyAlignment="1">
      <alignment horizontal="center"/>
    </xf>
    <xf numFmtId="1" fontId="10" fillId="0" borderId="496" xfId="0" applyNumberFormat="1" applyFont="1" applyBorder="1" applyAlignment="1">
      <alignment horizontal="center" vertical="center"/>
    </xf>
    <xf numFmtId="169" fontId="10" fillId="2" borderId="605" xfId="0" applyNumberFormat="1" applyFont="1" applyFill="1" applyBorder="1" applyAlignment="1">
      <alignment horizontal="center"/>
    </xf>
    <xf numFmtId="1" fontId="10" fillId="0" borderId="499" xfId="0" applyNumberFormat="1" applyFont="1" applyBorder="1" applyAlignment="1">
      <alignment horizontal="center"/>
    </xf>
    <xf numFmtId="1" fontId="10" fillId="0" borderId="499" xfId="0" applyNumberFormat="1" applyFont="1" applyBorder="1" applyAlignment="1">
      <alignment horizontal="center" vertical="center"/>
    </xf>
    <xf numFmtId="169" fontId="10" fillId="2" borderId="606" xfId="0" applyNumberFormat="1" applyFont="1" applyFill="1" applyBorder="1" applyAlignment="1">
      <alignment horizontal="center"/>
    </xf>
    <xf numFmtId="167" fontId="10" fillId="0" borderId="446" xfId="0" applyNumberFormat="1" applyFont="1" applyBorder="1" applyAlignment="1">
      <alignment horizontal="center"/>
    </xf>
    <xf numFmtId="1" fontId="10" fillId="2" borderId="608" xfId="0" applyNumberFormat="1" applyFont="1" applyFill="1" applyBorder="1" applyAlignment="1">
      <alignment horizontal="center"/>
    </xf>
    <xf numFmtId="1" fontId="10" fillId="2" borderId="608" xfId="0" applyNumberFormat="1" applyFont="1" applyFill="1" applyBorder="1" applyAlignment="1">
      <alignment horizontal="center" vertical="center"/>
    </xf>
    <xf numFmtId="45" fontId="10" fillId="2" borderId="501" xfId="0" applyNumberFormat="1" applyFont="1" applyFill="1" applyBorder="1" applyAlignment="1">
      <alignment horizontal="center"/>
    </xf>
    <xf numFmtId="170" fontId="10" fillId="2" borderId="498" xfId="0" applyNumberFormat="1" applyFont="1" applyFill="1" applyBorder="1" applyAlignment="1">
      <alignment horizontal="center"/>
    </xf>
    <xf numFmtId="1" fontId="10" fillId="2" borderId="440" xfId="0" applyNumberFormat="1" applyFont="1" applyFill="1" applyBorder="1" applyAlignment="1">
      <alignment horizontal="center"/>
    </xf>
    <xf numFmtId="167" fontId="10" fillId="2" borderId="411" xfId="0" applyNumberFormat="1" applyFont="1" applyFill="1" applyBorder="1" applyAlignment="1">
      <alignment horizontal="center"/>
    </xf>
    <xf numFmtId="1" fontId="10" fillId="2" borderId="577" xfId="0" applyNumberFormat="1" applyFont="1" applyFill="1" applyBorder="1" applyAlignment="1">
      <alignment horizontal="center"/>
    </xf>
    <xf numFmtId="1" fontId="10" fillId="2" borderId="577" xfId="0" applyNumberFormat="1" applyFont="1" applyFill="1" applyBorder="1" applyAlignment="1">
      <alignment horizontal="center" vertical="center"/>
    </xf>
    <xf numFmtId="45" fontId="10" fillId="2" borderId="515" xfId="0" applyNumberFormat="1" applyFont="1" applyFill="1" applyBorder="1" applyAlignment="1">
      <alignment horizontal="center"/>
    </xf>
    <xf numFmtId="170" fontId="10" fillId="2" borderId="514" xfId="0" applyNumberFormat="1" applyFont="1" applyFill="1" applyBorder="1" applyAlignment="1">
      <alignment horizontal="center"/>
    </xf>
    <xf numFmtId="1" fontId="10" fillId="2" borderId="411" xfId="0" applyNumberFormat="1" applyFont="1" applyFill="1" applyBorder="1" applyAlignment="1">
      <alignment horizontal="center"/>
    </xf>
    <xf numFmtId="167" fontId="10" fillId="2" borderId="437" xfId="0" applyNumberFormat="1" applyFont="1" applyFill="1" applyBorder="1" applyAlignment="1">
      <alignment horizontal="center"/>
    </xf>
    <xf numFmtId="1" fontId="10" fillId="2" borderId="609" xfId="0" applyNumberFormat="1" applyFont="1" applyFill="1" applyBorder="1" applyAlignment="1">
      <alignment horizontal="center"/>
    </xf>
    <xf numFmtId="1" fontId="10" fillId="2" borderId="609" xfId="0" applyNumberFormat="1" applyFont="1" applyFill="1" applyBorder="1" applyAlignment="1">
      <alignment horizontal="center" vertical="center"/>
    </xf>
    <xf numFmtId="45" fontId="10" fillId="2" borderId="494" xfId="0" applyNumberFormat="1" applyFont="1" applyFill="1" applyBorder="1" applyAlignment="1">
      <alignment horizontal="center"/>
    </xf>
    <xf numFmtId="170" fontId="10" fillId="2" borderId="496" xfId="0" applyNumberFormat="1" applyFont="1" applyFill="1" applyBorder="1" applyAlignment="1">
      <alignment horizontal="center"/>
    </xf>
    <xf numFmtId="1" fontId="10" fillId="2" borderId="437" xfId="0" applyNumberFormat="1" applyFont="1" applyFill="1" applyBorder="1" applyAlignment="1">
      <alignment horizontal="center"/>
    </xf>
    <xf numFmtId="1" fontId="10" fillId="2" borderId="496" xfId="0" applyNumberFormat="1" applyFont="1" applyFill="1" applyBorder="1" applyAlignment="1">
      <alignment horizontal="center"/>
    </xf>
    <xf numFmtId="1" fontId="10" fillId="2" borderId="496" xfId="0" applyNumberFormat="1" applyFont="1" applyFill="1" applyBorder="1" applyAlignment="1">
      <alignment horizontal="center" vertical="center"/>
    </xf>
    <xf numFmtId="1" fontId="10" fillId="0" borderId="422" xfId="0" applyNumberFormat="1" applyFont="1" applyBorder="1" applyAlignment="1">
      <alignment horizontal="center" vertical="center"/>
    </xf>
    <xf numFmtId="21" fontId="10" fillId="2" borderId="459" xfId="0" applyNumberFormat="1" applyFont="1" applyFill="1" applyBorder="1" applyAlignment="1">
      <alignment horizontal="center"/>
    </xf>
    <xf numFmtId="169" fontId="10" fillId="2" borderId="460" xfId="0" applyNumberFormat="1" applyFont="1" applyFill="1" applyBorder="1" applyAlignment="1">
      <alignment horizontal="center"/>
    </xf>
    <xf numFmtId="45" fontId="10" fillId="0" borderId="452" xfId="0" applyNumberFormat="1" applyFont="1" applyBorder="1" applyAlignment="1">
      <alignment horizontal="center"/>
    </xf>
    <xf numFmtId="1" fontId="10" fillId="2" borderId="459" xfId="0" applyNumberFormat="1" applyFont="1" applyFill="1" applyBorder="1" applyAlignment="1">
      <alignment horizontal="center"/>
    </xf>
    <xf numFmtId="170" fontId="10" fillId="0" borderId="453" xfId="0" applyNumberFormat="1" applyFont="1" applyBorder="1" applyAlignment="1">
      <alignment horizontal="center"/>
    </xf>
    <xf numFmtId="45" fontId="10" fillId="2" borderId="461" xfId="0" applyNumberFormat="1" applyFont="1" applyFill="1" applyBorder="1" applyAlignment="1">
      <alignment horizontal="center"/>
    </xf>
    <xf numFmtId="1" fontId="12" fillId="2" borderId="423" xfId="0" applyNumberFormat="1" applyFont="1" applyFill="1" applyBorder="1" applyAlignment="1">
      <alignment horizontal="center"/>
    </xf>
    <xf numFmtId="167" fontId="10" fillId="2" borderId="470" xfId="0" applyNumberFormat="1" applyFont="1" applyFill="1" applyBorder="1" applyAlignment="1">
      <alignment horizontal="center"/>
    </xf>
    <xf numFmtId="1" fontId="10" fillId="2" borderId="471" xfId="0" applyNumberFormat="1" applyFont="1" applyFill="1" applyBorder="1" applyAlignment="1">
      <alignment horizontal="center"/>
    </xf>
    <xf numFmtId="1" fontId="10" fillId="2" borderId="471" xfId="0" applyNumberFormat="1" applyFont="1" applyFill="1" applyBorder="1" applyAlignment="1">
      <alignment horizontal="center" vertical="center"/>
    </xf>
    <xf numFmtId="1" fontId="10" fillId="5" borderId="470" xfId="0" applyNumberFormat="1" applyFont="1" applyFill="1" applyBorder="1" applyAlignment="1">
      <alignment horizontal="center"/>
    </xf>
    <xf numFmtId="167" fontId="10" fillId="0" borderId="519" xfId="0" applyNumberFormat="1" applyFont="1" applyBorder="1" applyAlignment="1">
      <alignment horizontal="center"/>
    </xf>
    <xf numFmtId="167" fontId="10" fillId="0" borderId="495" xfId="0" applyNumberFormat="1" applyFont="1" applyBorder="1" applyAlignment="1">
      <alignment horizontal="center"/>
    </xf>
    <xf numFmtId="167" fontId="10" fillId="0" borderId="489" xfId="0" applyNumberFormat="1" applyFont="1" applyBorder="1" applyAlignment="1">
      <alignment horizontal="center"/>
    </xf>
    <xf numFmtId="1" fontId="10" fillId="0" borderId="489" xfId="0" applyNumberFormat="1" applyFont="1" applyBorder="1" applyAlignment="1">
      <alignment horizontal="center"/>
    </xf>
    <xf numFmtId="167" fontId="10" fillId="0" borderId="470" xfId="0" applyNumberFormat="1" applyFont="1" applyBorder="1" applyAlignment="1">
      <alignment horizontal="center"/>
    </xf>
    <xf numFmtId="1" fontId="10" fillId="0" borderId="471" xfId="0" applyNumberFormat="1" applyFont="1" applyBorder="1" applyAlignment="1">
      <alignment horizontal="center" vertical="center"/>
    </xf>
    <xf numFmtId="21" fontId="10" fillId="0" borderId="582" xfId="0" applyNumberFormat="1" applyFont="1" applyBorder="1" applyAlignment="1">
      <alignment horizontal="center"/>
    </xf>
    <xf numFmtId="1" fontId="10" fillId="0" borderId="576" xfId="0" applyNumberFormat="1" applyFont="1" applyBorder="1" applyAlignment="1">
      <alignment horizontal="center"/>
    </xf>
    <xf numFmtId="1" fontId="10" fillId="0" borderId="576" xfId="0" applyNumberFormat="1" applyFont="1" applyBorder="1" applyAlignment="1">
      <alignment horizontal="center" vertical="center"/>
    </xf>
    <xf numFmtId="21" fontId="10" fillId="0" borderId="580" xfId="0" applyNumberFormat="1" applyFont="1" applyBorder="1" applyAlignment="1">
      <alignment horizontal="center"/>
    </xf>
    <xf numFmtId="1" fontId="10" fillId="0" borderId="563" xfId="0" applyNumberFormat="1" applyFont="1" applyBorder="1" applyAlignment="1">
      <alignment horizontal="center"/>
    </xf>
    <xf numFmtId="1" fontId="10" fillId="0" borderId="563" xfId="0" applyNumberFormat="1" applyFont="1" applyBorder="1" applyAlignment="1">
      <alignment horizontal="center" vertical="center"/>
    </xf>
    <xf numFmtId="21" fontId="10" fillId="0" borderId="581" xfId="0" applyNumberFormat="1" applyFont="1" applyBorder="1" applyAlignment="1">
      <alignment horizontal="center"/>
    </xf>
    <xf numFmtId="1" fontId="10" fillId="0" borderId="578" xfId="0" applyNumberFormat="1" applyFont="1" applyBorder="1" applyAlignment="1">
      <alignment horizontal="center"/>
    </xf>
    <xf numFmtId="1" fontId="10" fillId="0" borderId="578" xfId="0" applyNumberFormat="1" applyFont="1" applyBorder="1" applyAlignment="1">
      <alignment horizontal="center" vertical="center"/>
    </xf>
    <xf numFmtId="21" fontId="10" fillId="2" borderId="579" xfId="0" applyNumberFormat="1" applyFont="1" applyFill="1" applyBorder="1" applyAlignment="1">
      <alignment horizontal="center"/>
    </xf>
    <xf numFmtId="21" fontId="10" fillId="2" borderId="580" xfId="0" applyNumberFormat="1" applyFont="1" applyFill="1" applyBorder="1" applyAlignment="1">
      <alignment horizontal="center"/>
    </xf>
    <xf numFmtId="21" fontId="10" fillId="2" borderId="581" xfId="0" applyNumberFormat="1" applyFont="1" applyFill="1" applyBorder="1" applyAlignment="1">
      <alignment horizontal="center"/>
    </xf>
    <xf numFmtId="21" fontId="10" fillId="2" borderId="582" xfId="0" applyNumberFormat="1" applyFont="1" applyFill="1" applyBorder="1" applyAlignment="1">
      <alignment horizontal="center"/>
    </xf>
    <xf numFmtId="167" fontId="10" fillId="0" borderId="506" xfId="0" applyNumberFormat="1" applyFont="1" applyBorder="1" applyAlignment="1">
      <alignment horizontal="center"/>
    </xf>
    <xf numFmtId="1" fontId="10" fillId="0" borderId="507" xfId="0" applyNumberFormat="1" applyFont="1" applyBorder="1" applyAlignment="1">
      <alignment horizontal="center"/>
    </xf>
    <xf numFmtId="1" fontId="10" fillId="0" borderId="621" xfId="0" applyNumberFormat="1" applyFont="1" applyBorder="1" applyAlignment="1">
      <alignment horizontal="center" vertical="center"/>
    </xf>
    <xf numFmtId="167" fontId="10" fillId="0" borderId="505" xfId="0" applyNumberFormat="1" applyFont="1" applyBorder="1" applyAlignment="1">
      <alignment horizontal="center"/>
    </xf>
    <xf numFmtId="1" fontId="10" fillId="0" borderId="624" xfId="0" applyNumberFormat="1" applyFont="1" applyBorder="1" applyAlignment="1">
      <alignment horizontal="center" vertical="center"/>
    </xf>
    <xf numFmtId="167" fontId="10" fillId="0" borderId="431" xfId="0" applyNumberFormat="1" applyFont="1" applyBorder="1" applyAlignment="1">
      <alignment horizontal="center"/>
    </xf>
    <xf numFmtId="1" fontId="10" fillId="0" borderId="424" xfId="0" applyNumberFormat="1" applyFont="1" applyBorder="1" applyAlignment="1">
      <alignment horizontal="center"/>
    </xf>
    <xf numFmtId="1" fontId="10" fillId="0" borderId="622" xfId="0" applyNumberFormat="1" applyFont="1" applyBorder="1" applyAlignment="1">
      <alignment horizontal="center" vertical="center"/>
    </xf>
    <xf numFmtId="21" fontId="10" fillId="2" borderId="432" xfId="0" applyNumberFormat="1" applyFont="1" applyFill="1" applyBorder="1" applyAlignment="1">
      <alignment horizontal="center"/>
    </xf>
    <xf numFmtId="1" fontId="10" fillId="2" borderId="432" xfId="0" applyNumberFormat="1" applyFont="1" applyFill="1" applyBorder="1" applyAlignment="1">
      <alignment horizontal="center"/>
    </xf>
    <xf numFmtId="45" fontId="10" fillId="2" borderId="433" xfId="0" applyNumberFormat="1" applyFont="1" applyFill="1" applyBorder="1" applyAlignment="1">
      <alignment horizontal="center"/>
    </xf>
    <xf numFmtId="1" fontId="10" fillId="0" borderId="431" xfId="0" applyNumberFormat="1" applyFont="1" applyBorder="1" applyAlignment="1">
      <alignment horizontal="center"/>
    </xf>
    <xf numFmtId="1" fontId="10" fillId="0" borderId="608" xfId="0" applyNumberFormat="1" applyFont="1" applyBorder="1" applyAlignment="1">
      <alignment horizontal="center" vertical="center"/>
    </xf>
    <xf numFmtId="1" fontId="10" fillId="0" borderId="500" xfId="0" applyNumberFormat="1" applyFont="1" applyBorder="1" applyAlignment="1">
      <alignment horizontal="center"/>
    </xf>
    <xf numFmtId="1" fontId="10" fillId="0" borderId="498" xfId="0" applyNumberFormat="1" applyFont="1" applyBorder="1" applyAlignment="1">
      <alignment horizontal="center"/>
    </xf>
    <xf numFmtId="2" fontId="10" fillId="0" borderId="617" xfId="0" applyNumberFormat="1" applyFont="1" applyBorder="1" applyAlignment="1">
      <alignment horizontal="center"/>
    </xf>
    <xf numFmtId="167" fontId="10" fillId="0" borderId="427" xfId="0" applyNumberFormat="1" applyFont="1" applyBorder="1" applyAlignment="1">
      <alignment horizontal="center"/>
    </xf>
    <xf numFmtId="21" fontId="10" fillId="2" borderId="425" xfId="0" applyNumberFormat="1" applyFont="1" applyFill="1" applyBorder="1" applyAlignment="1">
      <alignment horizontal="center"/>
    </xf>
    <xf numFmtId="1" fontId="10" fillId="2" borderId="425" xfId="0" applyNumberFormat="1" applyFont="1" applyFill="1" applyBorder="1" applyAlignment="1">
      <alignment horizontal="center"/>
    </xf>
    <xf numFmtId="45" fontId="10" fillId="2" borderId="426" xfId="0" applyNumberFormat="1" applyFont="1" applyFill="1" applyBorder="1" applyAlignment="1">
      <alignment horizontal="center"/>
    </xf>
    <xf numFmtId="167" fontId="10" fillId="0" borderId="502" xfId="0" applyNumberFormat="1" applyFont="1" applyBorder="1" applyAlignment="1">
      <alignment horizontal="center"/>
    </xf>
    <xf numFmtId="1" fontId="10" fillId="0" borderId="428" xfId="0" applyNumberFormat="1" applyFont="1" applyBorder="1" applyAlignment="1">
      <alignment horizontal="center"/>
    </xf>
    <xf numFmtId="167" fontId="10" fillId="0" borderId="421" xfId="0" applyNumberFormat="1" applyFont="1" applyBorder="1" applyAlignment="1">
      <alignment horizontal="center"/>
    </xf>
    <xf numFmtId="21" fontId="10" fillId="2" borderId="429" xfId="0" applyNumberFormat="1" applyFont="1" applyFill="1" applyBorder="1" applyAlignment="1">
      <alignment horizontal="center"/>
    </xf>
    <xf numFmtId="1" fontId="10" fillId="2" borderId="429" xfId="0" applyNumberFormat="1" applyFont="1" applyFill="1" applyBorder="1" applyAlignment="1">
      <alignment horizontal="center"/>
    </xf>
    <xf numFmtId="45" fontId="10" fillId="2" borderId="430" xfId="0" applyNumberFormat="1" applyFont="1" applyFill="1" applyBorder="1" applyAlignment="1">
      <alignment horizontal="center"/>
    </xf>
    <xf numFmtId="1" fontId="10" fillId="0" borderId="421" xfId="0" applyNumberFormat="1" applyFont="1" applyBorder="1" applyAlignment="1">
      <alignment horizontal="center"/>
    </xf>
    <xf numFmtId="1" fontId="10" fillId="0" borderId="575" xfId="0" applyNumberFormat="1" applyFont="1" applyBorder="1" applyAlignment="1">
      <alignment horizontal="center"/>
    </xf>
    <xf numFmtId="1" fontId="10" fillId="0" borderId="574" xfId="0" applyNumberFormat="1" applyFont="1" applyBorder="1" applyAlignment="1">
      <alignment horizontal="center"/>
    </xf>
    <xf numFmtId="1" fontId="10" fillId="0" borderId="572" xfId="0" applyNumberFormat="1" applyFont="1" applyBorder="1" applyAlignment="1">
      <alignment horizontal="center"/>
    </xf>
    <xf numFmtId="1" fontId="10" fillId="0" borderId="573" xfId="0" applyNumberFormat="1" applyFont="1" applyBorder="1" applyAlignment="1">
      <alignment horizontal="center"/>
    </xf>
    <xf numFmtId="1" fontId="10" fillId="0" borderId="566" xfId="0" applyNumberFormat="1" applyFont="1" applyBorder="1" applyAlignment="1">
      <alignment horizontal="center"/>
    </xf>
    <xf numFmtId="1" fontId="10" fillId="0" borderId="569" xfId="0" applyNumberFormat="1" applyFont="1" applyBorder="1" applyAlignment="1">
      <alignment horizontal="center"/>
    </xf>
    <xf numFmtId="1" fontId="10" fillId="0" borderId="570" xfId="0" applyNumberFormat="1" applyFont="1" applyBorder="1" applyAlignment="1">
      <alignment horizontal="center"/>
    </xf>
    <xf numFmtId="1" fontId="10" fillId="0" borderId="571" xfId="0" applyNumberFormat="1" applyFont="1" applyBorder="1" applyAlignment="1">
      <alignment horizontal="center"/>
    </xf>
    <xf numFmtId="1" fontId="10" fillId="0" borderId="564" xfId="0" applyNumberFormat="1" applyFont="1" applyBorder="1" applyAlignment="1">
      <alignment horizontal="center"/>
    </xf>
    <xf numFmtId="1" fontId="10" fillId="0" borderId="568" xfId="0" applyNumberFormat="1" applyFont="1" applyBorder="1" applyAlignment="1">
      <alignment horizontal="center"/>
    </xf>
    <xf numFmtId="1" fontId="10" fillId="0" borderId="565" xfId="0" applyNumberFormat="1" applyFont="1" applyBorder="1" applyAlignment="1">
      <alignment horizontal="center"/>
    </xf>
    <xf numFmtId="1" fontId="10" fillId="0" borderId="492" xfId="0" applyNumberFormat="1" applyFont="1" applyBorder="1" applyAlignment="1">
      <alignment horizontal="center"/>
    </xf>
    <xf numFmtId="167" fontId="10" fillId="9" borderId="505" xfId="0" applyNumberFormat="1" applyFont="1" applyFill="1" applyBorder="1" applyAlignment="1">
      <alignment horizontal="center"/>
    </xf>
    <xf numFmtId="1" fontId="10" fillId="9" borderId="334" xfId="0" applyNumberFormat="1" applyFont="1" applyFill="1" applyBorder="1" applyAlignment="1">
      <alignment horizontal="center"/>
    </xf>
    <xf numFmtId="1" fontId="10" fillId="9" borderId="589" xfId="0" applyNumberFormat="1" applyFont="1" applyFill="1" applyBorder="1" applyAlignment="1">
      <alignment horizontal="center" vertical="center"/>
    </xf>
    <xf numFmtId="21" fontId="10" fillId="9" borderId="543" xfId="0" applyNumberFormat="1" applyFont="1" applyFill="1" applyBorder="1" applyAlignment="1">
      <alignment horizontal="center"/>
    </xf>
    <xf numFmtId="169" fontId="10" fillId="9" borderId="544" xfId="0" applyNumberFormat="1" applyFont="1" applyFill="1" applyBorder="1" applyAlignment="1">
      <alignment horizontal="center"/>
    </xf>
    <xf numFmtId="45" fontId="10" fillId="9" borderId="497" xfId="0" applyNumberFormat="1" applyFont="1" applyFill="1" applyBorder="1" applyAlignment="1">
      <alignment horizontal="center"/>
    </xf>
    <xf numFmtId="1" fontId="10" fillId="9" borderId="543" xfId="0" applyNumberFormat="1" applyFont="1" applyFill="1" applyBorder="1" applyAlignment="1">
      <alignment horizontal="center"/>
    </xf>
    <xf numFmtId="170" fontId="10" fillId="9" borderId="334" xfId="0" applyNumberFormat="1" applyFont="1" applyFill="1" applyBorder="1" applyAlignment="1">
      <alignment horizontal="center"/>
    </xf>
    <xf numFmtId="45" fontId="10" fillId="9" borderId="545" xfId="0" applyNumberFormat="1" applyFont="1" applyFill="1" applyBorder="1" applyAlignment="1">
      <alignment horizontal="center"/>
    </xf>
    <xf numFmtId="1" fontId="12" fillId="9" borderId="500" xfId="0" applyNumberFormat="1" applyFont="1" applyFill="1" applyBorder="1" applyAlignment="1">
      <alignment horizontal="center"/>
    </xf>
    <xf numFmtId="1" fontId="12" fillId="9" borderId="546" xfId="0" applyNumberFormat="1" applyFont="1" applyFill="1" applyBorder="1" applyAlignment="1">
      <alignment horizontal="center"/>
    </xf>
    <xf numFmtId="1" fontId="12" fillId="9" borderId="615" xfId="0" applyNumberFormat="1" applyFont="1" applyFill="1" applyBorder="1" applyAlignment="1">
      <alignment horizontal="center"/>
    </xf>
    <xf numFmtId="2" fontId="10" fillId="9" borderId="617" xfId="0" applyNumberFormat="1" applyFont="1" applyFill="1" applyBorder="1" applyAlignment="1">
      <alignment horizontal="center"/>
    </xf>
    <xf numFmtId="1" fontId="10" fillId="9" borderId="500" xfId="0" applyNumberFormat="1" applyFont="1" applyFill="1" applyBorder="1" applyAlignment="1">
      <alignment horizontal="center"/>
    </xf>
    <xf numFmtId="167" fontId="10" fillId="0" borderId="548" xfId="0" applyNumberFormat="1" applyFont="1" applyBorder="1" applyAlignment="1">
      <alignment horizontal="center"/>
    </xf>
    <xf numFmtId="1" fontId="10" fillId="0" borderId="549" xfId="0" applyNumberFormat="1" applyFont="1" applyBorder="1" applyAlignment="1">
      <alignment horizontal="center"/>
    </xf>
    <xf numFmtId="1" fontId="10" fillId="0" borderId="549" xfId="0" applyNumberFormat="1" applyFont="1" applyBorder="1" applyAlignment="1">
      <alignment horizontal="center" vertical="center"/>
    </xf>
    <xf numFmtId="21" fontId="10" fillId="2" borderId="552" xfId="0" applyNumberFormat="1" applyFont="1" applyFill="1" applyBorder="1" applyAlignment="1">
      <alignment horizontal="center"/>
    </xf>
    <xf numFmtId="169" fontId="10" fillId="2" borderId="553" xfId="0" applyNumberFormat="1" applyFont="1" applyFill="1" applyBorder="1" applyAlignment="1">
      <alignment horizontal="center"/>
    </xf>
    <xf numFmtId="45" fontId="10" fillId="0" borderId="547" xfId="0" applyNumberFormat="1" applyFont="1" applyBorder="1" applyAlignment="1">
      <alignment horizontal="center"/>
    </xf>
    <xf numFmtId="1" fontId="10" fillId="2" borderId="552" xfId="0" applyNumberFormat="1" applyFont="1" applyFill="1" applyBorder="1" applyAlignment="1">
      <alignment horizontal="center"/>
    </xf>
    <xf numFmtId="170" fontId="10" fillId="0" borderId="549" xfId="0" applyNumberFormat="1" applyFont="1" applyBorder="1" applyAlignment="1">
      <alignment horizontal="center"/>
    </xf>
    <xf numFmtId="45" fontId="10" fillId="2" borderId="554" xfId="0" applyNumberFormat="1" applyFont="1" applyFill="1" applyBorder="1" applyAlignment="1">
      <alignment horizontal="center"/>
    </xf>
    <xf numFmtId="167" fontId="10" fillId="0" borderId="602" xfId="0" applyNumberFormat="1" applyFont="1" applyBorder="1" applyAlignment="1">
      <alignment horizontal="center"/>
    </xf>
    <xf numFmtId="1" fontId="10" fillId="0" borderId="630" xfId="0" applyNumberFormat="1" applyFont="1" applyBorder="1" applyAlignment="1">
      <alignment horizontal="center"/>
    </xf>
    <xf numFmtId="1" fontId="10" fillId="0" borderId="630" xfId="0" applyNumberFormat="1" applyFont="1" applyBorder="1" applyAlignment="1">
      <alignment horizontal="center" vertical="center"/>
    </xf>
    <xf numFmtId="21" fontId="10" fillId="2" borderId="704" xfId="0" applyNumberFormat="1" applyFont="1" applyFill="1" applyBorder="1" applyAlignment="1">
      <alignment horizontal="center"/>
    </xf>
    <xf numFmtId="169" fontId="10" fillId="2" borderId="705" xfId="0" applyNumberFormat="1" applyFont="1" applyFill="1" applyBorder="1" applyAlignment="1">
      <alignment horizontal="center"/>
    </xf>
    <xf numFmtId="45" fontId="10" fillId="0" borderId="703" xfId="0" applyNumberFormat="1" applyFont="1" applyBorder="1" applyAlignment="1">
      <alignment horizontal="center"/>
    </xf>
    <xf numFmtId="1" fontId="10" fillId="2" borderId="704" xfId="0" applyNumberFormat="1" applyFont="1" applyFill="1" applyBorder="1" applyAlignment="1">
      <alignment horizontal="center"/>
    </xf>
    <xf numFmtId="170" fontId="10" fillId="0" borderId="701" xfId="0" applyNumberFormat="1" applyFont="1" applyBorder="1" applyAlignment="1">
      <alignment horizontal="center"/>
    </xf>
    <xf numFmtId="45" fontId="10" fillId="2" borderId="706" xfId="0" applyNumberFormat="1" applyFont="1" applyFill="1" applyBorder="1" applyAlignment="1">
      <alignment horizontal="center"/>
    </xf>
    <xf numFmtId="1" fontId="12" fillId="2" borderId="602" xfId="0" applyNumberFormat="1" applyFont="1" applyFill="1" applyBorder="1" applyAlignment="1">
      <alignment horizontal="center"/>
    </xf>
    <xf numFmtId="2" fontId="10" fillId="0" borderId="630" xfId="0" applyNumberFormat="1" applyFont="1" applyBorder="1" applyAlignment="1">
      <alignment horizontal="center"/>
    </xf>
    <xf numFmtId="167" fontId="10" fillId="0" borderId="577" xfId="0" applyNumberFormat="1" applyFont="1" applyBorder="1" applyAlignment="1">
      <alignment horizontal="center"/>
    </xf>
    <xf numFmtId="1" fontId="10" fillId="0" borderId="643" xfId="0" applyNumberFormat="1" applyFont="1" applyBorder="1" applyAlignment="1">
      <alignment horizontal="center"/>
    </xf>
    <xf numFmtId="1" fontId="10" fillId="0" borderId="643" xfId="0" applyNumberFormat="1" applyFont="1" applyBorder="1" applyAlignment="1">
      <alignment horizontal="center" vertical="center"/>
    </xf>
    <xf numFmtId="45" fontId="10" fillId="0" borderId="598" xfId="0" applyNumberFormat="1" applyFont="1" applyBorder="1" applyAlignment="1">
      <alignment horizontal="center"/>
    </xf>
    <xf numFmtId="170" fontId="10" fillId="0" borderId="643" xfId="0" applyNumberFormat="1" applyFont="1" applyBorder="1" applyAlignment="1">
      <alignment horizontal="center"/>
    </xf>
    <xf numFmtId="45" fontId="10" fillId="2" borderId="582" xfId="0" applyNumberFormat="1" applyFont="1" applyFill="1" applyBorder="1" applyAlignment="1">
      <alignment horizontal="center"/>
    </xf>
    <xf numFmtId="1" fontId="12" fillId="2" borderId="577" xfId="0" applyNumberFormat="1" applyFont="1" applyFill="1" applyBorder="1" applyAlignment="1">
      <alignment horizontal="center"/>
    </xf>
    <xf numFmtId="2" fontId="10" fillId="0" borderId="373" xfId="0" applyNumberFormat="1" applyFont="1" applyBorder="1" applyAlignment="1">
      <alignment horizontal="center"/>
    </xf>
    <xf numFmtId="167" fontId="10" fillId="0" borderId="700" xfId="0" applyNumberFormat="1" applyFont="1" applyBorder="1" applyAlignment="1">
      <alignment horizontal="center"/>
    </xf>
    <xf numFmtId="1" fontId="10" fillId="0" borderId="699" xfId="0" applyNumberFormat="1" applyFont="1" applyBorder="1" applyAlignment="1">
      <alignment horizontal="center"/>
    </xf>
    <xf numFmtId="1" fontId="10" fillId="0" borderId="699" xfId="0" applyNumberFormat="1" applyFont="1" applyBorder="1" applyAlignment="1">
      <alignment horizontal="center" vertical="center"/>
    </xf>
    <xf numFmtId="21" fontId="10" fillId="2" borderId="707" xfId="0" applyNumberFormat="1" applyFont="1" applyFill="1" applyBorder="1" applyAlignment="1">
      <alignment horizontal="center"/>
    </xf>
    <xf numFmtId="169" fontId="10" fillId="2" borderId="708" xfId="0" applyNumberFormat="1" applyFont="1" applyFill="1" applyBorder="1" applyAlignment="1">
      <alignment horizontal="center"/>
    </xf>
    <xf numFmtId="45" fontId="10" fillId="0" borderId="695" xfId="0" applyNumberFormat="1" applyFont="1" applyBorder="1" applyAlignment="1">
      <alignment horizontal="center"/>
    </xf>
    <xf numFmtId="1" fontId="10" fillId="2" borderId="707" xfId="0" applyNumberFormat="1" applyFont="1" applyFill="1" applyBorder="1" applyAlignment="1">
      <alignment horizontal="center"/>
    </xf>
    <xf numFmtId="170" fontId="10" fillId="0" borderId="699" xfId="0" applyNumberFormat="1" applyFont="1" applyBorder="1" applyAlignment="1">
      <alignment horizontal="center"/>
    </xf>
    <xf numFmtId="45" fontId="10" fillId="2" borderId="709" xfId="0" applyNumberFormat="1" applyFont="1" applyFill="1" applyBorder="1" applyAlignment="1">
      <alignment horizontal="center"/>
    </xf>
    <xf numFmtId="1" fontId="12" fillId="2" borderId="696" xfId="0" applyNumberFormat="1" applyFont="1" applyFill="1" applyBorder="1" applyAlignment="1">
      <alignment horizontal="center"/>
    </xf>
    <xf numFmtId="1" fontId="12" fillId="2" borderId="691" xfId="0" applyNumberFormat="1" applyFont="1" applyFill="1" applyBorder="1" applyAlignment="1">
      <alignment horizontal="center"/>
    </xf>
    <xf numFmtId="2" fontId="10" fillId="0" borderId="692" xfId="0" applyNumberFormat="1" applyFont="1" applyBorder="1" applyAlignment="1">
      <alignment horizontal="center"/>
    </xf>
    <xf numFmtId="1" fontId="10" fillId="0" borderId="696" xfId="0" applyNumberFormat="1" applyFont="1" applyBorder="1" applyAlignment="1">
      <alignment horizontal="center"/>
    </xf>
    <xf numFmtId="167" fontId="10" fillId="0" borderId="696" xfId="0" applyNumberFormat="1" applyFont="1" applyBorder="1" applyAlignment="1">
      <alignment horizontal="center"/>
    </xf>
    <xf numFmtId="1" fontId="10" fillId="0" borderId="692" xfId="0" applyNumberFormat="1" applyFont="1" applyBorder="1" applyAlignment="1">
      <alignment horizontal="center"/>
    </xf>
    <xf numFmtId="1" fontId="10" fillId="0" borderId="692" xfId="0" applyNumberFormat="1" applyFont="1" applyBorder="1" applyAlignment="1">
      <alignment horizontal="center" vertical="center"/>
    </xf>
    <xf numFmtId="167" fontId="10" fillId="0" borderId="702" xfId="0" applyNumberFormat="1" applyFont="1" applyBorder="1" applyAlignment="1">
      <alignment horizontal="center"/>
    </xf>
    <xf numFmtId="1" fontId="10" fillId="0" borderId="698" xfId="0" applyNumberFormat="1" applyFont="1" applyBorder="1" applyAlignment="1">
      <alignment horizontal="center"/>
    </xf>
    <xf numFmtId="1" fontId="10" fillId="0" borderId="698" xfId="0" applyNumberFormat="1" applyFont="1" applyBorder="1" applyAlignment="1">
      <alignment horizontal="center" vertical="center"/>
    </xf>
    <xf numFmtId="21" fontId="10" fillId="2" borderId="711" xfId="0" applyNumberFormat="1" applyFont="1" applyFill="1" applyBorder="1" applyAlignment="1">
      <alignment horizontal="center"/>
    </xf>
    <xf numFmtId="169" fontId="10" fillId="2" borderId="712" xfId="0" applyNumberFormat="1" applyFont="1" applyFill="1" applyBorder="1" applyAlignment="1">
      <alignment horizontal="center"/>
    </xf>
    <xf numFmtId="45" fontId="10" fillId="0" borderId="697" xfId="0" applyNumberFormat="1" applyFont="1" applyBorder="1" applyAlignment="1">
      <alignment horizontal="center"/>
    </xf>
    <xf numFmtId="1" fontId="10" fillId="2" borderId="711" xfId="0" applyNumberFormat="1" applyFont="1" applyFill="1" applyBorder="1" applyAlignment="1">
      <alignment horizontal="center"/>
    </xf>
    <xf numFmtId="170" fontId="10" fillId="0" borderId="698" xfId="0" applyNumberFormat="1" applyFont="1" applyBorder="1" applyAlignment="1">
      <alignment horizontal="center"/>
    </xf>
    <xf numFmtId="45" fontId="10" fillId="2" borderId="713" xfId="0" applyNumberFormat="1" applyFont="1" applyFill="1" applyBorder="1" applyAlignment="1">
      <alignment horizontal="center"/>
    </xf>
    <xf numFmtId="1" fontId="12" fillId="2" borderId="693" xfId="0" applyNumberFormat="1" applyFont="1" applyFill="1" applyBorder="1" applyAlignment="1">
      <alignment horizontal="center"/>
    </xf>
    <xf numFmtId="1" fontId="12" fillId="2" borderId="694" xfId="0" applyNumberFormat="1" applyFont="1" applyFill="1" applyBorder="1" applyAlignment="1">
      <alignment horizontal="center"/>
    </xf>
    <xf numFmtId="2" fontId="10" fillId="0" borderId="670" xfId="0" applyNumberFormat="1" applyFont="1" applyBorder="1" applyAlignment="1">
      <alignment horizontal="center"/>
    </xf>
    <xf numFmtId="1" fontId="10" fillId="0" borderId="670" xfId="0" applyNumberFormat="1" applyFont="1" applyBorder="1" applyAlignment="1">
      <alignment horizontal="center"/>
    </xf>
    <xf numFmtId="1" fontId="10" fillId="0" borderId="693" xfId="0" applyNumberFormat="1" applyFont="1" applyBorder="1" applyAlignment="1">
      <alignment horizontal="center"/>
    </xf>
    <xf numFmtId="167" fontId="10" fillId="0" borderId="608" xfId="0" applyNumberFormat="1" applyFont="1" applyBorder="1" applyAlignment="1">
      <alignment horizontal="center"/>
    </xf>
    <xf numFmtId="1" fontId="12" fillId="2" borderId="608" xfId="0" applyNumberFormat="1" applyFont="1" applyFill="1" applyBorder="1" applyAlignment="1">
      <alignment horizontal="center"/>
    </xf>
    <xf numFmtId="1" fontId="10" fillId="0" borderId="608" xfId="0" applyNumberFormat="1" applyFont="1" applyBorder="1" applyAlignment="1">
      <alignment horizontal="center"/>
    </xf>
    <xf numFmtId="2" fontId="10" fillId="0" borderId="717" xfId="0" applyNumberFormat="1" applyFont="1" applyBorder="1" applyAlignment="1">
      <alignment horizontal="center"/>
    </xf>
    <xf numFmtId="2" fontId="10" fillId="0" borderId="714" xfId="0" applyNumberFormat="1" applyFont="1" applyBorder="1" applyAlignment="1">
      <alignment horizontal="center"/>
    </xf>
    <xf numFmtId="169" fontId="10" fillId="2" borderId="718" xfId="0" applyNumberFormat="1" applyFont="1" applyFill="1" applyBorder="1" applyAlignment="1">
      <alignment horizontal="center"/>
    </xf>
    <xf numFmtId="1" fontId="10" fillId="0" borderId="717" xfId="0" applyNumberFormat="1" applyFont="1" applyBorder="1" applyAlignment="1">
      <alignment horizontal="center"/>
    </xf>
    <xf numFmtId="1" fontId="10" fillId="0" borderId="717" xfId="0" applyNumberFormat="1" applyFont="1" applyBorder="1" applyAlignment="1">
      <alignment horizontal="center" vertical="center"/>
    </xf>
    <xf numFmtId="167" fontId="10" fillId="0" borderId="715" xfId="0" applyNumberFormat="1" applyFont="1" applyBorder="1" applyAlignment="1">
      <alignment horizontal="center"/>
    </xf>
    <xf numFmtId="21" fontId="10" fillId="2" borderId="720" xfId="0" applyNumberFormat="1" applyFont="1" applyFill="1" applyBorder="1" applyAlignment="1">
      <alignment horizontal="center"/>
    </xf>
    <xf numFmtId="169" fontId="10" fillId="2" borderId="721" xfId="0" applyNumberFormat="1" applyFont="1" applyFill="1" applyBorder="1" applyAlignment="1">
      <alignment horizontal="center"/>
    </xf>
    <xf numFmtId="45" fontId="10" fillId="0" borderId="716" xfId="0" applyNumberFormat="1" applyFont="1" applyBorder="1" applyAlignment="1">
      <alignment horizontal="center"/>
    </xf>
    <xf numFmtId="1" fontId="10" fillId="2" borderId="720" xfId="0" applyNumberFormat="1" applyFont="1" applyFill="1" applyBorder="1" applyAlignment="1">
      <alignment horizontal="center"/>
    </xf>
    <xf numFmtId="45" fontId="10" fillId="2" borderId="722" xfId="0" applyNumberFormat="1" applyFont="1" applyFill="1" applyBorder="1" applyAlignment="1">
      <alignment horizontal="center"/>
    </xf>
    <xf numFmtId="1" fontId="12" fillId="2" borderId="715" xfId="0" applyNumberFormat="1" applyFont="1" applyFill="1" applyBorder="1" applyAlignment="1">
      <alignment horizontal="center"/>
    </xf>
    <xf numFmtId="1" fontId="12" fillId="2" borderId="723" xfId="0" applyNumberFormat="1" applyFont="1" applyFill="1" applyBorder="1" applyAlignment="1">
      <alignment horizontal="center"/>
    </xf>
    <xf numFmtId="1" fontId="10" fillId="0" borderId="715" xfId="0" applyNumberFormat="1" applyFont="1" applyBorder="1" applyAlignment="1">
      <alignment horizontal="center"/>
    </xf>
    <xf numFmtId="2" fontId="10" fillId="0" borderId="698" xfId="0" applyNumberFormat="1" applyFont="1" applyBorder="1" applyAlignment="1">
      <alignment horizontal="center"/>
    </xf>
    <xf numFmtId="1" fontId="10" fillId="0" borderId="583" xfId="0" applyNumberFormat="1" applyFont="1" applyBorder="1" applyAlignment="1">
      <alignment horizontal="center"/>
    </xf>
    <xf numFmtId="1" fontId="10" fillId="0" borderId="583" xfId="0" applyNumberFormat="1" applyFont="1" applyBorder="1" applyAlignment="1">
      <alignment horizontal="center" vertical="center"/>
    </xf>
    <xf numFmtId="45" fontId="10" fillId="0" borderId="562" xfId="0" applyNumberFormat="1" applyFont="1" applyBorder="1" applyAlignment="1">
      <alignment horizontal="center"/>
    </xf>
    <xf numFmtId="170" fontId="10" fillId="0" borderId="583" xfId="0" applyNumberFormat="1" applyFont="1" applyBorder="1" applyAlignment="1">
      <alignment horizontal="center"/>
    </xf>
    <xf numFmtId="21" fontId="10" fillId="2" borderId="635" xfId="0" applyNumberFormat="1" applyFont="1" applyFill="1" applyBorder="1" applyAlignment="1">
      <alignment horizontal="center"/>
    </xf>
    <xf numFmtId="169" fontId="10" fillId="2" borderId="636" xfId="0" applyNumberFormat="1" applyFont="1" applyFill="1" applyBorder="1" applyAlignment="1">
      <alignment horizontal="center"/>
    </xf>
    <xf numFmtId="45" fontId="10" fillId="0" borderId="627" xfId="0" applyNumberFormat="1" applyFont="1" applyBorder="1" applyAlignment="1">
      <alignment horizontal="center"/>
    </xf>
    <xf numFmtId="1" fontId="10" fillId="2" borderId="635" xfId="0" applyNumberFormat="1" applyFont="1" applyFill="1" applyBorder="1" applyAlignment="1">
      <alignment horizontal="center"/>
    </xf>
    <xf numFmtId="170" fontId="10" fillId="0" borderId="414" xfId="0" applyNumberFormat="1" applyFont="1" applyBorder="1" applyAlignment="1">
      <alignment horizontal="center"/>
    </xf>
    <xf numFmtId="45" fontId="10" fillId="2" borderId="637" xfId="0" applyNumberFormat="1" applyFont="1" applyFill="1" applyBorder="1" applyAlignment="1">
      <alignment horizontal="center"/>
    </xf>
    <xf numFmtId="1" fontId="12" fillId="2" borderId="631" xfId="0" applyNumberFormat="1" applyFont="1" applyFill="1" applyBorder="1" applyAlignment="1">
      <alignment horizontal="center"/>
    </xf>
    <xf numFmtId="1" fontId="12" fillId="2" borderId="638" xfId="0" applyNumberFormat="1" applyFont="1" applyFill="1" applyBorder="1" applyAlignment="1">
      <alignment horizontal="center"/>
    </xf>
    <xf numFmtId="2" fontId="10" fillId="0" borderId="628" xfId="0" applyNumberFormat="1" applyFont="1" applyBorder="1" applyAlignment="1">
      <alignment horizontal="center"/>
    </xf>
    <xf numFmtId="1" fontId="10" fillId="0" borderId="631" xfId="0" applyNumberFormat="1" applyFont="1" applyBorder="1" applyAlignment="1">
      <alignment horizontal="center"/>
    </xf>
    <xf numFmtId="167" fontId="10" fillId="0" borderId="631" xfId="0" applyNumberFormat="1" applyFont="1" applyBorder="1" applyAlignment="1">
      <alignment horizontal="center"/>
    </xf>
    <xf numFmtId="1" fontId="10" fillId="0" borderId="628" xfId="0" applyNumberFormat="1" applyFont="1" applyBorder="1" applyAlignment="1">
      <alignment horizontal="center"/>
    </xf>
    <xf numFmtId="1" fontId="10" fillId="0" borderId="628" xfId="0" applyNumberFormat="1" applyFont="1" applyBorder="1" applyAlignment="1">
      <alignment horizontal="center" vertical="center"/>
    </xf>
    <xf numFmtId="45" fontId="10" fillId="0" borderId="413" xfId="0" applyNumberFormat="1" applyFont="1" applyBorder="1" applyAlignment="1">
      <alignment horizontal="center"/>
    </xf>
    <xf numFmtId="167" fontId="10" fillId="0" borderId="632" xfId="0" applyNumberFormat="1" applyFont="1" applyBorder="1" applyAlignment="1">
      <alignment horizontal="center"/>
    </xf>
    <xf numFmtId="21" fontId="10" fillId="2" borderId="639" xfId="0" applyNumberFormat="1" applyFont="1" applyFill="1" applyBorder="1" applyAlignment="1">
      <alignment horizontal="center"/>
    </xf>
    <xf numFmtId="169" fontId="10" fillId="2" borderId="640" xfId="0" applyNumberFormat="1" applyFont="1" applyFill="1" applyBorder="1" applyAlignment="1">
      <alignment horizontal="center"/>
    </xf>
    <xf numFmtId="45" fontId="10" fillId="0" borderId="629" xfId="0" applyNumberFormat="1" applyFont="1" applyBorder="1" applyAlignment="1">
      <alignment horizontal="center"/>
    </xf>
    <xf numFmtId="1" fontId="10" fillId="2" borderId="639" xfId="0" applyNumberFormat="1" applyFont="1" applyFill="1" applyBorder="1" applyAlignment="1">
      <alignment horizontal="center"/>
    </xf>
    <xf numFmtId="45" fontId="10" fillId="2" borderId="641" xfId="0" applyNumberFormat="1" applyFont="1" applyFill="1" applyBorder="1" applyAlignment="1">
      <alignment horizontal="center"/>
    </xf>
    <xf numFmtId="1" fontId="12" fillId="2" borderId="632" xfId="0" applyNumberFormat="1" applyFont="1" applyFill="1" applyBorder="1" applyAlignment="1">
      <alignment horizontal="center"/>
    </xf>
    <xf numFmtId="1" fontId="12" fillId="2" borderId="642" xfId="0" applyNumberFormat="1" applyFont="1" applyFill="1" applyBorder="1" applyAlignment="1">
      <alignment horizontal="center"/>
    </xf>
    <xf numFmtId="2" fontId="10" fillId="0" borderId="633" xfId="0" applyNumberFormat="1" applyFont="1" applyBorder="1" applyAlignment="1">
      <alignment horizontal="center"/>
    </xf>
    <xf numFmtId="1" fontId="10" fillId="0" borderId="632" xfId="0" applyNumberFormat="1" applyFont="1" applyBorder="1" applyAlignment="1">
      <alignment horizontal="center"/>
    </xf>
    <xf numFmtId="2" fontId="10" fillId="0" borderId="398" xfId="0" applyNumberFormat="1" applyFont="1" applyBorder="1" applyAlignment="1">
      <alignment horizontal="center"/>
    </xf>
    <xf numFmtId="1" fontId="12" fillId="2" borderId="634" xfId="0" applyNumberFormat="1" applyFont="1" applyFill="1" applyBorder="1" applyAlignment="1">
      <alignment horizontal="center"/>
    </xf>
    <xf numFmtId="21" fontId="10" fillId="2" borderId="650" xfId="0" applyNumberFormat="1" applyFont="1" applyFill="1" applyBorder="1" applyAlignment="1">
      <alignment horizontal="center"/>
    </xf>
    <xf numFmtId="169" fontId="10" fillId="2" borderId="651" xfId="0" applyNumberFormat="1" applyFont="1" applyFill="1" applyBorder="1" applyAlignment="1">
      <alignment horizontal="center"/>
    </xf>
    <xf numFmtId="45" fontId="10" fillId="0" borderId="649" xfId="0" applyNumberFormat="1" applyFont="1" applyBorder="1" applyAlignment="1">
      <alignment horizontal="center"/>
    </xf>
    <xf numFmtId="1" fontId="10" fillId="2" borderId="650" xfId="0" applyNumberFormat="1" applyFont="1" applyFill="1" applyBorder="1" applyAlignment="1">
      <alignment horizontal="center"/>
    </xf>
    <xf numFmtId="170" fontId="10" fillId="0" borderId="652" xfId="0" applyNumberFormat="1" applyFont="1" applyBorder="1" applyAlignment="1">
      <alignment horizontal="center"/>
    </xf>
    <xf numFmtId="45" fontId="10" fillId="2" borderId="653" xfId="0" applyNumberFormat="1" applyFont="1" applyFill="1" applyBorder="1" applyAlignment="1">
      <alignment horizontal="center"/>
    </xf>
    <xf numFmtId="167" fontId="10" fillId="0" borderId="643" xfId="0" applyNumberFormat="1" applyFont="1" applyBorder="1" applyAlignment="1">
      <alignment horizontal="center"/>
    </xf>
    <xf numFmtId="21" fontId="10" fillId="2" borderId="643" xfId="0" applyNumberFormat="1" applyFont="1" applyFill="1" applyBorder="1" applyAlignment="1">
      <alignment horizontal="center"/>
    </xf>
    <xf numFmtId="169" fontId="10" fillId="2" borderId="643" xfId="0" applyNumberFormat="1" applyFont="1" applyFill="1" applyBorder="1" applyAlignment="1">
      <alignment horizontal="center"/>
    </xf>
    <xf numFmtId="45" fontId="10" fillId="0" borderId="643" xfId="0" applyNumberFormat="1" applyFont="1" applyBorder="1" applyAlignment="1">
      <alignment horizontal="center"/>
    </xf>
    <xf numFmtId="1" fontId="10" fillId="2" borderId="643" xfId="0" applyNumberFormat="1" applyFont="1" applyFill="1" applyBorder="1" applyAlignment="1">
      <alignment horizontal="center"/>
    </xf>
    <xf numFmtId="45" fontId="10" fillId="2" borderId="643" xfId="0" applyNumberFormat="1" applyFont="1" applyFill="1" applyBorder="1" applyAlignment="1">
      <alignment horizontal="center"/>
    </xf>
    <xf numFmtId="1" fontId="12" fillId="2" borderId="647" xfId="0" applyNumberFormat="1" applyFont="1" applyFill="1" applyBorder="1" applyAlignment="1">
      <alignment horizontal="center"/>
    </xf>
    <xf numFmtId="1" fontId="12" fillId="2" borderId="654" xfId="0" applyNumberFormat="1" applyFont="1" applyFill="1" applyBorder="1" applyAlignment="1">
      <alignment horizontal="center"/>
    </xf>
    <xf numFmtId="2" fontId="10" fillId="0" borderId="643" xfId="0" applyNumberFormat="1" applyFont="1" applyBorder="1" applyAlignment="1">
      <alignment horizontal="center"/>
    </xf>
    <xf numFmtId="167" fontId="10" fillId="0" borderId="414" xfId="0" applyNumberFormat="1" applyFont="1" applyBorder="1" applyAlignment="1">
      <alignment horizontal="center"/>
    </xf>
    <xf numFmtId="21" fontId="10" fillId="2" borderId="414" xfId="0" applyNumberFormat="1" applyFont="1" applyFill="1" applyBorder="1" applyAlignment="1">
      <alignment horizontal="center"/>
    </xf>
    <xf numFmtId="169" fontId="10" fillId="2" borderId="414" xfId="0" applyNumberFormat="1" applyFont="1" applyFill="1" applyBorder="1" applyAlignment="1">
      <alignment horizontal="center"/>
    </xf>
    <xf numFmtId="45" fontId="10" fillId="0" borderId="414" xfId="0" applyNumberFormat="1" applyFont="1" applyBorder="1" applyAlignment="1">
      <alignment horizontal="center"/>
    </xf>
    <xf numFmtId="1" fontId="10" fillId="2" borderId="414" xfId="0" applyNumberFormat="1" applyFont="1" applyFill="1" applyBorder="1" applyAlignment="1">
      <alignment horizontal="center"/>
    </xf>
    <xf numFmtId="45" fontId="10" fillId="2" borderId="414" xfId="0" applyNumberFormat="1" applyFont="1" applyFill="1" applyBorder="1" applyAlignment="1">
      <alignment horizontal="center"/>
    </xf>
    <xf numFmtId="1" fontId="12" fillId="2" borderId="415" xfId="0" applyNumberFormat="1" applyFont="1" applyFill="1" applyBorder="1" applyAlignment="1">
      <alignment horizontal="center"/>
    </xf>
    <xf numFmtId="1" fontId="12" fillId="2" borderId="645" xfId="0" applyNumberFormat="1" applyFont="1" applyFill="1" applyBorder="1" applyAlignment="1">
      <alignment horizontal="center"/>
    </xf>
    <xf numFmtId="1" fontId="12" fillId="2" borderId="655" xfId="0" applyNumberFormat="1" applyFont="1" applyFill="1" applyBorder="1" applyAlignment="1">
      <alignment horizontal="center"/>
    </xf>
    <xf numFmtId="2" fontId="10" fillId="0" borderId="414" xfId="0" applyNumberFormat="1" applyFont="1" applyBorder="1" applyAlignment="1">
      <alignment horizontal="center"/>
    </xf>
    <xf numFmtId="167" fontId="10" fillId="0" borderId="652" xfId="0" applyNumberFormat="1" applyFont="1" applyBorder="1" applyAlignment="1">
      <alignment horizontal="center"/>
    </xf>
    <xf numFmtId="1" fontId="10" fillId="0" borderId="652" xfId="0" applyNumberFormat="1" applyFont="1" applyBorder="1" applyAlignment="1">
      <alignment horizontal="center"/>
    </xf>
    <xf numFmtId="1" fontId="10" fillId="0" borderId="652" xfId="0" applyNumberFormat="1" applyFont="1" applyBorder="1" applyAlignment="1">
      <alignment horizontal="center" vertical="center"/>
    </xf>
    <xf numFmtId="21" fontId="10" fillId="2" borderId="652" xfId="0" applyNumberFormat="1" applyFont="1" applyFill="1" applyBorder="1" applyAlignment="1">
      <alignment horizontal="center"/>
    </xf>
    <xf numFmtId="169" fontId="10" fillId="2" borderId="652" xfId="0" applyNumberFormat="1" applyFont="1" applyFill="1" applyBorder="1" applyAlignment="1">
      <alignment horizontal="center"/>
    </xf>
    <xf numFmtId="45" fontId="10" fillId="0" borderId="652" xfId="0" applyNumberFormat="1" applyFont="1" applyBorder="1" applyAlignment="1">
      <alignment horizontal="center"/>
    </xf>
    <xf numFmtId="1" fontId="10" fillId="2" borderId="652" xfId="0" applyNumberFormat="1" applyFont="1" applyFill="1" applyBorder="1" applyAlignment="1">
      <alignment horizontal="center"/>
    </xf>
    <xf numFmtId="45" fontId="10" fillId="2" borderId="652" xfId="0" applyNumberFormat="1" applyFont="1" applyFill="1" applyBorder="1" applyAlignment="1">
      <alignment horizontal="center"/>
    </xf>
    <xf numFmtId="1" fontId="12" fillId="2" borderId="659" xfId="0" applyNumberFormat="1" applyFont="1" applyFill="1" applyBorder="1" applyAlignment="1">
      <alignment horizontal="center"/>
    </xf>
    <xf numFmtId="1" fontId="12" fillId="2" borderId="658" xfId="0" applyNumberFormat="1" applyFont="1" applyFill="1" applyBorder="1" applyAlignment="1">
      <alignment horizontal="center"/>
    </xf>
    <xf numFmtId="2" fontId="10" fillId="0" borderId="652" xfId="0" applyNumberFormat="1" applyFont="1" applyBorder="1" applyAlignment="1">
      <alignment horizontal="center"/>
    </xf>
    <xf numFmtId="1" fontId="12" fillId="2" borderId="657" xfId="0" applyNumberFormat="1" applyFont="1" applyFill="1" applyBorder="1" applyAlignment="1">
      <alignment horizontal="center"/>
    </xf>
    <xf numFmtId="21" fontId="10" fillId="2" borderId="334" xfId="0" applyNumberFormat="1" applyFont="1" applyFill="1" applyBorder="1" applyAlignment="1">
      <alignment horizontal="center"/>
    </xf>
    <xf numFmtId="169" fontId="10" fillId="2" borderId="334" xfId="0" applyNumberFormat="1" applyFont="1" applyFill="1" applyBorder="1" applyAlignment="1">
      <alignment horizontal="center"/>
    </xf>
    <xf numFmtId="45" fontId="10" fillId="0" borderId="334" xfId="0" applyNumberFormat="1" applyFont="1" applyBorder="1" applyAlignment="1">
      <alignment horizontal="center"/>
    </xf>
    <xf numFmtId="45" fontId="10" fillId="2" borderId="334" xfId="0" applyNumberFormat="1" applyFont="1" applyFill="1" applyBorder="1" applyAlignment="1">
      <alignment horizontal="center"/>
    </xf>
    <xf numFmtId="1" fontId="12" fillId="2" borderId="646" xfId="0" applyNumberFormat="1" applyFont="1" applyFill="1" applyBorder="1" applyAlignment="1">
      <alignment horizontal="center"/>
    </xf>
    <xf numFmtId="1" fontId="12" fillId="2" borderId="656" xfId="0" applyNumberFormat="1" applyFont="1" applyFill="1" applyBorder="1" applyAlignment="1">
      <alignment horizontal="center"/>
    </xf>
    <xf numFmtId="2" fontId="10" fillId="0" borderId="334" xfId="0" applyNumberFormat="1" applyFont="1" applyBorder="1" applyAlignment="1">
      <alignment horizontal="center"/>
    </xf>
    <xf numFmtId="167" fontId="10" fillId="0" borderId="32" xfId="0" applyNumberFormat="1" applyFont="1" applyBorder="1" applyAlignment="1">
      <alignment horizontal="center"/>
    </xf>
    <xf numFmtId="21" fontId="10" fillId="2" borderId="32" xfId="0" applyNumberFormat="1" applyFont="1" applyFill="1" applyBorder="1" applyAlignment="1">
      <alignment horizontal="center"/>
    </xf>
    <xf numFmtId="169" fontId="10" fillId="2" borderId="32" xfId="0" applyNumberFormat="1" applyFont="1" applyFill="1" applyBorder="1" applyAlignment="1">
      <alignment horizontal="center"/>
    </xf>
    <xf numFmtId="45" fontId="10" fillId="0" borderId="32" xfId="0" applyNumberFormat="1" applyFont="1" applyBorder="1" applyAlignment="1">
      <alignment horizontal="center"/>
    </xf>
    <xf numFmtId="45" fontId="10" fillId="2" borderId="32" xfId="0" applyNumberFormat="1" applyFont="1" applyFill="1" applyBorder="1" applyAlignment="1">
      <alignment horizontal="center"/>
    </xf>
    <xf numFmtId="1" fontId="12" fillId="2" borderId="34" xfId="0" applyNumberFormat="1" applyFont="1" applyFill="1" applyBorder="1" applyAlignment="1">
      <alignment horizontal="center"/>
    </xf>
    <xf numFmtId="1" fontId="12" fillId="2" borderId="35" xfId="0" applyNumberFormat="1" applyFont="1" applyFill="1" applyBorder="1" applyAlignment="1">
      <alignment horizontal="center"/>
    </xf>
    <xf numFmtId="2" fontId="10" fillId="0" borderId="32" xfId="0" applyNumberFormat="1" applyFont="1" applyBorder="1" applyAlignment="1">
      <alignment horizontal="center"/>
    </xf>
    <xf numFmtId="167" fontId="10" fillId="0" borderId="630" xfId="0" applyNumberFormat="1" applyFont="1" applyBorder="1" applyAlignment="1">
      <alignment horizontal="center"/>
    </xf>
    <xf numFmtId="21" fontId="10" fillId="2" borderId="630" xfId="0" applyNumberFormat="1" applyFont="1" applyFill="1" applyBorder="1" applyAlignment="1">
      <alignment horizontal="center"/>
    </xf>
    <xf numFmtId="169" fontId="10" fillId="2" borderId="630" xfId="0" applyNumberFormat="1" applyFont="1" applyFill="1" applyBorder="1" applyAlignment="1">
      <alignment horizontal="center"/>
    </xf>
    <xf numFmtId="45" fontId="10" fillId="0" borderId="630" xfId="0" applyNumberFormat="1" applyFont="1" applyBorder="1" applyAlignment="1">
      <alignment horizontal="center"/>
    </xf>
    <xf numFmtId="1" fontId="10" fillId="2" borderId="630" xfId="0" applyNumberFormat="1" applyFont="1" applyFill="1" applyBorder="1" applyAlignment="1">
      <alignment horizontal="center"/>
    </xf>
    <xf numFmtId="170" fontId="10" fillId="0" borderId="630" xfId="0" applyNumberFormat="1" applyFont="1" applyBorder="1" applyAlignment="1">
      <alignment horizontal="center"/>
    </xf>
    <xf numFmtId="45" fontId="10" fillId="2" borderId="630" xfId="0" applyNumberFormat="1" applyFont="1" applyFill="1" applyBorder="1" applyAlignment="1">
      <alignment horizontal="center"/>
    </xf>
    <xf numFmtId="1" fontId="12" fillId="2" borderId="607" xfId="0" applyNumberFormat="1" applyFont="1" applyFill="1" applyBorder="1" applyAlignment="1">
      <alignment horizontal="center"/>
    </xf>
    <xf numFmtId="1" fontId="12" fillId="2" borderId="664" xfId="0" applyNumberFormat="1" applyFont="1" applyFill="1" applyBorder="1" applyAlignment="1">
      <alignment horizontal="center"/>
    </xf>
    <xf numFmtId="1" fontId="12" fillId="2" borderId="665" xfId="0" applyNumberFormat="1" applyFont="1" applyFill="1" applyBorder="1" applyAlignment="1">
      <alignment horizontal="center"/>
    </xf>
    <xf numFmtId="1" fontId="12" fillId="2" borderId="666" xfId="0" applyNumberFormat="1" applyFont="1" applyFill="1" applyBorder="1" applyAlignment="1">
      <alignment horizontal="center"/>
    </xf>
    <xf numFmtId="167" fontId="10" fillId="0" borderId="661" xfId="0" applyNumberFormat="1" applyFont="1" applyBorder="1" applyAlignment="1">
      <alignment horizontal="center"/>
    </xf>
    <xf numFmtId="1" fontId="10" fillId="0" borderId="661" xfId="0" applyNumberFormat="1" applyFont="1" applyBorder="1" applyAlignment="1">
      <alignment horizontal="center"/>
    </xf>
    <xf numFmtId="1" fontId="10" fillId="0" borderId="661" xfId="0" applyNumberFormat="1" applyFont="1" applyBorder="1" applyAlignment="1">
      <alignment horizontal="center" vertical="center"/>
    </xf>
    <xf numFmtId="21" fontId="10" fillId="2" borderId="661" xfId="0" applyNumberFormat="1" applyFont="1" applyFill="1" applyBorder="1" applyAlignment="1">
      <alignment horizontal="center"/>
    </xf>
    <xf numFmtId="169" fontId="10" fillId="2" borderId="661" xfId="0" applyNumberFormat="1" applyFont="1" applyFill="1" applyBorder="1" applyAlignment="1">
      <alignment horizontal="center"/>
    </xf>
    <xf numFmtId="45" fontId="10" fillId="0" borderId="661" xfId="0" applyNumberFormat="1" applyFont="1" applyBorder="1" applyAlignment="1">
      <alignment horizontal="center"/>
    </xf>
    <xf numFmtId="1" fontId="10" fillId="2" borderId="661" xfId="0" applyNumberFormat="1" applyFont="1" applyFill="1" applyBorder="1" applyAlignment="1">
      <alignment horizontal="center"/>
    </xf>
    <xf numFmtId="170" fontId="10" fillId="0" borderId="661" xfId="0" applyNumberFormat="1" applyFont="1" applyBorder="1" applyAlignment="1">
      <alignment horizontal="center"/>
    </xf>
    <xf numFmtId="45" fontId="10" fillId="2" borderId="661" xfId="0" applyNumberFormat="1" applyFont="1" applyFill="1" applyBorder="1" applyAlignment="1">
      <alignment horizontal="center"/>
    </xf>
    <xf numFmtId="1" fontId="12" fillId="2" borderId="660" xfId="0" applyNumberFormat="1" applyFont="1" applyFill="1" applyBorder="1" applyAlignment="1">
      <alignment horizontal="center"/>
    </xf>
    <xf numFmtId="1" fontId="12" fillId="2" borderId="662" xfId="0" applyNumberFormat="1" applyFont="1" applyFill="1" applyBorder="1" applyAlignment="1">
      <alignment horizontal="center"/>
    </xf>
    <xf numFmtId="1" fontId="12" fillId="2" borderId="667" xfId="0" applyNumberFormat="1" applyFont="1" applyFill="1" applyBorder="1" applyAlignment="1">
      <alignment horizontal="center"/>
    </xf>
    <xf numFmtId="2" fontId="10" fillId="0" borderId="661" xfId="0" applyNumberFormat="1" applyFont="1" applyBorder="1" applyAlignment="1">
      <alignment horizontal="center"/>
    </xf>
    <xf numFmtId="1" fontId="12" fillId="2" borderId="663" xfId="0" applyNumberFormat="1" applyFont="1" applyFill="1" applyBorder="1" applyAlignment="1">
      <alignment horizontal="center"/>
    </xf>
    <xf numFmtId="167" fontId="10" fillId="0" borderId="290" xfId="0" applyNumberFormat="1" applyFont="1" applyBorder="1" applyAlignment="1">
      <alignment horizontal="center"/>
    </xf>
    <xf numFmtId="21" fontId="10" fillId="2" borderId="290" xfId="0" applyNumberFormat="1" applyFont="1" applyFill="1" applyBorder="1" applyAlignment="1">
      <alignment horizontal="center"/>
    </xf>
    <xf numFmtId="169" fontId="10" fillId="2" borderId="290" xfId="0" applyNumberFormat="1" applyFont="1" applyFill="1" applyBorder="1" applyAlignment="1">
      <alignment horizontal="center"/>
    </xf>
    <xf numFmtId="45" fontId="10" fillId="0" borderId="290" xfId="0" applyNumberFormat="1" applyFont="1" applyBorder="1" applyAlignment="1">
      <alignment horizontal="center"/>
    </xf>
    <xf numFmtId="1" fontId="10" fillId="2" borderId="290" xfId="0" applyNumberFormat="1" applyFont="1" applyFill="1" applyBorder="1" applyAlignment="1">
      <alignment horizontal="center"/>
    </xf>
    <xf numFmtId="170" fontId="10" fillId="0" borderId="290" xfId="0" applyNumberFormat="1" applyFont="1" applyBorder="1" applyAlignment="1">
      <alignment horizontal="center"/>
    </xf>
    <xf numFmtId="45" fontId="10" fillId="2" borderId="290" xfId="0" applyNumberFormat="1" applyFont="1" applyFill="1" applyBorder="1" applyAlignment="1">
      <alignment horizontal="center"/>
    </xf>
    <xf numFmtId="1" fontId="12" fillId="2" borderId="20" xfId="0" applyNumberFormat="1" applyFont="1" applyFill="1" applyBorder="1" applyAlignment="1">
      <alignment horizontal="center"/>
    </xf>
    <xf numFmtId="167" fontId="10" fillId="0" borderId="669" xfId="0" applyNumberFormat="1" applyFont="1" applyBorder="1" applyAlignment="1">
      <alignment horizontal="center"/>
    </xf>
    <xf numFmtId="1" fontId="10" fillId="0" borderId="669" xfId="0" applyNumberFormat="1" applyFont="1" applyBorder="1" applyAlignment="1">
      <alignment horizontal="center"/>
    </xf>
    <xf numFmtId="1" fontId="10" fillId="0" borderId="669" xfId="0" applyNumberFormat="1" applyFont="1" applyBorder="1" applyAlignment="1">
      <alignment horizontal="center" vertical="center"/>
    </xf>
    <xf numFmtId="21" fontId="10" fillId="2" borderId="669" xfId="0" applyNumberFormat="1" applyFont="1" applyFill="1" applyBorder="1" applyAlignment="1">
      <alignment horizontal="center"/>
    </xf>
    <xf numFmtId="169" fontId="10" fillId="2" borderId="669" xfId="0" applyNumberFormat="1" applyFont="1" applyFill="1" applyBorder="1" applyAlignment="1">
      <alignment horizontal="center"/>
    </xf>
    <xf numFmtId="45" fontId="10" fillId="0" borderId="669" xfId="0" applyNumberFormat="1" applyFont="1" applyBorder="1" applyAlignment="1">
      <alignment horizontal="center"/>
    </xf>
    <xf numFmtId="1" fontId="10" fillId="2" borderId="669" xfId="0" applyNumberFormat="1" applyFont="1" applyFill="1" applyBorder="1" applyAlignment="1">
      <alignment horizontal="center"/>
    </xf>
    <xf numFmtId="170" fontId="10" fillId="0" borderId="669" xfId="0" applyNumberFormat="1" applyFont="1" applyBorder="1" applyAlignment="1">
      <alignment horizontal="center"/>
    </xf>
    <xf numFmtId="45" fontId="10" fillId="2" borderId="669" xfId="0" applyNumberFormat="1" applyFont="1" applyFill="1" applyBorder="1" applyAlignment="1">
      <alignment horizontal="center"/>
    </xf>
    <xf numFmtId="1" fontId="12" fillId="2" borderId="668" xfId="0" applyNumberFormat="1" applyFont="1" applyFill="1" applyBorder="1" applyAlignment="1">
      <alignment horizontal="center"/>
    </xf>
    <xf numFmtId="1" fontId="12" fillId="2" borderId="672" xfId="0" applyNumberFormat="1" applyFont="1" applyFill="1" applyBorder="1" applyAlignment="1">
      <alignment horizontal="center"/>
    </xf>
    <xf numFmtId="1" fontId="12" fillId="2" borderId="673" xfId="0" applyNumberFormat="1" applyFont="1" applyFill="1" applyBorder="1" applyAlignment="1">
      <alignment horizontal="center"/>
    </xf>
    <xf numFmtId="2" fontId="10" fillId="0" borderId="669" xfId="0" applyNumberFormat="1" applyFont="1" applyBorder="1" applyAlignment="1">
      <alignment horizontal="center"/>
    </xf>
    <xf numFmtId="167" fontId="10" fillId="0" borderId="670" xfId="0" applyNumberFormat="1" applyFont="1" applyBorder="1" applyAlignment="1">
      <alignment horizontal="center"/>
    </xf>
    <xf numFmtId="1" fontId="10" fillId="0" borderId="670" xfId="0" applyNumberFormat="1" applyFont="1" applyBorder="1" applyAlignment="1">
      <alignment horizontal="center" vertical="center"/>
    </xf>
    <xf numFmtId="21" fontId="10" fillId="2" borderId="670" xfId="0" applyNumberFormat="1" applyFont="1" applyFill="1" applyBorder="1" applyAlignment="1">
      <alignment horizontal="center"/>
    </xf>
    <xf numFmtId="169" fontId="10" fillId="2" borderId="670" xfId="0" applyNumberFormat="1" applyFont="1" applyFill="1" applyBorder="1" applyAlignment="1">
      <alignment horizontal="center"/>
    </xf>
    <xf numFmtId="45" fontId="10" fillId="0" borderId="670" xfId="0" applyNumberFormat="1" applyFont="1" applyBorder="1" applyAlignment="1">
      <alignment horizontal="center"/>
    </xf>
    <xf numFmtId="1" fontId="10" fillId="2" borderId="670" xfId="0" applyNumberFormat="1" applyFont="1" applyFill="1" applyBorder="1" applyAlignment="1">
      <alignment horizontal="center"/>
    </xf>
    <xf numFmtId="170" fontId="10" fillId="0" borderId="670" xfId="0" applyNumberFormat="1" applyFont="1" applyBorder="1" applyAlignment="1">
      <alignment horizontal="center"/>
    </xf>
    <xf numFmtId="45" fontId="10" fillId="2" borderId="670" xfId="0" applyNumberFormat="1" applyFont="1" applyFill="1" applyBorder="1" applyAlignment="1">
      <alignment horizontal="center"/>
    </xf>
    <xf numFmtId="1" fontId="12" fillId="2" borderId="671" xfId="0" applyNumberFormat="1" applyFont="1" applyFill="1" applyBorder="1" applyAlignment="1">
      <alignment horizontal="center"/>
    </xf>
    <xf numFmtId="1" fontId="12" fillId="2" borderId="674" xfId="0" applyNumberFormat="1" applyFont="1" applyFill="1" applyBorder="1" applyAlignment="1">
      <alignment horizontal="center"/>
    </xf>
    <xf numFmtId="1" fontId="12" fillId="2" borderId="675" xfId="0" applyNumberFormat="1" applyFont="1" applyFill="1" applyBorder="1" applyAlignment="1">
      <alignment horizontal="center"/>
    </xf>
    <xf numFmtId="1" fontId="12" fillId="2" borderId="676" xfId="0" applyNumberFormat="1" applyFont="1" applyFill="1" applyBorder="1" applyAlignment="1">
      <alignment horizontal="center"/>
    </xf>
    <xf numFmtId="1" fontId="12" fillId="2" borderId="677" xfId="0" applyNumberFormat="1" applyFont="1" applyFill="1" applyBorder="1" applyAlignment="1">
      <alignment horizontal="center"/>
    </xf>
    <xf numFmtId="1" fontId="12" fillId="2" borderId="678" xfId="0" applyNumberFormat="1" applyFont="1" applyFill="1" applyBorder="1" applyAlignment="1">
      <alignment horizontal="center"/>
    </xf>
    <xf numFmtId="167" fontId="10" fillId="0" borderId="679" xfId="0" applyNumberFormat="1" applyFont="1" applyBorder="1" applyAlignment="1">
      <alignment horizontal="center"/>
    </xf>
    <xf numFmtId="1" fontId="10" fillId="0" borderId="679" xfId="0" applyNumberFormat="1" applyFont="1" applyBorder="1" applyAlignment="1">
      <alignment horizontal="center"/>
    </xf>
    <xf numFmtId="21" fontId="10" fillId="2" borderId="664" xfId="0" applyNumberFormat="1" applyFont="1" applyFill="1" applyBorder="1" applyAlignment="1">
      <alignment horizontal="center"/>
    </xf>
    <xf numFmtId="169" fontId="10" fillId="2" borderId="679" xfId="0" applyNumberFormat="1" applyFont="1" applyFill="1" applyBorder="1" applyAlignment="1">
      <alignment horizontal="center"/>
    </xf>
    <xf numFmtId="45" fontId="10" fillId="0" borderId="679" xfId="0" applyNumberFormat="1" applyFont="1" applyBorder="1" applyAlignment="1">
      <alignment horizontal="center"/>
    </xf>
    <xf numFmtId="1" fontId="10" fillId="2" borderId="679" xfId="0" applyNumberFormat="1" applyFont="1" applyFill="1" applyBorder="1" applyAlignment="1">
      <alignment horizontal="center"/>
    </xf>
    <xf numFmtId="170" fontId="10" fillId="0" borderId="679" xfId="0" applyNumberFormat="1" applyFont="1" applyBorder="1" applyAlignment="1">
      <alignment horizontal="center"/>
    </xf>
    <xf numFmtId="45" fontId="10" fillId="2" borderId="679" xfId="0" applyNumberFormat="1" applyFont="1" applyFill="1" applyBorder="1" applyAlignment="1">
      <alignment horizontal="center"/>
    </xf>
    <xf numFmtId="1" fontId="12" fillId="2" borderId="680" xfId="0" applyNumberFormat="1" applyFont="1" applyFill="1" applyBorder="1" applyAlignment="1">
      <alignment horizontal="center"/>
    </xf>
    <xf numFmtId="1" fontId="12" fillId="2" borderId="681" xfId="0" applyNumberFormat="1" applyFont="1" applyFill="1" applyBorder="1" applyAlignment="1">
      <alignment horizontal="center"/>
    </xf>
    <xf numFmtId="1" fontId="12" fillId="2" borderId="682" xfId="0" applyNumberFormat="1" applyFont="1" applyFill="1" applyBorder="1" applyAlignment="1">
      <alignment horizontal="center"/>
    </xf>
    <xf numFmtId="2" fontId="10" fillId="0" borderId="679" xfId="0" applyNumberFormat="1" applyFont="1" applyBorder="1" applyAlignment="1">
      <alignment horizontal="center"/>
    </xf>
    <xf numFmtId="21" fontId="10" fillId="2" borderId="666" xfId="0" applyNumberFormat="1" applyFont="1" applyFill="1" applyBorder="1" applyAlignment="1">
      <alignment horizontal="center"/>
    </xf>
    <xf numFmtId="1" fontId="10" fillId="0" borderId="683" xfId="0" applyNumberFormat="1" applyFont="1" applyBorder="1" applyAlignment="1">
      <alignment horizontal="center" vertical="center"/>
    </xf>
    <xf numFmtId="21" fontId="10" fillId="2" borderId="685" xfId="0" applyNumberFormat="1" applyFont="1" applyFill="1" applyBorder="1" applyAlignment="1">
      <alignment horizontal="center"/>
    </xf>
    <xf numFmtId="21" fontId="10" fillId="2" borderId="656" xfId="0" applyNumberFormat="1" applyFont="1" applyFill="1" applyBorder="1" applyAlignment="1">
      <alignment horizontal="center"/>
    </xf>
    <xf numFmtId="21" fontId="10" fillId="2" borderId="35" xfId="0" applyNumberFormat="1" applyFont="1" applyFill="1" applyBorder="1" applyAlignment="1">
      <alignment horizontal="center"/>
    </xf>
    <xf numFmtId="1" fontId="10" fillId="0" borderId="684" xfId="0" applyNumberFormat="1" applyFont="1" applyBorder="1" applyAlignment="1">
      <alignment horizontal="center" vertical="center"/>
    </xf>
    <xf numFmtId="21" fontId="10" fillId="2" borderId="686" xfId="0" applyNumberFormat="1" applyFont="1" applyFill="1" applyBorder="1" applyAlignment="1">
      <alignment horizontal="center"/>
    </xf>
    <xf numFmtId="1" fontId="12" fillId="2" borderId="612" xfId="0" applyNumberFormat="1" applyFont="1" applyFill="1" applyBorder="1" applyAlignment="1">
      <alignment horizontal="center"/>
    </xf>
    <xf numFmtId="167" fontId="10" fillId="0" borderId="556" xfId="0" applyNumberFormat="1" applyFont="1" applyBorder="1" applyAlignment="1">
      <alignment horizontal="center"/>
    </xf>
    <xf numFmtId="21" fontId="10" fillId="2" borderId="556" xfId="0" applyNumberFormat="1" applyFont="1" applyFill="1" applyBorder="1" applyAlignment="1">
      <alignment horizontal="center"/>
    </xf>
    <xf numFmtId="169" fontId="10" fillId="2" borderId="556" xfId="0" applyNumberFormat="1" applyFont="1" applyFill="1" applyBorder="1" applyAlignment="1">
      <alignment horizontal="center"/>
    </xf>
    <xf numFmtId="45" fontId="10" fillId="0" borderId="556" xfId="0" applyNumberFormat="1" applyFont="1" applyBorder="1" applyAlignment="1">
      <alignment horizontal="center"/>
    </xf>
    <xf numFmtId="1" fontId="10" fillId="2" borderId="556" xfId="0" applyNumberFormat="1" applyFont="1" applyFill="1" applyBorder="1" applyAlignment="1">
      <alignment horizontal="center"/>
    </xf>
    <xf numFmtId="45" fontId="10" fillId="2" borderId="556" xfId="0" applyNumberFormat="1" applyFont="1" applyFill="1" applyBorder="1" applyAlignment="1">
      <alignment horizontal="center"/>
    </xf>
    <xf numFmtId="1" fontId="12" fillId="2" borderId="725" xfId="0" applyNumberFormat="1" applyFont="1" applyFill="1" applyBorder="1" applyAlignment="1">
      <alignment horizontal="center"/>
    </xf>
    <xf numFmtId="1" fontId="12" fillId="2" borderId="726" xfId="0" applyNumberFormat="1" applyFont="1" applyFill="1" applyBorder="1" applyAlignment="1">
      <alignment horizontal="center"/>
    </xf>
    <xf numFmtId="1" fontId="12" fillId="2" borderId="727" xfId="0" applyNumberFormat="1" applyFont="1" applyFill="1" applyBorder="1" applyAlignment="1">
      <alignment horizontal="center"/>
    </xf>
    <xf numFmtId="167" fontId="10" fillId="0" borderId="730" xfId="0" applyNumberFormat="1" applyFont="1" applyBorder="1" applyAlignment="1">
      <alignment horizontal="center"/>
    </xf>
    <xf numFmtId="1" fontId="10" fillId="0" borderId="730" xfId="0" applyNumberFormat="1" applyFont="1" applyBorder="1" applyAlignment="1">
      <alignment horizontal="center"/>
    </xf>
    <xf numFmtId="1" fontId="10" fillId="0" borderId="730" xfId="0" applyNumberFormat="1" applyFont="1" applyBorder="1" applyAlignment="1">
      <alignment horizontal="center" vertical="center"/>
    </xf>
    <xf numFmtId="21" fontId="10" fillId="2" borderId="730" xfId="0" applyNumberFormat="1" applyFont="1" applyFill="1" applyBorder="1" applyAlignment="1">
      <alignment horizontal="center"/>
    </xf>
    <xf numFmtId="169" fontId="10" fillId="2" borderId="730" xfId="0" applyNumberFormat="1" applyFont="1" applyFill="1" applyBorder="1" applyAlignment="1">
      <alignment horizontal="center"/>
    </xf>
    <xf numFmtId="45" fontId="10" fillId="0" borderId="730" xfId="0" applyNumberFormat="1" applyFont="1" applyBorder="1" applyAlignment="1">
      <alignment horizontal="center"/>
    </xf>
    <xf numFmtId="1" fontId="10" fillId="2" borderId="730" xfId="0" applyNumberFormat="1" applyFont="1" applyFill="1" applyBorder="1" applyAlignment="1">
      <alignment horizontal="center"/>
    </xf>
    <xf numFmtId="170" fontId="10" fillId="0" borderId="730" xfId="0" applyNumberFormat="1" applyFont="1" applyBorder="1" applyAlignment="1">
      <alignment horizontal="center"/>
    </xf>
    <xf numFmtId="45" fontId="10" fillId="2" borderId="730" xfId="0" applyNumberFormat="1" applyFont="1" applyFill="1" applyBorder="1" applyAlignment="1">
      <alignment horizontal="center"/>
    </xf>
    <xf numFmtId="1" fontId="12" fillId="2" borderId="732" xfId="0" applyNumberFormat="1" applyFont="1" applyFill="1" applyBorder="1" applyAlignment="1">
      <alignment horizontal="center"/>
    </xf>
    <xf numFmtId="1" fontId="12" fillId="2" borderId="733" xfId="0" applyNumberFormat="1" applyFont="1" applyFill="1" applyBorder="1" applyAlignment="1">
      <alignment horizontal="center"/>
    </xf>
    <xf numFmtId="1" fontId="12" fillId="2" borderId="737" xfId="0" applyNumberFormat="1" applyFont="1" applyFill="1" applyBorder="1" applyAlignment="1">
      <alignment horizontal="center"/>
    </xf>
    <xf numFmtId="2" fontId="10" fillId="0" borderId="730" xfId="0" applyNumberFormat="1" applyFont="1" applyBorder="1" applyAlignment="1">
      <alignment horizontal="center"/>
    </xf>
    <xf numFmtId="167" fontId="10" fillId="0" borderId="734" xfId="0" applyNumberFormat="1" applyFont="1" applyBorder="1" applyAlignment="1">
      <alignment horizontal="center"/>
    </xf>
    <xf numFmtId="1" fontId="10" fillId="0" borderId="734" xfId="0" applyNumberFormat="1" applyFont="1" applyBorder="1" applyAlignment="1">
      <alignment horizontal="center"/>
    </xf>
    <xf numFmtId="1" fontId="10" fillId="0" borderId="734" xfId="0" applyNumberFormat="1" applyFont="1" applyBorder="1" applyAlignment="1">
      <alignment horizontal="center" vertical="center"/>
    </xf>
    <xf numFmtId="21" fontId="10" fillId="2" borderId="734" xfId="0" applyNumberFormat="1" applyFont="1" applyFill="1" applyBorder="1" applyAlignment="1">
      <alignment horizontal="center"/>
    </xf>
    <xf numFmtId="169" fontId="10" fillId="2" borderId="734" xfId="0" applyNumberFormat="1" applyFont="1" applyFill="1" applyBorder="1" applyAlignment="1">
      <alignment horizontal="center"/>
    </xf>
    <xf numFmtId="45" fontId="10" fillId="0" borderId="734" xfId="0" applyNumberFormat="1" applyFont="1" applyBorder="1" applyAlignment="1">
      <alignment horizontal="center"/>
    </xf>
    <xf numFmtId="1" fontId="10" fillId="2" borderId="734" xfId="0" applyNumberFormat="1" applyFont="1" applyFill="1" applyBorder="1" applyAlignment="1">
      <alignment horizontal="center"/>
    </xf>
    <xf numFmtId="170" fontId="10" fillId="0" borderId="734" xfId="0" applyNumberFormat="1" applyFont="1" applyBorder="1" applyAlignment="1">
      <alignment horizontal="center"/>
    </xf>
    <xf numFmtId="45" fontId="10" fillId="2" borderId="734" xfId="0" applyNumberFormat="1" applyFont="1" applyFill="1" applyBorder="1" applyAlignment="1">
      <alignment horizontal="center"/>
    </xf>
    <xf numFmtId="1" fontId="12" fillId="2" borderId="735" xfId="0" applyNumberFormat="1" applyFont="1" applyFill="1" applyBorder="1" applyAlignment="1">
      <alignment horizontal="center"/>
    </xf>
    <xf numFmtId="1" fontId="12" fillId="2" borderId="736" xfId="0" applyNumberFormat="1" applyFont="1" applyFill="1" applyBorder="1" applyAlignment="1">
      <alignment horizontal="center"/>
    </xf>
    <xf numFmtId="1" fontId="12" fillId="2" borderId="738" xfId="0" applyNumberFormat="1" applyFont="1" applyFill="1" applyBorder="1" applyAlignment="1">
      <alignment horizontal="center"/>
    </xf>
    <xf numFmtId="2" fontId="10" fillId="0" borderId="734" xfId="0" applyNumberFormat="1" applyFont="1" applyBorder="1" applyAlignment="1">
      <alignment horizontal="center"/>
    </xf>
    <xf numFmtId="167" fontId="10" fillId="0" borderId="398" xfId="0" applyNumberFormat="1" applyFont="1" applyBorder="1" applyAlignment="1">
      <alignment horizontal="center"/>
    </xf>
    <xf numFmtId="21" fontId="10" fillId="2" borderId="398" xfId="0" applyNumberFormat="1" applyFont="1" applyFill="1" applyBorder="1" applyAlignment="1">
      <alignment horizontal="center"/>
    </xf>
    <xf numFmtId="169" fontId="10" fillId="2" borderId="398" xfId="0" applyNumberFormat="1" applyFont="1" applyFill="1" applyBorder="1" applyAlignment="1">
      <alignment horizontal="center"/>
    </xf>
    <xf numFmtId="45" fontId="10" fillId="0" borderId="398" xfId="0" applyNumberFormat="1" applyFont="1" applyBorder="1" applyAlignment="1">
      <alignment horizontal="center"/>
    </xf>
    <xf numFmtId="1" fontId="10" fillId="2" borderId="398" xfId="0" applyNumberFormat="1" applyFont="1" applyFill="1" applyBorder="1" applyAlignment="1">
      <alignment horizontal="center"/>
    </xf>
    <xf numFmtId="170" fontId="10" fillId="0" borderId="398" xfId="0" applyNumberFormat="1" applyFont="1" applyBorder="1" applyAlignment="1">
      <alignment horizontal="center"/>
    </xf>
    <xf numFmtId="45" fontId="10" fillId="2" borderId="398" xfId="0" applyNumberFormat="1" applyFont="1" applyFill="1" applyBorder="1" applyAlignment="1">
      <alignment horizontal="center"/>
    </xf>
    <xf numFmtId="1" fontId="12" fillId="2" borderId="724" xfId="0" applyNumberFormat="1" applyFont="1" applyFill="1" applyBorder="1" applyAlignment="1">
      <alignment horizontal="center"/>
    </xf>
    <xf numFmtId="167" fontId="10" fillId="0" borderId="731" xfId="0" applyNumberFormat="1" applyFont="1" applyBorder="1" applyAlignment="1">
      <alignment horizontal="center"/>
    </xf>
    <xf numFmtId="1" fontId="10" fillId="0" borderId="731" xfId="0" applyNumberFormat="1" applyFont="1" applyBorder="1" applyAlignment="1">
      <alignment horizontal="center"/>
    </xf>
    <xf numFmtId="1" fontId="10" fillId="0" borderId="731" xfId="0" applyNumberFormat="1" applyFont="1" applyBorder="1" applyAlignment="1">
      <alignment horizontal="center" vertical="center"/>
    </xf>
    <xf numFmtId="21" fontId="10" fillId="2" borderId="731" xfId="0" applyNumberFormat="1" applyFont="1" applyFill="1" applyBorder="1" applyAlignment="1">
      <alignment horizontal="center"/>
    </xf>
    <xf numFmtId="169" fontId="10" fillId="2" borderId="731" xfId="0" applyNumberFormat="1" applyFont="1" applyFill="1" applyBorder="1" applyAlignment="1">
      <alignment horizontal="center"/>
    </xf>
    <xf numFmtId="45" fontId="10" fillId="0" borderId="731" xfId="0" applyNumberFormat="1" applyFont="1" applyBorder="1" applyAlignment="1">
      <alignment horizontal="center"/>
    </xf>
    <xf numFmtId="1" fontId="10" fillId="2" borderId="731" xfId="0" applyNumberFormat="1" applyFont="1" applyFill="1" applyBorder="1" applyAlignment="1">
      <alignment horizontal="center"/>
    </xf>
    <xf numFmtId="170" fontId="10" fillId="0" borderId="731" xfId="0" applyNumberFormat="1" applyFont="1" applyBorder="1" applyAlignment="1">
      <alignment horizontal="center"/>
    </xf>
    <xf numFmtId="45" fontId="10" fillId="2" borderId="731" xfId="0" applyNumberFormat="1" applyFont="1" applyFill="1" applyBorder="1" applyAlignment="1">
      <alignment horizontal="center"/>
    </xf>
    <xf numFmtId="2" fontId="10" fillId="0" borderId="731" xfId="0" applyNumberFormat="1" applyFont="1" applyBorder="1" applyAlignment="1">
      <alignment horizontal="center"/>
    </xf>
    <xf numFmtId="167" fontId="10" fillId="0" borderId="740" xfId="0" applyNumberFormat="1" applyFont="1" applyBorder="1" applyAlignment="1">
      <alignment horizontal="center"/>
    </xf>
    <xf numFmtId="1" fontId="10" fillId="0" borderId="740" xfId="0" applyNumberFormat="1" applyFont="1" applyBorder="1" applyAlignment="1">
      <alignment horizontal="center"/>
    </xf>
    <xf numFmtId="1" fontId="10" fillId="0" borderId="740" xfId="0" applyNumberFormat="1" applyFont="1" applyBorder="1" applyAlignment="1">
      <alignment horizontal="center" vertical="center"/>
    </xf>
    <xf numFmtId="21" fontId="10" fillId="2" borderId="740" xfId="0" applyNumberFormat="1" applyFont="1" applyFill="1" applyBorder="1" applyAlignment="1">
      <alignment horizontal="center"/>
    </xf>
    <xf numFmtId="169" fontId="10" fillId="2" borderId="740" xfId="0" applyNumberFormat="1" applyFont="1" applyFill="1" applyBorder="1" applyAlignment="1">
      <alignment horizontal="center"/>
    </xf>
    <xf numFmtId="45" fontId="10" fillId="0" borderId="740" xfId="0" applyNumberFormat="1" applyFont="1" applyBorder="1" applyAlignment="1">
      <alignment horizontal="center"/>
    </xf>
    <xf numFmtId="1" fontId="10" fillId="2" borderId="740" xfId="0" applyNumberFormat="1" applyFont="1" applyFill="1" applyBorder="1" applyAlignment="1">
      <alignment horizontal="center"/>
    </xf>
    <xf numFmtId="170" fontId="10" fillId="0" borderId="740" xfId="0" applyNumberFormat="1" applyFont="1" applyBorder="1" applyAlignment="1">
      <alignment horizontal="center"/>
    </xf>
    <xf numFmtId="45" fontId="10" fillId="2" borderId="740" xfId="0" applyNumberFormat="1" applyFont="1" applyFill="1" applyBorder="1" applyAlignment="1">
      <alignment horizontal="center"/>
    </xf>
    <xf numFmtId="1" fontId="12" fillId="2" borderId="741" xfId="0" applyNumberFormat="1" applyFont="1" applyFill="1" applyBorder="1" applyAlignment="1">
      <alignment horizontal="center"/>
    </xf>
    <xf numFmtId="1" fontId="12" fillId="2" borderId="742" xfId="0" applyNumberFormat="1" applyFont="1" applyFill="1" applyBorder="1" applyAlignment="1">
      <alignment horizontal="center"/>
    </xf>
    <xf numFmtId="1" fontId="12" fillId="2" borderId="743" xfId="0" applyNumberFormat="1" applyFont="1" applyFill="1" applyBorder="1" applyAlignment="1">
      <alignment horizontal="center"/>
    </xf>
    <xf numFmtId="2" fontId="10" fillId="0" borderId="740" xfId="0" applyNumberFormat="1" applyFont="1" applyBorder="1" applyAlignment="1">
      <alignment horizontal="center"/>
    </xf>
    <xf numFmtId="0" fontId="11" fillId="0" borderId="306" xfId="0" applyFont="1" applyBorder="1" applyAlignment="1">
      <alignment horizontal="center" vertical="center"/>
    </xf>
    <xf numFmtId="0" fontId="11" fillId="0" borderId="121" xfId="0" applyFont="1" applyBorder="1" applyAlignment="1">
      <alignment horizontal="center" vertical="center"/>
    </xf>
    <xf numFmtId="0" fontId="11" fillId="0" borderId="314" xfId="0" applyFont="1" applyBorder="1" applyAlignment="1">
      <alignment horizontal="center" vertical="center"/>
    </xf>
    <xf numFmtId="0" fontId="11" fillId="0" borderId="252" xfId="0" applyFont="1" applyBorder="1" applyAlignment="1">
      <alignment horizontal="center" vertical="center"/>
    </xf>
    <xf numFmtId="0" fontId="11" fillId="0" borderId="2" xfId="0" applyFont="1" applyBorder="1" applyAlignment="1">
      <alignment horizontal="center" vertical="center"/>
    </xf>
    <xf numFmtId="0" fontId="11" fillId="0" borderId="4" xfId="0" applyFont="1" applyBorder="1" applyAlignment="1">
      <alignment horizontal="center" vertical="center"/>
    </xf>
    <xf numFmtId="0" fontId="11" fillId="0" borderId="319" xfId="0" applyFont="1" applyBorder="1" applyAlignment="1">
      <alignment horizontal="center" vertical="center"/>
    </xf>
    <xf numFmtId="0" fontId="11" fillId="0" borderId="324" xfId="0" applyFont="1" applyBorder="1" applyAlignment="1">
      <alignment horizontal="center" vertical="center"/>
    </xf>
    <xf numFmtId="0" fontId="11" fillId="5" borderId="330" xfId="0" applyFont="1" applyFill="1" applyBorder="1" applyAlignment="1">
      <alignment horizontal="center" vertical="center"/>
    </xf>
    <xf numFmtId="0" fontId="11" fillId="0" borderId="251" xfId="0" applyFont="1" applyBorder="1" applyAlignment="1">
      <alignment horizontal="center" vertical="center"/>
    </xf>
    <xf numFmtId="0" fontId="11" fillId="0" borderId="7" xfId="0" applyFont="1" applyBorder="1" applyAlignment="1">
      <alignment horizontal="center" vertical="center"/>
    </xf>
    <xf numFmtId="0" fontId="11" fillId="0" borderId="10" xfId="0" applyFont="1" applyBorder="1" applyAlignment="1">
      <alignment horizontal="center" vertical="center"/>
    </xf>
    <xf numFmtId="0" fontId="11" fillId="0" borderId="365" xfId="0" applyFont="1" applyBorder="1" applyAlignment="1">
      <alignment horizontal="center" vertical="center"/>
    </xf>
    <xf numFmtId="0" fontId="11" fillId="0" borderId="352" xfId="0" applyFont="1" applyBorder="1" applyAlignment="1">
      <alignment horizontal="center" vertical="center"/>
    </xf>
    <xf numFmtId="0" fontId="11" fillId="0" borderId="353" xfId="0" applyFont="1" applyBorder="1" applyAlignment="1">
      <alignment horizontal="center" vertical="center"/>
    </xf>
    <xf numFmtId="0" fontId="11" fillId="0" borderId="125" xfId="0" applyFont="1" applyBorder="1" applyAlignment="1">
      <alignment horizontal="center" vertical="center"/>
    </xf>
    <xf numFmtId="0" fontId="11" fillId="5" borderId="10" xfId="0" applyFont="1" applyFill="1" applyBorder="1" applyAlignment="1">
      <alignment horizontal="center" vertical="center"/>
    </xf>
    <xf numFmtId="0" fontId="11" fillId="0" borderId="24" xfId="0" applyFont="1" applyBorder="1" applyAlignment="1">
      <alignment horizontal="center" vertical="center"/>
    </xf>
    <xf numFmtId="0" fontId="11" fillId="5" borderId="4" xfId="0" applyFont="1" applyFill="1" applyBorder="1" applyAlignment="1">
      <alignment horizontal="center" vertical="center"/>
    </xf>
    <xf numFmtId="0" fontId="11" fillId="0" borderId="366" xfId="0" applyFont="1" applyBorder="1" applyAlignment="1">
      <alignment horizontal="center" vertical="center"/>
    </xf>
    <xf numFmtId="0" fontId="11" fillId="0" borderId="330" xfId="0" applyFont="1" applyBorder="1" applyAlignment="1">
      <alignment horizontal="center" vertical="center"/>
    </xf>
    <xf numFmtId="0" fontId="11" fillId="0" borderId="300" xfId="0" applyFont="1" applyBorder="1" applyAlignment="1">
      <alignment horizontal="center" vertical="center"/>
    </xf>
    <xf numFmtId="0" fontId="11" fillId="0" borderId="23" xfId="0" applyFont="1" applyBorder="1" applyAlignment="1">
      <alignment horizontal="center" vertical="center"/>
    </xf>
    <xf numFmtId="0" fontId="11" fillId="2" borderId="300" xfId="0" applyFont="1" applyFill="1" applyBorder="1" applyAlignment="1">
      <alignment horizontal="center" vertical="center"/>
    </xf>
    <xf numFmtId="0" fontId="11" fillId="2" borderId="353" xfId="0" applyFont="1" applyFill="1" applyBorder="1" applyAlignment="1">
      <alignment horizontal="center" vertical="center"/>
    </xf>
    <xf numFmtId="0" fontId="11" fillId="2" borderId="125"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365" xfId="0" applyFont="1" applyFill="1" applyBorder="1" applyAlignment="1">
      <alignment horizontal="center" vertical="center"/>
    </xf>
    <xf numFmtId="0" fontId="11" fillId="0" borderId="381" xfId="0" applyFont="1" applyBorder="1" applyAlignment="1">
      <alignment horizontal="center" vertical="center"/>
    </xf>
    <xf numFmtId="0" fontId="11" fillId="0" borderId="383" xfId="0" applyFont="1" applyBorder="1" applyAlignment="1">
      <alignment horizontal="center" vertical="center"/>
    </xf>
    <xf numFmtId="0" fontId="11" fillId="0" borderId="384" xfId="0" applyFont="1" applyBorder="1" applyAlignment="1">
      <alignment horizontal="center" vertical="center"/>
    </xf>
    <xf numFmtId="0" fontId="11" fillId="0" borderId="140" xfId="0" applyFont="1" applyBorder="1" applyAlignment="1">
      <alignment horizontal="center" vertical="center"/>
    </xf>
    <xf numFmtId="0" fontId="11" fillId="2" borderId="140" xfId="0" applyFont="1" applyFill="1" applyBorder="1" applyAlignment="1">
      <alignment horizontal="center" vertical="center"/>
    </xf>
    <xf numFmtId="0" fontId="11" fillId="0" borderId="362" xfId="0" applyFont="1" applyBorder="1" applyAlignment="1">
      <alignment horizontal="center" vertical="center"/>
    </xf>
    <xf numFmtId="0" fontId="11" fillId="0" borderId="335" xfId="0" applyFont="1" applyBorder="1" applyAlignment="1">
      <alignment horizontal="center" vertical="center"/>
    </xf>
    <xf numFmtId="0" fontId="11" fillId="0" borderId="337" xfId="0" applyFont="1" applyBorder="1" applyAlignment="1">
      <alignment horizontal="center" vertical="center"/>
    </xf>
    <xf numFmtId="0" fontId="11" fillId="0" borderId="336" xfId="0" applyFont="1" applyBorder="1" applyAlignment="1">
      <alignment horizontal="center" vertical="center"/>
    </xf>
    <xf numFmtId="0" fontId="11" fillId="0" borderId="334" xfId="0" applyFont="1" applyBorder="1" applyAlignment="1">
      <alignment horizontal="center" vertical="center"/>
    </xf>
    <xf numFmtId="0" fontId="11" fillId="0" borderId="32" xfId="0" applyFont="1" applyBorder="1" applyAlignment="1">
      <alignment horizontal="center" vertical="center"/>
    </xf>
    <xf numFmtId="0" fontId="11" fillId="0" borderId="127" xfId="0" applyFont="1" applyBorder="1" applyAlignment="1">
      <alignment horizontal="center" vertical="center"/>
    </xf>
    <xf numFmtId="0" fontId="11" fillId="0" borderId="119" xfId="0" applyFont="1" applyBorder="1" applyAlignment="1">
      <alignment horizontal="center" vertical="center"/>
    </xf>
    <xf numFmtId="0" fontId="11" fillId="2" borderId="366" xfId="0" applyFont="1" applyFill="1" applyBorder="1" applyAlignment="1">
      <alignment horizontal="center" vertical="center"/>
    </xf>
    <xf numFmtId="0" fontId="11" fillId="2" borderId="324" xfId="0" applyFont="1" applyFill="1" applyBorder="1" applyAlignment="1">
      <alignment horizontal="center" vertical="center"/>
    </xf>
    <xf numFmtId="0" fontId="11" fillId="2" borderId="330" xfId="0" applyFont="1" applyFill="1" applyBorder="1" applyAlignment="1">
      <alignment horizontal="center" vertical="center"/>
    </xf>
    <xf numFmtId="0" fontId="11" fillId="2" borderId="152" xfId="0" applyFont="1" applyFill="1" applyBorder="1" applyAlignment="1">
      <alignment horizontal="center" vertical="center"/>
    </xf>
    <xf numFmtId="0" fontId="11" fillId="2" borderId="159" xfId="0" applyFont="1" applyFill="1" applyBorder="1" applyAlignment="1">
      <alignment horizontal="center" vertical="center"/>
    </xf>
    <xf numFmtId="0" fontId="11" fillId="2" borderId="165" xfId="0" applyFont="1" applyFill="1" applyBorder="1" applyAlignment="1">
      <alignment horizontal="center" vertical="center"/>
    </xf>
    <xf numFmtId="0" fontId="11" fillId="2" borderId="171" xfId="0" applyFont="1" applyFill="1" applyBorder="1" applyAlignment="1">
      <alignment horizontal="center" vertical="center"/>
    </xf>
    <xf numFmtId="0" fontId="11" fillId="5" borderId="177" xfId="0" applyFont="1" applyFill="1" applyBorder="1" applyAlignment="1">
      <alignment horizontal="center" vertical="center"/>
    </xf>
    <xf numFmtId="0" fontId="11" fillId="0" borderId="183" xfId="0" applyFont="1" applyBorder="1" applyAlignment="1">
      <alignment horizontal="center" vertical="center"/>
    </xf>
    <xf numFmtId="0" fontId="11" fillId="0" borderId="187" xfId="0" applyFont="1" applyBorder="1" applyAlignment="1">
      <alignment horizontal="center" vertical="center"/>
    </xf>
    <xf numFmtId="0" fontId="11" fillId="2" borderId="385" xfId="0" applyFont="1" applyFill="1" applyBorder="1" applyAlignment="1">
      <alignment horizontal="center" vertical="center"/>
    </xf>
    <xf numFmtId="0" fontId="11" fillId="2" borderId="389" xfId="0" applyFont="1" applyFill="1" applyBorder="1" applyAlignment="1">
      <alignment horizontal="center" vertical="center"/>
    </xf>
    <xf numFmtId="0" fontId="11" fillId="0" borderId="191" xfId="0" applyFont="1" applyBorder="1" applyAlignment="1">
      <alignment horizontal="center" vertical="center"/>
    </xf>
    <xf numFmtId="0" fontId="11" fillId="0" borderId="196" xfId="0" applyFont="1" applyBorder="1" applyAlignment="1">
      <alignment horizontal="center" vertical="center"/>
    </xf>
    <xf numFmtId="0" fontId="11" fillId="0" borderId="201" xfId="0" applyFont="1" applyBorder="1" applyAlignment="1">
      <alignment horizontal="center" vertical="center"/>
    </xf>
    <xf numFmtId="0" fontId="11" fillId="0" borderId="206" xfId="0" applyFont="1" applyBorder="1" applyAlignment="1">
      <alignment horizontal="center" vertical="center"/>
    </xf>
    <xf numFmtId="0" fontId="11" fillId="0" borderId="211" xfId="0" applyFont="1" applyBorder="1" applyAlignment="1">
      <alignment horizontal="center" vertical="center"/>
    </xf>
    <xf numFmtId="0" fontId="11" fillId="0" borderId="216" xfId="0" applyFont="1" applyBorder="1" applyAlignment="1">
      <alignment horizontal="center" vertical="center"/>
    </xf>
    <xf numFmtId="0" fontId="11" fillId="0" borderId="221" xfId="0" applyFont="1" applyBorder="1" applyAlignment="1">
      <alignment horizontal="center" vertical="center"/>
    </xf>
    <xf numFmtId="0" fontId="11" fillId="0" borderId="226" xfId="0" applyFont="1" applyBorder="1" applyAlignment="1">
      <alignment horizontal="center" vertical="center"/>
    </xf>
    <xf numFmtId="0" fontId="11" fillId="0" borderId="231" xfId="0" applyFont="1" applyBorder="1" applyAlignment="1">
      <alignment horizontal="center" vertical="center"/>
    </xf>
    <xf numFmtId="0" fontId="11" fillId="0" borderId="236" xfId="0" applyFont="1" applyBorder="1" applyAlignment="1">
      <alignment horizontal="center" vertical="center"/>
    </xf>
    <xf numFmtId="0" fontId="11" fillId="0" borderId="241" xfId="0" applyFont="1" applyBorder="1" applyAlignment="1">
      <alignment horizontal="center" vertical="center"/>
    </xf>
    <xf numFmtId="0" fontId="11" fillId="0" borderId="246" xfId="0" applyFont="1" applyBorder="1" applyAlignment="1">
      <alignment horizontal="center" vertical="center"/>
    </xf>
    <xf numFmtId="0" fontId="11" fillId="0" borderId="256" xfId="0" applyFont="1" applyBorder="1" applyAlignment="1">
      <alignment horizontal="center" vertical="center"/>
    </xf>
    <xf numFmtId="0" fontId="11" fillId="0" borderId="261" xfId="0" applyFont="1" applyBorder="1" applyAlignment="1">
      <alignment horizontal="center" vertical="center"/>
    </xf>
    <xf numFmtId="0" fontId="11" fillId="0" borderId="269" xfId="0" applyFont="1" applyBorder="1" applyAlignment="1">
      <alignment horizontal="center" vertical="center"/>
    </xf>
    <xf numFmtId="0" fontId="11" fillId="0" borderId="559" xfId="0" applyFont="1" applyBorder="1" applyAlignment="1">
      <alignment horizontal="center" vertical="center"/>
    </xf>
    <xf numFmtId="0" fontId="11" fillId="0" borderId="253" xfId="0" applyFont="1" applyBorder="1" applyAlignment="1">
      <alignment horizontal="center" vertical="center"/>
    </xf>
    <xf numFmtId="0" fontId="11" fillId="0" borderId="263" xfId="0" applyFont="1" applyBorder="1" applyAlignment="1">
      <alignment horizontal="center" vertical="center"/>
    </xf>
    <xf numFmtId="0" fontId="11" fillId="2" borderId="362" xfId="0" applyFont="1" applyFill="1" applyBorder="1" applyAlignment="1">
      <alignment horizontal="center"/>
    </xf>
    <xf numFmtId="0" fontId="11" fillId="2" borderId="335" xfId="0" applyFont="1" applyFill="1" applyBorder="1" applyAlignment="1">
      <alignment horizontal="center"/>
    </xf>
    <xf numFmtId="0" fontId="11" fillId="2" borderId="339" xfId="0" applyFont="1" applyFill="1" applyBorder="1" applyAlignment="1">
      <alignment horizontal="center"/>
    </xf>
    <xf numFmtId="0" fontId="11" fillId="2" borderId="253" xfId="0" applyFont="1" applyFill="1" applyBorder="1" applyAlignment="1">
      <alignment horizontal="center"/>
    </xf>
    <xf numFmtId="0" fontId="11" fillId="2" borderId="118" xfId="0" applyFont="1" applyFill="1" applyBorder="1" applyAlignment="1">
      <alignment horizontal="center"/>
    </xf>
    <xf numFmtId="0" fontId="11" fillId="2" borderId="263" xfId="0" applyFont="1" applyFill="1" applyBorder="1" applyAlignment="1">
      <alignment horizontal="center"/>
    </xf>
    <xf numFmtId="0" fontId="11" fillId="8" borderId="337" xfId="0" applyFont="1" applyFill="1" applyBorder="1" applyAlignment="1">
      <alignment horizontal="center"/>
    </xf>
    <xf numFmtId="0" fontId="11" fillId="2" borderId="55" xfId="0" applyFont="1" applyFill="1" applyBorder="1" applyAlignment="1">
      <alignment horizontal="center"/>
    </xf>
    <xf numFmtId="0" fontId="11" fillId="2" borderId="267" xfId="0" applyFont="1" applyFill="1" applyBorder="1" applyAlignment="1">
      <alignment horizontal="center"/>
    </xf>
    <xf numFmtId="0" fontId="11" fillId="8" borderId="339" xfId="0" applyFont="1" applyFill="1" applyBorder="1" applyAlignment="1">
      <alignment horizontal="center"/>
    </xf>
    <xf numFmtId="0" fontId="14" fillId="2" borderId="55" xfId="0" applyFont="1" applyFill="1" applyBorder="1" applyAlignment="1">
      <alignment horizontal="center"/>
    </xf>
    <xf numFmtId="0" fontId="11" fillId="2" borderId="63" xfId="0" applyFont="1" applyFill="1" applyBorder="1" applyAlignment="1">
      <alignment horizontal="center"/>
    </xf>
    <xf numFmtId="0" fontId="11" fillId="0" borderId="63" xfId="0" applyFont="1" applyBorder="1" applyAlignment="1">
      <alignment horizontal="center"/>
    </xf>
    <xf numFmtId="0" fontId="11" fillId="0" borderId="267" xfId="0" applyFont="1" applyBorder="1" applyAlignment="1">
      <alignment horizontal="center"/>
    </xf>
    <xf numFmtId="0" fontId="11" fillId="0" borderId="362" xfId="0" applyFont="1" applyBorder="1" applyAlignment="1">
      <alignment horizontal="center"/>
    </xf>
    <xf numFmtId="0" fontId="11" fillId="0" borderId="335" xfId="0" applyFont="1" applyBorder="1" applyAlignment="1">
      <alignment horizontal="center"/>
    </xf>
    <xf numFmtId="0" fontId="11" fillId="0" borderId="339" xfId="0" applyFont="1" applyBorder="1" applyAlignment="1">
      <alignment horizontal="center"/>
    </xf>
    <xf numFmtId="0" fontId="11" fillId="0" borderId="253" xfId="0" applyFont="1" applyBorder="1" applyAlignment="1">
      <alignment horizontal="center"/>
    </xf>
    <xf numFmtId="21" fontId="11" fillId="0" borderId="335" xfId="0" applyNumberFormat="1" applyFont="1" applyBorder="1" applyAlignment="1">
      <alignment horizontal="center"/>
    </xf>
    <xf numFmtId="0" fontId="11" fillId="8" borderId="292" xfId="0" applyFont="1" applyFill="1" applyBorder="1" applyAlignment="1">
      <alignment horizontal="center"/>
    </xf>
    <xf numFmtId="0" fontId="11" fillId="0" borderId="75" xfId="0" applyFont="1" applyBorder="1" applyAlignment="1">
      <alignment horizontal="center" vertical="center"/>
    </xf>
    <xf numFmtId="0" fontId="11" fillId="0" borderId="31" xfId="0" applyFont="1" applyBorder="1" applyAlignment="1">
      <alignment horizontal="center" vertical="center"/>
    </xf>
    <xf numFmtId="0" fontId="11" fillId="0" borderId="74" xfId="0" applyFont="1" applyBorder="1" applyAlignment="1">
      <alignment horizontal="center" vertical="center"/>
    </xf>
    <xf numFmtId="0" fontId="11" fillId="0" borderId="103" xfId="0" applyFont="1" applyBorder="1" applyAlignment="1">
      <alignment horizontal="center" vertical="center"/>
    </xf>
    <xf numFmtId="0" fontId="11" fillId="0" borderId="407" xfId="0" applyFont="1" applyBorder="1" applyAlignment="1">
      <alignment horizontal="center" vertical="center"/>
    </xf>
    <xf numFmtId="0" fontId="11" fillId="0" borderId="454" xfId="0" applyFont="1" applyBorder="1" applyAlignment="1">
      <alignment horizontal="center" vertical="center"/>
    </xf>
    <xf numFmtId="0" fontId="11" fillId="0" borderId="455" xfId="0" applyFont="1" applyBorder="1" applyAlignment="1">
      <alignment horizontal="center" vertical="center"/>
    </xf>
    <xf numFmtId="0" fontId="11" fillId="0" borderId="442" xfId="0" applyFont="1" applyBorder="1" applyAlignment="1">
      <alignment horizontal="center" vertical="center"/>
    </xf>
    <xf numFmtId="0" fontId="11" fillId="0" borderId="447" xfId="0" applyFont="1" applyBorder="1" applyAlignment="1">
      <alignment horizontal="center" vertical="center"/>
    </xf>
    <xf numFmtId="0" fontId="11" fillId="0" borderId="469" xfId="0" applyFont="1" applyBorder="1" applyAlignment="1">
      <alignment horizontal="center" vertical="center"/>
    </xf>
    <xf numFmtId="0" fontId="11" fillId="0" borderId="510" xfId="0" applyFont="1" applyBorder="1" applyAlignment="1">
      <alignment horizontal="center" vertical="center"/>
    </xf>
    <xf numFmtId="0" fontId="11" fillId="0" borderId="562" xfId="0" applyFont="1" applyBorder="1" applyAlignment="1">
      <alignment horizontal="center" vertical="center"/>
    </xf>
    <xf numFmtId="0" fontId="11" fillId="0" borderId="590" xfId="0" applyFont="1" applyBorder="1" applyAlignment="1">
      <alignment horizontal="center" vertical="center"/>
    </xf>
    <xf numFmtId="0" fontId="11" fillId="0" borderId="593" xfId="0" applyFont="1" applyBorder="1" applyAlignment="1">
      <alignment horizontal="center" vertical="center"/>
    </xf>
    <xf numFmtId="0" fontId="11" fillId="0" borderId="587" xfId="0" applyFont="1" applyBorder="1" applyAlignment="1">
      <alignment horizontal="center" vertical="center"/>
    </xf>
    <xf numFmtId="0" fontId="11" fillId="0" borderId="588" xfId="0" applyFont="1" applyBorder="1" applyAlignment="1">
      <alignment horizontal="center" vertical="center"/>
    </xf>
    <xf numFmtId="0" fontId="11" fillId="0" borderId="583" xfId="0" applyFont="1" applyBorder="1" applyAlignment="1">
      <alignment horizontal="center" vertical="center"/>
    </xf>
    <xf numFmtId="0" fontId="11" fillId="0" borderId="591" xfId="0" applyFont="1" applyBorder="1" applyAlignment="1">
      <alignment horizontal="center" vertical="center"/>
    </xf>
    <xf numFmtId="0" fontId="11" fillId="0" borderId="601" xfId="0" applyFont="1" applyBorder="1" applyAlignment="1">
      <alignment horizontal="center" vertical="center"/>
    </xf>
    <xf numFmtId="0" fontId="11" fillId="0" borderId="625" xfId="0" applyFont="1" applyBorder="1" applyAlignment="1">
      <alignment horizontal="center" vertical="center"/>
    </xf>
    <xf numFmtId="0" fontId="11" fillId="0" borderId="414" xfId="0" applyFont="1" applyBorder="1" applyAlignment="1">
      <alignment horizontal="center" vertical="center"/>
    </xf>
    <xf numFmtId="0" fontId="11" fillId="0" borderId="626" xfId="0" applyFont="1" applyBorder="1" applyAlignment="1">
      <alignment horizontal="center" vertical="center"/>
    </xf>
    <xf numFmtId="0" fontId="11" fillId="0" borderId="643" xfId="0" applyFont="1" applyBorder="1" applyAlignment="1">
      <alignment horizontal="center" vertical="center"/>
    </xf>
    <xf numFmtId="0" fontId="11" fillId="5" borderId="644" xfId="0" applyFont="1" applyFill="1" applyBorder="1" applyAlignment="1">
      <alignment horizontal="center" vertical="center"/>
    </xf>
    <xf numFmtId="0" fontId="11" fillId="0" borderId="644" xfId="0" applyFont="1" applyBorder="1" applyAlignment="1">
      <alignment horizontal="center" vertical="center"/>
    </xf>
    <xf numFmtId="0" fontId="11" fillId="5" borderId="414" xfId="0" applyFont="1" applyFill="1" applyBorder="1" applyAlignment="1">
      <alignment horizontal="center" vertical="center"/>
    </xf>
    <xf numFmtId="0" fontId="11" fillId="0" borderId="290" xfId="0" applyFont="1" applyBorder="1" applyAlignment="1">
      <alignment horizontal="center" vertical="center"/>
    </xf>
    <xf numFmtId="0" fontId="11" fillId="0" borderId="623" xfId="0" applyFont="1" applyBorder="1" applyAlignment="1">
      <alignment horizontal="center" vertical="center"/>
    </xf>
    <xf numFmtId="0" fontId="11" fillId="0" borderId="618" xfId="0" applyFont="1" applyBorder="1" applyAlignment="1">
      <alignment horizontal="center" vertical="center"/>
    </xf>
    <xf numFmtId="0" fontId="11" fillId="0" borderId="619" xfId="0" applyFont="1" applyBorder="1" applyAlignment="1">
      <alignment horizontal="center" vertical="center"/>
    </xf>
    <xf numFmtId="0" fontId="11" fillId="0" borderId="620" xfId="0" applyFont="1" applyBorder="1" applyAlignment="1">
      <alignment horizontal="center" vertical="center"/>
    </xf>
    <xf numFmtId="0" fontId="11" fillId="0" borderId="583" xfId="0" applyFont="1" applyBorder="1" applyAlignment="1">
      <alignment horizontal="center"/>
    </xf>
    <xf numFmtId="0" fontId="11" fillId="0" borderId="623" xfId="0" applyFont="1" applyBorder="1" applyAlignment="1">
      <alignment horizontal="center"/>
    </xf>
    <xf numFmtId="0" fontId="11" fillId="0" borderId="618" xfId="0" applyFont="1" applyBorder="1" applyAlignment="1">
      <alignment horizontal="center"/>
    </xf>
    <xf numFmtId="0" fontId="11" fillId="9" borderId="398" xfId="0" applyFont="1" applyFill="1" applyBorder="1" applyAlignment="1">
      <alignment horizontal="center" vertical="center"/>
    </xf>
    <xf numFmtId="0" fontId="11" fillId="0" borderId="515" xfId="0" applyFont="1" applyBorder="1" applyAlignment="1">
      <alignment horizontal="center" vertical="center"/>
    </xf>
    <xf numFmtId="0" fontId="11" fillId="0" borderId="547" xfId="0" applyFont="1" applyBorder="1" applyAlignment="1">
      <alignment horizontal="center" vertical="center"/>
    </xf>
    <xf numFmtId="0" fontId="11" fillId="0" borderId="703" xfId="0" applyFont="1" applyBorder="1" applyAlignment="1">
      <alignment horizontal="center" vertical="center"/>
    </xf>
    <xf numFmtId="0" fontId="11" fillId="0" borderId="598" xfId="0" applyFont="1" applyBorder="1" applyAlignment="1">
      <alignment horizontal="center" vertical="center"/>
    </xf>
    <xf numFmtId="0" fontId="11" fillId="0" borderId="710" xfId="0" applyFont="1" applyBorder="1" applyAlignment="1">
      <alignment horizontal="center" vertical="center"/>
    </xf>
    <xf numFmtId="0" fontId="11" fillId="0" borderId="695" xfId="0" applyFont="1" applyBorder="1" applyAlignment="1">
      <alignment horizontal="center" vertical="center"/>
    </xf>
    <xf numFmtId="0" fontId="16" fillId="5" borderId="414" xfId="95" applyFont="1" applyFill="1" applyBorder="1" applyAlignment="1">
      <alignment horizontal="center" vertical="center"/>
    </xf>
    <xf numFmtId="0" fontId="11" fillId="0" borderId="697" xfId="0" applyFont="1" applyBorder="1" applyAlignment="1">
      <alignment horizontal="center" vertical="center"/>
    </xf>
    <xf numFmtId="0" fontId="11" fillId="0" borderId="719" xfId="0" applyFont="1" applyBorder="1" applyAlignment="1">
      <alignment horizontal="center" vertical="center"/>
    </xf>
    <xf numFmtId="0" fontId="11" fillId="0" borderId="413" xfId="0" applyFont="1" applyBorder="1" applyAlignment="1">
      <alignment horizontal="center" vertical="center"/>
    </xf>
    <xf numFmtId="0" fontId="11" fillId="0" borderId="629" xfId="0" applyFont="1" applyBorder="1" applyAlignment="1">
      <alignment horizontal="center" vertical="center"/>
    </xf>
    <xf numFmtId="0" fontId="11" fillId="0" borderId="649" xfId="0" applyFont="1" applyBorder="1" applyAlignment="1">
      <alignment horizontal="center" vertical="center"/>
    </xf>
    <xf numFmtId="0" fontId="11" fillId="0" borderId="652" xfId="0" applyFont="1" applyBorder="1" applyAlignment="1">
      <alignment horizontal="center" vertical="center"/>
    </xf>
    <xf numFmtId="0" fontId="11" fillId="0" borderId="661" xfId="0" applyFont="1" applyBorder="1" applyAlignment="1">
      <alignment horizontal="center" vertical="center"/>
    </xf>
    <xf numFmtId="0" fontId="11" fillId="0" borderId="630" xfId="0" applyFont="1" applyBorder="1" applyAlignment="1">
      <alignment horizontal="center" vertical="center"/>
    </xf>
    <xf numFmtId="0" fontId="11" fillId="0" borderId="290" xfId="0" applyFont="1" applyBorder="1" applyAlignment="1">
      <alignment horizontal="center"/>
    </xf>
    <xf numFmtId="0" fontId="11" fillId="0" borderId="414" xfId="0" applyFont="1" applyBorder="1" applyAlignment="1">
      <alignment horizontal="center"/>
    </xf>
    <xf numFmtId="0" fontId="11" fillId="0" borderId="630" xfId="0" applyFont="1" applyBorder="1" applyAlignment="1">
      <alignment horizontal="center"/>
    </xf>
    <xf numFmtId="0" fontId="11" fillId="0" borderId="643" xfId="0" applyFont="1" applyBorder="1" applyAlignment="1">
      <alignment horizontal="center"/>
    </xf>
    <xf numFmtId="0" fontId="11" fillId="0" borderId="661" xfId="0" applyFont="1" applyBorder="1" applyAlignment="1">
      <alignment horizontal="center"/>
    </xf>
    <xf numFmtId="0" fontId="11" fillId="0" borderId="398" xfId="0" applyFont="1" applyBorder="1" applyAlignment="1">
      <alignment horizontal="center" vertical="center"/>
    </xf>
    <xf numFmtId="0" fontId="11" fillId="9" borderId="669" xfId="0" applyFont="1" applyFill="1" applyBorder="1" applyAlignment="1">
      <alignment horizontal="center" vertical="center"/>
    </xf>
    <xf numFmtId="0" fontId="11" fillId="0" borderId="669" xfId="0" applyFont="1" applyBorder="1" applyAlignment="1">
      <alignment horizontal="center" vertical="center"/>
    </xf>
    <xf numFmtId="0" fontId="11" fillId="0" borderId="670" xfId="0" applyFont="1" applyBorder="1" applyAlignment="1">
      <alignment horizontal="center" vertical="center"/>
    </xf>
    <xf numFmtId="0" fontId="11" fillId="2" borderId="643" xfId="0" applyFont="1" applyFill="1" applyBorder="1" applyAlignment="1">
      <alignment horizontal="center" vertical="center"/>
    </xf>
    <xf numFmtId="0" fontId="11" fillId="2" borderId="669" xfId="0" applyFont="1" applyFill="1" applyBorder="1" applyAlignment="1">
      <alignment horizontal="center" vertical="center"/>
    </xf>
    <xf numFmtId="0" fontId="11" fillId="0" borderId="414" xfId="95" applyFont="1" applyFill="1" applyBorder="1" applyAlignment="1">
      <alignment horizontal="center" vertical="center"/>
    </xf>
    <xf numFmtId="21" fontId="11" fillId="0" borderId="414" xfId="0" applyNumberFormat="1" applyFont="1" applyBorder="1" applyAlignment="1">
      <alignment horizontal="center" vertical="center"/>
    </xf>
    <xf numFmtId="0" fontId="17" fillId="0" borderId="731" xfId="0" applyFont="1" applyBorder="1" applyAlignment="1">
      <alignment horizontal="center" vertical="center"/>
    </xf>
    <xf numFmtId="0" fontId="17" fillId="0" borderId="32" xfId="0" applyFont="1" applyBorder="1" applyAlignment="1">
      <alignment horizontal="center" vertical="center"/>
    </xf>
    <xf numFmtId="0" fontId="11" fillId="0" borderId="556" xfId="0" applyFont="1" applyBorder="1" applyAlignment="1">
      <alignment horizontal="center"/>
    </xf>
    <xf numFmtId="0" fontId="11" fillId="0" borderId="32" xfId="0" applyFont="1" applyBorder="1" applyAlignment="1">
      <alignment horizontal="center"/>
    </xf>
    <xf numFmtId="0" fontId="11" fillId="0" borderId="734" xfId="0" applyFont="1" applyBorder="1" applyAlignment="1">
      <alignment horizontal="center"/>
    </xf>
    <xf numFmtId="0" fontId="11" fillId="0" borderId="731" xfId="0" applyFont="1" applyBorder="1" applyAlignment="1">
      <alignment horizontal="center" vertical="center"/>
    </xf>
    <xf numFmtId="0" fontId="11" fillId="0" borderId="739" xfId="0" applyFont="1" applyBorder="1" applyAlignment="1">
      <alignment horizontal="center" vertical="center"/>
    </xf>
    <xf numFmtId="0" fontId="11" fillId="0" borderId="698" xfId="0" applyFont="1" applyBorder="1" applyAlignment="1">
      <alignment horizontal="center" vertical="center"/>
    </xf>
    <xf numFmtId="0" fontId="11" fillId="2" borderId="739" xfId="0" applyFont="1" applyFill="1" applyBorder="1" applyAlignment="1">
      <alignment horizontal="center" vertical="center"/>
    </xf>
    <xf numFmtId="0" fontId="11" fillId="2" borderId="604" xfId="0" applyFont="1" applyFill="1" applyBorder="1" applyAlignment="1">
      <alignment horizontal="center" vertical="center"/>
    </xf>
    <xf numFmtId="0" fontId="11" fillId="2" borderId="687" xfId="0" applyFont="1" applyFill="1" applyBorder="1" applyAlignment="1">
      <alignment horizontal="center" vertical="center"/>
    </xf>
    <xf numFmtId="0" fontId="11" fillId="2" borderId="364" xfId="0" applyFont="1" applyFill="1" applyBorder="1" applyAlignment="1">
      <alignment horizontal="center" vertical="center"/>
    </xf>
    <xf numFmtId="0" fontId="11" fillId="2" borderId="32" xfId="0" applyFont="1" applyFill="1" applyBorder="1" applyAlignment="1">
      <alignment horizontal="center" vertical="center"/>
    </xf>
    <xf numFmtId="0" fontId="11" fillId="2" borderId="398" xfId="0" applyFont="1" applyFill="1" applyBorder="1" applyAlignment="1">
      <alignment horizontal="center" vertical="center"/>
    </xf>
    <xf numFmtId="1" fontId="10" fillId="2" borderId="728" xfId="0" applyNumberFormat="1" applyFont="1" applyFill="1" applyBorder="1" applyAlignment="1">
      <alignment horizontal="center"/>
    </xf>
    <xf numFmtId="1" fontId="10" fillId="2" borderId="698" xfId="0" applyNumberFormat="1" applyFont="1" applyFill="1" applyBorder="1" applyAlignment="1">
      <alignment horizontal="center"/>
    </xf>
    <xf numFmtId="1" fontId="10" fillId="0" borderId="408" xfId="0" applyNumberFormat="1" applyFont="1" applyBorder="1" applyAlignment="1">
      <alignment horizontal="center"/>
    </xf>
    <xf numFmtId="1" fontId="10" fillId="0" borderId="750" xfId="0" applyNumberFormat="1" applyFont="1" applyBorder="1" applyAlignment="1">
      <alignment horizontal="center"/>
    </xf>
    <xf numFmtId="1" fontId="10" fillId="0" borderId="751" xfId="0" applyNumberFormat="1" applyFont="1" applyBorder="1" applyAlignment="1">
      <alignment horizontal="center"/>
    </xf>
    <xf numFmtId="1" fontId="10" fillId="0" borderId="752" xfId="0" applyNumberFormat="1" applyFont="1" applyBorder="1" applyAlignment="1">
      <alignment horizontal="center"/>
    </xf>
    <xf numFmtId="1" fontId="10" fillId="5" borderId="751" xfId="0" applyNumberFormat="1" applyFont="1" applyFill="1" applyBorder="1" applyAlignment="1">
      <alignment horizontal="center"/>
    </xf>
    <xf numFmtId="1" fontId="10" fillId="5" borderId="752" xfId="0" applyNumberFormat="1" applyFont="1" applyFill="1" applyBorder="1" applyAlignment="1">
      <alignment horizontal="center"/>
    </xf>
    <xf numFmtId="1" fontId="10" fillId="2" borderId="750" xfId="0" applyNumberFormat="1" applyFont="1" applyFill="1" applyBorder="1" applyAlignment="1">
      <alignment horizontal="center"/>
    </xf>
    <xf numFmtId="1" fontId="10" fillId="2" borderId="751" xfId="0" applyNumberFormat="1" applyFont="1" applyFill="1" applyBorder="1" applyAlignment="1">
      <alignment horizontal="center"/>
    </xf>
    <xf numFmtId="1" fontId="10" fillId="2" borderId="752" xfId="0" applyNumberFormat="1" applyFont="1" applyFill="1" applyBorder="1" applyAlignment="1">
      <alignment horizontal="center"/>
    </xf>
    <xf numFmtId="1" fontId="10" fillId="5" borderId="750" xfId="0" applyNumberFormat="1" applyFont="1" applyFill="1" applyBorder="1" applyAlignment="1">
      <alignment horizontal="center"/>
    </xf>
    <xf numFmtId="1" fontId="10" fillId="2" borderId="753" xfId="0" applyNumberFormat="1" applyFont="1" applyFill="1" applyBorder="1" applyAlignment="1">
      <alignment horizontal="center"/>
    </xf>
    <xf numFmtId="1" fontId="10" fillId="8" borderId="752" xfId="0" applyNumberFormat="1" applyFont="1" applyFill="1" applyBorder="1" applyAlignment="1">
      <alignment horizontal="center"/>
    </xf>
    <xf numFmtId="1" fontId="10" fillId="8" borderId="751" xfId="0" applyNumberFormat="1" applyFont="1" applyFill="1" applyBorder="1" applyAlignment="1">
      <alignment horizontal="center"/>
    </xf>
    <xf numFmtId="1" fontId="10" fillId="2" borderId="754" xfId="0" applyNumberFormat="1" applyFont="1" applyFill="1" applyBorder="1" applyAlignment="1">
      <alignment horizontal="center"/>
    </xf>
    <xf numFmtId="1" fontId="10" fillId="9" borderId="751" xfId="0" applyNumberFormat="1" applyFont="1" applyFill="1" applyBorder="1" applyAlignment="1">
      <alignment horizontal="center"/>
    </xf>
    <xf numFmtId="1" fontId="10" fillId="2" borderId="405" xfId="0" applyNumberFormat="1" applyFont="1" applyFill="1" applyBorder="1" applyAlignment="1">
      <alignment horizontal="center"/>
    </xf>
    <xf numFmtId="1" fontId="10" fillId="2" borderId="749" xfId="0" applyNumberFormat="1" applyFont="1" applyFill="1" applyBorder="1" applyAlignment="1">
      <alignment horizontal="center"/>
    </xf>
    <xf numFmtId="1" fontId="10" fillId="2" borderId="755" xfId="0" applyNumberFormat="1" applyFont="1" applyFill="1" applyBorder="1" applyAlignment="1">
      <alignment horizontal="center"/>
    </xf>
    <xf numFmtId="1" fontId="10" fillId="2" borderId="746" xfId="0" applyNumberFormat="1" applyFont="1" applyFill="1" applyBorder="1" applyAlignment="1">
      <alignment horizontal="center"/>
    </xf>
    <xf numFmtId="1" fontId="10" fillId="2" borderId="36" xfId="0" applyNumberFormat="1" applyFont="1" applyFill="1" applyBorder="1" applyAlignment="1">
      <alignment horizontal="center"/>
    </xf>
    <xf numFmtId="1" fontId="10" fillId="2" borderId="725" xfId="0" applyNumberFormat="1" applyFont="1" applyFill="1" applyBorder="1" applyAlignment="1">
      <alignment horizontal="center"/>
    </xf>
    <xf numFmtId="1" fontId="10" fillId="2" borderId="724" xfId="0" applyNumberFormat="1" applyFont="1" applyFill="1" applyBorder="1" applyAlignment="1">
      <alignment horizontal="center"/>
    </xf>
    <xf numFmtId="1" fontId="10" fillId="0" borderId="409" xfId="0" applyNumberFormat="1" applyFont="1" applyBorder="1" applyAlignment="1">
      <alignment horizontal="center"/>
    </xf>
    <xf numFmtId="1" fontId="10" fillId="0" borderId="757" xfId="0" applyNumberFormat="1" applyFont="1" applyBorder="1" applyAlignment="1">
      <alignment horizontal="center"/>
    </xf>
    <xf numFmtId="1" fontId="10" fillId="0" borderId="758" xfId="0" applyNumberFormat="1" applyFont="1" applyBorder="1" applyAlignment="1">
      <alignment horizontal="center"/>
    </xf>
    <xf numFmtId="1" fontId="10" fillId="0" borderId="718" xfId="0" applyNumberFormat="1" applyFont="1" applyBorder="1" applyAlignment="1">
      <alignment horizontal="center"/>
    </xf>
    <xf numFmtId="1" fontId="10" fillId="0" borderId="759" xfId="0" applyNumberFormat="1" applyFont="1" applyBorder="1" applyAlignment="1">
      <alignment horizontal="center"/>
    </xf>
    <xf numFmtId="1" fontId="10" fillId="5" borderId="758" xfId="0" applyNumberFormat="1" applyFont="1" applyFill="1" applyBorder="1" applyAlignment="1">
      <alignment horizontal="center"/>
    </xf>
    <xf numFmtId="1" fontId="10" fillId="5" borderId="759" xfId="0" applyNumberFormat="1" applyFont="1" applyFill="1" applyBorder="1" applyAlignment="1">
      <alignment horizontal="center"/>
    </xf>
    <xf numFmtId="1" fontId="10" fillId="2" borderId="757" xfId="0" applyNumberFormat="1" applyFont="1" applyFill="1" applyBorder="1" applyAlignment="1">
      <alignment horizontal="center"/>
    </xf>
    <xf numFmtId="1" fontId="10" fillId="2" borderId="758" xfId="0" applyNumberFormat="1" applyFont="1" applyFill="1" applyBorder="1" applyAlignment="1">
      <alignment horizontal="center"/>
    </xf>
    <xf numFmtId="1" fontId="10" fillId="2" borderId="718" xfId="0" applyNumberFormat="1" applyFont="1" applyFill="1" applyBorder="1" applyAlignment="1">
      <alignment horizontal="center"/>
    </xf>
    <xf numFmtId="1" fontId="10" fillId="2" borderId="759" xfId="0" applyNumberFormat="1" applyFont="1" applyFill="1" applyBorder="1" applyAlignment="1">
      <alignment horizontal="center"/>
    </xf>
    <xf numFmtId="1" fontId="10" fillId="2" borderId="409" xfId="0" applyNumberFormat="1" applyFont="1" applyFill="1" applyBorder="1" applyAlignment="1">
      <alignment horizontal="center"/>
    </xf>
    <xf numFmtId="1" fontId="10" fillId="5" borderId="757" xfId="0" applyNumberFormat="1" applyFont="1" applyFill="1" applyBorder="1" applyAlignment="1">
      <alignment horizontal="center"/>
    </xf>
    <xf numFmtId="1" fontId="10" fillId="2" borderId="760" xfId="0" applyNumberFormat="1" applyFont="1" applyFill="1" applyBorder="1" applyAlignment="1">
      <alignment horizontal="center"/>
    </xf>
    <xf numFmtId="1" fontId="10" fillId="8" borderId="759" xfId="0" applyNumberFormat="1" applyFont="1" applyFill="1" applyBorder="1" applyAlignment="1">
      <alignment horizontal="center"/>
    </xf>
    <xf numFmtId="1" fontId="10" fillId="8" borderId="758" xfId="0" applyNumberFormat="1" applyFont="1" applyFill="1" applyBorder="1" applyAlignment="1">
      <alignment horizontal="center"/>
    </xf>
    <xf numFmtId="1" fontId="10" fillId="2" borderId="761" xfId="0" applyNumberFormat="1" applyFont="1" applyFill="1" applyBorder="1" applyAlignment="1">
      <alignment horizontal="center"/>
    </xf>
    <xf numFmtId="1" fontId="10" fillId="9" borderId="758" xfId="0" applyNumberFormat="1" applyFont="1" applyFill="1" applyBorder="1" applyAlignment="1">
      <alignment horizontal="center"/>
    </xf>
    <xf numFmtId="1" fontId="10" fillId="2" borderId="747" xfId="0" applyNumberFormat="1" applyFont="1" applyFill="1" applyBorder="1" applyAlignment="1">
      <alignment horizontal="center"/>
    </xf>
    <xf numFmtId="1" fontId="10" fillId="2" borderId="748" xfId="0" applyNumberFormat="1" applyFont="1" applyFill="1" applyBorder="1" applyAlignment="1">
      <alignment horizontal="center"/>
    </xf>
    <xf numFmtId="1" fontId="8" fillId="0" borderId="6" xfId="0" applyNumberFormat="1" applyFont="1" applyBorder="1" applyAlignment="1">
      <alignment horizontal="center"/>
    </xf>
    <xf numFmtId="2" fontId="10" fillId="0" borderId="762" xfId="0" applyNumberFormat="1" applyFont="1" applyBorder="1" applyAlignment="1">
      <alignment horizontal="center"/>
    </xf>
    <xf numFmtId="0" fontId="11" fillId="2" borderId="731" xfId="0" applyFont="1" applyFill="1" applyBorder="1" applyAlignment="1">
      <alignment horizontal="center" vertical="center"/>
    </xf>
    <xf numFmtId="0" fontId="11" fillId="2" borderId="698" xfId="0" applyFont="1" applyFill="1" applyBorder="1" applyAlignment="1">
      <alignment horizontal="center" vertical="center"/>
    </xf>
    <xf numFmtId="0" fontId="11" fillId="2" borderId="567" xfId="0" applyFont="1" applyFill="1" applyBorder="1" applyAlignment="1">
      <alignment horizontal="center" vertical="center"/>
    </xf>
    <xf numFmtId="0" fontId="11" fillId="0" borderId="364" xfId="0" applyFont="1" applyBorder="1" applyAlignment="1">
      <alignment horizontal="center" vertical="center"/>
    </xf>
    <xf numFmtId="0" fontId="11" fillId="2" borderId="32" xfId="0" applyFont="1" applyFill="1" applyBorder="1" applyAlignment="1">
      <alignment horizontal="center"/>
    </xf>
    <xf numFmtId="0" fontId="11" fillId="2" borderId="739" xfId="0" applyFont="1" applyFill="1" applyBorder="1" applyAlignment="1">
      <alignment horizontal="center"/>
    </xf>
    <xf numFmtId="0" fontId="11" fillId="2" borderId="698" xfId="0" applyFont="1" applyFill="1" applyBorder="1" applyAlignment="1">
      <alignment horizontal="center"/>
    </xf>
    <xf numFmtId="0" fontId="11" fillId="2" borderId="731" xfId="0" applyFont="1" applyFill="1" applyBorder="1" applyAlignment="1">
      <alignment horizontal="center"/>
    </xf>
    <xf numFmtId="0" fontId="11" fillId="2" borderId="762" xfId="0" applyFont="1" applyFill="1" applyBorder="1" applyAlignment="1">
      <alignment horizontal="center"/>
    </xf>
    <xf numFmtId="0" fontId="11" fillId="2" borderId="763" xfId="0" applyFont="1" applyFill="1" applyBorder="1" applyAlignment="1">
      <alignment horizontal="center"/>
    </xf>
    <xf numFmtId="0" fontId="11" fillId="0" borderId="739" xfId="0" applyFont="1" applyBorder="1" applyAlignment="1">
      <alignment horizontal="center"/>
    </xf>
    <xf numFmtId="0" fontId="11" fillId="0" borderId="698" xfId="0" applyFont="1" applyBorder="1" applyAlignment="1">
      <alignment horizontal="center"/>
    </xf>
    <xf numFmtId="0" fontId="11" fillId="0" borderId="731" xfId="0" applyFont="1" applyBorder="1" applyAlignment="1">
      <alignment horizontal="center"/>
    </xf>
    <xf numFmtId="0" fontId="11" fillId="0" borderId="604" xfId="0" applyFont="1" applyBorder="1" applyAlignment="1">
      <alignment horizontal="center" vertical="center"/>
    </xf>
    <xf numFmtId="21" fontId="10" fillId="0" borderId="32" xfId="0" applyNumberFormat="1" applyFont="1" applyBorder="1" applyAlignment="1">
      <alignment horizontal="center"/>
    </xf>
    <xf numFmtId="21" fontId="10" fillId="0" borderId="334" xfId="0" applyNumberFormat="1" applyFont="1" applyBorder="1" applyAlignment="1">
      <alignment horizontal="center"/>
    </xf>
    <xf numFmtId="21" fontId="10" fillId="0" borderId="643" xfId="0" applyNumberFormat="1" applyFont="1" applyBorder="1" applyAlignment="1">
      <alignment horizontal="center"/>
    </xf>
    <xf numFmtId="21" fontId="10" fillId="0" borderId="414" xfId="0" applyNumberFormat="1" applyFont="1" applyBorder="1" applyAlignment="1">
      <alignment horizontal="center"/>
    </xf>
    <xf numFmtId="21" fontId="10" fillId="0" borderId="734" xfId="0" applyNumberFormat="1" applyFont="1" applyBorder="1" applyAlignment="1">
      <alignment horizontal="center"/>
    </xf>
    <xf numFmtId="167" fontId="10" fillId="0" borderId="762" xfId="0" applyNumberFormat="1" applyFont="1" applyBorder="1" applyAlignment="1">
      <alignment horizontal="center"/>
    </xf>
    <xf numFmtId="1" fontId="10" fillId="0" borderId="762" xfId="0" applyNumberFormat="1" applyFont="1" applyBorder="1" applyAlignment="1">
      <alignment horizontal="center"/>
    </xf>
    <xf numFmtId="1" fontId="10" fillId="0" borderId="762" xfId="0" applyNumberFormat="1" applyFont="1" applyBorder="1" applyAlignment="1">
      <alignment horizontal="center" vertical="center"/>
    </xf>
    <xf numFmtId="0" fontId="11" fillId="0" borderId="762" xfId="0" applyFont="1" applyBorder="1" applyAlignment="1">
      <alignment horizontal="center"/>
    </xf>
    <xf numFmtId="21" fontId="10" fillId="2" borderId="762" xfId="0" applyNumberFormat="1" applyFont="1" applyFill="1" applyBorder="1" applyAlignment="1">
      <alignment horizontal="center"/>
    </xf>
    <xf numFmtId="169" fontId="10" fillId="2" borderId="762" xfId="0" applyNumberFormat="1" applyFont="1" applyFill="1" applyBorder="1" applyAlignment="1">
      <alignment horizontal="center"/>
    </xf>
    <xf numFmtId="45" fontId="10" fillId="0" borderId="762" xfId="0" applyNumberFormat="1" applyFont="1" applyBorder="1" applyAlignment="1">
      <alignment horizontal="center"/>
    </xf>
    <xf numFmtId="1" fontId="10" fillId="2" borderId="762" xfId="0" applyNumberFormat="1" applyFont="1" applyFill="1" applyBorder="1" applyAlignment="1">
      <alignment horizontal="center"/>
    </xf>
    <xf numFmtId="170" fontId="10" fillId="0" borderId="762" xfId="0" applyNumberFormat="1" applyFont="1" applyBorder="1" applyAlignment="1">
      <alignment horizontal="center"/>
    </xf>
    <xf numFmtId="45" fontId="10" fillId="2" borderId="762" xfId="0" applyNumberFormat="1" applyFont="1" applyFill="1" applyBorder="1" applyAlignment="1">
      <alignment horizontal="center"/>
    </xf>
    <xf numFmtId="1" fontId="12" fillId="2" borderId="749" xfId="0" applyNumberFormat="1" applyFont="1" applyFill="1" applyBorder="1" applyAlignment="1">
      <alignment horizontal="center"/>
    </xf>
    <xf numFmtId="1" fontId="12" fillId="2" borderId="764" xfId="0" applyNumberFormat="1" applyFont="1" applyFill="1" applyBorder="1" applyAlignment="1">
      <alignment horizontal="center"/>
    </xf>
    <xf numFmtId="1" fontId="12" fillId="2" borderId="745" xfId="0" applyNumberFormat="1" applyFont="1" applyFill="1" applyBorder="1" applyAlignment="1">
      <alignment horizontal="center"/>
    </xf>
    <xf numFmtId="21" fontId="11" fillId="0" borderId="739" xfId="0" applyNumberFormat="1" applyFont="1" applyBorder="1" applyAlignment="1">
      <alignment horizontal="center" vertical="center"/>
    </xf>
    <xf numFmtId="0" fontId="17" fillId="0" borderId="731" xfId="0" applyFont="1" applyBorder="1" applyAlignment="1">
      <alignment horizontal="center"/>
    </xf>
    <xf numFmtId="0" fontId="17" fillId="0" borderId="32" xfId="0" applyFont="1" applyBorder="1" applyAlignment="1">
      <alignment horizontal="center"/>
    </xf>
    <xf numFmtId="0" fontId="17" fillId="0" borderId="762" xfId="0" applyFont="1" applyBorder="1" applyAlignment="1">
      <alignment horizontal="center"/>
    </xf>
    <xf numFmtId="0" fontId="17" fillId="0" borderId="398" xfId="0" applyFont="1" applyBorder="1" applyAlignment="1">
      <alignment horizontal="center" vertical="center"/>
    </xf>
    <xf numFmtId="0" fontId="17" fillId="10" borderId="398" xfId="0" applyFont="1" applyFill="1" applyBorder="1" applyAlignment="1">
      <alignment horizontal="center" vertical="center"/>
    </xf>
    <xf numFmtId="1" fontId="10" fillId="2" borderId="569" xfId="0" applyNumberFormat="1" applyFont="1" applyFill="1" applyBorder="1" applyAlignment="1">
      <alignment horizontal="center"/>
    </xf>
    <xf numFmtId="167" fontId="10" fillId="0" borderId="745" xfId="0" applyNumberFormat="1" applyFont="1" applyBorder="1" applyAlignment="1">
      <alignment horizontal="center"/>
    </xf>
    <xf numFmtId="167" fontId="10" fillId="0" borderId="729" xfId="0" applyNumberFormat="1" applyFont="1" applyBorder="1" applyAlignment="1">
      <alignment horizontal="center"/>
    </xf>
    <xf numFmtId="167" fontId="10" fillId="0" borderId="766" xfId="0" applyNumberFormat="1" applyFont="1" applyBorder="1" applyAlignment="1">
      <alignment horizontal="center"/>
    </xf>
    <xf numFmtId="0" fontId="3" fillId="2" borderId="756" xfId="0" applyFont="1" applyFill="1" applyBorder="1" applyAlignment="1">
      <alignment horizontal="right"/>
    </xf>
    <xf numFmtId="0" fontId="3" fillId="2" borderId="6" xfId="0" applyFont="1" applyFill="1" applyBorder="1" applyAlignment="1">
      <alignment horizontal="right"/>
    </xf>
    <xf numFmtId="0" fontId="3" fillId="2" borderId="724" xfId="0" applyFont="1" applyFill="1" applyBorder="1" applyAlignment="1">
      <alignment horizontal="right"/>
    </xf>
    <xf numFmtId="167" fontId="10" fillId="0" borderId="765" xfId="0" applyNumberFormat="1" applyFont="1" applyBorder="1" applyAlignment="1">
      <alignment horizontal="center"/>
    </xf>
    <xf numFmtId="1" fontId="11" fillId="3" borderId="8" xfId="0" applyNumberFormat="1" applyFont="1" applyFill="1" applyBorder="1" applyAlignment="1">
      <alignment horizontal="left"/>
    </xf>
    <xf numFmtId="1" fontId="11" fillId="4" borderId="9" xfId="0" applyNumberFormat="1" applyFont="1" applyFill="1" applyBorder="1" applyAlignment="1">
      <alignment horizontal="left"/>
    </xf>
    <xf numFmtId="1" fontId="14" fillId="4" borderId="6" xfId="0" applyNumberFormat="1" applyFont="1" applyFill="1" applyBorder="1" applyAlignment="1">
      <alignment horizontal="left"/>
    </xf>
    <xf numFmtId="1" fontId="11" fillId="4" borderId="11" xfId="0" applyNumberFormat="1" applyFont="1" applyFill="1" applyBorder="1" applyAlignment="1">
      <alignment horizontal="left"/>
    </xf>
    <xf numFmtId="1" fontId="11" fillId="4" borderId="364" xfId="0" applyNumberFormat="1" applyFont="1" applyFill="1" applyBorder="1" applyAlignment="1">
      <alignment horizontal="left"/>
    </xf>
    <xf numFmtId="1" fontId="11" fillId="0" borderId="462" xfId="0" applyNumberFormat="1" applyFont="1" applyBorder="1" applyAlignment="1">
      <alignment horizontal="left"/>
    </xf>
    <xf numFmtId="2" fontId="11" fillId="0" borderId="398" xfId="0" applyNumberFormat="1" applyFont="1" applyBorder="1" applyAlignment="1">
      <alignment horizontal="left"/>
    </xf>
    <xf numFmtId="1" fontId="11" fillId="3" borderId="465" xfId="0" applyNumberFormat="1" applyFont="1" applyFill="1" applyBorder="1" applyAlignment="1">
      <alignment horizontal="left"/>
    </xf>
    <xf numFmtId="1" fontId="11" fillId="3" borderId="420" xfId="0" applyNumberFormat="1" applyFont="1" applyFill="1" applyBorder="1" applyAlignment="1">
      <alignment horizontal="left"/>
    </xf>
    <xf numFmtId="1" fontId="11" fillId="3" borderId="550" xfId="0" applyNumberFormat="1" applyFont="1" applyFill="1" applyBorder="1" applyAlignment="1">
      <alignment horizontal="left"/>
    </xf>
    <xf numFmtId="1" fontId="11" fillId="4" borderId="551" xfId="0" applyNumberFormat="1" applyFont="1" applyFill="1" applyBorder="1" applyAlignment="1">
      <alignment horizontal="left"/>
    </xf>
    <xf numFmtId="1" fontId="11" fillId="4" borderId="555" xfId="0" applyNumberFormat="1" applyFont="1" applyFill="1" applyBorder="1" applyAlignment="1">
      <alignment horizontal="left"/>
    </xf>
    <xf numFmtId="1" fontId="11" fillId="0" borderId="555" xfId="0" applyNumberFormat="1" applyFont="1" applyBorder="1" applyAlignment="1">
      <alignment horizontal="left"/>
    </xf>
    <xf numFmtId="1" fontId="11" fillId="3" borderId="474" xfId="0" applyNumberFormat="1" applyFont="1" applyFill="1" applyBorder="1" applyAlignment="1">
      <alignment horizontal="left"/>
    </xf>
    <xf numFmtId="1" fontId="11" fillId="4" borderId="648" xfId="0" applyNumberFormat="1" applyFont="1" applyFill="1" applyBorder="1" applyAlignment="1">
      <alignment horizontal="left"/>
    </xf>
    <xf numFmtId="1" fontId="11" fillId="4" borderId="611" xfId="0" applyNumberFormat="1" applyFont="1" applyFill="1" applyBorder="1" applyAlignment="1">
      <alignment horizontal="left"/>
    </xf>
    <xf numFmtId="1" fontId="11" fillId="4" borderId="6" xfId="0" applyNumberFormat="1" applyFont="1" applyFill="1" applyBorder="1" applyAlignment="1">
      <alignment horizontal="left"/>
    </xf>
    <xf numFmtId="1" fontId="11" fillId="0" borderId="611" xfId="0" applyNumberFormat="1" applyFont="1" applyBorder="1" applyAlignment="1">
      <alignment horizontal="left"/>
    </xf>
    <xf numFmtId="2" fontId="11" fillId="0" borderId="610" xfId="0" applyNumberFormat="1" applyFont="1" applyBorder="1" applyAlignment="1">
      <alignment horizontal="left"/>
    </xf>
    <xf numFmtId="2" fontId="11" fillId="0" borderId="334" xfId="0" applyNumberFormat="1" applyFont="1" applyBorder="1" applyAlignment="1">
      <alignment horizontal="left"/>
    </xf>
    <xf numFmtId="2" fontId="11" fillId="0" borderId="679" xfId="0" applyNumberFormat="1" applyFont="1" applyBorder="1" applyAlignment="1">
      <alignment horizontal="left"/>
    </xf>
    <xf numFmtId="1" fontId="11" fillId="4" borderId="744" xfId="0" applyNumberFormat="1" applyFont="1" applyFill="1" applyBorder="1" applyAlignment="1">
      <alignment horizontal="left"/>
    </xf>
    <xf numFmtId="1" fontId="11" fillId="0" borderId="744" xfId="0" applyNumberFormat="1" applyFont="1" applyBorder="1" applyAlignment="1">
      <alignment horizontal="left"/>
    </xf>
    <xf numFmtId="1" fontId="14" fillId="2" borderId="596" xfId="0" applyNumberFormat="1" applyFont="1" applyFill="1" applyBorder="1" applyAlignment="1">
      <alignment horizontal="left"/>
    </xf>
    <xf numFmtId="1" fontId="11" fillId="2" borderId="15" xfId="0" applyNumberFormat="1" applyFont="1" applyFill="1" applyBorder="1" applyAlignment="1">
      <alignment horizontal="left"/>
    </xf>
    <xf numFmtId="2" fontId="11" fillId="2" borderId="15" xfId="0" applyNumberFormat="1" applyFont="1" applyFill="1" applyBorder="1" applyAlignment="1">
      <alignment horizontal="left"/>
    </xf>
    <xf numFmtId="1" fontId="3" fillId="2" borderId="729" xfId="0" applyNumberFormat="1" applyFont="1" applyFill="1" applyBorder="1" applyAlignment="1">
      <alignment horizontal="left"/>
    </xf>
    <xf numFmtId="1" fontId="14" fillId="2" borderId="597" xfId="0" applyNumberFormat="1" applyFont="1" applyFill="1" applyBorder="1" applyAlignment="1">
      <alignment horizontal="left"/>
    </xf>
    <xf numFmtId="1" fontId="11" fillId="2" borderId="0" xfId="0" applyNumberFormat="1" applyFont="1" applyFill="1" applyAlignment="1">
      <alignment horizontal="left"/>
    </xf>
    <xf numFmtId="2" fontId="11" fillId="2" borderId="0" xfId="0" applyNumberFormat="1" applyFont="1" applyFill="1" applyAlignment="1">
      <alignment horizontal="left"/>
    </xf>
    <xf numFmtId="1" fontId="3" fillId="0" borderId="0" xfId="0" applyNumberFormat="1" applyFont="1" applyAlignment="1">
      <alignment horizontal="left"/>
    </xf>
    <xf numFmtId="21" fontId="17" fillId="0" borderId="762" xfId="0" applyNumberFormat="1" applyFont="1" applyBorder="1" applyAlignment="1">
      <alignment horizontal="center"/>
    </xf>
    <xf numFmtId="167" fontId="10" fillId="5" borderId="740" xfId="0" applyNumberFormat="1" applyFont="1" applyFill="1" applyBorder="1" applyAlignment="1">
      <alignment horizontal="center"/>
    </xf>
    <xf numFmtId="167" fontId="10" fillId="5" borderId="762" xfId="0" applyNumberFormat="1" applyFont="1" applyFill="1" applyBorder="1" applyAlignment="1">
      <alignment horizontal="center"/>
    </xf>
    <xf numFmtId="167" fontId="10" fillId="5" borderId="398" xfId="0" applyNumberFormat="1" applyFont="1" applyFill="1" applyBorder="1" applyAlignment="1">
      <alignment horizontal="center"/>
    </xf>
    <xf numFmtId="167" fontId="10" fillId="5" borderId="731" xfId="0" applyNumberFormat="1" applyFont="1" applyFill="1" applyBorder="1" applyAlignment="1">
      <alignment horizontal="center"/>
    </xf>
    <xf numFmtId="1" fontId="10" fillId="0" borderId="770" xfId="0" applyNumberFormat="1" applyFont="1" applyBorder="1" applyAlignment="1">
      <alignment horizontal="center" vertical="center"/>
    </xf>
    <xf numFmtId="1" fontId="10" fillId="0" borderId="405" xfId="0" applyNumberFormat="1" applyFont="1" applyBorder="1" applyAlignment="1">
      <alignment horizontal="center" vertical="center"/>
    </xf>
    <xf numFmtId="1" fontId="10" fillId="0" borderId="749" xfId="0" applyNumberFormat="1" applyFont="1" applyBorder="1" applyAlignment="1">
      <alignment horizontal="center" vertical="center"/>
    </xf>
    <xf numFmtId="21" fontId="10" fillId="2" borderId="729" xfId="0" applyNumberFormat="1" applyFont="1" applyFill="1" applyBorder="1" applyAlignment="1">
      <alignment horizontal="center"/>
    </xf>
    <xf numFmtId="21" fontId="10" fillId="2" borderId="767" xfId="0" applyNumberFormat="1" applyFont="1" applyFill="1" applyBorder="1" applyAlignment="1">
      <alignment horizontal="center"/>
    </xf>
    <xf numFmtId="21" fontId="10" fillId="2" borderId="768" xfId="0" applyNumberFormat="1" applyFont="1" applyFill="1" applyBorder="1" applyAlignment="1">
      <alignment horizontal="center"/>
    </xf>
    <xf numFmtId="1" fontId="12" fillId="2" borderId="767" xfId="0" applyNumberFormat="1" applyFont="1" applyFill="1" applyBorder="1" applyAlignment="1">
      <alignment horizontal="center"/>
    </xf>
    <xf numFmtId="1" fontId="10" fillId="0" borderId="765" xfId="0" applyNumberFormat="1" applyFont="1" applyBorder="1" applyAlignment="1">
      <alignment horizontal="center"/>
    </xf>
    <xf numFmtId="1" fontId="10" fillId="0" borderId="765" xfId="0" applyNumberFormat="1" applyFont="1" applyBorder="1" applyAlignment="1">
      <alignment horizontal="center" vertical="center"/>
    </xf>
    <xf numFmtId="21" fontId="10" fillId="2" borderId="765" xfId="0" applyNumberFormat="1" applyFont="1" applyFill="1" applyBorder="1" applyAlignment="1">
      <alignment horizontal="center"/>
    </xf>
    <xf numFmtId="169" fontId="10" fillId="2" borderId="765" xfId="0" applyNumberFormat="1" applyFont="1" applyFill="1" applyBorder="1" applyAlignment="1">
      <alignment horizontal="center"/>
    </xf>
    <xf numFmtId="45" fontId="10" fillId="0" borderId="765" xfId="0" applyNumberFormat="1" applyFont="1" applyBorder="1" applyAlignment="1">
      <alignment horizontal="center"/>
    </xf>
    <xf numFmtId="1" fontId="10" fillId="2" borderId="765" xfId="0" applyNumberFormat="1" applyFont="1" applyFill="1" applyBorder="1" applyAlignment="1">
      <alignment horizontal="center"/>
    </xf>
    <xf numFmtId="170" fontId="10" fillId="0" borderId="765" xfId="0" applyNumberFormat="1" applyFont="1" applyBorder="1" applyAlignment="1">
      <alignment horizontal="center"/>
    </xf>
    <xf numFmtId="45" fontId="10" fillId="2" borderId="765" xfId="0" applyNumberFormat="1" applyFont="1" applyFill="1" applyBorder="1" applyAlignment="1">
      <alignment horizontal="center"/>
    </xf>
    <xf numFmtId="1" fontId="12" fillId="2" borderId="768" xfId="0" applyNumberFormat="1" applyFont="1" applyFill="1" applyBorder="1" applyAlignment="1">
      <alignment horizontal="center"/>
    </xf>
    <xf numFmtId="2" fontId="10" fillId="0" borderId="765" xfId="0" applyNumberFormat="1" applyFont="1" applyBorder="1" applyAlignment="1">
      <alignment horizontal="center"/>
    </xf>
    <xf numFmtId="1" fontId="10" fillId="2" borderId="771" xfId="0" applyNumberFormat="1" applyFont="1" applyFill="1" applyBorder="1" applyAlignment="1">
      <alignment horizontal="center"/>
    </xf>
    <xf numFmtId="1" fontId="12" fillId="2" borderId="771" xfId="0" applyNumberFormat="1" applyFont="1" applyFill="1" applyBorder="1" applyAlignment="1">
      <alignment horizontal="center"/>
    </xf>
    <xf numFmtId="1" fontId="12" fillId="2" borderId="772" xfId="0" applyNumberFormat="1" applyFont="1" applyFill="1" applyBorder="1" applyAlignment="1">
      <alignment horizontal="center"/>
    </xf>
    <xf numFmtId="1" fontId="12" fillId="2" borderId="773" xfId="0" applyNumberFormat="1" applyFont="1" applyFill="1" applyBorder="1" applyAlignment="1">
      <alignment horizontal="center"/>
    </xf>
    <xf numFmtId="2" fontId="11" fillId="0" borderId="414" xfId="0" applyNumberFormat="1" applyFont="1" applyBorder="1" applyAlignment="1">
      <alignment horizontal="left"/>
    </xf>
    <xf numFmtId="2" fontId="11" fillId="0" borderId="32" xfId="0" applyNumberFormat="1" applyFont="1" applyBorder="1" applyAlignment="1">
      <alignment horizontal="left"/>
    </xf>
    <xf numFmtId="2" fontId="11" fillId="0" borderId="698" xfId="0" applyNumberFormat="1" applyFont="1" applyBorder="1" applyAlignment="1">
      <alignment horizontal="left"/>
    </xf>
    <xf numFmtId="170" fontId="11" fillId="2" borderId="15" xfId="0" applyNumberFormat="1" applyFont="1" applyFill="1" applyBorder="1" applyAlignment="1">
      <alignment horizontal="left"/>
    </xf>
    <xf numFmtId="170" fontId="11" fillId="2" borderId="0" xfId="0" applyNumberFormat="1" applyFont="1" applyFill="1" applyAlignment="1">
      <alignment horizontal="left"/>
    </xf>
    <xf numFmtId="0" fontId="3" fillId="0" borderId="772" xfId="0" applyFont="1" applyBorder="1" applyAlignment="1">
      <alignment horizontal="center"/>
    </xf>
    <xf numFmtId="1" fontId="10" fillId="0" borderId="774" xfId="0" applyNumberFormat="1" applyFont="1" applyBorder="1" applyAlignment="1">
      <alignment horizontal="center" vertical="center"/>
    </xf>
    <xf numFmtId="21" fontId="10" fillId="2" borderId="773" xfId="0" applyNumberFormat="1" applyFont="1" applyFill="1" applyBorder="1" applyAlignment="1">
      <alignment horizontal="center"/>
    </xf>
    <xf numFmtId="169" fontId="10" fillId="2" borderId="692" xfId="0" applyNumberFormat="1" applyFont="1" applyFill="1" applyBorder="1" applyAlignment="1">
      <alignment horizontal="center"/>
    </xf>
    <xf numFmtId="167" fontId="10" fillId="8" borderId="740" xfId="0" applyNumberFormat="1" applyFont="1" applyFill="1" applyBorder="1" applyAlignment="1">
      <alignment horizontal="center"/>
    </xf>
    <xf numFmtId="167" fontId="10" fillId="8" borderId="762" xfId="0" applyNumberFormat="1" applyFont="1" applyFill="1" applyBorder="1" applyAlignment="1">
      <alignment horizontal="center"/>
    </xf>
    <xf numFmtId="1" fontId="10" fillId="0" borderId="777" xfId="0" applyNumberFormat="1" applyFont="1" applyBorder="1" applyAlignment="1">
      <alignment horizontal="center" vertical="center"/>
    </xf>
    <xf numFmtId="21" fontId="4" fillId="2" borderId="398" xfId="95" applyNumberFormat="1" applyFont="1" applyFill="1" applyBorder="1" applyAlignment="1">
      <alignment horizontal="center"/>
    </xf>
    <xf numFmtId="1" fontId="10" fillId="0" borderId="778" xfId="0" applyNumberFormat="1" applyFont="1" applyBorder="1" applyAlignment="1">
      <alignment horizontal="center" vertical="center"/>
    </xf>
    <xf numFmtId="21" fontId="10" fillId="2" borderId="779" xfId="0" applyNumberFormat="1" applyFont="1" applyFill="1" applyBorder="1" applyAlignment="1">
      <alignment horizontal="center"/>
    </xf>
    <xf numFmtId="167" fontId="10" fillId="5" borderId="765" xfId="0" applyNumberFormat="1" applyFont="1" applyFill="1" applyBorder="1" applyAlignment="1">
      <alignment horizontal="center"/>
    </xf>
    <xf numFmtId="0" fontId="11" fillId="15" borderId="398" xfId="0" applyFont="1" applyFill="1" applyBorder="1" applyAlignment="1">
      <alignment horizontal="center" vertical="center"/>
    </xf>
    <xf numFmtId="167" fontId="10" fillId="16" borderId="765" xfId="0" applyNumberFormat="1" applyFont="1" applyFill="1" applyBorder="1" applyAlignment="1">
      <alignment horizontal="center"/>
    </xf>
    <xf numFmtId="0" fontId="8" fillId="0" borderId="32" xfId="0" applyFont="1" applyBorder="1" applyAlignment="1">
      <alignment horizontal="center"/>
    </xf>
    <xf numFmtId="0" fontId="8" fillId="0" borderId="786" xfId="0" applyFont="1" applyBorder="1" applyAlignment="1">
      <alignment horizontal="center"/>
    </xf>
    <xf numFmtId="0" fontId="0" fillId="0" borderId="786" xfId="0" applyBorder="1" applyAlignment="1">
      <alignment horizontal="center"/>
    </xf>
    <xf numFmtId="1" fontId="10" fillId="0" borderId="784" xfId="0" applyNumberFormat="1" applyFont="1" applyBorder="1" applyAlignment="1">
      <alignment horizontal="center"/>
    </xf>
    <xf numFmtId="1" fontId="10" fillId="0" borderId="763" xfId="0" applyNumberFormat="1" applyFont="1" applyBorder="1" applyAlignment="1">
      <alignment horizontal="center"/>
    </xf>
    <xf numFmtId="1" fontId="10" fillId="0" borderId="790" xfId="0" applyNumberFormat="1" applyFont="1" applyBorder="1" applyAlignment="1">
      <alignment horizontal="center"/>
    </xf>
    <xf numFmtId="1" fontId="10" fillId="0" borderId="782" xfId="0" applyNumberFormat="1" applyFont="1" applyBorder="1" applyAlignment="1">
      <alignment horizontal="center"/>
    </xf>
    <xf numFmtId="1" fontId="10" fillId="0" borderId="783" xfId="0" applyNumberFormat="1" applyFont="1" applyBorder="1" applyAlignment="1">
      <alignment horizontal="center"/>
    </xf>
    <xf numFmtId="1" fontId="10" fillId="0" borderId="786" xfId="0" applyNumberFormat="1" applyFont="1" applyBorder="1" applyAlignment="1">
      <alignment horizontal="center"/>
    </xf>
    <xf numFmtId="0" fontId="17" fillId="0" borderId="786" xfId="0" applyFont="1" applyBorder="1" applyAlignment="1">
      <alignment horizontal="center"/>
    </xf>
    <xf numFmtId="1" fontId="10" fillId="0" borderId="604" xfId="0" applyNumberFormat="1" applyFont="1" applyBorder="1" applyAlignment="1">
      <alignment horizontal="center"/>
    </xf>
    <xf numFmtId="0" fontId="17" fillId="0" borderId="791" xfId="0" applyFont="1" applyBorder="1" applyAlignment="1">
      <alignment horizontal="center"/>
    </xf>
    <xf numFmtId="1" fontId="10" fillId="0" borderId="792" xfId="0" applyNumberFormat="1" applyFont="1" applyBorder="1" applyAlignment="1">
      <alignment horizontal="center"/>
    </xf>
    <xf numFmtId="0" fontId="3" fillId="0" borderId="36" xfId="0" applyFont="1" applyBorder="1" applyAlignment="1">
      <alignment horizontal="center"/>
    </xf>
    <xf numFmtId="0" fontId="3" fillId="0" borderId="787" xfId="0" applyFont="1" applyBorder="1" applyAlignment="1">
      <alignment horizontal="center"/>
    </xf>
    <xf numFmtId="0" fontId="11" fillId="0" borderId="787" xfId="0" applyFont="1" applyBorder="1" applyAlignment="1">
      <alignment horizontal="center" vertical="center"/>
    </xf>
    <xf numFmtId="0" fontId="11" fillId="0" borderId="787" xfId="0" applyFont="1" applyBorder="1" applyAlignment="1">
      <alignment horizontal="center"/>
    </xf>
    <xf numFmtId="0" fontId="3" fillId="0" borderId="789" xfId="0" applyFont="1" applyBorder="1" applyAlignment="1">
      <alignment horizontal="center"/>
    </xf>
    <xf numFmtId="0" fontId="3" fillId="0" borderId="731" xfId="0" applyFont="1" applyBorder="1" applyAlignment="1">
      <alignment horizontal="center"/>
    </xf>
    <xf numFmtId="0" fontId="3" fillId="0" borderId="792" xfId="0" applyFont="1" applyBorder="1" applyAlignment="1">
      <alignment horizontal="center"/>
    </xf>
    <xf numFmtId="0" fontId="3" fillId="0" borderId="763" xfId="0" applyFont="1" applyBorder="1" applyAlignment="1">
      <alignment horizontal="center"/>
    </xf>
    <xf numFmtId="0" fontId="3" fillId="0" borderId="602" xfId="0" applyFont="1" applyBorder="1" applyAlignment="1">
      <alignment horizontal="center"/>
    </xf>
    <xf numFmtId="0" fontId="3" fillId="0" borderId="577" xfId="0" applyFont="1" applyBorder="1" applyAlignment="1">
      <alignment horizontal="center"/>
    </xf>
    <xf numFmtId="0" fontId="3" fillId="0" borderId="782" xfId="0" applyFont="1" applyBorder="1" applyAlignment="1">
      <alignment horizontal="center"/>
    </xf>
    <xf numFmtId="0" fontId="3" fillId="0" borderId="783" xfId="0" applyFont="1" applyBorder="1" applyAlignment="1">
      <alignment horizontal="center"/>
    </xf>
    <xf numFmtId="0" fontId="3" fillId="0" borderId="785" xfId="0" applyFont="1" applyBorder="1" applyAlignment="1">
      <alignment horizontal="center"/>
    </xf>
    <xf numFmtId="0" fontId="3" fillId="0" borderId="788" xfId="0" applyFont="1" applyBorder="1" applyAlignment="1">
      <alignment horizontal="center"/>
    </xf>
    <xf numFmtId="0" fontId="3" fillId="0" borderId="405" xfId="0" applyFont="1" applyBorder="1" applyAlignment="1">
      <alignment horizontal="center"/>
    </xf>
    <xf numFmtId="0" fontId="3" fillId="0" borderId="791" xfId="0" applyFont="1" applyBorder="1" applyAlignment="1">
      <alignment horizontal="center"/>
    </xf>
    <xf numFmtId="0" fontId="3" fillId="0" borderId="255" xfId="0" applyFont="1" applyBorder="1" applyAlignment="1">
      <alignment horizontal="center"/>
    </xf>
    <xf numFmtId="0" fontId="3" fillId="0" borderId="793" xfId="0" applyFont="1" applyBorder="1" applyAlignment="1">
      <alignment horizontal="center"/>
    </xf>
    <xf numFmtId="170" fontId="3" fillId="0" borderId="793" xfId="0" applyNumberFormat="1" applyFont="1" applyBorder="1" applyAlignment="1">
      <alignment horizontal="center"/>
    </xf>
    <xf numFmtId="0" fontId="3" fillId="0" borderId="793" xfId="0" applyFont="1" applyBorder="1" applyAlignment="1">
      <alignment horizontal="center" vertical="center"/>
    </xf>
    <xf numFmtId="0" fontId="3" fillId="0" borderId="794" xfId="0" applyFont="1" applyBorder="1" applyAlignment="1">
      <alignment horizontal="center"/>
    </xf>
    <xf numFmtId="1" fontId="10" fillId="0" borderId="798" xfId="0" applyNumberFormat="1" applyFont="1" applyBorder="1" applyAlignment="1">
      <alignment horizontal="center"/>
    </xf>
    <xf numFmtId="1" fontId="10" fillId="0" borderId="778" xfId="0" applyNumberFormat="1" applyFont="1" applyBorder="1" applyAlignment="1">
      <alignment horizontal="center"/>
    </xf>
    <xf numFmtId="1" fontId="10" fillId="0" borderId="521" xfId="0" applyNumberFormat="1" applyFont="1" applyBorder="1" applyAlignment="1">
      <alignment horizontal="center"/>
    </xf>
    <xf numFmtId="1" fontId="10" fillId="0" borderId="799" xfId="0" applyNumberFormat="1" applyFont="1" applyBorder="1" applyAlignment="1">
      <alignment horizontal="center"/>
    </xf>
    <xf numFmtId="1" fontId="10" fillId="0" borderId="779" xfId="0" applyNumberFormat="1" applyFont="1" applyBorder="1" applyAlignment="1">
      <alignment horizontal="center"/>
    </xf>
    <xf numFmtId="2" fontId="11" fillId="2" borderId="731" xfId="0" applyNumberFormat="1" applyFont="1" applyFill="1" applyBorder="1" applyAlignment="1">
      <alignment horizontal="left"/>
    </xf>
    <xf numFmtId="2" fontId="11" fillId="2" borderId="797" xfId="0" applyNumberFormat="1" applyFont="1" applyFill="1" applyBorder="1" applyAlignment="1">
      <alignment horizontal="left"/>
    </xf>
    <xf numFmtId="2" fontId="11" fillId="2" borderId="796" xfId="0" applyNumberFormat="1" applyFont="1" applyFill="1" applyBorder="1" applyAlignment="1">
      <alignment horizontal="left"/>
    </xf>
    <xf numFmtId="0" fontId="11" fillId="0" borderId="803" xfId="0" applyFont="1" applyBorder="1" applyAlignment="1">
      <alignment horizontal="center" vertical="center"/>
    </xf>
    <xf numFmtId="45" fontId="10" fillId="0" borderId="795" xfId="0" applyNumberFormat="1" applyFont="1" applyBorder="1" applyAlignment="1">
      <alignment horizontal="center"/>
    </xf>
    <xf numFmtId="0" fontId="3" fillId="0" borderId="290" xfId="0" applyFont="1" applyBorder="1" applyAlignment="1">
      <alignment horizontal="center"/>
    </xf>
    <xf numFmtId="0" fontId="8" fillId="0" borderId="290" xfId="0" applyFont="1" applyBorder="1" applyAlignment="1">
      <alignment horizontal="center"/>
    </xf>
    <xf numFmtId="2" fontId="11" fillId="2" borderId="290" xfId="0" applyNumberFormat="1" applyFont="1" applyFill="1" applyBorder="1" applyAlignment="1">
      <alignment horizontal="left"/>
    </xf>
    <xf numFmtId="167" fontId="10" fillId="0" borderId="802" xfId="0" applyNumberFormat="1" applyFont="1" applyBorder="1" applyAlignment="1">
      <alignment horizontal="center"/>
    </xf>
    <xf numFmtId="0" fontId="11" fillId="0" borderId="800" xfId="0" applyFont="1" applyBorder="1" applyAlignment="1">
      <alignment horizontal="center" vertical="center"/>
    </xf>
    <xf numFmtId="21" fontId="10" fillId="2" borderId="804" xfId="0" applyNumberFormat="1" applyFont="1" applyFill="1" applyBorder="1" applyAlignment="1">
      <alignment horizontal="center"/>
    </xf>
    <xf numFmtId="169" fontId="10" fillId="2" borderId="801" xfId="0" applyNumberFormat="1" applyFont="1" applyFill="1" applyBorder="1" applyAlignment="1">
      <alignment horizontal="center"/>
    </xf>
    <xf numFmtId="45" fontId="10" fillId="0" borderId="800" xfId="0" applyNumberFormat="1" applyFont="1" applyBorder="1" applyAlignment="1">
      <alignment horizontal="center"/>
    </xf>
    <xf numFmtId="1" fontId="10" fillId="2" borderId="804" xfId="0" applyNumberFormat="1" applyFont="1" applyFill="1" applyBorder="1" applyAlignment="1">
      <alignment horizontal="center"/>
    </xf>
    <xf numFmtId="0" fontId="3" fillId="0" borderId="805" xfId="0" applyFont="1" applyBorder="1" applyAlignment="1">
      <alignment horizontal="center"/>
    </xf>
    <xf numFmtId="1" fontId="10" fillId="2" borderId="801" xfId="0" applyNumberFormat="1" applyFont="1" applyFill="1" applyBorder="1" applyAlignment="1">
      <alignment horizontal="center"/>
    </xf>
    <xf numFmtId="45" fontId="10" fillId="2" borderId="806" xfId="0" applyNumberFormat="1" applyFont="1" applyFill="1" applyBorder="1" applyAlignment="1">
      <alignment horizontal="center"/>
    </xf>
    <xf numFmtId="1" fontId="12" fillId="2" borderId="802" xfId="0" applyNumberFormat="1" applyFont="1" applyFill="1" applyBorder="1" applyAlignment="1">
      <alignment horizontal="center"/>
    </xf>
    <xf numFmtId="1" fontId="12" fillId="2" borderId="807" xfId="0" applyNumberFormat="1" applyFont="1" applyFill="1" applyBorder="1" applyAlignment="1">
      <alignment horizontal="center"/>
    </xf>
    <xf numFmtId="0" fontId="8" fillId="0" borderId="556" xfId="0" applyFont="1" applyBorder="1" applyAlignment="1">
      <alignment horizontal="center"/>
    </xf>
    <xf numFmtId="1" fontId="10" fillId="0" borderId="802" xfId="0" applyNumberFormat="1" applyFont="1" applyBorder="1" applyAlignment="1">
      <alignment horizontal="center"/>
    </xf>
    <xf numFmtId="2" fontId="11" fillId="2" borderId="556" xfId="0" applyNumberFormat="1" applyFont="1" applyFill="1" applyBorder="1" applyAlignment="1">
      <alignment horizontal="left"/>
    </xf>
    <xf numFmtId="0" fontId="8" fillId="0" borderId="604" xfId="0" applyFont="1" applyBorder="1" applyAlignment="1">
      <alignment horizontal="center"/>
    </xf>
    <xf numFmtId="0" fontId="8" fillId="0" borderId="731" xfId="0" applyFont="1" applyBorder="1" applyAlignment="1">
      <alignment horizontal="center"/>
    </xf>
    <xf numFmtId="0" fontId="8" fillId="0" borderId="492" xfId="0" applyFont="1" applyBorder="1" applyAlignment="1">
      <alignment horizontal="center"/>
    </xf>
    <xf numFmtId="1" fontId="10" fillId="0" borderId="808" xfId="0" applyNumberFormat="1" applyFont="1" applyBorder="1" applyAlignment="1">
      <alignment horizontal="center"/>
    </xf>
    <xf numFmtId="0" fontId="8" fillId="0" borderId="808" xfId="0" applyFont="1" applyBorder="1" applyAlignment="1">
      <alignment horizontal="center"/>
    </xf>
    <xf numFmtId="0" fontId="3" fillId="0" borderId="810" xfId="0" applyFont="1" applyBorder="1" applyAlignment="1">
      <alignment horizontal="center"/>
    </xf>
    <xf numFmtId="0" fontId="3" fillId="0" borderId="809" xfId="0" applyFont="1" applyBorder="1" applyAlignment="1">
      <alignment horizontal="center"/>
    </xf>
    <xf numFmtId="0" fontId="3" fillId="0" borderId="808" xfId="0" applyFont="1" applyBorder="1" applyAlignment="1">
      <alignment horizontal="center"/>
    </xf>
    <xf numFmtId="0" fontId="3" fillId="0" borderId="811" xfId="0" applyFont="1" applyBorder="1" applyAlignment="1">
      <alignment horizontal="center"/>
    </xf>
    <xf numFmtId="1" fontId="10" fillId="2" borderId="665" xfId="0" applyNumberFormat="1" applyFont="1" applyFill="1" applyBorder="1" applyAlignment="1">
      <alignment horizontal="center"/>
    </xf>
    <xf numFmtId="1" fontId="10" fillId="2" borderId="814" xfId="0" applyNumberFormat="1" applyFont="1" applyFill="1" applyBorder="1" applyAlignment="1">
      <alignment horizontal="center"/>
    </xf>
    <xf numFmtId="1" fontId="10" fillId="2" borderId="772" xfId="0" applyNumberFormat="1" applyFont="1" applyFill="1" applyBorder="1" applyAlignment="1">
      <alignment horizontal="center"/>
    </xf>
    <xf numFmtId="0" fontId="3" fillId="0" borderId="815" xfId="0" applyFont="1" applyBorder="1" applyAlignment="1">
      <alignment horizontal="center"/>
    </xf>
    <xf numFmtId="0" fontId="3" fillId="0" borderId="32" xfId="0" applyFont="1" applyBorder="1" applyAlignment="1">
      <alignment horizontal="center"/>
    </xf>
    <xf numFmtId="0" fontId="3" fillId="0" borderId="813" xfId="0" applyFont="1" applyBorder="1" applyAlignment="1">
      <alignment horizontal="center"/>
    </xf>
    <xf numFmtId="0" fontId="3" fillId="0" borderId="796" xfId="0" applyFont="1" applyBorder="1" applyAlignment="1">
      <alignment horizontal="center"/>
    </xf>
    <xf numFmtId="0" fontId="15" fillId="0" borderId="0" xfId="0" applyFont="1" applyAlignment="1">
      <alignment horizontal="center" vertical="center"/>
    </xf>
    <xf numFmtId="0" fontId="11" fillId="5" borderId="687" xfId="0" applyFont="1" applyFill="1" applyBorder="1" applyAlignment="1">
      <alignment horizontal="center" vertical="center"/>
    </xf>
    <xf numFmtId="0" fontId="11" fillId="5" borderId="364" xfId="0" applyFont="1" applyFill="1" applyBorder="1" applyAlignment="1">
      <alignment horizontal="center" vertical="center"/>
    </xf>
    <xf numFmtId="0" fontId="11" fillId="5" borderId="32" xfId="0" applyFont="1" applyFill="1" applyBorder="1" applyAlignment="1">
      <alignment horizontal="center" vertical="center"/>
    </xf>
    <xf numFmtId="0" fontId="11" fillId="5" borderId="398" xfId="0" applyFont="1" applyFill="1" applyBorder="1" applyAlignment="1">
      <alignment horizontal="center" vertical="center"/>
    </xf>
    <xf numFmtId="0" fontId="18" fillId="5" borderId="364" xfId="95" applyFont="1" applyFill="1" applyBorder="1" applyAlignment="1">
      <alignment horizontal="center" vertical="center"/>
    </xf>
    <xf numFmtId="0" fontId="11" fillId="12" borderId="687" xfId="0" applyFont="1" applyFill="1" applyBorder="1" applyAlignment="1">
      <alignment horizontal="center" vertical="center"/>
    </xf>
    <xf numFmtId="0" fontId="11" fillId="12" borderId="364" xfId="0" applyFont="1" applyFill="1" applyBorder="1" applyAlignment="1">
      <alignment horizontal="center" vertical="center"/>
    </xf>
    <xf numFmtId="0" fontId="11" fillId="8" borderId="687" xfId="0" applyFont="1" applyFill="1" applyBorder="1" applyAlignment="1">
      <alignment horizontal="center" vertical="center"/>
    </xf>
    <xf numFmtId="0" fontId="11" fillId="8" borderId="364" xfId="0" applyFont="1" applyFill="1" applyBorder="1" applyAlignment="1">
      <alignment horizontal="center" vertical="center"/>
    </xf>
    <xf numFmtId="0" fontId="11" fillId="8" borderId="398" xfId="0" applyFont="1" applyFill="1" applyBorder="1" applyAlignment="1">
      <alignment horizontal="center" vertical="center"/>
    </xf>
    <xf numFmtId="0" fontId="11" fillId="9" borderId="687" xfId="0" applyFont="1" applyFill="1" applyBorder="1" applyAlignment="1">
      <alignment horizontal="center" vertical="center"/>
    </xf>
    <xf numFmtId="0" fontId="11" fillId="9" borderId="364" xfId="0" applyFont="1" applyFill="1" applyBorder="1" applyAlignment="1">
      <alignment horizontal="center" vertical="center"/>
    </xf>
    <xf numFmtId="0" fontId="11" fillId="9" borderId="32" xfId="0" applyFont="1" applyFill="1" applyBorder="1" applyAlignment="1">
      <alignment horizontal="center" vertical="center"/>
    </xf>
    <xf numFmtId="0" fontId="11" fillId="10" borderId="364" xfId="0" applyFont="1" applyFill="1" applyBorder="1" applyAlignment="1">
      <alignment horizontal="center" vertical="center"/>
    </xf>
    <xf numFmtId="0" fontId="11" fillId="14" borderId="687" xfId="0" applyFont="1" applyFill="1" applyBorder="1" applyAlignment="1">
      <alignment horizontal="center"/>
    </xf>
    <xf numFmtId="0" fontId="11" fillId="14" borderId="364" xfId="0" applyFont="1" applyFill="1" applyBorder="1" applyAlignment="1">
      <alignment horizontal="center"/>
    </xf>
    <xf numFmtId="0" fontId="11" fillId="10" borderId="595" xfId="0" applyFont="1" applyFill="1" applyBorder="1" applyAlignment="1">
      <alignment horizontal="center" vertical="center"/>
    </xf>
    <xf numFmtId="0" fontId="3" fillId="0" borderId="817" xfId="0" applyFont="1" applyBorder="1" applyAlignment="1">
      <alignment horizontal="center"/>
    </xf>
    <xf numFmtId="0" fontId="3" fillId="0" borderId="816" xfId="0" applyFont="1" applyBorder="1" applyAlignment="1">
      <alignment horizontal="center"/>
    </xf>
    <xf numFmtId="0" fontId="3" fillId="0" borderId="818" xfId="0" applyFont="1" applyBorder="1" applyAlignment="1">
      <alignment horizontal="center"/>
    </xf>
    <xf numFmtId="2" fontId="11" fillId="2" borderId="405" xfId="0" applyNumberFormat="1" applyFont="1" applyFill="1" applyBorder="1" applyAlignment="1">
      <alignment horizontal="left"/>
    </xf>
    <xf numFmtId="2" fontId="11" fillId="2" borderId="821" xfId="0" applyNumberFormat="1" applyFont="1" applyFill="1" applyBorder="1" applyAlignment="1">
      <alignment horizontal="left"/>
    </xf>
    <xf numFmtId="2" fontId="11" fillId="2" borderId="819" xfId="0" applyNumberFormat="1" applyFont="1" applyFill="1" applyBorder="1" applyAlignment="1">
      <alignment horizontal="left"/>
    </xf>
    <xf numFmtId="1" fontId="10" fillId="0" borderId="820" xfId="0" applyNumberFormat="1" applyFont="1" applyBorder="1" applyAlignment="1">
      <alignment horizontal="center"/>
    </xf>
    <xf numFmtId="1" fontId="10" fillId="0" borderId="796" xfId="0" applyNumberFormat="1" applyFont="1" applyBorder="1" applyAlignment="1">
      <alignment horizontal="center"/>
    </xf>
    <xf numFmtId="1" fontId="11" fillId="0" borderId="0" xfId="0" applyNumberFormat="1" applyFont="1" applyAlignment="1">
      <alignment horizontal="center"/>
    </xf>
    <xf numFmtId="1" fontId="11" fillId="0" borderId="772" xfId="0" applyNumberFormat="1" applyFont="1" applyBorder="1" applyAlignment="1">
      <alignment horizontal="center"/>
    </xf>
    <xf numFmtId="21" fontId="11" fillId="0" borderId="0" xfId="0" applyNumberFormat="1" applyFont="1" applyAlignment="1">
      <alignment horizontal="center"/>
    </xf>
    <xf numFmtId="45" fontId="11" fillId="0" borderId="0" xfId="0" applyNumberFormat="1" applyFont="1" applyAlignment="1">
      <alignment horizontal="center"/>
    </xf>
    <xf numFmtId="1" fontId="11" fillId="3" borderId="822" xfId="0" applyNumberFormat="1" applyFont="1" applyFill="1" applyBorder="1" applyAlignment="1">
      <alignment horizontal="left"/>
    </xf>
    <xf numFmtId="169" fontId="10" fillId="0" borderId="823" xfId="0" applyNumberFormat="1" applyFont="1" applyBorder="1" applyAlignment="1">
      <alignment horizontal="center"/>
    </xf>
    <xf numFmtId="45" fontId="10" fillId="0" borderId="823" xfId="0" applyNumberFormat="1" applyFont="1" applyBorder="1" applyAlignment="1">
      <alignment horizontal="center"/>
    </xf>
    <xf numFmtId="1" fontId="10" fillId="0" borderId="823" xfId="0" applyNumberFormat="1" applyFont="1" applyBorder="1" applyAlignment="1">
      <alignment horizontal="center"/>
    </xf>
    <xf numFmtId="1" fontId="10" fillId="0" borderId="824" xfId="0" applyNumberFormat="1" applyFont="1" applyBorder="1" applyAlignment="1">
      <alignment horizontal="center"/>
    </xf>
    <xf numFmtId="2" fontId="11" fillId="2" borderId="32" xfId="0" applyNumberFormat="1" applyFont="1" applyFill="1" applyBorder="1" applyAlignment="1">
      <alignment horizontal="left"/>
    </xf>
    <xf numFmtId="165" fontId="11" fillId="0" borderId="0" xfId="0" applyNumberFormat="1" applyFont="1" applyAlignment="1">
      <alignment horizontal="center"/>
    </xf>
    <xf numFmtId="49" fontId="11" fillId="0" borderId="0" xfId="0" applyNumberFormat="1" applyFont="1" applyAlignment="1">
      <alignment horizontal="center" vertical="center"/>
    </xf>
    <xf numFmtId="0" fontId="11" fillId="0" borderId="0" xfId="0" applyFont="1" applyAlignment="1">
      <alignment horizontal="center" vertical="center"/>
    </xf>
    <xf numFmtId="169" fontId="11" fillId="0" borderId="0" xfId="0" applyNumberFormat="1" applyFont="1" applyAlignment="1">
      <alignment horizontal="center"/>
    </xf>
    <xf numFmtId="1" fontId="11" fillId="0" borderId="772" xfId="0" applyNumberFormat="1" applyFont="1" applyBorder="1" applyAlignment="1">
      <alignment horizontal="left"/>
    </xf>
    <xf numFmtId="165" fontId="11" fillId="0" borderId="772" xfId="0" applyNumberFormat="1" applyFont="1" applyBorder="1" applyAlignment="1">
      <alignment horizontal="center"/>
    </xf>
    <xf numFmtId="49" fontId="11" fillId="0" borderId="772" xfId="0" applyNumberFormat="1" applyFont="1" applyBorder="1" applyAlignment="1">
      <alignment horizontal="center" vertical="center"/>
    </xf>
    <xf numFmtId="0" fontId="11" fillId="0" borderId="772" xfId="0" applyFont="1" applyBorder="1" applyAlignment="1">
      <alignment horizontal="center" vertical="center"/>
    </xf>
    <xf numFmtId="21" fontId="11" fillId="0" borderId="772" xfId="0" applyNumberFormat="1" applyFont="1" applyBorder="1" applyAlignment="1">
      <alignment horizontal="center"/>
    </xf>
    <xf numFmtId="169" fontId="11" fillId="0" borderId="772" xfId="0" applyNumberFormat="1" applyFont="1" applyBorder="1" applyAlignment="1">
      <alignment horizontal="center"/>
    </xf>
    <xf numFmtId="45" fontId="10" fillId="0" borderId="772" xfId="0" applyNumberFormat="1" applyFont="1" applyBorder="1" applyAlignment="1">
      <alignment horizontal="center"/>
    </xf>
    <xf numFmtId="1" fontId="13" fillId="0" borderId="772" xfId="0" applyNumberFormat="1" applyFont="1" applyBorder="1" applyAlignment="1">
      <alignment horizontal="center"/>
    </xf>
    <xf numFmtId="1" fontId="10" fillId="0" borderId="772" xfId="0" applyNumberFormat="1" applyFont="1" applyBorder="1" applyAlignment="1">
      <alignment horizontal="center"/>
    </xf>
    <xf numFmtId="170" fontId="10" fillId="0" borderId="772" xfId="0" applyNumberFormat="1" applyFont="1" applyBorder="1" applyAlignment="1">
      <alignment horizontal="center"/>
    </xf>
    <xf numFmtId="49" fontId="10" fillId="0" borderId="772" xfId="0" applyNumberFormat="1" applyFont="1" applyBorder="1" applyAlignment="1">
      <alignment horizontal="center"/>
    </xf>
    <xf numFmtId="2" fontId="10" fillId="0" borderId="772" xfId="0" applyNumberFormat="1" applyFont="1" applyBorder="1" applyAlignment="1">
      <alignment horizontal="center"/>
    </xf>
    <xf numFmtId="0" fontId="8" fillId="0" borderId="772" xfId="0" applyFont="1" applyBorder="1" applyAlignment="1">
      <alignment horizontal="center"/>
    </xf>
    <xf numFmtId="2" fontId="11" fillId="0" borderId="772" xfId="0" applyNumberFormat="1" applyFont="1" applyBorder="1" applyAlignment="1">
      <alignment horizontal="left"/>
    </xf>
    <xf numFmtId="165" fontId="11" fillId="3" borderId="769" xfId="0" applyNumberFormat="1" applyFont="1" applyFill="1" applyBorder="1" applyAlignment="1">
      <alignment horizontal="center"/>
    </xf>
    <xf numFmtId="1" fontId="11" fillId="3" borderId="595" xfId="0" applyNumberFormat="1" applyFont="1" applyFill="1" applyBorder="1" applyAlignment="1">
      <alignment horizontal="center"/>
    </xf>
    <xf numFmtId="1" fontId="11" fillId="3" borderId="595" xfId="0" applyNumberFormat="1" applyFont="1" applyFill="1" applyBorder="1" applyAlignment="1">
      <alignment horizontal="center" vertical="center"/>
    </xf>
    <xf numFmtId="0" fontId="11" fillId="3" borderId="825" xfId="0" applyFont="1" applyFill="1" applyBorder="1" applyAlignment="1">
      <alignment horizontal="center" vertical="center"/>
    </xf>
    <xf numFmtId="21" fontId="11" fillId="3" borderId="690" xfId="0" applyNumberFormat="1" applyFont="1" applyFill="1" applyBorder="1" applyAlignment="1">
      <alignment horizontal="center"/>
    </xf>
    <xf numFmtId="169" fontId="11" fillId="3" borderId="826" xfId="0" applyNumberFormat="1" applyFont="1" applyFill="1" applyBorder="1" applyAlignment="1">
      <alignment horizontal="center"/>
    </xf>
    <xf numFmtId="45" fontId="11" fillId="3" borderId="827" xfId="0" applyNumberFormat="1" applyFont="1" applyFill="1" applyBorder="1" applyAlignment="1">
      <alignment horizontal="center"/>
    </xf>
    <xf numFmtId="1" fontId="11" fillId="3" borderId="828" xfId="0" applyNumberFormat="1" applyFont="1" applyFill="1" applyBorder="1" applyAlignment="1">
      <alignment horizontal="center"/>
    </xf>
    <xf numFmtId="0" fontId="11" fillId="3" borderId="828" xfId="0" applyFont="1" applyFill="1" applyBorder="1" applyAlignment="1">
      <alignment horizontal="center"/>
    </xf>
    <xf numFmtId="1" fontId="11" fillId="3" borderId="827" xfId="0" applyNumberFormat="1" applyFont="1" applyFill="1" applyBorder="1" applyAlignment="1">
      <alignment horizontal="center"/>
    </xf>
    <xf numFmtId="45" fontId="11" fillId="3" borderId="829" xfId="0" applyNumberFormat="1" applyFont="1" applyFill="1" applyBorder="1" applyAlignment="1">
      <alignment horizontal="center"/>
    </xf>
    <xf numFmtId="1" fontId="11" fillId="3" borderId="829" xfId="0" applyNumberFormat="1" applyFont="1" applyFill="1" applyBorder="1" applyAlignment="1">
      <alignment horizontal="center"/>
    </xf>
    <xf numFmtId="1" fontId="11" fillId="3" borderId="830" xfId="0" applyNumberFormat="1" applyFont="1" applyFill="1" applyBorder="1" applyAlignment="1">
      <alignment horizontal="center"/>
    </xf>
    <xf numFmtId="0" fontId="11" fillId="3" borderId="827" xfId="0" applyFont="1" applyFill="1" applyBorder="1" applyAlignment="1">
      <alignment horizontal="center"/>
    </xf>
    <xf numFmtId="0" fontId="3" fillId="3" borderId="827" xfId="0" applyFont="1" applyFill="1" applyBorder="1" applyAlignment="1">
      <alignment horizontal="center"/>
    </xf>
    <xf numFmtId="0" fontId="11" fillId="3" borderId="829" xfId="0" applyFont="1" applyFill="1" applyBorder="1" applyAlignment="1">
      <alignment horizontal="center"/>
    </xf>
    <xf numFmtId="167" fontId="10" fillId="8" borderId="765" xfId="0" applyNumberFormat="1" applyFont="1" applyFill="1" applyBorder="1" applyAlignment="1">
      <alignment horizontal="center"/>
    </xf>
    <xf numFmtId="167" fontId="10" fillId="8" borderId="398" xfId="0" applyNumberFormat="1" applyFont="1" applyFill="1" applyBorder="1" applyAlignment="1">
      <alignment horizontal="center"/>
    </xf>
    <xf numFmtId="167" fontId="10" fillId="8" borderId="731" xfId="0" applyNumberFormat="1" applyFont="1" applyFill="1" applyBorder="1" applyAlignment="1">
      <alignment horizontal="center"/>
    </xf>
    <xf numFmtId="0" fontId="11" fillId="0" borderId="730" xfId="0" applyFont="1" applyBorder="1" applyAlignment="1">
      <alignment horizontal="center" vertical="center"/>
    </xf>
    <xf numFmtId="0" fontId="17" fillId="0" borderId="786" xfId="0" applyFont="1" applyBorder="1" applyAlignment="1">
      <alignment horizontal="center" vertical="center"/>
    </xf>
    <xf numFmtId="167" fontId="10" fillId="6" borderId="731" xfId="0" applyNumberFormat="1" applyFont="1" applyFill="1" applyBorder="1" applyAlignment="1">
      <alignment horizontal="center"/>
    </xf>
    <xf numFmtId="167" fontId="10" fillId="6" borderId="765" xfId="0" applyNumberFormat="1" applyFont="1" applyFill="1" applyBorder="1" applyAlignment="1">
      <alignment horizontal="center"/>
    </xf>
    <xf numFmtId="167" fontId="10" fillId="6" borderId="398" xfId="0" applyNumberFormat="1" applyFont="1" applyFill="1" applyBorder="1" applyAlignment="1">
      <alignment horizontal="center"/>
    </xf>
    <xf numFmtId="2" fontId="10" fillId="0" borderId="796" xfId="0" applyNumberFormat="1" applyFont="1" applyBorder="1" applyAlignment="1">
      <alignment horizontal="center"/>
    </xf>
    <xf numFmtId="45" fontId="10" fillId="2" borderId="796" xfId="0" applyNumberFormat="1" applyFont="1" applyFill="1" applyBorder="1" applyAlignment="1">
      <alignment horizontal="center"/>
    </xf>
    <xf numFmtId="1" fontId="12" fillId="2" borderId="819" xfId="0" applyNumberFormat="1" applyFont="1" applyFill="1" applyBorder="1" applyAlignment="1">
      <alignment horizontal="center"/>
    </xf>
    <xf numFmtId="1" fontId="12" fillId="2" borderId="812" xfId="0" applyNumberFormat="1" applyFont="1" applyFill="1" applyBorder="1" applyAlignment="1">
      <alignment horizontal="center"/>
    </xf>
    <xf numFmtId="45" fontId="10" fillId="2" borderId="820" xfId="0" applyNumberFormat="1" applyFont="1" applyFill="1" applyBorder="1" applyAlignment="1">
      <alignment horizontal="center"/>
    </xf>
    <xf numFmtId="1" fontId="12" fillId="2" borderId="821" xfId="0" applyNumberFormat="1" applyFont="1" applyFill="1" applyBorder="1" applyAlignment="1">
      <alignment horizontal="center"/>
    </xf>
    <xf numFmtId="1" fontId="12" fillId="2" borderId="814" xfId="0" applyNumberFormat="1" applyFont="1" applyFill="1" applyBorder="1" applyAlignment="1">
      <alignment horizontal="center"/>
    </xf>
    <xf numFmtId="1" fontId="12" fillId="2" borderId="686" xfId="0" applyNumberFormat="1" applyFont="1" applyFill="1" applyBorder="1" applyAlignment="1">
      <alignment horizontal="center"/>
    </xf>
    <xf numFmtId="2" fontId="10" fillId="0" borderId="820" xfId="0" applyNumberFormat="1" applyFont="1" applyBorder="1" applyAlignment="1">
      <alignment horizontal="center"/>
    </xf>
    <xf numFmtId="2" fontId="11" fillId="2" borderId="820" xfId="0" applyNumberFormat="1" applyFont="1" applyFill="1" applyBorder="1" applyAlignment="1">
      <alignment horizontal="left"/>
    </xf>
    <xf numFmtId="1" fontId="12" fillId="2" borderId="47" xfId="0" applyNumberFormat="1" applyFont="1" applyFill="1" applyBorder="1" applyAlignment="1">
      <alignment horizontal="center"/>
    </xf>
    <xf numFmtId="1" fontId="12" fillId="2" borderId="832" xfId="0" applyNumberFormat="1" applyFont="1" applyFill="1" applyBorder="1" applyAlignment="1">
      <alignment horizontal="center"/>
    </xf>
    <xf numFmtId="1" fontId="12" fillId="2" borderId="831" xfId="0" applyNumberFormat="1" applyFont="1" applyFill="1" applyBorder="1" applyAlignment="1">
      <alignment horizontal="center"/>
    </xf>
    <xf numFmtId="0" fontId="3" fillId="0" borderId="0" xfId="0" applyFont="1" applyAlignment="1">
      <alignment vertical="center"/>
    </xf>
    <xf numFmtId="1" fontId="10" fillId="0" borderId="797" xfId="0" applyNumberFormat="1" applyFont="1" applyBorder="1" applyAlignment="1">
      <alignment horizontal="center"/>
    </xf>
    <xf numFmtId="1" fontId="10" fillId="0" borderId="833" xfId="0" applyNumberFormat="1" applyFont="1" applyBorder="1" applyAlignment="1">
      <alignment horizontal="center"/>
    </xf>
    <xf numFmtId="2" fontId="11" fillId="2" borderId="833" xfId="0" applyNumberFormat="1" applyFont="1" applyFill="1" applyBorder="1" applyAlignment="1">
      <alignment horizontal="left"/>
    </xf>
    <xf numFmtId="0" fontId="3" fillId="2" borderId="775" xfId="0" applyFont="1" applyFill="1" applyBorder="1" applyAlignment="1">
      <alignment horizontal="right"/>
    </xf>
    <xf numFmtId="167" fontId="10" fillId="0" borderId="0" xfId="0" applyNumberFormat="1" applyFont="1" applyAlignment="1">
      <alignment horizontal="center"/>
    </xf>
    <xf numFmtId="1" fontId="10" fillId="0" borderId="0" xfId="0" applyNumberFormat="1" applyFont="1" applyAlignment="1">
      <alignment horizontal="center"/>
    </xf>
    <xf numFmtId="1" fontId="10" fillId="0" borderId="0" xfId="0" applyNumberFormat="1" applyFont="1" applyAlignment="1">
      <alignment horizontal="center" vertical="center"/>
    </xf>
    <xf numFmtId="21" fontId="10" fillId="2" borderId="0" xfId="0" applyNumberFormat="1" applyFont="1" applyFill="1" applyAlignment="1">
      <alignment horizontal="center"/>
    </xf>
    <xf numFmtId="45" fontId="10" fillId="0" borderId="0" xfId="0" applyNumberFormat="1" applyFont="1" applyAlignment="1">
      <alignment horizontal="center"/>
    </xf>
    <xf numFmtId="170" fontId="10" fillId="0" borderId="0" xfId="0" applyNumberFormat="1" applyFont="1" applyAlignment="1">
      <alignment horizontal="center"/>
    </xf>
    <xf numFmtId="2" fontId="10" fillId="0" borderId="0" xfId="0" applyNumberFormat="1" applyFont="1" applyAlignment="1">
      <alignment horizontal="center"/>
    </xf>
    <xf numFmtId="0" fontId="3" fillId="2" borderId="0" xfId="0" applyFont="1" applyFill="1" applyAlignment="1">
      <alignment horizontal="right"/>
    </xf>
    <xf numFmtId="1" fontId="14" fillId="2" borderId="0" xfId="0" applyNumberFormat="1" applyFont="1" applyFill="1" applyAlignment="1">
      <alignment horizontal="left"/>
    </xf>
    <xf numFmtId="1" fontId="3" fillId="2" borderId="0" xfId="0" applyNumberFormat="1" applyFont="1" applyFill="1" applyAlignment="1">
      <alignment horizontal="left"/>
    </xf>
    <xf numFmtId="1" fontId="10" fillId="2" borderId="835" xfId="0" applyNumberFormat="1" applyFont="1" applyFill="1" applyBorder="1" applyAlignment="1">
      <alignment horizontal="center"/>
    </xf>
    <xf numFmtId="1" fontId="12" fillId="2" borderId="835" xfId="0" applyNumberFormat="1" applyFont="1" applyFill="1" applyBorder="1" applyAlignment="1">
      <alignment horizontal="center"/>
    </xf>
    <xf numFmtId="0" fontId="3" fillId="2" borderId="780" xfId="0" applyFont="1" applyFill="1" applyBorder="1" applyAlignment="1">
      <alignment horizontal="right"/>
    </xf>
    <xf numFmtId="1" fontId="14" fillId="2" borderId="781" xfId="0" applyNumberFormat="1" applyFont="1" applyFill="1" applyBorder="1" applyAlignment="1">
      <alignment horizontal="left"/>
    </xf>
    <xf numFmtId="167" fontId="10" fillId="0" borderId="820" xfId="0" applyNumberFormat="1" applyFont="1" applyBorder="1" applyAlignment="1">
      <alignment horizontal="center"/>
    </xf>
    <xf numFmtId="1" fontId="10" fillId="0" borderId="820" xfId="0" applyNumberFormat="1" applyFont="1" applyBorder="1" applyAlignment="1">
      <alignment horizontal="center" vertical="center"/>
    </xf>
    <xf numFmtId="21" fontId="10" fillId="2" borderId="820" xfId="0" applyNumberFormat="1" applyFont="1" applyFill="1" applyBorder="1" applyAlignment="1">
      <alignment horizontal="center"/>
    </xf>
    <xf numFmtId="169" fontId="10" fillId="2" borderId="820" xfId="0" applyNumberFormat="1" applyFont="1" applyFill="1" applyBorder="1" applyAlignment="1">
      <alignment horizontal="center"/>
    </xf>
    <xf numFmtId="45" fontId="10" fillId="0" borderId="820" xfId="0" applyNumberFormat="1" applyFont="1" applyBorder="1" applyAlignment="1">
      <alignment horizontal="center"/>
    </xf>
    <xf numFmtId="1" fontId="10" fillId="2" borderId="820" xfId="0" applyNumberFormat="1" applyFont="1" applyFill="1" applyBorder="1" applyAlignment="1">
      <alignment horizontal="center"/>
    </xf>
    <xf numFmtId="0" fontId="3" fillId="0" borderId="820" xfId="0" applyFont="1" applyBorder="1" applyAlignment="1">
      <alignment horizontal="center"/>
    </xf>
    <xf numFmtId="1" fontId="10" fillId="2" borderId="821" xfId="0" applyNumberFormat="1" applyFont="1" applyFill="1" applyBorder="1" applyAlignment="1">
      <alignment horizontal="center"/>
    </xf>
    <xf numFmtId="170" fontId="10" fillId="0" borderId="820" xfId="0" applyNumberFormat="1" applyFont="1" applyBorder="1" applyAlignment="1">
      <alignment horizontal="center"/>
    </xf>
    <xf numFmtId="1" fontId="12" fillId="2" borderId="836" xfId="0" applyNumberFormat="1" applyFont="1" applyFill="1" applyBorder="1" applyAlignment="1">
      <alignment horizontal="center"/>
    </xf>
    <xf numFmtId="2" fontId="11" fillId="2" borderId="776" xfId="0" applyNumberFormat="1" applyFont="1" applyFill="1" applyBorder="1" applyAlignment="1">
      <alignment horizontal="left"/>
    </xf>
    <xf numFmtId="0" fontId="3" fillId="2" borderId="47" xfId="0" applyFont="1" applyFill="1" applyBorder="1" applyAlignment="1">
      <alignment horizontal="right"/>
    </xf>
    <xf numFmtId="1" fontId="3" fillId="2" borderId="831" xfId="0" applyNumberFormat="1" applyFont="1" applyFill="1" applyBorder="1" applyAlignment="1">
      <alignment horizontal="left"/>
    </xf>
    <xf numFmtId="0" fontId="11" fillId="0" borderId="796" xfId="0" applyFont="1" applyBorder="1" applyAlignment="1">
      <alignment horizontal="center" vertical="center"/>
    </xf>
    <xf numFmtId="1" fontId="10" fillId="2" borderId="47" xfId="0" applyNumberFormat="1" applyFont="1" applyFill="1" applyBorder="1" applyAlignment="1">
      <alignment horizontal="center"/>
    </xf>
    <xf numFmtId="167" fontId="8" fillId="0" borderId="0" xfId="0" applyNumberFormat="1" applyFont="1"/>
    <xf numFmtId="0" fontId="17" fillId="7" borderId="32" xfId="0" applyFont="1" applyFill="1" applyBorder="1" applyAlignment="1">
      <alignment horizontal="center" vertical="center"/>
    </xf>
    <xf numFmtId="0" fontId="11" fillId="7" borderId="334" xfId="0" applyFont="1" applyFill="1" applyBorder="1" applyAlignment="1">
      <alignment horizontal="center" vertical="center"/>
    </xf>
    <xf numFmtId="0" fontId="11" fillId="5" borderId="643" xfId="0" applyFont="1" applyFill="1" applyBorder="1" applyAlignment="1">
      <alignment horizontal="center" vertical="center"/>
    </xf>
    <xf numFmtId="0" fontId="11" fillId="5" borderId="334" xfId="0" applyFont="1" applyFill="1" applyBorder="1" applyAlignment="1">
      <alignment horizontal="center" vertical="center"/>
    </xf>
    <xf numFmtId="0" fontId="17" fillId="11" borderId="731" xfId="0" applyFont="1" applyFill="1" applyBorder="1" applyAlignment="1">
      <alignment horizontal="center" vertical="center"/>
    </xf>
    <xf numFmtId="0" fontId="17" fillId="11" borderId="32" xfId="0" applyFont="1" applyFill="1" applyBorder="1" applyAlignment="1">
      <alignment horizontal="center" vertical="center"/>
    </xf>
    <xf numFmtId="0" fontId="11" fillId="7" borderId="643" xfId="0" applyFont="1" applyFill="1" applyBorder="1" applyAlignment="1">
      <alignment horizontal="center" vertical="center"/>
    </xf>
    <xf numFmtId="0" fontId="11" fillId="7" borderId="414" xfId="0" applyFont="1" applyFill="1" applyBorder="1" applyAlignment="1">
      <alignment horizontal="center" vertical="center"/>
    </xf>
    <xf numFmtId="0" fontId="11" fillId="7" borderId="730" xfId="0" applyFont="1" applyFill="1" applyBorder="1" applyAlignment="1">
      <alignment horizontal="center" vertical="center"/>
    </xf>
    <xf numFmtId="0" fontId="11" fillId="7" borderId="398" xfId="0" applyFont="1" applyFill="1" applyBorder="1" applyAlignment="1">
      <alignment horizontal="center" vertical="center"/>
    </xf>
    <xf numFmtId="0" fontId="17" fillId="11" borderId="786" xfId="0" applyFont="1" applyFill="1" applyBorder="1" applyAlignment="1">
      <alignment horizontal="center" vertical="center"/>
    </xf>
    <xf numFmtId="0" fontId="17" fillId="11" borderId="398" xfId="0" applyFont="1" applyFill="1" applyBorder="1" applyAlignment="1">
      <alignment horizontal="center" vertical="center"/>
    </xf>
    <xf numFmtId="0" fontId="11" fillId="13" borderId="334" xfId="0" applyFont="1" applyFill="1" applyBorder="1" applyAlignment="1">
      <alignment horizontal="center" vertical="center"/>
    </xf>
    <xf numFmtId="0" fontId="17" fillId="5" borderId="32" xfId="0" applyFont="1" applyFill="1" applyBorder="1" applyAlignment="1">
      <alignment horizontal="center" vertical="center"/>
    </xf>
    <xf numFmtId="167" fontId="10" fillId="7" borderId="731" xfId="0" applyNumberFormat="1" applyFont="1" applyFill="1" applyBorder="1" applyAlignment="1">
      <alignment horizontal="center"/>
    </xf>
    <xf numFmtId="167" fontId="10" fillId="7" borderId="765" xfId="0" applyNumberFormat="1" applyFont="1" applyFill="1" applyBorder="1" applyAlignment="1">
      <alignment horizontal="center"/>
    </xf>
    <xf numFmtId="167" fontId="10" fillId="7" borderId="398" xfId="0" applyNumberFormat="1" applyFont="1" applyFill="1" applyBorder="1" applyAlignment="1">
      <alignment horizontal="center"/>
    </xf>
    <xf numFmtId="0" fontId="15" fillId="0" borderId="797" xfId="0" applyFont="1" applyBorder="1" applyAlignment="1">
      <alignment horizontal="center" vertical="center"/>
    </xf>
    <xf numFmtId="0" fontId="19" fillId="0" borderId="0" xfId="0" applyFont="1"/>
    <xf numFmtId="0" fontId="20" fillId="0" borderId="0" xfId="0" applyFont="1"/>
    <xf numFmtId="0" fontId="19" fillId="0" borderId="0" xfId="0" applyFont="1" applyAlignment="1">
      <alignment horizontal="center"/>
    </xf>
    <xf numFmtId="14" fontId="20" fillId="0" borderId="0" xfId="0" applyNumberFormat="1" applyFont="1" applyAlignment="1">
      <alignment horizontal="center"/>
    </xf>
    <xf numFmtId="0" fontId="20" fillId="0" borderId="0" xfId="0" applyFont="1" applyAlignment="1">
      <alignment horizontal="center"/>
    </xf>
    <xf numFmtId="45" fontId="20" fillId="0" borderId="0" xfId="0" applyNumberFormat="1" applyFont="1" applyAlignment="1">
      <alignment horizontal="center"/>
    </xf>
    <xf numFmtId="2" fontId="20" fillId="0" borderId="0" xfId="0" applyNumberFormat="1" applyFont="1" applyAlignment="1">
      <alignment horizontal="center"/>
    </xf>
    <xf numFmtId="45" fontId="19" fillId="0" borderId="0" xfId="0" applyNumberFormat="1" applyFont="1" applyAlignment="1">
      <alignment horizontal="center"/>
    </xf>
    <xf numFmtId="2" fontId="19" fillId="0" borderId="0" xfId="0" applyNumberFormat="1" applyFont="1" applyAlignment="1">
      <alignment horizontal="center"/>
    </xf>
    <xf numFmtId="14" fontId="0" fillId="0" borderId="0" xfId="0" applyNumberFormat="1" applyAlignment="1">
      <alignment horizontal="center"/>
    </xf>
    <xf numFmtId="167" fontId="10" fillId="17" borderId="765" xfId="0" applyNumberFormat="1" applyFont="1" applyFill="1" applyBorder="1" applyAlignment="1">
      <alignment horizontal="center"/>
    </xf>
    <xf numFmtId="167" fontId="10" fillId="17" borderId="398" xfId="0" applyNumberFormat="1" applyFont="1" applyFill="1" applyBorder="1" applyAlignment="1">
      <alignment horizontal="center"/>
    </xf>
    <xf numFmtId="167" fontId="10" fillId="17" borderId="731" xfId="0" applyNumberFormat="1" applyFont="1" applyFill="1" applyBorder="1" applyAlignment="1">
      <alignment horizontal="center"/>
    </xf>
    <xf numFmtId="1" fontId="11" fillId="3" borderId="0" xfId="0" applyNumberFormat="1" applyFont="1" applyFill="1" applyAlignment="1">
      <alignment horizontal="center"/>
    </xf>
    <xf numFmtId="1" fontId="11" fillId="3" borderId="688" xfId="0" applyNumberFormat="1" applyFont="1" applyFill="1" applyBorder="1" applyAlignment="1">
      <alignment horizontal="center"/>
    </xf>
    <xf numFmtId="1" fontId="11" fillId="3" borderId="689" xfId="0" applyNumberFormat="1" applyFont="1" applyFill="1" applyBorder="1" applyAlignment="1">
      <alignment horizontal="center"/>
    </xf>
    <xf numFmtId="1" fontId="11" fillId="3" borderId="834" xfId="0" applyNumberFormat="1" applyFont="1" applyFill="1" applyBorder="1" applyAlignment="1">
      <alignment horizontal="center"/>
    </xf>
    <xf numFmtId="1" fontId="11" fillId="3" borderId="830" xfId="0" applyNumberFormat="1" applyFont="1" applyFill="1" applyBorder="1" applyAlignment="1">
      <alignment horizontal="center"/>
    </xf>
    <xf numFmtId="1" fontId="11" fillId="3" borderId="769" xfId="0" applyNumberFormat="1" applyFont="1" applyFill="1" applyBorder="1" applyAlignment="1">
      <alignment horizontal="center"/>
    </xf>
  </cellXfs>
  <cellStyles count="100">
    <cellStyle name="Besuchter Hyperlink" xfId="94" builtinId="9" hidden="1"/>
    <cellStyle name="Besuchter Hyperlink" xfId="60" builtinId="9" hidden="1"/>
    <cellStyle name="Besuchter Hyperlink" xfId="42" builtinId="9" hidden="1"/>
    <cellStyle name="Besuchter Hyperlink" xfId="92" builtinId="9" hidden="1"/>
    <cellStyle name="Besuchter Hyperlink" xfId="32" builtinId="9" hidden="1"/>
    <cellStyle name="Besuchter Hyperlink" xfId="39" builtinId="9" hidden="1"/>
    <cellStyle name="Besuchter Hyperlink" xfId="86" builtinId="9" hidden="1"/>
    <cellStyle name="Besuchter Hyperlink" xfId="90" builtinId="9" hidden="1"/>
    <cellStyle name="Besuchter Hyperlink" xfId="62" builtinId="9" hidden="1"/>
    <cellStyle name="Besuchter Hyperlink" xfId="82" builtinId="9" hidden="1"/>
    <cellStyle name="Besuchter Hyperlink" xfId="44" builtinId="9" hidden="1"/>
    <cellStyle name="Besuchter Hyperlink" xfId="46" builtinId="9" hidden="1"/>
    <cellStyle name="Besuchter Hyperlink" xfId="54" builtinId="9" hidden="1"/>
    <cellStyle name="Besuchter Hyperlink" xfId="52" builtinId="9" hidden="1"/>
    <cellStyle name="Besuchter Hyperlink" xfId="50" builtinId="9" hidden="1"/>
    <cellStyle name="Besuchter Hyperlink" xfId="66" builtinId="9" hidden="1"/>
    <cellStyle name="Besuchter Hyperlink" xfId="80" builtinId="9" hidden="1"/>
    <cellStyle name="Besuchter Hyperlink" xfId="38" builtinId="9" hidden="1"/>
    <cellStyle name="Besuchter Hyperlink" xfId="56" builtinId="9" hidden="1"/>
    <cellStyle name="Besuchter Hyperlink" xfId="74" builtinId="9" hidden="1"/>
    <cellStyle name="Besuchter Hyperlink" xfId="70" builtinId="9" hidden="1"/>
    <cellStyle name="Besuchter Hyperlink" xfId="58" builtinId="9" hidden="1"/>
    <cellStyle name="Besuchter Hyperlink" xfId="84" builtinId="9" hidden="1"/>
    <cellStyle name="Besuchter Hyperlink" xfId="64" builtinId="9" hidden="1"/>
    <cellStyle name="Besuchter Hyperlink" xfId="68" builtinId="9" hidden="1"/>
    <cellStyle name="Besuchter Hyperlink" xfId="76" builtinId="9" hidden="1"/>
    <cellStyle name="Besuchter Hyperlink" xfId="36" builtinId="9" hidden="1"/>
    <cellStyle name="Besuchter Hyperlink" xfId="72" builtinId="9" hidden="1"/>
    <cellStyle name="Besuchter Hyperlink" xfId="48" builtinId="9" hidden="1"/>
    <cellStyle name="Besuchter Hyperlink" xfId="78" builtinId="9" hidden="1"/>
    <cellStyle name="Besuchter Hyperlink" xfId="88" builtinId="9" hidden="1"/>
    <cellStyle name="Besuchter Hyperlink" xfId="34" builtinId="9" hidden="1"/>
    <cellStyle name="DataPilot Category" xfId="1" xr:uid="{00000000-0005-0000-0000-000000000000}"/>
    <cellStyle name="DataPilot Corner" xfId="2" xr:uid="{00000000-0005-0000-0000-000001000000}"/>
    <cellStyle name="DataPilot Field" xfId="3" xr:uid="{00000000-0005-0000-0000-000002000000}"/>
    <cellStyle name="DataPilot Result" xfId="4" xr:uid="{00000000-0005-0000-0000-000003000000}"/>
    <cellStyle name="DataPilot Title" xfId="5" xr:uid="{00000000-0005-0000-0000-000004000000}"/>
    <cellStyle name="DataPilot Value" xfId="6" xr:uid="{00000000-0005-0000-0000-000005000000}"/>
    <cellStyle name="Datenpilot Ecke" xfId="7" xr:uid="{00000000-0005-0000-0000-000006000000}"/>
    <cellStyle name="Datenpilot Ergebnis" xfId="8" xr:uid="{00000000-0005-0000-0000-000007000000}"/>
    <cellStyle name="Datenpilot Feld" xfId="9" xr:uid="{00000000-0005-0000-0000-000008000000}"/>
    <cellStyle name="Datenpilot Kategorie" xfId="10" xr:uid="{00000000-0005-0000-0000-000009000000}"/>
    <cellStyle name="Datenpilot Titel" xfId="11" xr:uid="{00000000-0005-0000-0000-00000A000000}"/>
    <cellStyle name="Datenpilot Wert" xfId="12" xr:uid="{00000000-0005-0000-0000-00000B000000}"/>
    <cellStyle name="Link" xfId="47" builtinId="8" hidden="1"/>
    <cellStyle name="Link" xfId="83" builtinId="8" hidden="1"/>
    <cellStyle name="Link" xfId="81" builtinId="8" hidden="1"/>
    <cellStyle name="Link" xfId="41" builtinId="8" hidden="1"/>
    <cellStyle name="Link" xfId="31" builtinId="8" hidden="1"/>
    <cellStyle name="Link" xfId="61" builtinId="8" hidden="1"/>
    <cellStyle name="Link" xfId="69" builtinId="8" hidden="1"/>
    <cellStyle name="Link" xfId="33" builtinId="8" hidden="1"/>
    <cellStyle name="Link" xfId="37" builtinId="8" hidden="1"/>
    <cellStyle name="Link" xfId="49" builtinId="8" hidden="1"/>
    <cellStyle name="Link" xfId="87" builtinId="8" hidden="1"/>
    <cellStyle name="Link" xfId="77" builtinId="8" hidden="1"/>
    <cellStyle name="Link" xfId="57" builtinId="8" hidden="1"/>
    <cellStyle name="Link" xfId="55" builtinId="8" hidden="1"/>
    <cellStyle name="Link" xfId="79" builtinId="8" hidden="1"/>
    <cellStyle name="Link" xfId="40" builtinId="8" hidden="1"/>
    <cellStyle name="Link" xfId="65" builtinId="8" hidden="1"/>
    <cellStyle name="Link" xfId="71" builtinId="8" hidden="1"/>
    <cellStyle name="Link" xfId="35" builtinId="8" hidden="1"/>
    <cellStyle name="Link" xfId="45" builtinId="8" hidden="1"/>
    <cellStyle name="Link" xfId="67" builtinId="8" hidden="1"/>
    <cellStyle name="Link" xfId="89" builtinId="8" hidden="1"/>
    <cellStyle name="Link" xfId="59" builtinId="8" hidden="1"/>
    <cellStyle name="Link" xfId="51" builtinId="8" hidden="1"/>
    <cellStyle name="Link" xfId="53" builtinId="8" hidden="1"/>
    <cellStyle name="Link" xfId="63" builtinId="8" hidden="1"/>
    <cellStyle name="Link" xfId="75" builtinId="8" hidden="1"/>
    <cellStyle name="Link" xfId="93" builtinId="8" hidden="1"/>
    <cellStyle name="Link" xfId="85" builtinId="8" hidden="1"/>
    <cellStyle name="Link" xfId="43" builtinId="8" hidden="1"/>
    <cellStyle name="Link" xfId="91" builtinId="8" hidden="1"/>
    <cellStyle name="Link" xfId="73" builtinId="8" hidden="1"/>
    <cellStyle name="Link" xfId="95" builtinId="8"/>
    <cellStyle name="Pivot Tabelle Ecke" xfId="13" xr:uid="{00000000-0005-0000-0000-00004E000000}"/>
    <cellStyle name="Pivot Tabelle Ergebnis" xfId="14" xr:uid="{00000000-0005-0000-0000-00004F000000}"/>
    <cellStyle name="Pivot Tabelle Feld" xfId="15" xr:uid="{00000000-0005-0000-0000-000050000000}"/>
    <cellStyle name="Pivot Tabelle Kategorie" xfId="16" xr:uid="{00000000-0005-0000-0000-000051000000}"/>
    <cellStyle name="Pivot Tabelle Titel" xfId="17" xr:uid="{00000000-0005-0000-0000-000052000000}"/>
    <cellStyle name="Pivot Tabelle Wert" xfId="18" xr:uid="{00000000-0005-0000-0000-000053000000}"/>
    <cellStyle name="Pivot Table Category" xfId="19" xr:uid="{00000000-0005-0000-0000-000054000000}"/>
    <cellStyle name="Pivot Table Corner" xfId="20" xr:uid="{00000000-0005-0000-0000-000055000000}"/>
    <cellStyle name="Pivot Table Field" xfId="21" xr:uid="{00000000-0005-0000-0000-000056000000}"/>
    <cellStyle name="Pivot Table Result" xfId="22" xr:uid="{00000000-0005-0000-0000-000057000000}"/>
    <cellStyle name="Pivot Table Title" xfId="23" xr:uid="{00000000-0005-0000-0000-000058000000}"/>
    <cellStyle name="Pivot Table Value" xfId="24" xr:uid="{00000000-0005-0000-0000-000059000000}"/>
    <cellStyle name="Pivot-Tabelle Ecke" xfId="25" xr:uid="{00000000-0005-0000-0000-00005A000000}"/>
    <cellStyle name="Pivot-Tabelle Ergebnis" xfId="26" xr:uid="{00000000-0005-0000-0000-00005B000000}"/>
    <cellStyle name="Pivot-Tabelle Feld" xfId="27" xr:uid="{00000000-0005-0000-0000-00005C000000}"/>
    <cellStyle name="Pivot-Tabelle Kategorie" xfId="28" xr:uid="{00000000-0005-0000-0000-00005D000000}"/>
    <cellStyle name="Pivot-Tabelle Titel" xfId="29" xr:uid="{00000000-0005-0000-0000-00005E000000}"/>
    <cellStyle name="Pivot-Tabelle Wert" xfId="30" xr:uid="{00000000-0005-0000-0000-00005F000000}"/>
    <cellStyle name="Prozent 2" xfId="97" xr:uid="{665D4A00-8A32-9041-A7B3-EA0CA44C5518}"/>
    <cellStyle name="Prozent 2 2" xfId="99" xr:uid="{69B483D8-B090-4D44-A9D6-2F963B365739}"/>
    <cellStyle name="Standard" xfId="0" builtinId="0"/>
    <cellStyle name="Standard 2" xfId="96" xr:uid="{0A1DEB72-10AA-784F-ADB8-6170C0AECE10}"/>
    <cellStyle name="Standard 2 2" xfId="98" xr:uid="{6301AE1B-287F-F843-8A5F-51CB2C03B420}"/>
  </cellStyles>
  <dxfs count="4249">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b/>
        <i val="0"/>
      </font>
      <fill>
        <patternFill>
          <bgColor theme="4" tint="0.59996337778862885"/>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006100"/>
      </font>
      <fill>
        <patternFill>
          <bgColor rgb="FFC6EFCE"/>
        </patternFill>
      </fill>
    </dxf>
    <dxf>
      <fill>
        <patternFill>
          <bgColor theme="8" tint="0.59996337778862885"/>
        </patternFill>
      </fill>
    </dxf>
    <dxf>
      <font>
        <color rgb="FF9C5700"/>
      </font>
      <fill>
        <patternFill>
          <bgColor rgb="FFFFEB9C"/>
        </patternFill>
      </fill>
    </dxf>
    <dxf>
      <font>
        <b/>
        <i val="0"/>
        <color rgb="FF9C0006"/>
      </font>
      <fill>
        <patternFill>
          <bgColor rgb="FFFFC7CE"/>
        </patternFill>
      </fill>
    </dxf>
    <dxf>
      <font>
        <color auto="1"/>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b/>
        <i val="0"/>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ont>
        <b/>
        <i val="0"/>
        <color rgb="FF9C0006"/>
      </font>
      <fill>
        <patternFill>
          <bgColor rgb="FFFFC7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fill>
        <patternFill>
          <bgColor rgb="FFC6EFCE"/>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color rgb="FF006100"/>
      </font>
      <fill>
        <patternFill>
          <bgColor rgb="FFC6EFCE"/>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9C0006"/>
      </font>
      <fill>
        <patternFill>
          <bgColor rgb="FFFFC7CE"/>
        </patternFill>
      </fill>
    </dxf>
    <dxf>
      <font>
        <color auto="1"/>
      </font>
      <fill>
        <patternFill>
          <bgColor rgb="FFC6EFCE"/>
        </patternFill>
      </fill>
    </dxf>
    <dxf>
      <fill>
        <patternFill>
          <bgColor theme="8" tint="0.59996337778862885"/>
        </patternFill>
      </fill>
    </dxf>
    <dxf>
      <font>
        <b/>
        <i val="0"/>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fill>
        <patternFill>
          <bgColor rgb="FFC6EFCE"/>
        </patternFill>
      </fill>
    </dxf>
    <dxf>
      <font>
        <b/>
        <i val="0"/>
        <color rgb="FF006100"/>
      </font>
      <fill>
        <patternFill>
          <bgColor rgb="FFC6EFCE"/>
        </patternFill>
      </fill>
    </dxf>
    <dxf>
      <font>
        <b/>
        <i val="0"/>
        <color rgb="FF9C0006"/>
      </font>
      <fill>
        <patternFill>
          <bgColor rgb="FFFFC7CE"/>
        </patternFill>
      </fill>
    </dxf>
    <dxf>
      <fill>
        <patternFill>
          <bgColor theme="8" tint="0.59996337778862885"/>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ill>
        <patternFill>
          <bgColor theme="8" tint="0.59996337778862885"/>
        </patternFill>
      </fill>
    </dxf>
    <dxf>
      <font>
        <color auto="1"/>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color rgb="FF9C0006"/>
      </font>
      <fill>
        <patternFill>
          <bgColor rgb="FFFFC7CE"/>
        </patternFill>
      </fill>
    </dxf>
    <dxf>
      <font>
        <b/>
        <i val="0"/>
        <color rgb="FF006100"/>
      </font>
      <fill>
        <patternFill>
          <bgColor rgb="FFC6EFCE"/>
        </patternFill>
      </fill>
    </dxf>
    <dxf>
      <fill>
        <patternFill>
          <bgColor theme="8" tint="0.59996337778862885"/>
        </patternFill>
      </fill>
    </dxf>
    <dxf>
      <font>
        <color auto="1"/>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b/>
        <i val="0"/>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b/>
        <i val="0"/>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color auto="1"/>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color auto="1"/>
      </font>
      <fill>
        <patternFill>
          <bgColor rgb="FFC6EFCE"/>
        </patternFill>
      </fill>
    </dxf>
    <dxf>
      <fill>
        <patternFill>
          <bgColor theme="8" tint="0.59996337778862885"/>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9C0006"/>
      </font>
      <fill>
        <patternFill>
          <bgColor rgb="FFFFC7CE"/>
        </patternFill>
      </fill>
    </dxf>
    <dxf>
      <font>
        <color rgb="FF9C5700"/>
      </font>
      <fill>
        <patternFill>
          <bgColor rgb="FFFFEB9C"/>
        </patternFill>
      </fill>
    </dxf>
    <dxf>
      <font>
        <color auto="1"/>
      </font>
      <fill>
        <patternFill>
          <bgColor rgb="FFC6EFCE"/>
        </patternFill>
      </fill>
    </dxf>
    <dxf>
      <fill>
        <patternFill>
          <bgColor theme="8" tint="0.59996337778862885"/>
        </patternFill>
      </fill>
    </dxf>
    <dxf>
      <font>
        <b/>
        <i val="0"/>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9C0006"/>
      </font>
      <fill>
        <patternFill>
          <bgColor rgb="FFFFC7CE"/>
        </patternFill>
      </fill>
    </dxf>
    <dxf>
      <font>
        <b/>
        <i val="0"/>
        <color rgb="FF006100"/>
      </font>
      <fill>
        <patternFill>
          <bgColor rgb="FFC6EFCE"/>
        </patternFill>
      </fill>
    </dxf>
    <dxf>
      <fill>
        <patternFill>
          <bgColor theme="8" tint="0.59996337778862885"/>
        </patternFill>
      </fill>
    </dxf>
    <dxf>
      <font>
        <color auto="1"/>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8" tint="0.59996337778862885"/>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color rgb="FF006100"/>
      </font>
      <fill>
        <patternFill>
          <bgColor rgb="FFC6EFCE"/>
        </patternFill>
      </fill>
    </dxf>
    <dxf>
      <fill>
        <patternFill>
          <bgColor theme="8" tint="0.59996337778862885"/>
        </patternFill>
      </fill>
    </dxf>
    <dxf>
      <font>
        <color rgb="FF9C5700"/>
      </font>
      <fill>
        <patternFill>
          <bgColor rgb="FFFFEB9C"/>
        </patternFill>
      </fill>
    </dxf>
    <dxf>
      <font>
        <b/>
        <i val="0"/>
        <color rgb="FF9C0006"/>
      </font>
      <fill>
        <patternFill>
          <bgColor rgb="FFFFC7CE"/>
        </patternFill>
      </fill>
    </dxf>
    <dxf>
      <font>
        <color auto="1"/>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8" tint="0.59996337778862885"/>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auto="1"/>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b/>
        <i val="0"/>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color rgb="FF9C5700"/>
      </font>
      <fill>
        <patternFill>
          <bgColor rgb="FFFFEB9C"/>
        </patternFill>
      </fill>
    </dxf>
    <dxf>
      <font>
        <b/>
        <i val="0"/>
        <color rgb="FF9C0006"/>
      </font>
      <fill>
        <patternFill>
          <bgColor rgb="FFFFC7CE"/>
        </patternFill>
      </fill>
    </dxf>
    <dxf>
      <font>
        <b/>
        <i val="0"/>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006100"/>
      </font>
      <fill>
        <patternFill>
          <bgColor rgb="FFC6EFCE"/>
        </patternFill>
      </fill>
    </dxf>
    <dxf>
      <fill>
        <patternFill>
          <bgColor theme="8" tint="0.59996337778862885"/>
        </patternFill>
      </fill>
    </dxf>
    <dxf>
      <font>
        <color auto="1"/>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9C0006"/>
      </font>
      <fill>
        <patternFill>
          <bgColor rgb="FFFFC7CE"/>
        </patternFill>
      </fill>
    </dxf>
    <dxf>
      <font>
        <b/>
        <i val="0"/>
        <color rgb="FF006100"/>
      </font>
      <fill>
        <patternFill>
          <bgColor rgb="FFC6EFCE"/>
        </patternFill>
      </fill>
    </dxf>
    <dxf>
      <fill>
        <patternFill>
          <bgColor theme="8" tint="0.59996337778862885"/>
        </patternFill>
      </fill>
    </dxf>
    <dxf>
      <font>
        <color auto="1"/>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auto="1"/>
      </font>
      <fill>
        <patternFill>
          <bgColor rgb="FFC6EFCE"/>
        </patternFill>
      </fill>
    </dxf>
    <dxf>
      <font>
        <b/>
        <i val="0"/>
        <color rgb="FF006100"/>
      </font>
      <fill>
        <patternFill>
          <bgColor rgb="FFC6EFCE"/>
        </patternFill>
      </fill>
    </dxf>
    <dxf>
      <font>
        <b/>
        <i val="0"/>
        <color rgb="FF9C0006"/>
      </font>
      <fill>
        <patternFill>
          <bgColor rgb="FFFFC7CE"/>
        </patternFill>
      </fill>
    </dxf>
    <dxf>
      <font>
        <color rgb="FF9C5700"/>
      </font>
      <fill>
        <patternFill>
          <bgColor rgb="FFFFEB9C"/>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fill>
        <patternFill>
          <bgColor rgb="FFC6EFCE"/>
        </patternFill>
      </fill>
    </dxf>
    <dxf>
      <font>
        <color rgb="FF9C5700"/>
      </font>
      <fill>
        <patternFill>
          <bgColor rgb="FFFFEB9C"/>
        </patternFill>
      </fill>
    </dxf>
    <dxf>
      <fill>
        <patternFill>
          <bgColor theme="8" tint="0.59996337778862885"/>
        </patternFill>
      </fill>
    </dxf>
    <dxf>
      <font>
        <b/>
        <i val="0"/>
        <color rgb="FF006100"/>
      </font>
      <fill>
        <patternFill>
          <bgColor rgb="FFC6EFCE"/>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5700"/>
      </font>
      <fill>
        <patternFill>
          <bgColor rgb="FFFFEB9C"/>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b/>
        <i val="0"/>
        <color rgb="FF9C0006"/>
      </font>
      <fill>
        <patternFill>
          <bgColor rgb="FFFFC7CE"/>
        </patternFill>
      </fill>
    </dxf>
    <dxf>
      <font>
        <b/>
        <i val="0"/>
        <color rgb="FF006100"/>
      </font>
      <fill>
        <patternFill>
          <bgColor rgb="FFC6EFCE"/>
        </patternFill>
      </fill>
    </dxf>
    <dxf>
      <font>
        <color auto="1"/>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auto="1"/>
      </font>
      <fill>
        <patternFill>
          <bgColor rgb="FFC6EFCE"/>
        </patternFill>
      </fill>
    </dxf>
    <dxf>
      <fill>
        <patternFill>
          <bgColor theme="8" tint="0.59996337778862885"/>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auto="1"/>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006100"/>
      </font>
      <fill>
        <patternFill>
          <bgColor rgb="FFC6EFCE"/>
        </patternFill>
      </fill>
    </dxf>
    <dxf>
      <fill>
        <patternFill>
          <bgColor theme="8" tint="0.59996337778862885"/>
        </patternFill>
      </fill>
    </dxf>
    <dxf>
      <font>
        <color auto="1"/>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ill>
        <patternFill>
          <bgColor theme="8" tint="0.59996337778862885"/>
        </patternFill>
      </fill>
    </dxf>
    <dxf>
      <font>
        <color auto="1"/>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b/>
        <i val="0"/>
        <color rgb="FF9C0006"/>
      </font>
      <fill>
        <patternFill>
          <bgColor rgb="FFFFC7CE"/>
        </patternFill>
      </fill>
    </dxf>
    <dxf>
      <font>
        <b/>
        <i val="0"/>
        <color rgb="FF006100"/>
      </font>
      <fill>
        <patternFill>
          <bgColor rgb="FFC6EFCE"/>
        </patternFill>
      </fill>
    </dxf>
    <dxf>
      <font>
        <color auto="1"/>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color auto="1"/>
      </font>
      <fill>
        <patternFill>
          <bgColor rgb="FFC6EFCE"/>
        </patternFill>
      </fill>
    </dxf>
    <dxf>
      <fill>
        <patternFill>
          <bgColor theme="8" tint="0.59996337778862885"/>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b/>
        <i val="0"/>
        <color rgb="FF006100"/>
      </font>
      <fill>
        <patternFill>
          <bgColor rgb="FFC6EFCE"/>
        </patternFill>
      </fill>
    </dxf>
    <dxf>
      <font>
        <color auto="1"/>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color auto="1"/>
      </font>
      <fill>
        <patternFill>
          <bgColor rgb="FFC6EFCE"/>
        </patternFill>
      </fill>
    </dxf>
    <dxf>
      <fill>
        <patternFill>
          <bgColor theme="8" tint="0.59996337778862885"/>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b/>
        <i val="0"/>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color auto="1"/>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auto="1"/>
      </font>
      <fill>
        <patternFill>
          <bgColor rgb="FFC6EFCE"/>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8" tint="0.59996337778862885"/>
        </patternFill>
      </fill>
    </dxf>
    <dxf>
      <font>
        <b/>
        <i val="0"/>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color auto="1"/>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auto="1"/>
      </font>
      <fill>
        <patternFill>
          <bgColor rgb="FFC6EFCE"/>
        </patternFill>
      </fill>
    </dxf>
    <dxf>
      <fill>
        <patternFill>
          <bgColor theme="8" tint="0.59996337778862885"/>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b/>
        <i val="0"/>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color rgb="FF006100"/>
      </font>
      <fill>
        <patternFill>
          <bgColor rgb="FFC6EFCE"/>
        </patternFill>
      </fill>
    </dxf>
    <dxf>
      <fill>
        <patternFill>
          <bgColor theme="8" tint="0.59996337778862885"/>
        </patternFill>
      </fill>
    </dxf>
    <dxf>
      <font>
        <color rgb="FF9C5700"/>
      </font>
      <fill>
        <patternFill>
          <bgColor rgb="FFFFEB9C"/>
        </patternFill>
      </fill>
    </dxf>
    <dxf>
      <font>
        <color auto="1"/>
      </font>
      <fill>
        <patternFill>
          <bgColor rgb="FFC6EFCE"/>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ill>
        <patternFill>
          <bgColor theme="8" tint="0.59996337778862885"/>
        </patternFill>
      </fill>
    </dxf>
    <dxf>
      <font>
        <color auto="1"/>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auto="1"/>
      </font>
      <fill>
        <patternFill>
          <bgColor rgb="FFC6EFCE"/>
        </patternFill>
      </fill>
    </dxf>
    <dxf>
      <fill>
        <patternFill>
          <bgColor theme="8" tint="0.59996337778862885"/>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ill>
        <patternFill>
          <bgColor theme="8" tint="0.59996337778862885"/>
        </patternFill>
      </fill>
    </dxf>
    <dxf>
      <font>
        <color auto="1"/>
      </font>
      <fill>
        <patternFill>
          <bgColor rgb="FFC6EFCE"/>
        </patternFill>
      </fill>
    </dxf>
    <dxf>
      <font>
        <color rgb="FF9C5700"/>
      </font>
      <fill>
        <patternFill>
          <bgColor rgb="FFFFEB9C"/>
        </patternFill>
      </fill>
    </dxf>
    <dxf>
      <font>
        <b/>
        <i val="0"/>
        <color rgb="FF9C0006"/>
      </font>
      <fill>
        <patternFill>
          <bgColor rgb="FFFFC7CE"/>
        </patternFill>
      </fill>
    </dxf>
    <dxf>
      <font>
        <b/>
        <i val="0"/>
        <color rgb="FF006100"/>
      </font>
      <fill>
        <patternFill>
          <bgColor rgb="FFC6EFCE"/>
        </patternFill>
      </fill>
    </dxf>
    <dxf>
      <font>
        <b/>
        <i val="0"/>
        <color rgb="FF006100"/>
      </font>
      <fill>
        <patternFill>
          <bgColor rgb="FFC6EFCE"/>
        </patternFill>
      </fill>
    </dxf>
    <dxf>
      <font>
        <color auto="1"/>
      </font>
      <fill>
        <patternFill>
          <bgColor rgb="FFC6EFCE"/>
        </patternFill>
      </fill>
    </dxf>
    <dxf>
      <font>
        <color rgb="FF9C5700"/>
      </font>
      <fill>
        <patternFill>
          <bgColor rgb="FFFFEB9C"/>
        </patternFill>
      </fill>
    </dxf>
    <dxf>
      <fill>
        <patternFill>
          <bgColor theme="8" tint="0.59996337778862885"/>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b/>
        <i val="0"/>
        <color rgb="FF9C0006"/>
      </font>
      <fill>
        <patternFill>
          <bgColor rgb="FFFFC7CE"/>
        </patternFill>
      </fill>
    </dxf>
    <dxf>
      <font>
        <b/>
        <i val="0"/>
        <color rgb="FF006100"/>
      </font>
      <fill>
        <patternFill>
          <bgColor rgb="FFC6EFCE"/>
        </patternFill>
      </fill>
    </dxf>
    <dxf>
      <fill>
        <patternFill>
          <bgColor theme="8" tint="0.59996337778862885"/>
        </patternFill>
      </fill>
    </dxf>
    <dxf>
      <font>
        <color rgb="FF9C5700"/>
      </font>
      <fill>
        <patternFill>
          <bgColor rgb="FFFFEB9C"/>
        </patternFill>
      </fill>
    </dxf>
    <dxf>
      <font>
        <color auto="1"/>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b/>
        <i val="0"/>
        <color rgb="FF9C0006"/>
      </font>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5700"/>
      </font>
      <fill>
        <patternFill>
          <bgColor rgb="FFFFEB9C"/>
        </patternFill>
      </fill>
    </dxf>
    <dxf>
      <font>
        <b/>
        <i val="0"/>
        <color rgb="FF9C0006"/>
      </font>
      <fill>
        <patternFill>
          <bgColor rgb="FFFFC7CE"/>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auto="1"/>
      </font>
      <fill>
        <patternFill>
          <bgColor rgb="FFC6EFCE"/>
        </patternFill>
      </fill>
    </dxf>
    <dxf>
      <fill>
        <patternFill>
          <bgColor theme="8" tint="0.59996337778862885"/>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auto="1"/>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auto="1"/>
      </font>
      <fill>
        <patternFill>
          <bgColor rgb="FFC6EFCE"/>
        </patternFill>
      </fill>
    </dxf>
    <dxf>
      <fill>
        <patternFill>
          <bgColor theme="8" tint="0.59996337778862885"/>
        </patternFill>
      </fill>
    </dxf>
    <dxf>
      <font>
        <b/>
        <i val="0"/>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5700"/>
      </font>
      <fill>
        <patternFill>
          <bgColor rgb="FFFFEB9C"/>
        </patternFill>
      </fill>
    </dxf>
    <dxf>
      <font>
        <b/>
        <i val="0"/>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rgb="FFFFC7CE"/>
        </patternFill>
      </fill>
    </dxf>
    <dxf>
      <font>
        <b/>
        <i val="0"/>
        <color rgb="FF9C0006"/>
      </font>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color rgb="FF006100"/>
      </font>
      <fill>
        <patternFill>
          <bgColor rgb="FFC6EFCE"/>
        </patternFill>
      </fill>
    </dxf>
    <dxf>
      <fill>
        <patternFill>
          <bgColor theme="8" tint="0.59996337778862885"/>
        </patternFill>
      </fill>
    </dxf>
    <dxf>
      <font>
        <b/>
        <i val="0"/>
        <color rgb="FF9C0006"/>
      </font>
      <fill>
        <patternFill>
          <bgColor rgb="FFFFC7CE"/>
        </patternFill>
      </fill>
    </dxf>
    <dxf>
      <font>
        <color auto="1"/>
      </font>
      <fill>
        <patternFill>
          <bgColor rgb="FFC6EF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auto="1"/>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9C0006"/>
      </font>
      <fill>
        <patternFill>
          <bgColor rgb="FFFFC7CE"/>
        </patternFill>
      </fill>
    </dxf>
    <dxf>
      <font>
        <color auto="1"/>
      </font>
      <fill>
        <patternFill>
          <bgColor rgb="FFC6EFCE"/>
        </patternFill>
      </fill>
    </dxf>
    <dxf>
      <font>
        <b/>
        <i val="0"/>
        <color rgb="FF006100"/>
      </font>
      <fill>
        <patternFill>
          <bgColor rgb="FFC6EFCE"/>
        </patternFill>
      </fill>
    </dxf>
    <dxf>
      <fill>
        <patternFill>
          <bgColor rgb="FFFFC7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C7CE"/>
        </patternFill>
      </fill>
    </dxf>
    <dxf>
      <fill>
        <patternFill>
          <bgColor theme="8" tint="0.59996337778862885"/>
        </patternFill>
      </fill>
    </dxf>
    <dxf>
      <font>
        <b/>
        <i val="0"/>
        <color rgb="FF9C0006"/>
      </font>
      <fill>
        <patternFill>
          <bgColor rgb="FFFFC7CE"/>
        </patternFill>
      </fill>
    </dxf>
    <dxf>
      <font>
        <b/>
        <i val="0"/>
        <color rgb="FF006100"/>
      </font>
      <fill>
        <patternFill>
          <bgColor rgb="FFC6EFCE"/>
        </patternFill>
      </fill>
    </dxf>
    <dxf>
      <font>
        <color auto="1"/>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b/>
        <i val="0"/>
        <color rgb="FF9C0006"/>
      </font>
      <fill>
        <patternFill>
          <bgColor rgb="FFFFC7CE"/>
        </patternFill>
      </fill>
    </dxf>
    <dxf>
      <font>
        <b/>
        <i val="0"/>
        <color rgb="FF006100"/>
      </font>
      <fill>
        <patternFill>
          <bgColor rgb="FFC6EFCE"/>
        </patternFill>
      </fill>
    </dxf>
    <dxf>
      <fill>
        <patternFill>
          <bgColor rgb="FFFFC7CE"/>
        </patternFill>
      </fill>
    </dxf>
    <dxf>
      <font>
        <color auto="1"/>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ont>
        <color auto="1"/>
      </font>
      <fill>
        <patternFill>
          <bgColor rgb="FFC6EFCE"/>
        </patternFill>
      </fill>
    </dxf>
    <dxf>
      <font>
        <b/>
        <i val="0"/>
        <color rgb="FF006100"/>
      </font>
      <fill>
        <patternFill>
          <bgColor rgb="FFC6EFCE"/>
        </patternFill>
      </fill>
    </dxf>
    <dxf>
      <fill>
        <patternFill>
          <bgColor rgb="FFFFC7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b/>
        <i val="0"/>
        <color rgb="FF9C0006"/>
      </font>
      <fill>
        <patternFill>
          <bgColor rgb="FFFFC7CE"/>
        </patternFill>
      </fill>
    </dxf>
    <dxf>
      <font>
        <b/>
        <i val="0"/>
        <color rgb="FF006100"/>
      </font>
      <fill>
        <patternFill>
          <bgColor rgb="FFC6EFCE"/>
        </patternFill>
      </fill>
    </dxf>
    <dxf>
      <fill>
        <patternFill>
          <bgColor rgb="FFFFC7CE"/>
        </patternFill>
      </fill>
    </dxf>
    <dxf>
      <font>
        <color auto="1"/>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b/>
        <i val="0"/>
        <color rgb="FF9C0006"/>
      </font>
      <fill>
        <patternFill>
          <bgColor rgb="FFFFC7CE"/>
        </patternFill>
      </fill>
    </dxf>
    <dxf>
      <font>
        <b/>
        <i val="0"/>
        <color rgb="FF006100"/>
      </font>
      <fill>
        <patternFill>
          <bgColor rgb="FFC6EFCE"/>
        </patternFill>
      </fill>
    </dxf>
    <dxf>
      <fill>
        <patternFill>
          <bgColor rgb="FFFFC7CE"/>
        </patternFill>
      </fill>
    </dxf>
    <dxf>
      <font>
        <color auto="1"/>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ill>
        <patternFill>
          <bgColor rgb="FFFFC7CE"/>
        </patternFill>
      </fill>
    </dxf>
    <dxf>
      <fill>
        <patternFill>
          <bgColor theme="8" tint="0.59996337778862885"/>
        </patternFill>
      </fill>
    </dxf>
    <dxf>
      <font>
        <b/>
        <i val="0"/>
        <color rgb="FF006100"/>
      </font>
      <fill>
        <patternFill>
          <bgColor rgb="FFC6EFCE"/>
        </patternFill>
      </fill>
    </dxf>
    <dxf>
      <font>
        <color auto="1"/>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006100"/>
      </font>
      <fill>
        <patternFill>
          <bgColor rgb="FFC6EFCE"/>
        </patternFill>
      </fill>
    </dxf>
    <dxf>
      <fill>
        <patternFill>
          <bgColor rgb="FFFFC7CE"/>
        </patternFill>
      </fill>
    </dxf>
    <dxf>
      <font>
        <color auto="1"/>
      </font>
      <fill>
        <patternFill>
          <bgColor rgb="FFC6EFCE"/>
        </patternFill>
      </fill>
    </dxf>
    <dxf>
      <font>
        <b/>
        <i val="0"/>
        <color rgb="FF9C0006"/>
      </font>
      <fill>
        <patternFill>
          <bgColor rgb="FFFFC7CE"/>
        </patternFill>
      </fill>
    </dxf>
    <dxf>
      <fill>
        <patternFill>
          <bgColor theme="8"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auto="1"/>
      </font>
      <fill>
        <patternFill>
          <bgColor rgb="FFC6EFCE"/>
        </patternFill>
      </fill>
    </dxf>
    <dxf>
      <fill>
        <patternFill>
          <bgColor theme="8" tint="0.59996337778862885"/>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auto="1"/>
      </font>
      <fill>
        <patternFill>
          <bgColor rgb="FFC6EFCE"/>
        </patternFill>
      </fill>
    </dxf>
    <dxf>
      <fill>
        <patternFill>
          <bgColor rgb="FFFFC7CE"/>
        </patternFill>
      </fill>
    </dxf>
    <dxf>
      <font>
        <b/>
        <i val="0"/>
        <color rgb="FF9C0006"/>
      </font>
      <fill>
        <patternFill>
          <bgColor rgb="FFFFC7CE"/>
        </patternFill>
      </fill>
    </dxf>
    <dxf>
      <font>
        <b/>
        <i val="0"/>
        <color rgb="FF006100"/>
      </font>
      <fill>
        <patternFill>
          <bgColor rgb="FFC6EF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auto="1"/>
      </font>
      <fill>
        <patternFill>
          <bgColor rgb="FFC6EFCE"/>
        </patternFill>
      </fill>
    </dxf>
    <dxf>
      <fill>
        <patternFill>
          <bgColor theme="8" tint="0.59996337778862885"/>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9C0006"/>
      </font>
      <fill>
        <patternFill>
          <bgColor rgb="FFFFC7CE"/>
        </patternFill>
      </fill>
    </dxf>
    <dxf>
      <fill>
        <patternFill>
          <bgColor rgb="FFFFC7CE"/>
        </patternFill>
      </fill>
    </dxf>
    <dxf>
      <font>
        <color auto="1"/>
      </font>
      <fill>
        <patternFill>
          <bgColor rgb="FFC6EFCE"/>
        </patternFill>
      </fill>
    </dxf>
    <dxf>
      <fill>
        <patternFill>
          <bgColor theme="8" tint="0.59996337778862885"/>
        </patternFill>
      </fill>
    </dxf>
    <dxf>
      <font>
        <b/>
        <i val="0"/>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8" tint="0.59996337778862885"/>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auto="1"/>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C7CE"/>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006100"/>
      </font>
      <fill>
        <patternFill>
          <bgColor rgb="FFC6EFCE"/>
        </patternFill>
      </fill>
    </dxf>
    <dxf>
      <fill>
        <patternFill>
          <bgColor theme="8" tint="0.59996337778862885"/>
        </patternFill>
      </fill>
    </dxf>
    <dxf>
      <font>
        <color auto="1"/>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006100"/>
      </font>
      <fill>
        <patternFill>
          <bgColor rgb="FFC6EFCE"/>
        </patternFill>
      </fill>
    </dxf>
    <dxf>
      <font>
        <b/>
        <i val="0"/>
        <color rgb="FF9C0006"/>
      </font>
      <fill>
        <patternFill>
          <bgColor rgb="FFFFC7CE"/>
        </patternFill>
      </fill>
    </dxf>
    <dxf>
      <fill>
        <patternFill>
          <bgColor rgb="FFFFC7CE"/>
        </patternFill>
      </fill>
    </dxf>
    <dxf>
      <fill>
        <patternFill>
          <bgColor theme="8" tint="0.59996337778862885"/>
        </patternFill>
      </fill>
    </dxf>
    <dxf>
      <font>
        <color auto="1"/>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b/>
        <i val="0"/>
        <color rgb="FF9C0006"/>
      </font>
      <fill>
        <patternFill>
          <bgColor rgb="FFFFC7CE"/>
        </patternFill>
      </fill>
    </dxf>
    <dxf>
      <fill>
        <patternFill>
          <bgColor rgb="FFFFC7CE"/>
        </patternFill>
      </fill>
    </dxf>
    <dxf>
      <fill>
        <patternFill>
          <bgColor theme="8" tint="0.59996337778862885"/>
        </patternFill>
      </fill>
    </dxf>
    <dxf>
      <font>
        <color auto="1"/>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ont>
        <color auto="1"/>
      </font>
      <fill>
        <patternFill>
          <bgColor rgb="FFC6EFCE"/>
        </patternFill>
      </fill>
    </dxf>
    <dxf>
      <fill>
        <patternFill>
          <bgColor theme="8" tint="0.59996337778862885"/>
        </patternFill>
      </fill>
    </dxf>
    <dxf>
      <font>
        <b/>
        <i val="0"/>
        <color rgb="FF006100"/>
      </font>
      <fill>
        <patternFill>
          <bgColor rgb="FFC6EF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color rgb="FF9C5700"/>
      </font>
      <fill>
        <patternFill>
          <bgColor rgb="FFFFEB9C"/>
        </patternFill>
      </fill>
    </dxf>
    <dxf>
      <font>
        <b/>
        <i val="0"/>
        <color rgb="FF006100"/>
      </font>
      <fill>
        <patternFill>
          <bgColor rgb="FFC6EFCE"/>
        </patternFill>
      </fill>
    </dxf>
    <dxf>
      <font>
        <b/>
        <i val="0"/>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auto="1"/>
      </font>
      <fill>
        <patternFill>
          <bgColor rgb="FFC6EF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auto="1"/>
      </font>
      <fill>
        <patternFill>
          <bgColor rgb="FFC6EFCE"/>
        </patternFill>
      </fill>
    </dxf>
    <dxf>
      <fill>
        <patternFill>
          <bgColor theme="8" tint="0.59996337778862885"/>
        </patternFill>
      </fill>
    </dxf>
    <dxf>
      <font>
        <b/>
        <i val="0"/>
        <color rgb="FF9C0006"/>
      </font>
      <fill>
        <patternFill>
          <bgColor rgb="FFFFC7CE"/>
        </patternFill>
      </fill>
    </dxf>
    <dxf>
      <font>
        <b/>
        <i val="0"/>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b/>
        <i val="0"/>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9C0006"/>
      </font>
      <fill>
        <patternFill>
          <bgColor rgb="FFFFC7CE"/>
        </patternFill>
      </fill>
    </dxf>
    <dxf>
      <font>
        <b/>
        <i val="0"/>
        <color rgb="FF006100"/>
      </font>
      <fill>
        <patternFill>
          <bgColor rgb="FFC6EFCE"/>
        </patternFill>
      </fill>
    </dxf>
    <dxf>
      <fill>
        <patternFill>
          <bgColor theme="8" tint="0.59996337778862885"/>
        </patternFill>
      </fill>
    </dxf>
    <dxf>
      <font>
        <color auto="1"/>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ill>
        <patternFill>
          <bgColor rgb="FFFFC7CE"/>
        </patternFill>
      </fill>
    </dxf>
    <dxf>
      <font>
        <b/>
        <i val="0"/>
        <color rgb="FF006100"/>
      </font>
      <fill>
        <patternFill>
          <bgColor rgb="FFC6EFCE"/>
        </patternFill>
      </fill>
    </dxf>
    <dxf>
      <font>
        <color auto="1"/>
      </font>
      <fill>
        <patternFill>
          <bgColor rgb="FFC6EFCE"/>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fill>
        <patternFill>
          <bgColor rgb="FFC6EFCE"/>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ill>
        <patternFill>
          <bgColor theme="8" tint="0.59996337778862885"/>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color rgb="FF9C0006"/>
      </font>
      <fill>
        <patternFill>
          <bgColor rgb="FFFFC7CE"/>
        </patternFill>
      </fill>
    </dxf>
    <dxf>
      <fill>
        <patternFill>
          <bgColor theme="8" tint="0.59996337778862885"/>
        </patternFill>
      </fill>
    </dxf>
    <dxf>
      <font>
        <b/>
        <i val="0"/>
        <color rgb="FF006100"/>
      </font>
      <fill>
        <patternFill>
          <bgColor rgb="FFC6EFCE"/>
        </patternFill>
      </fill>
    </dxf>
    <dxf>
      <fill>
        <patternFill>
          <bgColor rgb="FFFFC7CE"/>
        </patternFill>
      </fill>
    </dxf>
    <dxf>
      <font>
        <color auto="1"/>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ill>
        <patternFill>
          <bgColor rgb="FFFFC7CE"/>
        </patternFill>
      </fill>
    </dxf>
    <dxf>
      <font>
        <color auto="1"/>
      </font>
      <fill>
        <patternFill>
          <bgColor rgb="FFC6EFCE"/>
        </patternFill>
      </fill>
    </dxf>
    <dxf>
      <fill>
        <patternFill>
          <bgColor theme="8" tint="0.59996337778862885"/>
        </patternFill>
      </fill>
    </dxf>
    <dxf>
      <font>
        <b/>
        <i val="0"/>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b/>
        <i val="0"/>
        <color rgb="FF006100"/>
      </font>
      <fill>
        <patternFill>
          <bgColor rgb="FFC6EFCE"/>
        </patternFill>
      </fill>
    </dxf>
    <dxf>
      <fill>
        <patternFill>
          <bgColor theme="8" tint="0.59996337778862885"/>
        </patternFill>
      </fill>
    </dxf>
    <dxf>
      <font>
        <color auto="1"/>
      </font>
      <fill>
        <patternFill>
          <bgColor rgb="FFC6EFCE"/>
        </patternFill>
      </fill>
    </dxf>
    <dxf>
      <font>
        <b/>
        <i val="0"/>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b/>
        <i val="0"/>
        <color rgb="FF9C0006"/>
      </font>
      <fill>
        <patternFill>
          <bgColor rgb="FFFFC7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b/>
        <i val="0"/>
        <color rgb="FF9C0006"/>
      </font>
      <fill>
        <patternFill>
          <bgColor rgb="FFFFC7CE"/>
        </patternFill>
      </fill>
    </dxf>
    <dxf>
      <font>
        <color auto="1"/>
      </font>
      <fill>
        <patternFill>
          <bgColor rgb="FFC6EFCE"/>
        </patternFill>
      </fill>
    </dxf>
    <dxf>
      <fill>
        <patternFill>
          <bgColor theme="8" tint="0.59996337778862885"/>
        </patternFill>
      </fill>
    </dxf>
    <dxf>
      <font>
        <b/>
        <i val="0"/>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006100"/>
      </font>
      <fill>
        <patternFill>
          <bgColor rgb="FFC6EFCE"/>
        </patternFill>
      </fill>
    </dxf>
    <dxf>
      <font>
        <b/>
        <i val="0"/>
        <color rgb="FF9C0006"/>
      </font>
      <fill>
        <patternFill>
          <bgColor rgb="FFFFC7CE"/>
        </patternFill>
      </fill>
    </dxf>
    <dxf>
      <font>
        <color auto="1"/>
      </font>
      <fill>
        <patternFill>
          <bgColor rgb="FFC6EFCE"/>
        </patternFill>
      </fill>
    </dxf>
    <dxf>
      <fill>
        <patternFill>
          <bgColor theme="8" tint="0.59996337778862885"/>
        </patternFill>
      </fill>
    </dxf>
    <dxf>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ill>
        <patternFill>
          <bgColor rgb="FFFFC7CE"/>
        </patternFill>
      </fill>
    </dxf>
    <dxf>
      <font>
        <b/>
        <i val="0"/>
        <color rgb="FF9C0006"/>
      </font>
      <fill>
        <patternFill>
          <bgColor rgb="FFFFC7CE"/>
        </patternFill>
      </fill>
    </dxf>
    <dxf>
      <font>
        <b/>
        <i val="0"/>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auto="1"/>
      </font>
      <fill>
        <patternFill>
          <bgColor rgb="FFC6EFCE"/>
        </patternFill>
      </fill>
    </dxf>
    <dxf>
      <fill>
        <patternFill>
          <bgColor theme="8" tint="0.59996337778862885"/>
        </patternFill>
      </fill>
    </dxf>
    <dxf>
      <fill>
        <patternFill>
          <bgColor rgb="FFFFC7CE"/>
        </patternFill>
      </fill>
    </dxf>
    <dxf>
      <font>
        <b/>
        <i val="0"/>
        <color rgb="FF9C0006"/>
      </font>
      <fill>
        <patternFill>
          <bgColor rgb="FFFFC7CE"/>
        </patternFill>
      </fill>
    </dxf>
    <dxf>
      <font>
        <b/>
        <i val="0"/>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8" tint="0.59996337778862885"/>
        </patternFill>
      </fill>
    </dxf>
    <dxf>
      <font>
        <color auto="1"/>
      </font>
      <fill>
        <patternFill>
          <bgColor rgb="FFC6EFCE"/>
        </patternFill>
      </fill>
    </dxf>
    <dxf>
      <font>
        <b/>
        <i val="0"/>
        <color rgb="FF9C0006"/>
      </font>
      <fill>
        <patternFill>
          <bgColor rgb="FFFFC7CE"/>
        </patternFill>
      </fill>
    </dxf>
    <dxf>
      <font>
        <b/>
        <i val="0"/>
        <color rgb="FF006100"/>
      </font>
      <fill>
        <patternFill>
          <bgColor rgb="FFC6EF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b/>
        <i val="0"/>
        <color rgb="FF9C0006"/>
      </font>
      <fill>
        <patternFill>
          <bgColor rgb="FFFFC7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C7CE"/>
        </patternFill>
      </fill>
    </dxf>
    <dxf>
      <font>
        <color auto="1"/>
      </font>
      <fill>
        <patternFill>
          <bgColor rgb="FFC6EFCE"/>
        </patternFill>
      </fill>
    </dxf>
    <dxf>
      <font>
        <b/>
        <i val="0"/>
        <color rgb="FF9C0006"/>
      </font>
      <fill>
        <patternFill>
          <bgColor rgb="FFFFC7CE"/>
        </patternFill>
      </fill>
    </dxf>
    <dxf>
      <fill>
        <patternFill>
          <bgColor theme="8" tint="0.59996337778862885"/>
        </patternFill>
      </fill>
    </dxf>
    <dxf>
      <font>
        <b/>
        <i val="0"/>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8" tint="0.59996337778862885"/>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ill>
        <patternFill>
          <bgColor theme="8"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006100"/>
      </font>
      <fill>
        <patternFill>
          <bgColor rgb="FFC6EFCE"/>
        </patternFill>
      </fill>
    </dxf>
    <dxf>
      <fill>
        <patternFill>
          <bgColor theme="8" tint="0.59996337778862885"/>
        </patternFill>
      </fill>
    </dxf>
    <dxf>
      <font>
        <b/>
        <i val="0"/>
        <color rgb="FF9C0006"/>
      </font>
      <fill>
        <patternFill>
          <bgColor rgb="FFFFC7CE"/>
        </patternFill>
      </fill>
    </dxf>
    <dxf>
      <font>
        <color auto="1"/>
      </font>
      <fill>
        <patternFill>
          <bgColor rgb="FFC6EFCE"/>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auto="1"/>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auto="1"/>
      </font>
      <fill>
        <patternFill>
          <bgColor rgb="FFC6EFCE"/>
        </patternFill>
      </fill>
    </dxf>
    <dxf>
      <fill>
        <patternFill>
          <bgColor theme="8" tint="0.59996337778862885"/>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ill>
        <patternFill>
          <bgColor theme="8" tint="0.59996337778862885"/>
        </patternFill>
      </fill>
    </dxf>
    <dxf>
      <font>
        <color auto="1"/>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fill>
        <patternFill>
          <bgColor rgb="FFC6EFCE"/>
        </patternFill>
      </fill>
    </dxf>
    <dxf>
      <fill>
        <patternFill>
          <bgColor theme="8" tint="0.59996337778862885"/>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b/>
        <i val="0"/>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9C0006"/>
      </font>
      <fill>
        <patternFill>
          <bgColor rgb="FFFFC7CE"/>
        </patternFill>
      </fill>
    </dxf>
    <dxf>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b/>
        <i val="0"/>
        <color rgb="FF9C0006"/>
      </font>
      <fill>
        <patternFill>
          <bgColor rgb="FFFFC7CE"/>
        </patternFill>
      </fill>
    </dxf>
    <dxf>
      <fill>
        <patternFill>
          <bgColor rgb="FFFFC7CE"/>
        </patternFill>
      </fill>
    </dxf>
    <dxf>
      <font>
        <color auto="1"/>
      </font>
      <fill>
        <patternFill>
          <bgColor rgb="FFC6EFCE"/>
        </patternFill>
      </fill>
    </dxf>
    <dxf>
      <font>
        <b/>
        <i val="0"/>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9C0006"/>
      </font>
      <fill>
        <patternFill>
          <bgColor rgb="FFFFC7CE"/>
        </patternFill>
      </fill>
    </dxf>
    <dxf>
      <font>
        <b/>
        <i val="0"/>
        <color rgb="FF006100"/>
      </font>
      <fill>
        <patternFill>
          <bgColor rgb="FFC6EF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fill>
        <patternFill>
          <bgColor rgb="FFC6EFCE"/>
        </patternFill>
      </fill>
    </dxf>
    <dxf>
      <fill>
        <patternFill>
          <bgColor theme="8" tint="0.59996337778862885"/>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006100"/>
      </font>
      <fill>
        <patternFill>
          <bgColor rgb="FFC6EFCE"/>
        </patternFill>
      </fill>
    </dxf>
    <dxf>
      <font>
        <color auto="1"/>
      </font>
      <fill>
        <patternFill>
          <bgColor rgb="FFC6EFCE"/>
        </patternFill>
      </fill>
    </dxf>
    <dxf>
      <fill>
        <patternFill>
          <bgColor rgb="FFFFC7CE"/>
        </patternFill>
      </fill>
    </dxf>
    <dxf>
      <fill>
        <patternFill>
          <bgColor theme="8" tint="0.59996337778862885"/>
        </patternFill>
      </fill>
    </dxf>
    <dxf>
      <font>
        <b/>
        <i val="0"/>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b/>
        <i val="0"/>
        <color rgb="FF9C0006"/>
      </font>
      <fill>
        <patternFill>
          <bgColor rgb="FFFFC7CE"/>
        </patternFill>
      </fill>
    </dxf>
    <dxf>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006100"/>
      </font>
      <fill>
        <patternFill>
          <bgColor rgb="FFC6EFCE"/>
        </patternFill>
      </fill>
    </dxf>
    <dxf>
      <font>
        <color auto="1"/>
      </font>
      <fill>
        <patternFill>
          <bgColor rgb="FFC6EFCE"/>
        </patternFill>
      </fill>
    </dxf>
    <dxf>
      <fill>
        <patternFill>
          <bgColor rgb="FFFFC7CE"/>
        </patternFill>
      </fill>
    </dxf>
    <dxf>
      <fill>
        <patternFill>
          <bgColor theme="8" tint="0.59996337778862885"/>
        </patternFill>
      </fill>
    </dxf>
    <dxf>
      <font>
        <b/>
        <i val="0"/>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8" tint="0.59996337778862885"/>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auto="1"/>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auto="1"/>
      </font>
      <fill>
        <patternFill>
          <bgColor rgb="FFC6EFCE"/>
        </patternFill>
      </fill>
    </dxf>
    <dxf>
      <font>
        <b/>
        <i val="0"/>
        <color rgb="FF006100"/>
      </font>
      <fill>
        <patternFill>
          <bgColor rgb="FFC6EFCE"/>
        </patternFill>
      </fill>
    </dxf>
    <dxf>
      <font>
        <b/>
        <i val="0"/>
        <color rgb="FF9C0006"/>
      </font>
      <fill>
        <patternFill>
          <bgColor rgb="FFFFC7CE"/>
        </patternFill>
      </fill>
    </dxf>
    <dxf>
      <fill>
        <patternFill>
          <bgColor rgb="FFFFC7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006100"/>
      </font>
      <fill>
        <patternFill>
          <bgColor rgb="FFC6EFCE"/>
        </patternFill>
      </fill>
    </dxf>
    <dxf>
      <font>
        <b/>
        <i val="0"/>
        <color rgb="FF9C0006"/>
      </font>
      <fill>
        <patternFill>
          <bgColor rgb="FFFFC7CE"/>
        </patternFill>
      </fill>
    </dxf>
    <dxf>
      <fill>
        <patternFill>
          <bgColor rgb="FFFFC7CE"/>
        </patternFill>
      </fill>
    </dxf>
    <dxf>
      <font>
        <color auto="1"/>
      </font>
      <fill>
        <patternFill>
          <bgColor rgb="FFC6EF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b/>
        <i val="0"/>
        <color rgb="FF006100"/>
      </font>
      <fill>
        <patternFill>
          <bgColor rgb="FFC6EFCE"/>
        </patternFill>
      </fill>
    </dxf>
    <dxf>
      <fill>
        <patternFill>
          <bgColor theme="8" tint="0.59996337778862885"/>
        </patternFill>
      </fill>
    </dxf>
    <dxf>
      <fill>
        <patternFill>
          <bgColor rgb="FFFFC7CE"/>
        </patternFill>
      </fill>
    </dxf>
    <dxf>
      <font>
        <b/>
        <i val="0"/>
        <color rgb="FF9C0006"/>
      </font>
      <fill>
        <patternFill>
          <bgColor rgb="FFFFC7CE"/>
        </patternFill>
      </fill>
    </dxf>
    <dxf>
      <font>
        <color auto="1"/>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C7CE"/>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fill>
        <patternFill>
          <bgColor rgb="FFC6EFCE"/>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ill>
        <patternFill>
          <bgColor theme="8" tint="0.59996337778862885"/>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color rgb="FF9C0006"/>
      </font>
      <fill>
        <patternFill>
          <bgColor rgb="FFFFC7CE"/>
        </patternFill>
      </fill>
    </dxf>
    <dxf>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8" tint="0.59996337778862885"/>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auto="1"/>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b/>
        <i val="0"/>
        <color rgb="FF006100"/>
      </font>
      <fill>
        <patternFill>
          <bgColor rgb="FFC6EFCE"/>
        </patternFill>
      </fill>
    </dxf>
    <dxf>
      <fill>
        <patternFill>
          <bgColor theme="8" tint="0.59996337778862885"/>
        </patternFill>
      </fill>
    </dxf>
    <dxf>
      <font>
        <b/>
        <i val="0"/>
        <color rgb="FF9C0006"/>
      </font>
      <fill>
        <patternFill>
          <bgColor rgb="FFFFC7CE"/>
        </patternFill>
      </fill>
    </dxf>
    <dxf>
      <font>
        <color auto="1"/>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b/>
        <i val="0"/>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b/>
        <i val="0"/>
        <color rgb="FF006100"/>
      </font>
      <fill>
        <patternFill>
          <bgColor rgb="FFC6EFCE"/>
        </patternFill>
      </fill>
    </dxf>
    <dxf>
      <font>
        <b/>
        <i val="0"/>
        <color rgb="FF9C0006"/>
      </font>
      <fill>
        <patternFill>
          <bgColor rgb="FFFFC7CE"/>
        </patternFill>
      </fill>
    </dxf>
    <dxf>
      <fill>
        <patternFill>
          <bgColor rgb="FFFFC7CE"/>
        </patternFill>
      </fill>
    </dxf>
    <dxf>
      <font>
        <color auto="1"/>
      </font>
      <fill>
        <patternFill>
          <bgColor rgb="FFC6EFCE"/>
        </patternFill>
      </fill>
    </dxf>
    <dxf>
      <fill>
        <patternFill>
          <bgColor theme="8"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fill>
        <patternFill>
          <bgColor rgb="FFC6EFCE"/>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ill>
        <patternFill>
          <bgColor theme="8" tint="0.59996337778862885"/>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ont>
        <b/>
        <i val="0"/>
        <color rgb="FF9C0006"/>
      </font>
      <fill>
        <patternFill>
          <bgColor rgb="FFFFC7CE"/>
        </patternFill>
      </fill>
    </dxf>
    <dxf>
      <fill>
        <patternFill>
          <bgColor rgb="FFFFC7CE"/>
        </patternFill>
      </fill>
    </dxf>
    <dxf>
      <fill>
        <patternFill>
          <bgColor theme="8"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b/>
        <i val="0"/>
        <color rgb="FF006100"/>
      </font>
      <fill>
        <patternFill>
          <bgColor rgb="FFC6EFCE"/>
        </patternFill>
      </fill>
    </dxf>
    <dxf>
      <fill>
        <patternFill>
          <bgColor theme="8" tint="0.59996337778862885"/>
        </patternFill>
      </fill>
    </dxf>
    <dxf>
      <font>
        <color auto="1"/>
      </font>
      <fill>
        <patternFill>
          <bgColor rgb="FFC6EFCE"/>
        </patternFill>
      </fill>
    </dxf>
    <dxf>
      <fill>
        <patternFill>
          <bgColor rgb="FFFFC7CE"/>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C7CE"/>
        </patternFill>
      </fill>
    </dxf>
    <dxf>
      <fill>
        <patternFill>
          <bgColor theme="8" tint="0.59996337778862885"/>
        </patternFill>
      </fill>
    </dxf>
    <dxf>
      <font>
        <b/>
        <i val="0"/>
        <color rgb="FF006100"/>
      </font>
      <fill>
        <patternFill>
          <bgColor rgb="FFC6EFCE"/>
        </patternFill>
      </fill>
    </dxf>
    <dxf>
      <font>
        <color auto="1"/>
      </font>
      <fill>
        <patternFill>
          <bgColor rgb="FFC6EFCE"/>
        </patternFill>
      </fill>
    </dxf>
    <dxf>
      <font>
        <b/>
        <i val="0"/>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FFC7CE"/>
        </patternFill>
      </fill>
    </dxf>
    <dxf>
      <font>
        <b/>
        <i val="0"/>
        <color rgb="FF006100"/>
      </font>
      <fill>
        <patternFill>
          <bgColor rgb="FFC6EFCE"/>
        </patternFill>
      </fill>
    </dxf>
    <dxf>
      <font>
        <color auto="1"/>
      </font>
      <fill>
        <patternFill>
          <bgColor rgb="FFC6EFCE"/>
        </patternFill>
      </fill>
    </dxf>
    <dxf>
      <font>
        <b/>
        <i val="0"/>
        <color rgb="FF9C0006"/>
      </font>
      <fill>
        <patternFill>
          <bgColor rgb="FFFFC7CE"/>
        </patternFill>
      </fill>
    </dxf>
    <dxf>
      <fill>
        <patternFill>
          <bgColor theme="8" tint="0.59996337778862885"/>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b/>
        <i val="0"/>
        <color rgb="FF9C0006"/>
      </font>
      <fill>
        <patternFill>
          <bgColor rgb="FFFFC7CE"/>
        </patternFill>
      </fill>
    </dxf>
    <dxf>
      <font>
        <color auto="1"/>
      </font>
      <fill>
        <patternFill>
          <bgColor rgb="FFC6EFCE"/>
        </patternFill>
      </fill>
    </dxf>
    <dxf>
      <font>
        <b/>
        <i val="0"/>
        <color rgb="FF006100"/>
      </font>
      <fill>
        <patternFill>
          <bgColor rgb="FFC6EFCE"/>
        </patternFill>
      </fill>
    </dxf>
    <dxf>
      <fill>
        <patternFill>
          <bgColor theme="8" tint="0.59996337778862885"/>
        </patternFill>
      </fill>
    </dxf>
    <dxf>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ill>
        <patternFill>
          <bgColor theme="8"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b/>
        <i val="0"/>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b/>
        <i val="0"/>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b/>
        <i val="0"/>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9C0006"/>
      </font>
      <fill>
        <patternFill>
          <bgColor rgb="FFFFC7CE"/>
        </patternFill>
      </fill>
    </dxf>
    <dxf>
      <font>
        <color rgb="FF9C5700"/>
      </font>
      <fill>
        <patternFill>
          <bgColor rgb="FFFFEB9C"/>
        </patternFill>
      </fill>
    </dxf>
    <dxf>
      <font>
        <b/>
        <i val="0"/>
        <color rgb="FF006100"/>
      </font>
      <fill>
        <patternFill>
          <bgColor rgb="FFC6EFCE"/>
        </patternFill>
      </fill>
    </dxf>
    <dxf>
      <font>
        <color auto="1"/>
      </font>
      <fill>
        <patternFill>
          <bgColor rgb="FFC6EFCE"/>
        </patternFill>
      </fill>
    </dxf>
    <dxf>
      <fill>
        <patternFill>
          <bgColor theme="8" tint="0.59996337778862885"/>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i val="0"/>
        <color rgb="FF006100"/>
      </font>
      <fill>
        <patternFill>
          <bgColor rgb="FFC6EFCE"/>
        </patternFill>
      </fill>
    </dxf>
    <dxf>
      <font>
        <b/>
        <i val="0"/>
        <color rgb="FF9C0006"/>
      </font>
      <fill>
        <patternFill>
          <bgColor rgb="FFFFC7CE"/>
        </patternFill>
      </fill>
    </dxf>
    <dxf>
      <fill>
        <patternFill>
          <bgColor rgb="FFFFC7CE"/>
        </patternFill>
      </fill>
    </dxf>
    <dxf>
      <font>
        <color auto="1"/>
      </font>
      <fill>
        <patternFill>
          <bgColor rgb="FFC6EFCE"/>
        </patternFill>
      </fill>
    </dxf>
    <dxf>
      <fill>
        <patternFill>
          <bgColor theme="8" tint="0.59996337778862885"/>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8" tint="0.59996337778862885"/>
        </patternFill>
      </fill>
    </dxf>
    <dxf>
      <font>
        <color auto="1"/>
      </font>
      <fill>
        <patternFill>
          <bgColor rgb="FFC6EFCE"/>
        </patternFill>
      </fill>
    </dxf>
    <dxf>
      <font>
        <b/>
        <i val="0"/>
        <color rgb="FF006100"/>
      </font>
      <fill>
        <patternFill>
          <bgColor rgb="FFC6EFCE"/>
        </patternFill>
      </fill>
    </dxf>
    <dxf>
      <fill>
        <patternFill>
          <bgColor rgb="FFFFC7CE"/>
        </patternFill>
      </fill>
    </dxf>
    <dxf>
      <font>
        <b/>
        <i val="0"/>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8" tint="0.59996337778862885"/>
        </patternFill>
      </fill>
    </dxf>
    <dxf>
      <font>
        <b/>
        <i val="0"/>
        <color rgb="FF9C0006"/>
      </font>
      <fill>
        <patternFill>
          <bgColor rgb="FFFFC7CE"/>
        </patternFill>
      </fill>
    </dxf>
    <dxf>
      <fill>
        <patternFill>
          <bgColor rgb="FFFFC7CE"/>
        </patternFill>
      </fill>
    </dxf>
    <dxf>
      <font>
        <b/>
        <i val="0"/>
        <color rgb="FF006100"/>
      </font>
      <fill>
        <patternFill>
          <bgColor rgb="FFC6EFCE"/>
        </patternFill>
      </fill>
    </dxf>
    <dxf>
      <font>
        <color auto="1"/>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9" defaultPivotStyle="PivotStyleMedium7"/>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C5000B"/>
      <rgbColor rgb="00008000"/>
      <rgbColor rgb="00000080"/>
      <rgbColor rgb="00808000"/>
      <rgbColor rgb="00800080"/>
      <rgbColor rgb="00008080"/>
      <rgbColor rgb="00CCCCCC"/>
      <rgbColor rgb="00808080"/>
      <rgbColor rgb="009999FF"/>
      <rgbColor rgb="00FF3333"/>
      <rgbColor rgb="00FFFFCC"/>
      <rgbColor rgb="00CCFFFF"/>
      <rgbColor rgb="00660066"/>
      <rgbColor rgb="00FF8080"/>
      <rgbColor rgb="000084D1"/>
      <rgbColor rgb="00B3B3B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66"/>
      <rgbColor rgb="0099CC00"/>
      <rgbColor rgb="00FFCC00"/>
      <rgbColor rgb="00FF950E"/>
      <rgbColor rgb="00FF6633"/>
      <rgbColor rgb="00666699"/>
      <rgbColor rgb="00999999"/>
      <rgbColor rgb="00004586"/>
      <rgbColor rgb="00339966"/>
      <rgbColor rgb="00003300"/>
      <rgbColor rgb="00333300"/>
      <rgbColor rgb="00993300"/>
      <rgbColor rgb="00EB613D"/>
      <rgbColor rgb="00333399"/>
      <rgbColor rgb="00333333"/>
    </indexedColors>
    <mruColors>
      <color rgb="FFC6EFCE"/>
      <color rgb="FFFF3333"/>
      <color rgb="FF7D9782"/>
      <color rgb="FFE171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xmlns="">
              <a:effectLst>
                <a:outerShdw blurRad="63500" dist="38099" dir="2700000" algn="ctr" rotWithShape="0">
                  <a:srgbClr val="000000">
                    <a:alpha val="74998"/>
                  </a:srgbClr>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xmlns="">
              <a:effectLst>
                <a:outerShdw blurRad="63500" dist="38099" dir="2700000" algn="ctr" rotWithShape="0">
                  <a:srgbClr val="000000">
                    <a:alpha val="74998"/>
                  </a:srgbClr>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trava.com/routes/27412447964002446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autoPageBreaks="0" fitToPage="1"/>
  </sheetPr>
  <dimension ref="A1:AA3051"/>
  <sheetViews>
    <sheetView tabSelected="1" zoomScaleNormal="100" workbookViewId="0">
      <pane ySplit="1" topLeftCell="A2742" activePane="bottomLeft" state="frozen"/>
      <selection activeCell="B1" sqref="B1"/>
      <selection pane="bottomLeft" activeCell="Y2827" sqref="Y2827"/>
    </sheetView>
  </sheetViews>
  <sheetFormatPr baseColWidth="10" defaultColWidth="11.5" defaultRowHeight="15" x14ac:dyDescent="0.2"/>
  <cols>
    <col min="1" max="1" width="5.6640625" style="3" bestFit="1" customWidth="1"/>
    <col min="2" max="2" width="6" style="1682" customWidth="1"/>
    <col min="3" max="3" width="9.5" style="8" bestFit="1" customWidth="1"/>
    <col min="4" max="4" width="4.1640625" style="12" bestFit="1" customWidth="1"/>
    <col min="5" max="5" width="2" style="14" bestFit="1" customWidth="1"/>
    <col min="6" max="6" width="8.33203125" style="1804" bestFit="1" customWidth="1"/>
    <col min="7" max="7" width="8.1640625" style="9" bestFit="1" customWidth="1"/>
    <col min="8" max="8" width="6.6640625" style="10" bestFit="1" customWidth="1"/>
    <col min="9" max="9" width="5.6640625" style="11" bestFit="1" customWidth="1"/>
    <col min="10" max="10" width="4.5" style="12" bestFit="1" customWidth="1"/>
    <col min="11" max="11" width="4.1640625" style="2" bestFit="1" customWidth="1"/>
    <col min="12" max="12" width="5.1640625" style="12" bestFit="1" customWidth="1"/>
    <col min="13" max="13" width="5.1640625" style="1604" bestFit="1" customWidth="1"/>
    <col min="14" max="14" width="5.6640625" style="12" bestFit="1" customWidth="1"/>
    <col min="15" max="15" width="18.1640625" style="13" bestFit="1" customWidth="1"/>
    <col min="16" max="16" width="4" style="7" customWidth="1"/>
    <col min="17" max="17" width="1.5" style="7" bestFit="1" customWidth="1"/>
    <col min="18" max="18" width="4.1640625" style="7" bestFit="1" customWidth="1"/>
    <col min="19" max="19" width="6.83203125" style="1" bestFit="1" customWidth="1"/>
    <col min="20" max="20" width="4.6640625" style="1379" bestFit="1" customWidth="1"/>
    <col min="21" max="21" width="4.33203125" style="7" bestFit="1" customWidth="1"/>
    <col min="22" max="22" width="3.83203125" style="6" bestFit="1" customWidth="1"/>
    <col min="23" max="23" width="4.6640625" style="1677" bestFit="1" customWidth="1"/>
    <col min="24" max="24" width="4.1640625" style="6" bestFit="1" customWidth="1"/>
    <col min="25" max="25" width="13.33203125" bestFit="1" customWidth="1"/>
    <col min="26" max="16384" width="11.5" style="6"/>
  </cols>
  <sheetData>
    <row r="1" spans="1:24" s="3" customFormat="1" ht="16" thickBot="1" x14ac:dyDescent="0.25">
      <c r="A1" s="1966" t="s">
        <v>198</v>
      </c>
      <c r="B1" s="1963"/>
      <c r="C1" s="1858" t="s">
        <v>0</v>
      </c>
      <c r="D1" s="1859" t="s">
        <v>172</v>
      </c>
      <c r="E1" s="1860" t="s">
        <v>294</v>
      </c>
      <c r="F1" s="1861" t="s">
        <v>1</v>
      </c>
      <c r="G1" s="1862" t="s">
        <v>2</v>
      </c>
      <c r="H1" s="1863" t="s">
        <v>6</v>
      </c>
      <c r="I1" s="1864" t="s">
        <v>167</v>
      </c>
      <c r="J1" s="1865" t="s">
        <v>20</v>
      </c>
      <c r="K1" s="1866" t="s">
        <v>347</v>
      </c>
      <c r="L1" s="1867" t="s">
        <v>18</v>
      </c>
      <c r="M1" s="1865" t="s">
        <v>5</v>
      </c>
      <c r="N1" s="1867" t="s">
        <v>254</v>
      </c>
      <c r="O1" s="1868" t="s">
        <v>7</v>
      </c>
      <c r="P1" s="1865" t="s">
        <v>353</v>
      </c>
      <c r="Q1" s="1869" t="s">
        <v>8</v>
      </c>
      <c r="R1" s="1870" t="s">
        <v>354</v>
      </c>
      <c r="S1" s="1871" t="s">
        <v>291</v>
      </c>
      <c r="T1" s="1867" t="s">
        <v>352</v>
      </c>
      <c r="U1" s="1872" t="s">
        <v>257</v>
      </c>
      <c r="V1" s="1873" t="s">
        <v>248</v>
      </c>
      <c r="W1" s="1871" t="s">
        <v>256</v>
      </c>
      <c r="X1" s="1871" t="s">
        <v>143</v>
      </c>
    </row>
    <row r="2" spans="1:24" s="3" customFormat="1" x14ac:dyDescent="0.2">
      <c r="A2" s="1830"/>
      <c r="B2" s="1830"/>
      <c r="C2" s="1840">
        <v>39447</v>
      </c>
      <c r="D2" s="1830"/>
      <c r="E2" s="1841"/>
      <c r="F2" s="1842"/>
      <c r="G2" s="1832"/>
      <c r="H2" s="1843">
        <v>911</v>
      </c>
      <c r="I2" s="1833"/>
      <c r="J2" s="1830"/>
      <c r="K2" s="18"/>
      <c r="L2" s="1830"/>
      <c r="M2" s="1830"/>
      <c r="N2" s="1830"/>
      <c r="O2" s="1833"/>
      <c r="P2" s="1830"/>
      <c r="Q2" s="1830"/>
      <c r="R2" s="1830"/>
      <c r="S2" s="18"/>
      <c r="T2" s="1830"/>
      <c r="U2" s="2"/>
      <c r="V2" s="18"/>
      <c r="W2" s="18"/>
      <c r="X2" s="18"/>
    </row>
    <row r="3" spans="1:24" s="3" customFormat="1" x14ac:dyDescent="0.2">
      <c r="A3" s="1830"/>
      <c r="B3" s="1830"/>
      <c r="C3" s="1840">
        <v>39813</v>
      </c>
      <c r="D3" s="1830"/>
      <c r="E3" s="1841"/>
      <c r="F3" s="1842"/>
      <c r="G3" s="1832"/>
      <c r="H3" s="1843">
        <v>506.10999999999996</v>
      </c>
      <c r="I3" s="1833"/>
      <c r="J3" s="1830"/>
      <c r="K3" s="18"/>
      <c r="L3" s="1830"/>
      <c r="M3" s="1830"/>
      <c r="N3" s="1830"/>
      <c r="O3" s="1833"/>
      <c r="P3" s="1830"/>
      <c r="Q3" s="1830"/>
      <c r="R3" s="1830"/>
      <c r="S3" s="18"/>
      <c r="T3" s="1830"/>
      <c r="U3" s="2"/>
      <c r="V3" s="18"/>
      <c r="W3" s="18"/>
      <c r="X3" s="18"/>
    </row>
    <row r="4" spans="1:24" s="3" customFormat="1" x14ac:dyDescent="0.2">
      <c r="A4" s="1830"/>
      <c r="B4" s="1830"/>
      <c r="C4" s="1840">
        <v>40178</v>
      </c>
      <c r="D4" s="1830"/>
      <c r="E4" s="1841"/>
      <c r="F4" s="1842"/>
      <c r="G4" s="1832"/>
      <c r="H4" s="1843">
        <v>1106.8499999999999</v>
      </c>
      <c r="I4" s="1833"/>
      <c r="J4" s="1830"/>
      <c r="K4" s="18"/>
      <c r="L4" s="1830"/>
      <c r="M4" s="1830"/>
      <c r="N4" s="1830"/>
      <c r="O4" s="1833"/>
      <c r="P4" s="1830"/>
      <c r="Q4" s="1830"/>
      <c r="R4" s="1830"/>
      <c r="S4" s="18"/>
      <c r="T4" s="1830"/>
      <c r="U4" s="2"/>
      <c r="V4" s="18"/>
      <c r="W4" s="18"/>
      <c r="X4" s="18"/>
    </row>
    <row r="5" spans="1:24" s="3" customFormat="1" x14ac:dyDescent="0.2">
      <c r="A5" s="1830"/>
      <c r="B5" s="1830"/>
      <c r="C5" s="1840">
        <v>40543</v>
      </c>
      <c r="D5" s="1830"/>
      <c r="E5" s="1841"/>
      <c r="F5" s="1842"/>
      <c r="G5" s="1832"/>
      <c r="H5" s="1843">
        <v>700.9799999999999</v>
      </c>
      <c r="I5" s="1833"/>
      <c r="J5" s="1830"/>
      <c r="K5" s="18"/>
      <c r="L5" s="1830"/>
      <c r="M5" s="1830"/>
      <c r="N5" s="1830"/>
      <c r="O5" s="1833"/>
      <c r="P5" s="1830"/>
      <c r="Q5" s="1830"/>
      <c r="R5" s="1830"/>
      <c r="S5" s="18"/>
      <c r="T5" s="1830"/>
      <c r="U5" s="2"/>
      <c r="V5" s="18"/>
      <c r="W5" s="18"/>
      <c r="X5" s="18"/>
    </row>
    <row r="6" spans="1:24" s="3" customFormat="1" x14ac:dyDescent="0.2">
      <c r="A6" s="1830"/>
      <c r="B6" s="1830"/>
      <c r="C6" s="1840">
        <v>40908</v>
      </c>
      <c r="D6" s="1830"/>
      <c r="E6" s="1841"/>
      <c r="F6" s="1842"/>
      <c r="G6" s="1832"/>
      <c r="H6" s="1843">
        <v>1293.8800000000001</v>
      </c>
      <c r="I6" s="1833"/>
      <c r="J6" s="1830"/>
      <c r="K6" s="18"/>
      <c r="L6" s="1830"/>
      <c r="M6" s="1830"/>
      <c r="N6" s="1830"/>
      <c r="O6" s="1833"/>
      <c r="P6" s="1830"/>
      <c r="Q6" s="1830"/>
      <c r="R6" s="1830"/>
      <c r="S6" s="18"/>
      <c r="T6" s="1830"/>
      <c r="U6" s="2"/>
      <c r="V6" s="18"/>
      <c r="W6" s="18"/>
      <c r="X6" s="18"/>
    </row>
    <row r="7" spans="1:24" s="3" customFormat="1" x14ac:dyDescent="0.2">
      <c r="A7" s="1830"/>
      <c r="B7" s="1830"/>
      <c r="C7" s="1840">
        <v>41274</v>
      </c>
      <c r="D7" s="1830"/>
      <c r="E7" s="1841"/>
      <c r="F7" s="1842"/>
      <c r="G7" s="1832"/>
      <c r="H7" s="1843">
        <v>1700.91</v>
      </c>
      <c r="I7" s="1833"/>
      <c r="J7" s="1830"/>
      <c r="K7" s="18"/>
      <c r="L7" s="1830"/>
      <c r="M7" s="1830"/>
      <c r="N7" s="1830"/>
      <c r="O7" s="1833"/>
      <c r="P7" s="1830"/>
      <c r="Q7" s="1830"/>
      <c r="R7" s="1830"/>
      <c r="S7" s="18"/>
      <c r="T7" s="1830"/>
      <c r="U7" s="2"/>
      <c r="V7" s="18"/>
      <c r="W7" s="18"/>
      <c r="X7" s="18"/>
    </row>
    <row r="8" spans="1:24" s="3" customFormat="1" x14ac:dyDescent="0.2">
      <c r="A8" s="1830"/>
      <c r="B8" s="1830"/>
      <c r="C8" s="1840">
        <v>41639</v>
      </c>
      <c r="D8" s="1830"/>
      <c r="E8" s="1841"/>
      <c r="F8" s="1842"/>
      <c r="G8" s="1832"/>
      <c r="H8" s="1843">
        <v>563</v>
      </c>
      <c r="I8" s="1833"/>
      <c r="J8" s="1830"/>
      <c r="K8" s="18"/>
      <c r="L8" s="1830"/>
      <c r="M8" s="1830"/>
      <c r="N8" s="1830"/>
      <c r="O8" s="1833"/>
      <c r="P8" s="1830"/>
      <c r="Q8" s="1830"/>
      <c r="R8" s="1830"/>
      <c r="S8" s="18"/>
      <c r="T8" s="1830"/>
      <c r="U8" s="2"/>
      <c r="V8" s="18"/>
      <c r="W8" s="18"/>
      <c r="X8" s="18"/>
    </row>
    <row r="9" spans="1:24" s="3" customFormat="1" x14ac:dyDescent="0.2">
      <c r="A9" s="1830"/>
      <c r="B9" s="1830"/>
      <c r="C9" s="1840">
        <v>42004</v>
      </c>
      <c r="D9" s="1830"/>
      <c r="E9" s="1841"/>
      <c r="F9" s="1842"/>
      <c r="G9" s="1832"/>
      <c r="H9" s="1843">
        <v>1950.5000000000002</v>
      </c>
      <c r="I9" s="1833"/>
      <c r="J9" s="1830"/>
      <c r="K9" s="18"/>
      <c r="L9" s="1830"/>
      <c r="M9" s="1830"/>
      <c r="N9" s="1830"/>
      <c r="O9" s="1833"/>
      <c r="P9" s="1830"/>
      <c r="Q9" s="1830"/>
      <c r="R9" s="1830"/>
      <c r="S9" s="18"/>
      <c r="T9" s="1830"/>
      <c r="U9" s="2"/>
      <c r="V9" s="18"/>
      <c r="W9" s="18"/>
      <c r="X9" s="18"/>
    </row>
    <row r="10" spans="1:24" s="3" customFormat="1" x14ac:dyDescent="0.2">
      <c r="A10" s="1830"/>
      <c r="B10" s="1830"/>
      <c r="C10" s="1840">
        <v>42369</v>
      </c>
      <c r="D10" s="1830"/>
      <c r="E10" s="1841"/>
      <c r="F10" s="1842"/>
      <c r="G10" s="1832"/>
      <c r="H10" s="1843">
        <v>1873</v>
      </c>
      <c r="I10" s="1833"/>
      <c r="J10" s="1830"/>
      <c r="K10" s="18"/>
      <c r="L10" s="1830"/>
      <c r="M10" s="1830"/>
      <c r="N10" s="1830"/>
      <c r="O10" s="1833"/>
      <c r="P10" s="1830"/>
      <c r="Q10" s="1830"/>
      <c r="R10" s="1830"/>
      <c r="S10" s="18"/>
      <c r="T10" s="1830"/>
      <c r="U10" s="2"/>
      <c r="V10" s="18"/>
      <c r="W10" s="18"/>
      <c r="X10" s="18"/>
    </row>
    <row r="11" spans="1:24" s="3" customFormat="1" x14ac:dyDescent="0.2">
      <c r="A11" s="1830"/>
      <c r="B11" s="1830"/>
      <c r="C11" s="1840">
        <v>42735</v>
      </c>
      <c r="D11" s="1830"/>
      <c r="E11" s="1841"/>
      <c r="F11" s="1842"/>
      <c r="G11" s="1832"/>
      <c r="H11" s="1843">
        <v>728</v>
      </c>
      <c r="I11" s="1833"/>
      <c r="J11" s="1830"/>
      <c r="K11" s="18"/>
      <c r="L11" s="1830"/>
      <c r="M11" s="1830"/>
      <c r="N11" s="1830"/>
      <c r="O11" s="1833"/>
      <c r="P11" s="1830"/>
      <c r="Q11" s="1830"/>
      <c r="R11" s="1830"/>
      <c r="S11" s="18"/>
      <c r="T11" s="1830"/>
      <c r="U11" s="2"/>
      <c r="V11" s="18"/>
      <c r="W11" s="18"/>
      <c r="X11" s="18"/>
    </row>
    <row r="12" spans="1:24" ht="16" thickBot="1" x14ac:dyDescent="0.25">
      <c r="B12" s="1844"/>
      <c r="C12" s="1845">
        <v>43100</v>
      </c>
      <c r="D12" s="1831"/>
      <c r="E12" s="1846"/>
      <c r="F12" s="1847"/>
      <c r="G12" s="1848"/>
      <c r="H12" s="1849">
        <v>1378</v>
      </c>
      <c r="I12" s="1850"/>
      <c r="J12" s="1851"/>
      <c r="K12" s="1714"/>
      <c r="L12" s="1852"/>
      <c r="M12" s="1852"/>
      <c r="N12" s="1853"/>
      <c r="O12" s="1854"/>
      <c r="P12" s="1854"/>
      <c r="Q12" s="1854"/>
      <c r="R12" s="1854"/>
      <c r="S12" s="1855"/>
      <c r="T12" s="1852"/>
      <c r="U12" s="1856"/>
      <c r="V12" s="1852"/>
      <c r="W12" s="1857"/>
      <c r="X12" s="1852"/>
    </row>
    <row r="13" spans="1:24" ht="16" thickBot="1" x14ac:dyDescent="0.25">
      <c r="B13" s="1834">
        <v>1</v>
      </c>
      <c r="C13" s="69">
        <v>43101</v>
      </c>
      <c r="D13" s="70"/>
      <c r="E13" s="71"/>
      <c r="F13" s="1394"/>
      <c r="G13" s="72"/>
      <c r="H13" s="1835"/>
      <c r="I13" s="1836"/>
      <c r="J13" s="1837"/>
      <c r="K13" s="1771"/>
      <c r="L13" s="76"/>
      <c r="M13" s="1838"/>
      <c r="N13" s="77" t="str">
        <f t="shared" ref="N13:N44" si="0">IFERROR((L13/68)/(1/(I13*24)/3.6),"")</f>
        <v/>
      </c>
      <c r="O13" s="78"/>
      <c r="P13" s="79"/>
      <c r="Q13" s="80"/>
      <c r="R13" s="80"/>
      <c r="S13" s="1244" t="str">
        <f t="shared" ref="S13:S44" si="1">IFERROR(L13/J13,"")</f>
        <v/>
      </c>
      <c r="T13" s="70"/>
      <c r="U13" s="1727"/>
      <c r="V13" s="243">
        <f>U12-T12</f>
        <v>0</v>
      </c>
      <c r="W13" s="1839"/>
      <c r="X13" s="243"/>
    </row>
    <row r="14" spans="1:24" x14ac:dyDescent="0.2">
      <c r="B14" s="1653" t="s">
        <v>142</v>
      </c>
      <c r="C14" s="35">
        <v>43102</v>
      </c>
      <c r="D14" s="36"/>
      <c r="E14" s="37"/>
      <c r="F14" s="1392"/>
      <c r="G14" s="38"/>
      <c r="H14" s="39"/>
      <c r="I14" s="40"/>
      <c r="J14" s="41"/>
      <c r="K14" s="1757"/>
      <c r="L14" s="1563"/>
      <c r="M14" s="1585"/>
      <c r="N14" s="42" t="str">
        <f t="shared" si="0"/>
        <v/>
      </c>
      <c r="O14" s="43"/>
      <c r="P14" s="44"/>
      <c r="Q14" s="45"/>
      <c r="R14" s="46"/>
      <c r="S14" s="47" t="str">
        <f t="shared" si="1"/>
        <v/>
      </c>
      <c r="U14" s="1728"/>
      <c r="V14" s="50">
        <f t="shared" ref="V14:V77" si="2">U13-T13</f>
        <v>0</v>
      </c>
      <c r="W14" s="1767"/>
      <c r="X14" s="50"/>
    </row>
    <row r="15" spans="1:24" ht="16" thickBot="1" x14ac:dyDescent="0.25">
      <c r="B15" s="1654">
        <f>SUM(H13:H19)</f>
        <v>7.18</v>
      </c>
      <c r="C15" s="35">
        <v>43103</v>
      </c>
      <c r="D15" s="51"/>
      <c r="E15" s="52"/>
      <c r="F15" s="1392"/>
      <c r="G15" s="38"/>
      <c r="H15" s="39"/>
      <c r="I15" s="40"/>
      <c r="J15" s="41"/>
      <c r="K15" s="1757"/>
      <c r="L15" s="1563"/>
      <c r="M15" s="1585"/>
      <c r="N15" s="42" t="str">
        <f t="shared" si="0"/>
        <v/>
      </c>
      <c r="O15" s="43"/>
      <c r="P15" s="44"/>
      <c r="Q15" s="45"/>
      <c r="R15" s="46"/>
      <c r="S15" s="47" t="str">
        <f t="shared" si="1"/>
        <v/>
      </c>
      <c r="U15" s="1728"/>
      <c r="V15" s="50">
        <f t="shared" si="2"/>
        <v>0</v>
      </c>
      <c r="W15" s="1767"/>
      <c r="X15" s="50"/>
    </row>
    <row r="16" spans="1:24" x14ac:dyDescent="0.2">
      <c r="B16" s="1655" t="s">
        <v>144</v>
      </c>
      <c r="C16" s="35">
        <v>43104</v>
      </c>
      <c r="D16" s="51"/>
      <c r="E16" s="52"/>
      <c r="F16" s="1392"/>
      <c r="G16" s="38"/>
      <c r="H16" s="39"/>
      <c r="I16" s="40"/>
      <c r="J16" s="41"/>
      <c r="K16" s="1757"/>
      <c r="L16" s="1563"/>
      <c r="M16" s="1585"/>
      <c r="N16" s="42" t="str">
        <f t="shared" si="0"/>
        <v/>
      </c>
      <c r="O16" s="43"/>
      <c r="P16" s="44"/>
      <c r="Q16" s="45"/>
      <c r="R16" s="46"/>
      <c r="S16" s="47" t="str">
        <f t="shared" si="1"/>
        <v/>
      </c>
      <c r="U16" s="1728"/>
      <c r="V16" s="50">
        <f t="shared" si="2"/>
        <v>0</v>
      </c>
      <c r="W16" s="1767"/>
      <c r="X16" s="50"/>
    </row>
    <row r="17" spans="2:24" ht="16" thickBot="1" x14ac:dyDescent="0.25">
      <c r="B17" s="1656" t="e">
        <f>SUM(#REF!)</f>
        <v>#REF!</v>
      </c>
      <c r="C17" s="35">
        <v>43105</v>
      </c>
      <c r="D17" s="51"/>
      <c r="E17" s="52"/>
      <c r="F17" s="1392"/>
      <c r="G17" s="38"/>
      <c r="H17" s="39"/>
      <c r="I17" s="40"/>
      <c r="J17" s="41"/>
      <c r="K17" s="1757"/>
      <c r="L17" s="1563"/>
      <c r="M17" s="1585"/>
      <c r="N17" s="42" t="str">
        <f t="shared" si="0"/>
        <v/>
      </c>
      <c r="O17" s="43"/>
      <c r="P17" s="44"/>
      <c r="Q17" s="45"/>
      <c r="R17" s="46"/>
      <c r="S17" s="47" t="str">
        <f t="shared" si="1"/>
        <v/>
      </c>
      <c r="U17" s="1728"/>
      <c r="V17" s="50">
        <f t="shared" si="2"/>
        <v>0</v>
      </c>
      <c r="W17" s="1767"/>
      <c r="X17" s="50"/>
    </row>
    <row r="18" spans="2:24" x14ac:dyDescent="0.2">
      <c r="B18" s="1657" t="s">
        <v>256</v>
      </c>
      <c r="C18" s="35">
        <v>43106</v>
      </c>
      <c r="D18" s="51" t="s">
        <v>21</v>
      </c>
      <c r="E18" s="52"/>
      <c r="F18" s="1392" t="s">
        <v>12</v>
      </c>
      <c r="G18" s="38">
        <v>2.8310185185185185E-2</v>
      </c>
      <c r="H18" s="39">
        <v>7.18</v>
      </c>
      <c r="I18" s="40">
        <f>G18/H18</f>
        <v>3.9429227277416696E-3</v>
      </c>
      <c r="J18" s="41">
        <v>140</v>
      </c>
      <c r="K18" s="1757"/>
      <c r="L18" s="1563">
        <v>210</v>
      </c>
      <c r="M18" s="1585"/>
      <c r="N18" s="42">
        <f t="shared" si="0"/>
        <v>1.0520645584138948</v>
      </c>
      <c r="O18" s="43" t="s">
        <v>16</v>
      </c>
      <c r="P18" s="44"/>
      <c r="Q18" s="45"/>
      <c r="R18" s="46"/>
      <c r="S18" s="47">
        <f t="shared" si="1"/>
        <v>1.5</v>
      </c>
      <c r="U18" s="1728"/>
      <c r="V18" s="50">
        <f t="shared" si="2"/>
        <v>0</v>
      </c>
      <c r="W18" s="1767"/>
      <c r="X18" s="50"/>
    </row>
    <row r="19" spans="2:24" ht="16" thickBot="1" x14ac:dyDescent="0.25">
      <c r="B19" s="1658"/>
      <c r="C19" s="53">
        <v>43107</v>
      </c>
      <c r="D19" s="54"/>
      <c r="E19" s="55"/>
      <c r="F19" s="1393"/>
      <c r="G19" s="56"/>
      <c r="H19" s="57"/>
      <c r="I19" s="58"/>
      <c r="J19" s="59"/>
      <c r="K19" s="1757"/>
      <c r="L19" s="1564"/>
      <c r="M19" s="1586"/>
      <c r="N19" s="60" t="str">
        <f t="shared" si="0"/>
        <v/>
      </c>
      <c r="O19" s="61"/>
      <c r="P19" s="62"/>
      <c r="Q19" s="63"/>
      <c r="R19" s="64"/>
      <c r="S19" s="65" t="str">
        <f t="shared" si="1"/>
        <v/>
      </c>
      <c r="U19" s="1728"/>
      <c r="V19" s="68">
        <f t="shared" si="2"/>
        <v>0</v>
      </c>
      <c r="W19" s="1768"/>
      <c r="X19" s="68"/>
    </row>
    <row r="20" spans="2:24" ht="16" thickBot="1" x14ac:dyDescent="0.25">
      <c r="B20" s="1652">
        <f>B13+1</f>
        <v>2</v>
      </c>
      <c r="C20" s="69">
        <v>43108</v>
      </c>
      <c r="D20" s="70" t="s">
        <v>22</v>
      </c>
      <c r="E20" s="71"/>
      <c r="F20" s="1394" t="s">
        <v>12</v>
      </c>
      <c r="G20" s="72">
        <v>3.0162037037037032E-2</v>
      </c>
      <c r="H20" s="73">
        <v>7.72</v>
      </c>
      <c r="I20" s="74">
        <f>G20/H20</f>
        <v>3.9069996161965066E-3</v>
      </c>
      <c r="J20" s="75">
        <v>141</v>
      </c>
      <c r="K20" s="1757"/>
      <c r="L20" s="76">
        <v>215</v>
      </c>
      <c r="M20" s="1587"/>
      <c r="N20" s="77">
        <f t="shared" si="0"/>
        <v>1.0673003657421514</v>
      </c>
      <c r="O20" s="78" t="s">
        <v>16</v>
      </c>
      <c r="P20" s="79"/>
      <c r="Q20" s="80"/>
      <c r="R20" s="80"/>
      <c r="S20" s="33">
        <f t="shared" si="1"/>
        <v>1.5248226950354611</v>
      </c>
      <c r="U20" s="1728"/>
      <c r="V20" s="82">
        <f t="shared" si="2"/>
        <v>0</v>
      </c>
      <c r="W20" s="1766"/>
      <c r="X20" s="82"/>
    </row>
    <row r="21" spans="2:24" x14ac:dyDescent="0.2">
      <c r="B21" s="1653" t="s">
        <v>142</v>
      </c>
      <c r="C21" s="84">
        <v>43109</v>
      </c>
      <c r="D21" s="85"/>
      <c r="E21" s="86"/>
      <c r="F21" s="1395"/>
      <c r="G21" s="87"/>
      <c r="H21" s="88"/>
      <c r="I21" s="89"/>
      <c r="J21" s="90"/>
      <c r="K21" s="1757"/>
      <c r="L21" s="1563"/>
      <c r="M21" s="1585"/>
      <c r="N21" s="91" t="str">
        <f t="shared" si="0"/>
        <v/>
      </c>
      <c r="O21" s="92"/>
      <c r="P21" s="93"/>
      <c r="Q21" s="94"/>
      <c r="R21" s="46"/>
      <c r="S21" s="47" t="str">
        <f t="shared" si="1"/>
        <v/>
      </c>
      <c r="U21" s="1728"/>
      <c r="V21" s="50">
        <f t="shared" si="2"/>
        <v>0</v>
      </c>
      <c r="W21" s="1767"/>
      <c r="X21" s="50"/>
    </row>
    <row r="22" spans="2:24" ht="16" thickBot="1" x14ac:dyDescent="0.25">
      <c r="B22" s="1654">
        <f>SUM(H20:H26)</f>
        <v>32.89</v>
      </c>
      <c r="C22" s="84">
        <v>43110</v>
      </c>
      <c r="D22" s="85"/>
      <c r="E22" s="86"/>
      <c r="F22" s="1395"/>
      <c r="G22" s="87"/>
      <c r="H22" s="88"/>
      <c r="I22" s="89"/>
      <c r="J22" s="90"/>
      <c r="K22" s="1757"/>
      <c r="L22" s="1563"/>
      <c r="M22" s="1585"/>
      <c r="N22" s="91" t="str">
        <f t="shared" si="0"/>
        <v/>
      </c>
      <c r="O22" s="92"/>
      <c r="P22" s="93"/>
      <c r="Q22" s="94"/>
      <c r="R22" s="46"/>
      <c r="S22" s="47" t="str">
        <f t="shared" si="1"/>
        <v/>
      </c>
      <c r="U22" s="1728"/>
      <c r="V22" s="50">
        <f t="shared" si="2"/>
        <v>0</v>
      </c>
      <c r="W22" s="1767"/>
      <c r="X22" s="50"/>
    </row>
    <row r="23" spans="2:24" x14ac:dyDescent="0.2">
      <c r="B23" s="1655" t="s">
        <v>144</v>
      </c>
      <c r="C23" s="84">
        <v>43111</v>
      </c>
      <c r="D23" s="85"/>
      <c r="E23" s="86"/>
      <c r="F23" s="1395"/>
      <c r="G23" s="87"/>
      <c r="H23" s="88"/>
      <c r="I23" s="89"/>
      <c r="J23" s="90"/>
      <c r="K23" s="1757"/>
      <c r="L23" s="1563"/>
      <c r="M23" s="1585"/>
      <c r="N23" s="91" t="str">
        <f t="shared" si="0"/>
        <v/>
      </c>
      <c r="O23" s="92"/>
      <c r="P23" s="93"/>
      <c r="Q23" s="94"/>
      <c r="R23" s="46"/>
      <c r="S23" s="47" t="str">
        <f t="shared" si="1"/>
        <v/>
      </c>
      <c r="U23" s="1728"/>
      <c r="V23" s="50">
        <f t="shared" si="2"/>
        <v>0</v>
      </c>
      <c r="W23" s="1767"/>
      <c r="X23" s="50"/>
    </row>
    <row r="24" spans="2:24" ht="16" thickBot="1" x14ac:dyDescent="0.25">
      <c r="B24" s="1656" t="e">
        <f>SUM(#REF!)</f>
        <v>#REF!</v>
      </c>
      <c r="C24" s="84">
        <v>43112</v>
      </c>
      <c r="D24" s="85"/>
      <c r="E24" s="86"/>
      <c r="F24" s="1395"/>
      <c r="G24" s="87"/>
      <c r="H24" s="88"/>
      <c r="I24" s="89"/>
      <c r="J24" s="90"/>
      <c r="K24" s="1757"/>
      <c r="L24" s="1563"/>
      <c r="M24" s="1585"/>
      <c r="N24" s="91" t="str">
        <f t="shared" si="0"/>
        <v/>
      </c>
      <c r="O24" s="92"/>
      <c r="P24" s="93"/>
      <c r="Q24" s="94"/>
      <c r="R24" s="46"/>
      <c r="S24" s="47" t="str">
        <f t="shared" si="1"/>
        <v/>
      </c>
      <c r="U24" s="1728"/>
      <c r="V24" s="50">
        <f t="shared" si="2"/>
        <v>0</v>
      </c>
      <c r="W24" s="1767"/>
      <c r="X24" s="50"/>
    </row>
    <row r="25" spans="2:24" x14ac:dyDescent="0.2">
      <c r="B25" s="1657" t="s">
        <v>256</v>
      </c>
      <c r="C25" s="84">
        <v>43113</v>
      </c>
      <c r="D25" s="85" t="s">
        <v>23</v>
      </c>
      <c r="E25" s="86"/>
      <c r="F25" s="1395" t="s">
        <v>13</v>
      </c>
      <c r="G25" s="87">
        <v>3.5902777777777777E-2</v>
      </c>
      <c r="H25" s="88">
        <v>10.02</v>
      </c>
      <c r="I25" s="89">
        <f>G25/H25</f>
        <v>3.5831115546684409E-3</v>
      </c>
      <c r="J25" s="90">
        <v>152</v>
      </c>
      <c r="K25" s="1757"/>
      <c r="L25" s="1563">
        <v>235</v>
      </c>
      <c r="M25" s="1585"/>
      <c r="N25" s="91">
        <f t="shared" si="0"/>
        <v>1.0698749559704122</v>
      </c>
      <c r="O25" s="92" t="s">
        <v>17</v>
      </c>
      <c r="P25" s="93"/>
      <c r="Q25" s="94"/>
      <c r="R25" s="46"/>
      <c r="S25" s="47">
        <f t="shared" si="1"/>
        <v>1.5460526315789473</v>
      </c>
      <c r="U25" s="1728"/>
      <c r="V25" s="50">
        <f t="shared" si="2"/>
        <v>0</v>
      </c>
      <c r="W25" s="1767"/>
      <c r="X25" s="50"/>
    </row>
    <row r="26" spans="2:24" ht="16" thickBot="1" x14ac:dyDescent="0.25">
      <c r="B26" s="1658"/>
      <c r="C26" s="95">
        <v>43114</v>
      </c>
      <c r="D26" s="96" t="s">
        <v>24</v>
      </c>
      <c r="E26" s="97"/>
      <c r="F26" s="1396" t="s">
        <v>12</v>
      </c>
      <c r="G26" s="98">
        <v>6.010416666666666E-2</v>
      </c>
      <c r="H26" s="99">
        <v>15.15</v>
      </c>
      <c r="I26" s="100">
        <f>G26/H26</f>
        <v>3.9672717271727167E-3</v>
      </c>
      <c r="J26" s="101">
        <v>141</v>
      </c>
      <c r="K26" s="1757"/>
      <c r="L26" s="1565">
        <v>213</v>
      </c>
      <c r="M26" s="1588"/>
      <c r="N26" s="103">
        <f t="shared" si="0"/>
        <v>1.0736837507280139</v>
      </c>
      <c r="O26" s="104" t="s">
        <v>17</v>
      </c>
      <c r="P26" s="105"/>
      <c r="Q26" s="106"/>
      <c r="R26" s="107"/>
      <c r="S26" s="65">
        <f t="shared" si="1"/>
        <v>1.5106382978723405</v>
      </c>
      <c r="U26" s="1728"/>
      <c r="V26" s="109">
        <f t="shared" si="2"/>
        <v>0</v>
      </c>
      <c r="W26" s="1768"/>
      <c r="X26" s="109"/>
    </row>
    <row r="27" spans="2:24" ht="16" thickBot="1" x14ac:dyDescent="0.25">
      <c r="B27" s="1652">
        <f>B20+1</f>
        <v>3</v>
      </c>
      <c r="C27" s="23">
        <v>43115</v>
      </c>
      <c r="D27" s="110"/>
      <c r="E27" s="111"/>
      <c r="F27" s="1391"/>
      <c r="G27" s="24"/>
      <c r="H27" s="25"/>
      <c r="I27" s="26"/>
      <c r="J27" s="27"/>
      <c r="K27" s="1757"/>
      <c r="L27" s="1562"/>
      <c r="M27" s="1584"/>
      <c r="N27" s="28" t="str">
        <f t="shared" si="0"/>
        <v/>
      </c>
      <c r="O27" s="29"/>
      <c r="P27" s="30"/>
      <c r="Q27" s="31"/>
      <c r="R27" s="32"/>
      <c r="S27" s="33" t="str">
        <f t="shared" si="1"/>
        <v/>
      </c>
      <c r="U27" s="1728"/>
      <c r="V27" s="34">
        <f t="shared" si="2"/>
        <v>0</v>
      </c>
      <c r="W27" s="1766"/>
      <c r="X27" s="34"/>
    </row>
    <row r="28" spans="2:24" x14ac:dyDescent="0.2">
      <c r="B28" s="1653" t="s">
        <v>142</v>
      </c>
      <c r="C28" s="35">
        <v>43116</v>
      </c>
      <c r="D28" s="51" t="s">
        <v>25</v>
      </c>
      <c r="E28" s="52"/>
      <c r="F28" s="1397" t="s">
        <v>12</v>
      </c>
      <c r="G28" s="112">
        <v>4.2928240740740746E-2</v>
      </c>
      <c r="H28" s="113">
        <v>9.9</v>
      </c>
      <c r="I28" s="114">
        <f>G28/H28</f>
        <v>4.3361859334081557E-3</v>
      </c>
      <c r="J28" s="115">
        <v>134</v>
      </c>
      <c r="K28" s="1757"/>
      <c r="L28" s="1563">
        <v>195</v>
      </c>
      <c r="M28" s="1585"/>
      <c r="N28" s="42">
        <f t="shared" si="0"/>
        <v>1.0743538324420676</v>
      </c>
      <c r="O28" s="116" t="s">
        <v>17</v>
      </c>
      <c r="P28" s="44"/>
      <c r="Q28" s="45"/>
      <c r="R28" s="46"/>
      <c r="S28" s="47">
        <f t="shared" si="1"/>
        <v>1.455223880597015</v>
      </c>
      <c r="U28" s="1728"/>
      <c r="V28" s="50">
        <f t="shared" si="2"/>
        <v>0</v>
      </c>
      <c r="W28" s="1767"/>
      <c r="X28" s="50"/>
    </row>
    <row r="29" spans="2:24" ht="16" thickBot="1" x14ac:dyDescent="0.25">
      <c r="B29" s="1654">
        <f>SUM(H27:H33)</f>
        <v>42.980000000000004</v>
      </c>
      <c r="C29" s="117">
        <v>43117</v>
      </c>
      <c r="D29" s="118"/>
      <c r="E29" s="119"/>
      <c r="F29" s="1398"/>
      <c r="G29" s="120"/>
      <c r="H29" s="121"/>
      <c r="I29" s="122"/>
      <c r="J29" s="123"/>
      <c r="K29" s="1757"/>
      <c r="L29" s="1563"/>
      <c r="M29" s="1585"/>
      <c r="N29" s="124" t="str">
        <f t="shared" si="0"/>
        <v/>
      </c>
      <c r="O29" s="125"/>
      <c r="P29" s="126"/>
      <c r="Q29" s="45"/>
      <c r="R29" s="46"/>
      <c r="S29" s="47" t="str">
        <f t="shared" si="1"/>
        <v/>
      </c>
      <c r="U29" s="1728"/>
      <c r="V29" s="50">
        <f t="shared" si="2"/>
        <v>0</v>
      </c>
      <c r="W29" s="1767"/>
      <c r="X29" s="50"/>
    </row>
    <row r="30" spans="2:24" x14ac:dyDescent="0.2">
      <c r="B30" s="1655" t="s">
        <v>144</v>
      </c>
      <c r="C30" s="117">
        <v>43118</v>
      </c>
      <c r="D30" s="127" t="s">
        <v>26</v>
      </c>
      <c r="E30" s="128"/>
      <c r="F30" s="1398" t="s">
        <v>261</v>
      </c>
      <c r="G30" s="120">
        <v>4.1840277777777775E-2</v>
      </c>
      <c r="H30" s="121">
        <v>10.88</v>
      </c>
      <c r="I30" s="122">
        <f>G30/H30</f>
        <v>3.8456137663398686E-3</v>
      </c>
      <c r="J30" s="123">
        <v>147</v>
      </c>
      <c r="K30" s="1757"/>
      <c r="L30" s="1563">
        <v>214</v>
      </c>
      <c r="M30" s="1585"/>
      <c r="N30" s="124">
        <f t="shared" si="0"/>
        <v>1.0456450043252594</v>
      </c>
      <c r="O30" s="125" t="s">
        <v>16</v>
      </c>
      <c r="P30" s="126"/>
      <c r="Q30" s="45"/>
      <c r="R30" s="46"/>
      <c r="S30" s="47">
        <f t="shared" si="1"/>
        <v>1.4557823129251701</v>
      </c>
      <c r="U30" s="1728"/>
      <c r="V30" s="50">
        <f t="shared" si="2"/>
        <v>0</v>
      </c>
      <c r="W30" s="1767"/>
      <c r="X30" s="50"/>
    </row>
    <row r="31" spans="2:24" ht="16" thickBot="1" x14ac:dyDescent="0.25">
      <c r="B31" s="1656" t="e">
        <f>SUM(#REF!)</f>
        <v>#REF!</v>
      </c>
      <c r="C31" s="117">
        <v>43119</v>
      </c>
      <c r="D31" s="127" t="s">
        <v>27</v>
      </c>
      <c r="E31" s="128"/>
      <c r="F31" s="1398" t="s">
        <v>12</v>
      </c>
      <c r="G31" s="120">
        <v>4.7951388888888891E-2</v>
      </c>
      <c r="H31" s="121">
        <v>12.2</v>
      </c>
      <c r="I31" s="122">
        <f>G31/H31</f>
        <v>3.9304417122040074E-3</v>
      </c>
      <c r="J31" s="123">
        <v>137</v>
      </c>
      <c r="K31" s="1757"/>
      <c r="L31" s="1563">
        <v>210</v>
      </c>
      <c r="M31" s="1585"/>
      <c r="N31" s="124">
        <f t="shared" si="0"/>
        <v>1.0487343297974927</v>
      </c>
      <c r="O31" s="125" t="s">
        <v>17</v>
      </c>
      <c r="P31" s="126"/>
      <c r="Q31" s="45"/>
      <c r="R31" s="46"/>
      <c r="S31" s="47">
        <f t="shared" si="1"/>
        <v>1.5328467153284671</v>
      </c>
      <c r="U31" s="1728"/>
      <c r="V31" s="50">
        <f t="shared" si="2"/>
        <v>0</v>
      </c>
      <c r="W31" s="1767"/>
      <c r="X31" s="50"/>
    </row>
    <row r="32" spans="2:24" x14ac:dyDescent="0.2">
      <c r="B32" s="1657" t="s">
        <v>256</v>
      </c>
      <c r="C32" s="117">
        <v>43120</v>
      </c>
      <c r="D32" s="127"/>
      <c r="E32" s="128"/>
      <c r="F32" s="1398"/>
      <c r="G32" s="120"/>
      <c r="H32" s="121"/>
      <c r="I32" s="122"/>
      <c r="J32" s="123"/>
      <c r="K32" s="1757"/>
      <c r="L32" s="1563"/>
      <c r="M32" s="1585"/>
      <c r="N32" s="124" t="str">
        <f t="shared" si="0"/>
        <v/>
      </c>
      <c r="O32" s="125"/>
      <c r="P32" s="126"/>
      <c r="Q32" s="45"/>
      <c r="R32" s="46"/>
      <c r="S32" s="47" t="str">
        <f t="shared" si="1"/>
        <v/>
      </c>
      <c r="U32" s="1728"/>
      <c r="V32" s="50">
        <f t="shared" si="2"/>
        <v>0</v>
      </c>
      <c r="W32" s="1767"/>
      <c r="X32" s="50"/>
    </row>
    <row r="33" spans="1:24" customFormat="1" ht="16" thickBot="1" x14ac:dyDescent="0.25">
      <c r="A33" s="3"/>
      <c r="B33" s="1658"/>
      <c r="C33" s="129">
        <v>43121</v>
      </c>
      <c r="D33" s="130" t="s">
        <v>28</v>
      </c>
      <c r="E33" s="131" t="s">
        <v>293</v>
      </c>
      <c r="F33" s="1399" t="s">
        <v>4</v>
      </c>
      <c r="G33" s="132">
        <v>3.0717592592592591E-2</v>
      </c>
      <c r="H33" s="133">
        <v>10</v>
      </c>
      <c r="I33" s="134">
        <f>G33/H33</f>
        <v>3.0717592592592593E-3</v>
      </c>
      <c r="J33" s="135">
        <v>161</v>
      </c>
      <c r="K33" s="1757"/>
      <c r="L33" s="1566">
        <v>255</v>
      </c>
      <c r="M33" s="1589"/>
      <c r="N33" s="136">
        <f t="shared" si="0"/>
        <v>0.99524999999999986</v>
      </c>
      <c r="O33" s="137" t="s">
        <v>16</v>
      </c>
      <c r="P33" s="138"/>
      <c r="Q33" s="139"/>
      <c r="R33" s="64"/>
      <c r="S33" s="65">
        <f t="shared" si="1"/>
        <v>1.5838509316770186</v>
      </c>
      <c r="T33" s="1379"/>
      <c r="U33" s="1729"/>
      <c r="V33" s="68">
        <f t="shared" si="2"/>
        <v>0</v>
      </c>
      <c r="W33" s="1768"/>
      <c r="X33" s="68"/>
    </row>
    <row r="34" spans="1:24" ht="16" thickBot="1" x14ac:dyDescent="0.25">
      <c r="B34" s="1652">
        <f>B27+1</f>
        <v>4</v>
      </c>
      <c r="C34" s="69">
        <v>43122</v>
      </c>
      <c r="D34" s="70"/>
      <c r="E34" s="71"/>
      <c r="F34" s="1400"/>
      <c r="G34" s="72"/>
      <c r="H34" s="73"/>
      <c r="I34" s="74"/>
      <c r="J34" s="75"/>
      <c r="K34" s="1757"/>
      <c r="L34" s="76"/>
      <c r="M34" s="1587"/>
      <c r="N34" s="77" t="str">
        <f t="shared" si="0"/>
        <v/>
      </c>
      <c r="O34" s="78"/>
      <c r="P34" s="79"/>
      <c r="Q34" s="80"/>
      <c r="R34" s="80"/>
      <c r="S34" s="33" t="str">
        <f t="shared" si="1"/>
        <v/>
      </c>
      <c r="U34" s="1728"/>
      <c r="V34" s="82">
        <f t="shared" si="2"/>
        <v>0</v>
      </c>
      <c r="W34" s="1766"/>
      <c r="X34" s="82"/>
    </row>
    <row r="35" spans="1:24" x14ac:dyDescent="0.2">
      <c r="B35" s="1653" t="s">
        <v>142</v>
      </c>
      <c r="C35" s="84">
        <v>43123</v>
      </c>
      <c r="D35" s="85" t="s">
        <v>29</v>
      </c>
      <c r="E35" s="86"/>
      <c r="F35" s="1401" t="s">
        <v>12</v>
      </c>
      <c r="G35" s="87">
        <v>5.9432870370370372E-2</v>
      </c>
      <c r="H35" s="88">
        <v>15.01</v>
      </c>
      <c r="I35" s="89">
        <f>G35/H35</f>
        <v>3.9595516569200778E-3</v>
      </c>
      <c r="J35" s="90">
        <v>137</v>
      </c>
      <c r="K35" s="1757"/>
      <c r="L35" s="1563">
        <v>208</v>
      </c>
      <c r="M35" s="1585"/>
      <c r="N35" s="140">
        <f t="shared" si="0"/>
        <v>1.0464396284829722</v>
      </c>
      <c r="O35" s="92" t="s">
        <v>17</v>
      </c>
      <c r="P35" s="93"/>
      <c r="Q35" s="94"/>
      <c r="R35" s="46"/>
      <c r="S35" s="47">
        <f t="shared" si="1"/>
        <v>1.5182481751824817</v>
      </c>
      <c r="U35" s="1728"/>
      <c r="V35" s="50">
        <f t="shared" si="2"/>
        <v>0</v>
      </c>
      <c r="W35" s="1767"/>
      <c r="X35" s="50"/>
    </row>
    <row r="36" spans="1:24" ht="16" thickBot="1" x14ac:dyDescent="0.25">
      <c r="B36" s="1654">
        <f>SUM(H34:H40)</f>
        <v>60.78</v>
      </c>
      <c r="C36" s="84">
        <v>43124</v>
      </c>
      <c r="D36" s="85" t="s">
        <v>30</v>
      </c>
      <c r="E36" s="86"/>
      <c r="F36" s="1401" t="s">
        <v>19</v>
      </c>
      <c r="G36" s="87">
        <v>4.1539351851851855E-2</v>
      </c>
      <c r="H36" s="88">
        <v>11.57</v>
      </c>
      <c r="I36" s="89">
        <f>G36/H36</f>
        <v>3.5902637728480427E-3</v>
      </c>
      <c r="J36" s="90">
        <v>153</v>
      </c>
      <c r="K36" s="1757"/>
      <c r="L36" s="1563">
        <v>223</v>
      </c>
      <c r="M36" s="1585"/>
      <c r="N36" s="140">
        <f t="shared" si="0"/>
        <v>1.0172695612384972</v>
      </c>
      <c r="O36" s="92" t="s">
        <v>16</v>
      </c>
      <c r="P36" s="93"/>
      <c r="Q36" s="94"/>
      <c r="R36" s="46"/>
      <c r="S36" s="47">
        <f t="shared" si="1"/>
        <v>1.457516339869281</v>
      </c>
      <c r="U36" s="1728"/>
      <c r="V36" s="50">
        <f t="shared" si="2"/>
        <v>0</v>
      </c>
      <c r="W36" s="1767"/>
      <c r="X36" s="50"/>
    </row>
    <row r="37" spans="1:24" x14ac:dyDescent="0.2">
      <c r="B37" s="1655" t="s">
        <v>144</v>
      </c>
      <c r="C37" s="84">
        <v>43125</v>
      </c>
      <c r="D37" s="85" t="s">
        <v>31</v>
      </c>
      <c r="E37" s="86"/>
      <c r="F37" s="1401" t="s">
        <v>13</v>
      </c>
      <c r="G37" s="87">
        <v>4.445601851851852E-2</v>
      </c>
      <c r="H37" s="88">
        <v>12.07</v>
      </c>
      <c r="I37" s="89">
        <f>G37/H37</f>
        <v>3.6831829758507471E-3</v>
      </c>
      <c r="J37" s="90">
        <v>145</v>
      </c>
      <c r="K37" s="1757"/>
      <c r="L37" s="1563">
        <v>223</v>
      </c>
      <c r="M37" s="1585"/>
      <c r="N37" s="140">
        <f t="shared" si="0"/>
        <v>1.0435973975339929</v>
      </c>
      <c r="O37" s="92" t="s">
        <v>14</v>
      </c>
      <c r="P37" s="93"/>
      <c r="Q37" s="94"/>
      <c r="R37" s="46"/>
      <c r="S37" s="47">
        <f t="shared" si="1"/>
        <v>1.5379310344827586</v>
      </c>
      <c r="U37" s="1728"/>
      <c r="V37" s="50">
        <f t="shared" si="2"/>
        <v>0</v>
      </c>
      <c r="W37" s="1767"/>
      <c r="X37" s="50"/>
    </row>
    <row r="38" spans="1:24" ht="16" thickBot="1" x14ac:dyDescent="0.25">
      <c r="B38" s="1656" t="e">
        <f>SUM(#REF!)</f>
        <v>#REF!</v>
      </c>
      <c r="C38" s="84">
        <v>43126</v>
      </c>
      <c r="D38" s="85"/>
      <c r="E38" s="86"/>
      <c r="F38" s="1401"/>
      <c r="G38" s="87"/>
      <c r="H38" s="88"/>
      <c r="I38" s="89"/>
      <c r="J38" s="90"/>
      <c r="K38" s="1757"/>
      <c r="L38" s="1563"/>
      <c r="M38" s="1585"/>
      <c r="N38" s="140" t="str">
        <f t="shared" si="0"/>
        <v/>
      </c>
      <c r="O38" s="92"/>
      <c r="P38" s="93"/>
      <c r="Q38" s="94"/>
      <c r="R38" s="46"/>
      <c r="S38" s="47" t="str">
        <f t="shared" si="1"/>
        <v/>
      </c>
      <c r="U38" s="1728"/>
      <c r="V38" s="50">
        <f t="shared" si="2"/>
        <v>0</v>
      </c>
      <c r="W38" s="1767"/>
      <c r="X38" s="50"/>
    </row>
    <row r="39" spans="1:24" x14ac:dyDescent="0.2">
      <c r="B39" s="1657" t="s">
        <v>256</v>
      </c>
      <c r="C39" s="84">
        <v>43127</v>
      </c>
      <c r="D39" s="85" t="s">
        <v>32</v>
      </c>
      <c r="E39" s="86"/>
      <c r="F39" s="1401" t="s">
        <v>3</v>
      </c>
      <c r="G39" s="87">
        <v>3.2268518518518523E-2</v>
      </c>
      <c r="H39" s="88">
        <v>10.07</v>
      </c>
      <c r="I39" s="89">
        <f>G39/H39</f>
        <v>3.2044209055132594E-3</v>
      </c>
      <c r="J39" s="90">
        <v>151</v>
      </c>
      <c r="K39" s="1757"/>
      <c r="L39" s="1563">
        <v>247</v>
      </c>
      <c r="M39" s="1585"/>
      <c r="N39" s="140">
        <f t="shared" si="0"/>
        <v>1.0056603773584907</v>
      </c>
      <c r="O39" s="92" t="s">
        <v>16</v>
      </c>
      <c r="P39" s="93"/>
      <c r="Q39" s="94"/>
      <c r="R39" s="46"/>
      <c r="S39" s="47">
        <f t="shared" si="1"/>
        <v>1.6357615894039734</v>
      </c>
      <c r="U39" s="1728"/>
      <c r="V39" s="50">
        <f t="shared" si="2"/>
        <v>0</v>
      </c>
      <c r="W39" s="1767"/>
      <c r="X39" s="50"/>
    </row>
    <row r="40" spans="1:24" ht="16" thickBot="1" x14ac:dyDescent="0.25">
      <c r="B40" s="1658" t="e">
        <f>AVERAGE(#REF!)</f>
        <v>#REF!</v>
      </c>
      <c r="C40" s="141">
        <v>43128</v>
      </c>
      <c r="D40" s="96" t="s">
        <v>33</v>
      </c>
      <c r="E40" s="97"/>
      <c r="F40" s="1402" t="s">
        <v>12</v>
      </c>
      <c r="G40" s="98">
        <v>5.1168981481481489E-2</v>
      </c>
      <c r="H40" s="99">
        <v>12.06</v>
      </c>
      <c r="I40" s="100">
        <f>G40/H40</f>
        <v>4.2428674528591616E-3</v>
      </c>
      <c r="J40" s="101">
        <v>123</v>
      </c>
      <c r="K40" s="1757"/>
      <c r="L40" s="1565">
        <v>193</v>
      </c>
      <c r="M40" s="1588"/>
      <c r="N40" s="103">
        <f t="shared" si="0"/>
        <v>1.0404509316164279</v>
      </c>
      <c r="O40" s="104" t="s">
        <v>17</v>
      </c>
      <c r="P40" s="105"/>
      <c r="Q40" s="106"/>
      <c r="R40" s="107"/>
      <c r="S40" s="65">
        <f t="shared" si="1"/>
        <v>1.5691056910569106</v>
      </c>
      <c r="U40" s="1728"/>
      <c r="V40" s="109">
        <f t="shared" si="2"/>
        <v>0</v>
      </c>
      <c r="W40" s="1768"/>
      <c r="X40" s="109"/>
    </row>
    <row r="41" spans="1:24" ht="16" thickBot="1" x14ac:dyDescent="0.25">
      <c r="B41" s="1652">
        <f>B34+1</f>
        <v>5</v>
      </c>
      <c r="C41" s="142">
        <v>43129</v>
      </c>
      <c r="D41" s="143"/>
      <c r="E41" s="144"/>
      <c r="F41" s="1403"/>
      <c r="G41" s="145"/>
      <c r="H41" s="146"/>
      <c r="I41" s="147"/>
      <c r="J41" s="148"/>
      <c r="K41" s="1757"/>
      <c r="L41" s="1562"/>
      <c r="M41" s="1584"/>
      <c r="N41" s="150" t="str">
        <f t="shared" si="0"/>
        <v/>
      </c>
      <c r="O41" s="151"/>
      <c r="P41" s="152"/>
      <c r="Q41" s="153"/>
      <c r="R41" s="32"/>
      <c r="S41" s="33" t="str">
        <f t="shared" si="1"/>
        <v/>
      </c>
      <c r="U41" s="1728"/>
      <c r="V41" s="34">
        <f t="shared" si="2"/>
        <v>0</v>
      </c>
      <c r="W41" s="1766"/>
      <c r="X41" s="34"/>
    </row>
    <row r="42" spans="1:24" x14ac:dyDescent="0.2">
      <c r="B42" s="1653" t="s">
        <v>142</v>
      </c>
      <c r="C42" s="155">
        <v>43130</v>
      </c>
      <c r="D42" s="49" t="s">
        <v>34</v>
      </c>
      <c r="E42" s="156"/>
      <c r="F42" s="1404" t="s">
        <v>12</v>
      </c>
      <c r="G42" s="120">
        <v>5.8726851851851856E-2</v>
      </c>
      <c r="H42" s="121">
        <v>15.21</v>
      </c>
      <c r="I42" s="122">
        <f>G42/H42</f>
        <v>3.8610684978206346E-3</v>
      </c>
      <c r="J42" s="123">
        <v>138</v>
      </c>
      <c r="K42" s="1757"/>
      <c r="L42" s="1563">
        <v>212</v>
      </c>
      <c r="M42" s="1585"/>
      <c r="N42" s="158">
        <f t="shared" si="0"/>
        <v>1.0400355803070735</v>
      </c>
      <c r="O42" s="159" t="s">
        <v>17</v>
      </c>
      <c r="P42" s="93"/>
      <c r="Q42" s="94"/>
      <c r="R42" s="46"/>
      <c r="S42" s="47">
        <f t="shared" si="1"/>
        <v>1.536231884057971</v>
      </c>
      <c r="U42" s="1728"/>
      <c r="V42" s="50">
        <f t="shared" si="2"/>
        <v>0</v>
      </c>
      <c r="W42" s="1767"/>
      <c r="X42" s="50"/>
    </row>
    <row r="43" spans="1:24" ht="16" thickBot="1" x14ac:dyDescent="0.25">
      <c r="B43" s="1654">
        <f>SUM(H41:H47)</f>
        <v>70.040000000000006</v>
      </c>
      <c r="C43" s="155">
        <v>43131</v>
      </c>
      <c r="D43" s="49" t="s">
        <v>35</v>
      </c>
      <c r="E43" s="156"/>
      <c r="F43" s="1404" t="s">
        <v>13</v>
      </c>
      <c r="G43" s="120">
        <v>4.1701388888888885E-2</v>
      </c>
      <c r="H43" s="121">
        <v>11.45</v>
      </c>
      <c r="I43" s="122">
        <f>G43/H43</f>
        <v>3.6420426977195534E-3</v>
      </c>
      <c r="J43" s="123">
        <v>146</v>
      </c>
      <c r="K43" s="1757"/>
      <c r="L43" s="1563">
        <v>230</v>
      </c>
      <c r="M43" s="1585"/>
      <c r="N43" s="158">
        <f t="shared" si="0"/>
        <v>1.0643334189571023</v>
      </c>
      <c r="O43" s="159" t="s">
        <v>14</v>
      </c>
      <c r="P43" s="93"/>
      <c r="Q43" s="94"/>
      <c r="R43" s="46"/>
      <c r="S43" s="47">
        <f t="shared" si="1"/>
        <v>1.5753424657534247</v>
      </c>
      <c r="U43" s="1728"/>
      <c r="V43" s="50">
        <f t="shared" si="2"/>
        <v>0</v>
      </c>
      <c r="W43" s="1767"/>
      <c r="X43" s="50"/>
    </row>
    <row r="44" spans="1:24" x14ac:dyDescent="0.2">
      <c r="B44" s="1655" t="s">
        <v>144</v>
      </c>
      <c r="C44" s="161">
        <v>43132</v>
      </c>
      <c r="D44" s="162"/>
      <c r="E44" s="163"/>
      <c r="F44" s="1404"/>
      <c r="G44" s="120"/>
      <c r="H44" s="121"/>
      <c r="I44" s="122"/>
      <c r="J44" s="123"/>
      <c r="K44" s="1757"/>
      <c r="L44" s="1563"/>
      <c r="M44" s="1585"/>
      <c r="N44" s="158" t="str">
        <f t="shared" si="0"/>
        <v/>
      </c>
      <c r="O44" s="159"/>
      <c r="P44" s="93"/>
      <c r="Q44" s="94"/>
      <c r="R44" s="46"/>
      <c r="S44" s="47" t="str">
        <f t="shared" si="1"/>
        <v/>
      </c>
      <c r="U44" s="1728"/>
      <c r="V44" s="50">
        <f t="shared" si="2"/>
        <v>0</v>
      </c>
      <c r="W44" s="1767"/>
      <c r="X44" s="50"/>
    </row>
    <row r="45" spans="1:24" ht="16" thickBot="1" x14ac:dyDescent="0.25">
      <c r="B45" s="1656" t="e">
        <f>SUM(#REF!)</f>
        <v>#REF!</v>
      </c>
      <c r="C45" s="161">
        <v>43133</v>
      </c>
      <c r="D45" s="162" t="s">
        <v>36</v>
      </c>
      <c r="E45" s="163"/>
      <c r="F45" s="1404" t="s">
        <v>13</v>
      </c>
      <c r="G45" s="120">
        <v>4.5335648148148146E-2</v>
      </c>
      <c r="H45" s="121">
        <v>13.3</v>
      </c>
      <c r="I45" s="122">
        <f>G45/H45</f>
        <v>3.4086953494848228E-3</v>
      </c>
      <c r="J45" s="123">
        <v>148</v>
      </c>
      <c r="K45" s="1757"/>
      <c r="L45" s="1563">
        <v>236</v>
      </c>
      <c r="M45" s="1585"/>
      <c r="N45" s="158">
        <f t="shared" ref="N45:N76" si="3">IFERROR((L45/68)/(1/(I45*24)/3.6),"")</f>
        <v>1.0221273772666961</v>
      </c>
      <c r="O45" s="159" t="s">
        <v>14</v>
      </c>
      <c r="P45" s="93"/>
      <c r="Q45" s="94"/>
      <c r="R45" s="46"/>
      <c r="S45" s="47">
        <f t="shared" ref="S45:S76" si="4">IFERROR(L45/J45,"")</f>
        <v>1.5945945945945945</v>
      </c>
      <c r="U45" s="1728"/>
      <c r="V45" s="50">
        <f t="shared" si="2"/>
        <v>0</v>
      </c>
      <c r="W45" s="1767"/>
      <c r="X45" s="50"/>
    </row>
    <row r="46" spans="1:24" x14ac:dyDescent="0.2">
      <c r="B46" s="1657" t="s">
        <v>256</v>
      </c>
      <c r="C46" s="161">
        <v>43134</v>
      </c>
      <c r="D46" s="162" t="s">
        <v>37</v>
      </c>
      <c r="E46" s="163"/>
      <c r="F46" s="1404" t="s">
        <v>12</v>
      </c>
      <c r="G46" s="120">
        <v>8.8993055555555547E-2</v>
      </c>
      <c r="H46" s="121">
        <v>22.07</v>
      </c>
      <c r="I46" s="122">
        <f>G46/H46</f>
        <v>4.0323088153853895E-3</v>
      </c>
      <c r="J46" s="123">
        <v>130</v>
      </c>
      <c r="K46" s="1757"/>
      <c r="L46" s="1563">
        <v>202</v>
      </c>
      <c r="M46" s="1585"/>
      <c r="N46" s="158">
        <f t="shared" si="3"/>
        <v>1.03492763666409</v>
      </c>
      <c r="O46" s="159" t="s">
        <v>17</v>
      </c>
      <c r="P46" s="93"/>
      <c r="Q46" s="94"/>
      <c r="R46" s="46"/>
      <c r="S46" s="47">
        <f t="shared" si="4"/>
        <v>1.5538461538461539</v>
      </c>
      <c r="U46" s="1728"/>
      <c r="V46" s="50">
        <f t="shared" si="2"/>
        <v>0</v>
      </c>
      <c r="W46" s="1767"/>
      <c r="X46" s="50"/>
    </row>
    <row r="47" spans="1:24" ht="16" thickBot="1" x14ac:dyDescent="0.25">
      <c r="B47" s="1658" t="e">
        <f>AVERAGE(#REF!)</f>
        <v>#REF!</v>
      </c>
      <c r="C47" s="164">
        <v>43135</v>
      </c>
      <c r="D47" s="165" t="s">
        <v>38</v>
      </c>
      <c r="E47" s="166"/>
      <c r="F47" s="1405" t="s">
        <v>12</v>
      </c>
      <c r="G47" s="167">
        <v>4.2951388888888886E-2</v>
      </c>
      <c r="H47" s="168">
        <v>8.01</v>
      </c>
      <c r="I47" s="169">
        <f>G47/H47</f>
        <v>5.3622208350672766E-3</v>
      </c>
      <c r="J47" s="170">
        <v>108</v>
      </c>
      <c r="K47" s="1757"/>
      <c r="L47" s="1564">
        <v>153</v>
      </c>
      <c r="M47" s="1586"/>
      <c r="N47" s="172">
        <f t="shared" si="3"/>
        <v>1.0424157303370787</v>
      </c>
      <c r="O47" s="173" t="s">
        <v>17</v>
      </c>
      <c r="P47" s="174"/>
      <c r="Q47" s="175"/>
      <c r="R47" s="64"/>
      <c r="S47" s="65">
        <f t="shared" si="4"/>
        <v>1.4166666666666667</v>
      </c>
      <c r="U47" s="1728"/>
      <c r="V47" s="177">
        <f t="shared" si="2"/>
        <v>0</v>
      </c>
      <c r="W47" s="1768"/>
      <c r="X47" s="177"/>
    </row>
    <row r="48" spans="1:24" ht="16" thickBot="1" x14ac:dyDescent="0.25">
      <c r="B48" s="1652">
        <f>B41+1</f>
        <v>6</v>
      </c>
      <c r="C48" s="69">
        <v>43136</v>
      </c>
      <c r="D48" s="70" t="s">
        <v>39</v>
      </c>
      <c r="E48" s="71"/>
      <c r="F48" s="1406" t="s">
        <v>143</v>
      </c>
      <c r="G48" s="72">
        <v>3.4768518518518525E-2</v>
      </c>
      <c r="H48" s="178">
        <v>9.1999999999999993</v>
      </c>
      <c r="I48" s="179">
        <f>G48/H48</f>
        <v>3.7791867954911442E-3</v>
      </c>
      <c r="J48" s="180">
        <v>139</v>
      </c>
      <c r="K48" s="1757"/>
      <c r="L48" s="76">
        <v>206</v>
      </c>
      <c r="M48" s="1587"/>
      <c r="N48" s="77">
        <f t="shared" si="3"/>
        <v>0.98916879795396451</v>
      </c>
      <c r="O48" s="78" t="s">
        <v>16</v>
      </c>
      <c r="P48" s="79"/>
      <c r="Q48" s="80"/>
      <c r="R48" s="80"/>
      <c r="S48" s="33">
        <f t="shared" si="4"/>
        <v>1.4820143884892085</v>
      </c>
      <c r="U48" s="1728"/>
      <c r="V48" s="82">
        <f t="shared" si="2"/>
        <v>0</v>
      </c>
      <c r="W48" s="1766"/>
      <c r="X48" s="82"/>
    </row>
    <row r="49" spans="2:24" x14ac:dyDescent="0.2">
      <c r="B49" s="1653" t="s">
        <v>142</v>
      </c>
      <c r="C49" s="84">
        <v>43137</v>
      </c>
      <c r="D49" s="85"/>
      <c r="E49" s="86"/>
      <c r="F49" s="1401"/>
      <c r="G49" s="87"/>
      <c r="H49" s="88"/>
      <c r="I49" s="89"/>
      <c r="J49" s="90"/>
      <c r="K49" s="1757"/>
      <c r="L49" s="1563"/>
      <c r="M49" s="1585"/>
      <c r="N49" s="140" t="str">
        <f t="shared" si="3"/>
        <v/>
      </c>
      <c r="O49" s="92"/>
      <c r="P49" s="93"/>
      <c r="Q49" s="94"/>
      <c r="R49" s="46"/>
      <c r="S49" s="47" t="str">
        <f t="shared" si="4"/>
        <v/>
      </c>
      <c r="U49" s="1728"/>
      <c r="V49" s="50">
        <f t="shared" si="2"/>
        <v>0</v>
      </c>
      <c r="W49" s="1767"/>
      <c r="X49" s="50"/>
    </row>
    <row r="50" spans="2:24" ht="16" thickBot="1" x14ac:dyDescent="0.25">
      <c r="B50" s="1654">
        <f>SUM(H48:H54)</f>
        <v>41.37</v>
      </c>
      <c r="C50" s="84">
        <v>43138</v>
      </c>
      <c r="D50" s="85" t="s">
        <v>40</v>
      </c>
      <c r="E50" s="86"/>
      <c r="F50" s="1401" t="s">
        <v>12</v>
      </c>
      <c r="G50" s="87">
        <v>3.8993055555555552E-2</v>
      </c>
      <c r="H50" s="88">
        <v>10.06</v>
      </c>
      <c r="I50" s="89">
        <f>G50/H50</f>
        <v>3.8760492599955814E-3</v>
      </c>
      <c r="J50" s="90">
        <v>135</v>
      </c>
      <c r="K50" s="1757"/>
      <c r="L50" s="1563">
        <v>211</v>
      </c>
      <c r="M50" s="1585"/>
      <c r="N50" s="140">
        <f t="shared" si="3"/>
        <v>1.0391460063150506</v>
      </c>
      <c r="O50" s="92" t="s">
        <v>17</v>
      </c>
      <c r="P50" s="93"/>
      <c r="Q50" s="94"/>
      <c r="R50" s="46"/>
      <c r="S50" s="47">
        <f t="shared" si="4"/>
        <v>1.5629629629629629</v>
      </c>
      <c r="U50" s="1728"/>
      <c r="V50" s="50">
        <f t="shared" si="2"/>
        <v>0</v>
      </c>
      <c r="W50" s="1767"/>
      <c r="X50" s="50"/>
    </row>
    <row r="51" spans="2:24" x14ac:dyDescent="0.2">
      <c r="B51" s="1655" t="s">
        <v>144</v>
      </c>
      <c r="C51" s="84">
        <v>43139</v>
      </c>
      <c r="D51" s="85" t="s">
        <v>41</v>
      </c>
      <c r="E51" s="86"/>
      <c r="F51" s="1401" t="s">
        <v>13</v>
      </c>
      <c r="G51" s="87">
        <v>4.6851851851851846E-2</v>
      </c>
      <c r="H51" s="88">
        <v>11.91</v>
      </c>
      <c r="I51" s="89">
        <f>G51/H51</f>
        <v>3.9338246726995669E-3</v>
      </c>
      <c r="J51" s="90">
        <v>135</v>
      </c>
      <c r="K51" s="1757"/>
      <c r="L51" s="1563">
        <v>212</v>
      </c>
      <c r="M51" s="1585"/>
      <c r="N51" s="140">
        <f t="shared" si="3"/>
        <v>1.0596335259544623</v>
      </c>
      <c r="O51" s="92" t="s">
        <v>14</v>
      </c>
      <c r="P51" s="93"/>
      <c r="Q51" s="94"/>
      <c r="R51" s="46"/>
      <c r="S51" s="47">
        <f t="shared" si="4"/>
        <v>1.5703703703703704</v>
      </c>
      <c r="U51" s="1728"/>
      <c r="V51" s="50">
        <f t="shared" si="2"/>
        <v>0</v>
      </c>
      <c r="W51" s="1767"/>
      <c r="X51" s="50"/>
    </row>
    <row r="52" spans="2:24" ht="16" thickBot="1" x14ac:dyDescent="0.25">
      <c r="B52" s="1656" t="e">
        <f>SUM(#REF!)</f>
        <v>#REF!</v>
      </c>
      <c r="C52" s="84">
        <v>43140</v>
      </c>
      <c r="D52" s="85"/>
      <c r="E52" s="86"/>
      <c r="F52" s="1401"/>
      <c r="G52" s="87"/>
      <c r="H52" s="88"/>
      <c r="I52" s="89"/>
      <c r="J52" s="90"/>
      <c r="K52" s="1757"/>
      <c r="L52" s="1563"/>
      <c r="M52" s="1585"/>
      <c r="N52" s="140" t="str">
        <f t="shared" si="3"/>
        <v/>
      </c>
      <c r="O52" s="92"/>
      <c r="P52" s="93"/>
      <c r="Q52" s="94"/>
      <c r="R52" s="46"/>
      <c r="S52" s="47" t="str">
        <f t="shared" si="4"/>
        <v/>
      </c>
      <c r="U52" s="1728"/>
      <c r="V52" s="50">
        <f t="shared" si="2"/>
        <v>0</v>
      </c>
      <c r="W52" s="1767"/>
      <c r="X52" s="50"/>
    </row>
    <row r="53" spans="2:24" x14ac:dyDescent="0.2">
      <c r="B53" s="1657" t="s">
        <v>256</v>
      </c>
      <c r="C53" s="84">
        <v>43141</v>
      </c>
      <c r="D53" s="85" t="s">
        <v>42</v>
      </c>
      <c r="E53" s="86"/>
      <c r="F53" s="1401" t="s">
        <v>3</v>
      </c>
      <c r="G53" s="87">
        <v>3.0902777777777779E-2</v>
      </c>
      <c r="H53" s="88">
        <v>10.199999999999999</v>
      </c>
      <c r="I53" s="89">
        <f>G53/H53</f>
        <v>3.0296840958605668E-3</v>
      </c>
      <c r="J53" s="90">
        <v>159</v>
      </c>
      <c r="K53" s="1757"/>
      <c r="L53" s="1563">
        <v>259</v>
      </c>
      <c r="M53" s="1585"/>
      <c r="N53" s="140">
        <f t="shared" si="3"/>
        <v>0.99701557093425597</v>
      </c>
      <c r="O53" s="92" t="s">
        <v>16</v>
      </c>
      <c r="P53" s="93"/>
      <c r="Q53" s="94"/>
      <c r="R53" s="46"/>
      <c r="S53" s="47">
        <f t="shared" si="4"/>
        <v>1.628930817610063</v>
      </c>
      <c r="U53" s="1728"/>
      <c r="V53" s="50">
        <f t="shared" si="2"/>
        <v>0</v>
      </c>
      <c r="W53" s="1767"/>
      <c r="X53" s="50"/>
    </row>
    <row r="54" spans="2:24" ht="16" thickBot="1" x14ac:dyDescent="0.25">
      <c r="B54" s="1658" t="e">
        <f>AVERAGE(#REF!)</f>
        <v>#REF!</v>
      </c>
      <c r="C54" s="141">
        <v>43142</v>
      </c>
      <c r="D54" s="181"/>
      <c r="E54" s="182"/>
      <c r="F54" s="1402"/>
      <c r="G54" s="98"/>
      <c r="H54" s="183"/>
      <c r="I54" s="184"/>
      <c r="J54" s="185"/>
      <c r="K54" s="1757"/>
      <c r="L54" s="1565"/>
      <c r="M54" s="1588"/>
      <c r="N54" s="186" t="str">
        <f t="shared" si="3"/>
        <v/>
      </c>
      <c r="O54" s="104"/>
      <c r="P54" s="105"/>
      <c r="Q54" s="107"/>
      <c r="R54" s="107"/>
      <c r="S54" s="65" t="str">
        <f t="shared" si="4"/>
        <v/>
      </c>
      <c r="U54" s="1728"/>
      <c r="V54" s="188">
        <f t="shared" si="2"/>
        <v>0</v>
      </c>
      <c r="W54" s="1768"/>
      <c r="X54" s="188"/>
    </row>
    <row r="55" spans="2:24" ht="16" thickBot="1" x14ac:dyDescent="0.25">
      <c r="B55" s="1652">
        <f>B48+1</f>
        <v>7</v>
      </c>
      <c r="C55" s="189">
        <v>43143</v>
      </c>
      <c r="D55" s="190" t="s">
        <v>43</v>
      </c>
      <c r="E55" s="191"/>
      <c r="F55" s="1403" t="s">
        <v>13</v>
      </c>
      <c r="G55" s="145">
        <v>5.8622685185185187E-2</v>
      </c>
      <c r="H55" s="146">
        <v>16.2</v>
      </c>
      <c r="I55" s="147">
        <f>G55/H55</f>
        <v>3.6186842706904436E-3</v>
      </c>
      <c r="J55" s="148">
        <v>142</v>
      </c>
      <c r="K55" s="1757"/>
      <c r="L55" s="1562">
        <v>232</v>
      </c>
      <c r="M55" s="1584"/>
      <c r="N55" s="150">
        <f t="shared" si="3"/>
        <v>1.0667029774872914</v>
      </c>
      <c r="O55" s="151" t="s">
        <v>14</v>
      </c>
      <c r="P55" s="152"/>
      <c r="Q55" s="153"/>
      <c r="R55" s="32"/>
      <c r="S55" s="33">
        <f t="shared" si="4"/>
        <v>1.6338028169014085</v>
      </c>
      <c r="U55" s="1728"/>
      <c r="V55" s="192">
        <f t="shared" si="2"/>
        <v>0</v>
      </c>
      <c r="W55" s="1766"/>
      <c r="X55" s="192"/>
    </row>
    <row r="56" spans="2:24" x14ac:dyDescent="0.2">
      <c r="B56" s="1653" t="s">
        <v>142</v>
      </c>
      <c r="C56" s="161">
        <v>43144</v>
      </c>
      <c r="D56" s="162"/>
      <c r="E56" s="163"/>
      <c r="F56" s="1404"/>
      <c r="G56" s="120"/>
      <c r="H56" s="121"/>
      <c r="I56" s="122"/>
      <c r="J56" s="123"/>
      <c r="K56" s="1757"/>
      <c r="L56" s="1563"/>
      <c r="M56" s="1585"/>
      <c r="N56" s="158" t="str">
        <f t="shared" si="3"/>
        <v/>
      </c>
      <c r="O56" s="159"/>
      <c r="P56" s="93"/>
      <c r="Q56" s="94"/>
      <c r="R56" s="46"/>
      <c r="S56" s="47" t="str">
        <f t="shared" si="4"/>
        <v/>
      </c>
      <c r="U56" s="1728"/>
      <c r="V56" s="50">
        <f t="shared" si="2"/>
        <v>0</v>
      </c>
      <c r="W56" s="1767"/>
      <c r="X56" s="50"/>
    </row>
    <row r="57" spans="2:24" ht="16" thickBot="1" x14ac:dyDescent="0.25">
      <c r="B57" s="1654">
        <f>SUM(H55:H61)</f>
        <v>76.11</v>
      </c>
      <c r="C57" s="155">
        <v>43145</v>
      </c>
      <c r="D57" s="49" t="s">
        <v>44</v>
      </c>
      <c r="E57" s="156"/>
      <c r="F57" s="1404" t="s">
        <v>261</v>
      </c>
      <c r="G57" s="120">
        <v>5.752314814814815E-2</v>
      </c>
      <c r="H57" s="121">
        <v>15.23</v>
      </c>
      <c r="I57" s="122">
        <f>G57/H57</f>
        <v>3.7769631088738114E-3</v>
      </c>
      <c r="J57" s="123">
        <v>143</v>
      </c>
      <c r="K57" s="1757"/>
      <c r="L57" s="1563">
        <v>206</v>
      </c>
      <c r="M57" s="1585"/>
      <c r="N57" s="158">
        <f t="shared" si="3"/>
        <v>0.98858676760264197</v>
      </c>
      <c r="O57" s="159" t="s">
        <v>16</v>
      </c>
      <c r="P57" s="93"/>
      <c r="Q57" s="94"/>
      <c r="R57" s="46"/>
      <c r="S57" s="47">
        <f t="shared" si="4"/>
        <v>1.4405594405594406</v>
      </c>
      <c r="U57" s="1728"/>
      <c r="V57" s="50">
        <f t="shared" si="2"/>
        <v>0</v>
      </c>
      <c r="W57" s="1767"/>
      <c r="X57" s="50"/>
    </row>
    <row r="58" spans="2:24" x14ac:dyDescent="0.2">
      <c r="B58" s="1655" t="s">
        <v>144</v>
      </c>
      <c r="C58" s="161">
        <v>43146</v>
      </c>
      <c r="D58" s="162" t="s">
        <v>45</v>
      </c>
      <c r="E58" s="163"/>
      <c r="F58" s="1404" t="s">
        <v>12</v>
      </c>
      <c r="G58" s="120">
        <v>4.2743055555555555E-2</v>
      </c>
      <c r="H58" s="121">
        <v>9.77</v>
      </c>
      <c r="I58" s="122">
        <f>G58/H58</f>
        <v>4.3749289207324011E-3</v>
      </c>
      <c r="J58" s="123">
        <v>125</v>
      </c>
      <c r="K58" s="1757"/>
      <c r="L58" s="1563">
        <v>192</v>
      </c>
      <c r="M58" s="1585"/>
      <c r="N58" s="158">
        <f t="shared" si="3"/>
        <v>1.0672767776506715</v>
      </c>
      <c r="O58" s="159" t="s">
        <v>17</v>
      </c>
      <c r="P58" s="93"/>
      <c r="Q58" s="94"/>
      <c r="R58" s="46"/>
      <c r="S58" s="47">
        <f t="shared" si="4"/>
        <v>1.536</v>
      </c>
      <c r="U58" s="1728"/>
      <c r="V58" s="50">
        <f t="shared" si="2"/>
        <v>0</v>
      </c>
      <c r="W58" s="1767"/>
      <c r="X58" s="50"/>
    </row>
    <row r="59" spans="2:24" ht="16" thickBot="1" x14ac:dyDescent="0.25">
      <c r="B59" s="1656" t="e">
        <f>SUM(#REF!)</f>
        <v>#REF!</v>
      </c>
      <c r="C59" s="161">
        <v>43147</v>
      </c>
      <c r="D59" s="162"/>
      <c r="E59" s="163"/>
      <c r="F59" s="1404"/>
      <c r="G59" s="120"/>
      <c r="H59" s="121"/>
      <c r="I59" s="122"/>
      <c r="J59" s="123"/>
      <c r="K59" s="1757"/>
      <c r="L59" s="1563"/>
      <c r="M59" s="1585"/>
      <c r="N59" s="158" t="str">
        <f t="shared" si="3"/>
        <v/>
      </c>
      <c r="O59" s="159"/>
      <c r="P59" s="93"/>
      <c r="Q59" s="94"/>
      <c r="R59" s="46"/>
      <c r="S59" s="47" t="str">
        <f t="shared" si="4"/>
        <v/>
      </c>
      <c r="U59" s="1728"/>
      <c r="V59" s="50">
        <f t="shared" si="2"/>
        <v>0</v>
      </c>
      <c r="W59" s="1767"/>
      <c r="X59" s="50"/>
    </row>
    <row r="60" spans="2:24" x14ac:dyDescent="0.2">
      <c r="B60" s="1657" t="s">
        <v>256</v>
      </c>
      <c r="C60" s="161">
        <v>43148</v>
      </c>
      <c r="D60" s="162" t="s">
        <v>46</v>
      </c>
      <c r="E60" s="163"/>
      <c r="F60" s="1404" t="s">
        <v>13</v>
      </c>
      <c r="G60" s="120">
        <v>4.4780092592592587E-2</v>
      </c>
      <c r="H60" s="121">
        <v>12.1</v>
      </c>
      <c r="I60" s="122">
        <f>G60/H60</f>
        <v>3.7008340985613709E-3</v>
      </c>
      <c r="J60" s="123">
        <v>138</v>
      </c>
      <c r="K60" s="1757"/>
      <c r="L60" s="1563">
        <v>225</v>
      </c>
      <c r="M60" s="1585"/>
      <c r="N60" s="158">
        <f t="shared" si="3"/>
        <v>1.0580031599416626</v>
      </c>
      <c r="O60" s="159" t="s">
        <v>14</v>
      </c>
      <c r="P60" s="93"/>
      <c r="Q60" s="94"/>
      <c r="R60" s="46"/>
      <c r="S60" s="47">
        <f t="shared" si="4"/>
        <v>1.6304347826086956</v>
      </c>
      <c r="U60" s="1728"/>
      <c r="V60" s="50">
        <f t="shared" si="2"/>
        <v>0</v>
      </c>
      <c r="W60" s="1767"/>
      <c r="X60" s="50"/>
    </row>
    <row r="61" spans="2:24" ht="16" thickBot="1" x14ac:dyDescent="0.25">
      <c r="B61" s="1658" t="e">
        <f>AVERAGE(#REF!)</f>
        <v>#REF!</v>
      </c>
      <c r="C61" s="164">
        <v>43149</v>
      </c>
      <c r="D61" s="165" t="s">
        <v>47</v>
      </c>
      <c r="E61" s="166"/>
      <c r="F61" s="1405" t="s">
        <v>12</v>
      </c>
      <c r="G61" s="167">
        <v>8.9872685185185194E-2</v>
      </c>
      <c r="H61" s="168">
        <v>22.81</v>
      </c>
      <c r="I61" s="169">
        <f>G61/H61</f>
        <v>3.9400563430594124E-3</v>
      </c>
      <c r="J61" s="170">
        <v>134</v>
      </c>
      <c r="K61" s="1757"/>
      <c r="L61" s="1564">
        <v>209</v>
      </c>
      <c r="M61" s="1586"/>
      <c r="N61" s="172">
        <f t="shared" si="3"/>
        <v>1.046293550300436</v>
      </c>
      <c r="O61" s="173" t="s">
        <v>17</v>
      </c>
      <c r="P61" s="174"/>
      <c r="Q61" s="175"/>
      <c r="R61" s="64"/>
      <c r="S61" s="65">
        <f t="shared" si="4"/>
        <v>1.5597014925373134</v>
      </c>
      <c r="U61" s="1728"/>
      <c r="V61" s="68">
        <f t="shared" si="2"/>
        <v>0</v>
      </c>
      <c r="W61" s="1768"/>
      <c r="X61" s="68"/>
    </row>
    <row r="62" spans="2:24" ht="16" thickBot="1" x14ac:dyDescent="0.25">
      <c r="B62" s="1652">
        <f>B55+1</f>
        <v>8</v>
      </c>
      <c r="C62" s="193">
        <v>43150</v>
      </c>
      <c r="D62" s="194" t="s">
        <v>48</v>
      </c>
      <c r="E62" s="195"/>
      <c r="F62" s="1406" t="s">
        <v>12</v>
      </c>
      <c r="G62" s="72">
        <v>3.9918981481481479E-2</v>
      </c>
      <c r="H62" s="178">
        <v>9.92</v>
      </c>
      <c r="I62" s="179">
        <f>G62/H62</f>
        <v>4.0240908751493429E-3</v>
      </c>
      <c r="J62" s="180">
        <v>128</v>
      </c>
      <c r="K62" s="1757"/>
      <c r="L62" s="76">
        <v>208</v>
      </c>
      <c r="M62" s="1587"/>
      <c r="N62" s="77">
        <f t="shared" si="3"/>
        <v>1.0634962049335861</v>
      </c>
      <c r="O62" s="78" t="s">
        <v>17</v>
      </c>
      <c r="P62" s="79"/>
      <c r="Q62" s="80"/>
      <c r="R62" s="80"/>
      <c r="S62" s="33">
        <f t="shared" si="4"/>
        <v>1.625</v>
      </c>
      <c r="U62" s="1728"/>
      <c r="V62" s="82">
        <f t="shared" si="2"/>
        <v>0</v>
      </c>
      <c r="W62" s="1766"/>
      <c r="X62" s="82"/>
    </row>
    <row r="63" spans="2:24" x14ac:dyDescent="0.2">
      <c r="B63" s="1653" t="s">
        <v>142</v>
      </c>
      <c r="C63" s="84">
        <v>43151</v>
      </c>
      <c r="D63" s="85"/>
      <c r="E63" s="86"/>
      <c r="F63" s="1401"/>
      <c r="G63" s="87"/>
      <c r="H63" s="88"/>
      <c r="I63" s="89"/>
      <c r="J63" s="90"/>
      <c r="K63" s="1757"/>
      <c r="L63" s="1563"/>
      <c r="M63" s="1585"/>
      <c r="N63" s="140" t="str">
        <f t="shared" si="3"/>
        <v/>
      </c>
      <c r="O63" s="92"/>
      <c r="P63" s="93"/>
      <c r="Q63" s="94"/>
      <c r="R63" s="46"/>
      <c r="S63" s="47" t="str">
        <f t="shared" si="4"/>
        <v/>
      </c>
      <c r="U63" s="1728"/>
      <c r="V63" s="50">
        <f t="shared" si="2"/>
        <v>0</v>
      </c>
      <c r="W63" s="1767"/>
      <c r="X63" s="50"/>
    </row>
    <row r="64" spans="2:24" ht="16" thickBot="1" x14ac:dyDescent="0.25">
      <c r="B64" s="1654">
        <f>SUM(H62:H68)</f>
        <v>43.96</v>
      </c>
      <c r="C64" s="84">
        <v>43152</v>
      </c>
      <c r="D64" s="85"/>
      <c r="E64" s="86"/>
      <c r="F64" s="1401"/>
      <c r="G64" s="87"/>
      <c r="H64" s="88"/>
      <c r="I64" s="89"/>
      <c r="J64" s="90"/>
      <c r="K64" s="1757"/>
      <c r="L64" s="1563"/>
      <c r="M64" s="1585"/>
      <c r="N64" s="140" t="str">
        <f t="shared" si="3"/>
        <v/>
      </c>
      <c r="O64" s="92"/>
      <c r="P64" s="93"/>
      <c r="Q64" s="94"/>
      <c r="R64" s="46"/>
      <c r="S64" s="47" t="str">
        <f t="shared" si="4"/>
        <v/>
      </c>
      <c r="U64" s="1728"/>
      <c r="V64" s="50">
        <f t="shared" si="2"/>
        <v>0</v>
      </c>
      <c r="W64" s="1767"/>
      <c r="X64" s="50"/>
    </row>
    <row r="65" spans="1:24" x14ac:dyDescent="0.2">
      <c r="B65" s="1655" t="s">
        <v>144</v>
      </c>
      <c r="C65" s="84">
        <v>43153</v>
      </c>
      <c r="D65" s="85" t="s">
        <v>49</v>
      </c>
      <c r="E65" s="86"/>
      <c r="F65" s="1401" t="s">
        <v>19</v>
      </c>
      <c r="G65" s="87">
        <v>4.0787037037037038E-2</v>
      </c>
      <c r="H65" s="88">
        <v>11.3</v>
      </c>
      <c r="I65" s="89">
        <f>G65/H65</f>
        <v>3.6094723041625696E-3</v>
      </c>
      <c r="J65" s="90">
        <v>146</v>
      </c>
      <c r="K65" s="1757"/>
      <c r="L65" s="1563">
        <v>231</v>
      </c>
      <c r="M65" s="1585"/>
      <c r="N65" s="140">
        <f t="shared" si="3"/>
        <v>1.0594013534617386</v>
      </c>
      <c r="O65" s="92" t="s">
        <v>14</v>
      </c>
      <c r="P65" s="93"/>
      <c r="Q65" s="94"/>
      <c r="R65" s="46"/>
      <c r="S65" s="47">
        <f t="shared" si="4"/>
        <v>1.5821917808219179</v>
      </c>
      <c r="U65" s="1728"/>
      <c r="V65" s="50">
        <f t="shared" si="2"/>
        <v>0</v>
      </c>
      <c r="W65" s="1767"/>
      <c r="X65" s="50"/>
    </row>
    <row r="66" spans="1:24" ht="16" thickBot="1" x14ac:dyDescent="0.25">
      <c r="B66" s="1656" t="e">
        <f>SUM(#REF!)</f>
        <v>#REF!</v>
      </c>
      <c r="C66" s="84">
        <v>43154</v>
      </c>
      <c r="D66" s="85" t="s">
        <v>50</v>
      </c>
      <c r="E66" s="86"/>
      <c r="F66" s="1401" t="s">
        <v>12</v>
      </c>
      <c r="G66" s="87">
        <v>3.712962962962963E-2</v>
      </c>
      <c r="H66" s="88">
        <v>9.1300000000000008</v>
      </c>
      <c r="I66" s="89">
        <f>G66/H66</f>
        <v>4.0667721390612952E-3</v>
      </c>
      <c r="J66" s="90">
        <v>127</v>
      </c>
      <c r="K66" s="1757"/>
      <c r="L66" s="1563">
        <v>206</v>
      </c>
      <c r="M66" s="1585"/>
      <c r="N66" s="140">
        <f t="shared" si="3"/>
        <v>1.064441724115714</v>
      </c>
      <c r="O66" s="92" t="s">
        <v>17</v>
      </c>
      <c r="P66" s="93"/>
      <c r="Q66" s="94"/>
      <c r="R66" s="46"/>
      <c r="S66" s="47">
        <f t="shared" si="4"/>
        <v>1.6220472440944882</v>
      </c>
      <c r="U66" s="1728"/>
      <c r="V66" s="50">
        <f t="shared" si="2"/>
        <v>0</v>
      </c>
      <c r="W66" s="1767"/>
      <c r="X66" s="50"/>
    </row>
    <row r="67" spans="1:24" x14ac:dyDescent="0.2">
      <c r="B67" s="1657" t="s">
        <v>256</v>
      </c>
      <c r="C67" s="84">
        <v>43155</v>
      </c>
      <c r="D67" s="85"/>
      <c r="E67" s="86"/>
      <c r="F67" s="1401"/>
      <c r="G67" s="87"/>
      <c r="H67" s="88"/>
      <c r="I67" s="89"/>
      <c r="J67" s="90"/>
      <c r="K67" s="1757"/>
      <c r="L67" s="1563"/>
      <c r="M67" s="1585"/>
      <c r="N67" s="140" t="str">
        <f t="shared" si="3"/>
        <v/>
      </c>
      <c r="O67" s="92"/>
      <c r="P67" s="93"/>
      <c r="Q67" s="94"/>
      <c r="R67" s="46"/>
      <c r="S67" s="47" t="str">
        <f t="shared" si="4"/>
        <v/>
      </c>
      <c r="U67" s="1728"/>
      <c r="V67" s="50">
        <f t="shared" si="2"/>
        <v>0</v>
      </c>
      <c r="W67" s="1767"/>
      <c r="X67" s="50"/>
    </row>
    <row r="68" spans="1:24" customFormat="1" ht="16" thickBot="1" x14ac:dyDescent="0.25">
      <c r="A68" s="3"/>
      <c r="B68" s="1658" t="e">
        <f>AVERAGE(#REF!)</f>
        <v>#REF!</v>
      </c>
      <c r="C68" s="196">
        <v>43156</v>
      </c>
      <c r="D68" s="197" t="s">
        <v>51</v>
      </c>
      <c r="E68" s="198" t="s">
        <v>293</v>
      </c>
      <c r="F68" s="1407" t="s">
        <v>4</v>
      </c>
      <c r="G68" s="199">
        <v>4.0949074074074075E-2</v>
      </c>
      <c r="H68" s="200">
        <v>13.61</v>
      </c>
      <c r="I68" s="201">
        <f>G68/H68</f>
        <v>3.0087490135249136E-3</v>
      </c>
      <c r="J68" s="202">
        <v>164</v>
      </c>
      <c r="K68" s="1757"/>
      <c r="L68" s="1567">
        <v>266</v>
      </c>
      <c r="M68" s="1590"/>
      <c r="N68" s="203">
        <f t="shared" si="3"/>
        <v>1.0168863724769848</v>
      </c>
      <c r="O68" s="204" t="s">
        <v>16</v>
      </c>
      <c r="P68" s="105"/>
      <c r="Q68" s="107"/>
      <c r="R68" s="107"/>
      <c r="S68" s="65">
        <f t="shared" si="4"/>
        <v>1.6219512195121952</v>
      </c>
      <c r="T68" s="1379"/>
      <c r="U68" s="1729"/>
      <c r="V68" s="109">
        <f t="shared" si="2"/>
        <v>0</v>
      </c>
      <c r="W68" s="1768"/>
      <c r="X68" s="109"/>
    </row>
    <row r="69" spans="1:24" ht="16" thickBot="1" x14ac:dyDescent="0.25">
      <c r="B69" s="1652">
        <f>B62+1</f>
        <v>9</v>
      </c>
      <c r="C69" s="142">
        <v>43157</v>
      </c>
      <c r="D69" s="143"/>
      <c r="E69" s="144"/>
      <c r="F69" s="1403"/>
      <c r="G69" s="145"/>
      <c r="H69" s="146"/>
      <c r="I69" s="147"/>
      <c r="J69" s="148"/>
      <c r="K69" s="1757"/>
      <c r="L69" s="1562"/>
      <c r="M69" s="1584"/>
      <c r="N69" s="150" t="str">
        <f t="shared" si="3"/>
        <v/>
      </c>
      <c r="O69" s="151"/>
      <c r="P69" s="152"/>
      <c r="Q69" s="153"/>
      <c r="R69" s="32"/>
      <c r="S69" s="33" t="str">
        <f t="shared" si="4"/>
        <v/>
      </c>
      <c r="U69" s="1728"/>
      <c r="V69" s="34">
        <f t="shared" si="2"/>
        <v>0</v>
      </c>
      <c r="W69" s="1766"/>
      <c r="X69" s="34"/>
    </row>
    <row r="70" spans="1:24" x14ac:dyDescent="0.2">
      <c r="B70" s="1653" t="s">
        <v>142</v>
      </c>
      <c r="C70" s="155">
        <v>43158</v>
      </c>
      <c r="D70" s="49" t="s">
        <v>52</v>
      </c>
      <c r="E70" s="156"/>
      <c r="F70" s="1404" t="s">
        <v>12</v>
      </c>
      <c r="G70" s="120">
        <v>3.8414351851851852E-2</v>
      </c>
      <c r="H70" s="121">
        <v>9.6199999999999992</v>
      </c>
      <c r="I70" s="122">
        <f t="shared" ref="I70:I81" si="5">G70/H70</f>
        <v>3.9931758681758687E-3</v>
      </c>
      <c r="J70" s="123">
        <v>129</v>
      </c>
      <c r="K70" s="1757"/>
      <c r="L70" s="1563">
        <v>210</v>
      </c>
      <c r="M70" s="1585"/>
      <c r="N70" s="158">
        <f t="shared" si="3"/>
        <v>1.065473278708573</v>
      </c>
      <c r="O70" s="159" t="s">
        <v>17</v>
      </c>
      <c r="P70" s="93"/>
      <c r="Q70" s="94"/>
      <c r="R70" s="46"/>
      <c r="S70" s="47">
        <f t="shared" si="4"/>
        <v>1.6279069767441861</v>
      </c>
      <c r="U70" s="1728"/>
      <c r="V70" s="206">
        <f t="shared" si="2"/>
        <v>0</v>
      </c>
      <c r="W70" s="1767"/>
      <c r="X70" s="206"/>
    </row>
    <row r="71" spans="1:24" ht="16" thickBot="1" x14ac:dyDescent="0.25">
      <c r="B71" s="1654">
        <f>SUM(H69:H75)</f>
        <v>75.150000000000006</v>
      </c>
      <c r="C71" s="161">
        <v>43159</v>
      </c>
      <c r="D71" s="49" t="s">
        <v>53</v>
      </c>
      <c r="E71" s="156"/>
      <c r="F71" s="1404" t="s">
        <v>9</v>
      </c>
      <c r="G71" s="120">
        <v>2.7534722222222221E-2</v>
      </c>
      <c r="H71" s="121">
        <v>8.14</v>
      </c>
      <c r="I71" s="122">
        <f t="shared" si="5"/>
        <v>3.3826440076440071E-3</v>
      </c>
      <c r="J71" s="123">
        <v>145</v>
      </c>
      <c r="K71" s="1757"/>
      <c r="L71" s="1563">
        <v>231</v>
      </c>
      <c r="M71" s="1585"/>
      <c r="N71" s="158">
        <f t="shared" si="3"/>
        <v>0.99282591414944332</v>
      </c>
      <c r="O71" s="159" t="s">
        <v>16</v>
      </c>
      <c r="P71" s="93"/>
      <c r="Q71" s="94"/>
      <c r="R71" s="46"/>
      <c r="S71" s="47">
        <f t="shared" si="4"/>
        <v>1.5931034482758621</v>
      </c>
      <c r="U71" s="1728"/>
      <c r="V71" s="206">
        <f t="shared" si="2"/>
        <v>0</v>
      </c>
      <c r="W71" s="1767"/>
      <c r="X71" s="206"/>
    </row>
    <row r="72" spans="1:24" x14ac:dyDescent="0.2">
      <c r="B72" s="1655" t="s">
        <v>144</v>
      </c>
      <c r="C72" s="161">
        <v>43160</v>
      </c>
      <c r="D72" s="49" t="s">
        <v>54</v>
      </c>
      <c r="E72" s="156"/>
      <c r="F72" s="1404" t="s">
        <v>12</v>
      </c>
      <c r="G72" s="120">
        <v>4.6851851851851846E-2</v>
      </c>
      <c r="H72" s="121">
        <v>11.6</v>
      </c>
      <c r="I72" s="122">
        <f t="shared" si="5"/>
        <v>4.0389527458492974E-3</v>
      </c>
      <c r="J72" s="123">
        <v>128</v>
      </c>
      <c r="K72" s="1757"/>
      <c r="L72" s="1563">
        <v>213</v>
      </c>
      <c r="M72" s="1585"/>
      <c r="N72" s="158">
        <f t="shared" si="3"/>
        <v>1.0930831643002028</v>
      </c>
      <c r="O72" s="159" t="s">
        <v>14</v>
      </c>
      <c r="P72" s="93"/>
      <c r="Q72" s="94"/>
      <c r="R72" s="46"/>
      <c r="S72" s="47">
        <f t="shared" si="4"/>
        <v>1.6640625</v>
      </c>
      <c r="U72" s="1728"/>
      <c r="V72" s="206">
        <f t="shared" si="2"/>
        <v>0</v>
      </c>
      <c r="W72" s="1767"/>
      <c r="X72" s="206"/>
    </row>
    <row r="73" spans="1:24" ht="16" thickBot="1" x14ac:dyDescent="0.25">
      <c r="B73" s="1656" t="e">
        <f>SUM(#REF!)</f>
        <v>#REF!</v>
      </c>
      <c r="C73" s="161">
        <v>43161</v>
      </c>
      <c r="D73" s="49" t="s">
        <v>55</v>
      </c>
      <c r="E73" s="156"/>
      <c r="F73" s="1404" t="s">
        <v>19</v>
      </c>
      <c r="G73" s="120">
        <v>4.4016203703703703E-2</v>
      </c>
      <c r="H73" s="121">
        <v>13.8</v>
      </c>
      <c r="I73" s="122">
        <f t="shared" si="5"/>
        <v>3.1895799785292538E-3</v>
      </c>
      <c r="J73" s="123">
        <v>152</v>
      </c>
      <c r="K73" s="1757"/>
      <c r="L73" s="1563">
        <v>245</v>
      </c>
      <c r="M73" s="1585"/>
      <c r="N73" s="158">
        <f t="shared" si="3"/>
        <v>0.99289748508098896</v>
      </c>
      <c r="O73" s="159" t="s">
        <v>16</v>
      </c>
      <c r="P73" s="93"/>
      <c r="Q73" s="94"/>
      <c r="R73" s="46"/>
      <c r="S73" s="47">
        <f t="shared" si="4"/>
        <v>1.611842105263158</v>
      </c>
      <c r="U73" s="1728"/>
      <c r="V73" s="206">
        <f t="shared" si="2"/>
        <v>0</v>
      </c>
      <c r="W73" s="1767"/>
      <c r="X73" s="206"/>
    </row>
    <row r="74" spans="1:24" x14ac:dyDescent="0.2">
      <c r="B74" s="1657" t="s">
        <v>256</v>
      </c>
      <c r="C74" s="161">
        <v>43162</v>
      </c>
      <c r="D74" s="49" t="s">
        <v>56</v>
      </c>
      <c r="E74" s="156"/>
      <c r="F74" s="1404" t="s">
        <v>12</v>
      </c>
      <c r="G74" s="120">
        <v>3.24537037037037E-2</v>
      </c>
      <c r="H74" s="121">
        <v>8.32</v>
      </c>
      <c r="I74" s="122">
        <f t="shared" si="5"/>
        <v>3.9006855413105408E-3</v>
      </c>
      <c r="J74" s="123">
        <v>131</v>
      </c>
      <c r="K74" s="1757"/>
      <c r="L74" s="1563">
        <v>214</v>
      </c>
      <c r="M74" s="1585"/>
      <c r="N74" s="158">
        <f t="shared" si="3"/>
        <v>1.0606193438914024</v>
      </c>
      <c r="O74" s="159" t="s">
        <v>14</v>
      </c>
      <c r="P74" s="93"/>
      <c r="Q74" s="94"/>
      <c r="R74" s="46"/>
      <c r="S74" s="47">
        <f t="shared" si="4"/>
        <v>1.633587786259542</v>
      </c>
      <c r="U74" s="1728"/>
      <c r="V74" s="206">
        <f t="shared" si="2"/>
        <v>0</v>
      </c>
      <c r="W74" s="1767"/>
      <c r="X74" s="206"/>
    </row>
    <row r="75" spans="1:24" ht="16" thickBot="1" x14ac:dyDescent="0.25">
      <c r="B75" s="1658" t="e">
        <f>AVERAGE(#REF!)</f>
        <v>#REF!</v>
      </c>
      <c r="C75" s="207">
        <v>43163</v>
      </c>
      <c r="D75" s="67" t="s">
        <v>57</v>
      </c>
      <c r="E75" s="208"/>
      <c r="F75" s="1405" t="s">
        <v>12</v>
      </c>
      <c r="G75" s="167">
        <v>9.8425925925925917E-2</v>
      </c>
      <c r="H75" s="168">
        <v>23.67</v>
      </c>
      <c r="I75" s="169">
        <f t="shared" si="5"/>
        <v>4.1582562706348079E-3</v>
      </c>
      <c r="J75" s="170">
        <v>136</v>
      </c>
      <c r="K75" s="1757"/>
      <c r="L75" s="1564">
        <v>200</v>
      </c>
      <c r="M75" s="1586"/>
      <c r="N75" s="172">
        <f t="shared" si="3"/>
        <v>1.056686299361316</v>
      </c>
      <c r="O75" s="173" t="s">
        <v>17</v>
      </c>
      <c r="P75" s="174"/>
      <c r="Q75" s="175"/>
      <c r="R75" s="64"/>
      <c r="S75" s="65">
        <f t="shared" si="4"/>
        <v>1.4705882352941178</v>
      </c>
      <c r="U75" s="1728"/>
      <c r="V75" s="177">
        <f t="shared" si="2"/>
        <v>0</v>
      </c>
      <c r="W75" s="1768"/>
      <c r="X75" s="177"/>
    </row>
    <row r="76" spans="1:24" ht="16" thickBot="1" x14ac:dyDescent="0.25">
      <c r="B76" s="1652">
        <f>B69+1</f>
        <v>10</v>
      </c>
      <c r="C76" s="193">
        <v>43164</v>
      </c>
      <c r="D76" s="194"/>
      <c r="E76" s="195"/>
      <c r="F76" s="1406"/>
      <c r="G76" s="72"/>
      <c r="H76" s="178"/>
      <c r="I76" s="179"/>
      <c r="J76" s="180"/>
      <c r="K76" s="1757"/>
      <c r="L76" s="76"/>
      <c r="M76" s="1587"/>
      <c r="N76" s="77" t="str">
        <f t="shared" si="3"/>
        <v/>
      </c>
      <c r="O76" s="78"/>
      <c r="P76" s="79"/>
      <c r="Q76" s="80"/>
      <c r="R76" s="80"/>
      <c r="S76" s="33" t="str">
        <f t="shared" si="4"/>
        <v/>
      </c>
      <c r="U76" s="1728"/>
      <c r="V76" s="82">
        <f t="shared" si="2"/>
        <v>0</v>
      </c>
      <c r="W76" s="1766"/>
      <c r="X76" s="82"/>
    </row>
    <row r="77" spans="1:24" x14ac:dyDescent="0.2">
      <c r="B77" s="1653" t="s">
        <v>142</v>
      </c>
      <c r="C77" s="84">
        <v>43165</v>
      </c>
      <c r="D77" s="85" t="s">
        <v>58</v>
      </c>
      <c r="E77" s="86"/>
      <c r="F77" s="1401" t="s">
        <v>162</v>
      </c>
      <c r="G77" s="87">
        <v>3.923611111111111E-2</v>
      </c>
      <c r="H77" s="88">
        <v>12.6</v>
      </c>
      <c r="I77" s="89">
        <f t="shared" si="5"/>
        <v>3.1139770723104055E-3</v>
      </c>
      <c r="J77" s="90">
        <v>155</v>
      </c>
      <c r="K77" s="1757"/>
      <c r="L77" s="1563">
        <v>252</v>
      </c>
      <c r="M77" s="1585"/>
      <c r="N77" s="140">
        <f t="shared" ref="N77:N109" si="6">IFERROR((L77/68)/(1/(I77*24)/3.6),"")</f>
        <v>0.99705882352941189</v>
      </c>
      <c r="O77" s="92" t="s">
        <v>16</v>
      </c>
      <c r="P77" s="93"/>
      <c r="Q77" s="94"/>
      <c r="R77" s="46"/>
      <c r="S77" s="47">
        <f t="shared" ref="S77:S109" si="7">IFERROR(L77/J77,"")</f>
        <v>1.6258064516129032</v>
      </c>
      <c r="U77" s="1728"/>
      <c r="V77" s="50">
        <f t="shared" si="2"/>
        <v>0</v>
      </c>
      <c r="W77" s="1767"/>
      <c r="X77" s="50"/>
    </row>
    <row r="78" spans="1:24" ht="16" thickBot="1" x14ac:dyDescent="0.25">
      <c r="B78" s="1654">
        <f>SUM(H76:H82)</f>
        <v>50.510000000000005</v>
      </c>
      <c r="C78" s="84">
        <v>43166</v>
      </c>
      <c r="D78" s="85" t="s">
        <v>59</v>
      </c>
      <c r="E78" s="86"/>
      <c r="F78" s="1401" t="s">
        <v>12</v>
      </c>
      <c r="G78" s="87">
        <v>4.494212962962963E-2</v>
      </c>
      <c r="H78" s="88">
        <v>11.42</v>
      </c>
      <c r="I78" s="89">
        <f t="shared" si="5"/>
        <v>3.9353878835052215E-3</v>
      </c>
      <c r="J78" s="90">
        <v>134</v>
      </c>
      <c r="K78" s="1757"/>
      <c r="L78" s="1563">
        <v>216</v>
      </c>
      <c r="M78" s="1585"/>
      <c r="N78" s="140">
        <f t="shared" si="6"/>
        <v>1.0800556299577622</v>
      </c>
      <c r="O78" s="92" t="s">
        <v>17</v>
      </c>
      <c r="P78" s="93"/>
      <c r="Q78" s="94"/>
      <c r="R78" s="46"/>
      <c r="S78" s="47">
        <f t="shared" si="7"/>
        <v>1.6119402985074627</v>
      </c>
      <c r="U78" s="1728"/>
      <c r="V78" s="50">
        <f t="shared" ref="V78:V141" si="8">U77-T77</f>
        <v>0</v>
      </c>
      <c r="W78" s="1767"/>
      <c r="X78" s="50"/>
    </row>
    <row r="79" spans="1:24" x14ac:dyDescent="0.2">
      <c r="B79" s="1655" t="s">
        <v>144</v>
      </c>
      <c r="C79" s="84">
        <v>43167</v>
      </c>
      <c r="D79" s="85" t="s">
        <v>60</v>
      </c>
      <c r="E79" s="86"/>
      <c r="F79" s="1401" t="s">
        <v>13</v>
      </c>
      <c r="G79" s="87">
        <v>4.5810185185185183E-2</v>
      </c>
      <c r="H79" s="88">
        <v>12.46</v>
      </c>
      <c r="I79" s="89">
        <f t="shared" si="5"/>
        <v>3.6765798704000946E-3</v>
      </c>
      <c r="J79" s="90">
        <v>135</v>
      </c>
      <c r="K79" s="1757"/>
      <c r="L79" s="1563">
        <v>232</v>
      </c>
      <c r="M79" s="1585"/>
      <c r="N79" s="140">
        <f t="shared" si="6"/>
        <v>1.0837692380322914</v>
      </c>
      <c r="O79" s="92" t="s">
        <v>14</v>
      </c>
      <c r="P79" s="93"/>
      <c r="Q79" s="94"/>
      <c r="R79" s="46"/>
      <c r="S79" s="47">
        <f t="shared" si="7"/>
        <v>1.7185185185185186</v>
      </c>
      <c r="U79" s="1728"/>
      <c r="V79" s="50">
        <f t="shared" si="8"/>
        <v>0</v>
      </c>
      <c r="W79" s="1767"/>
      <c r="X79" s="50"/>
    </row>
    <row r="80" spans="1:24" ht="16" thickBot="1" x14ac:dyDescent="0.25">
      <c r="B80" s="1656" t="e">
        <f>SUM(#REF!)</f>
        <v>#REF!</v>
      </c>
      <c r="C80" s="84">
        <v>43168</v>
      </c>
      <c r="D80" s="85"/>
      <c r="E80" s="86"/>
      <c r="F80" s="1401"/>
      <c r="G80" s="87"/>
      <c r="H80" s="88"/>
      <c r="I80" s="89"/>
      <c r="J80" s="90"/>
      <c r="K80" s="1757"/>
      <c r="L80" s="1563"/>
      <c r="M80" s="1585"/>
      <c r="N80" s="140" t="str">
        <f t="shared" si="6"/>
        <v/>
      </c>
      <c r="O80" s="92"/>
      <c r="P80" s="93"/>
      <c r="Q80" s="94"/>
      <c r="R80" s="46"/>
      <c r="S80" s="47" t="str">
        <f t="shared" si="7"/>
        <v/>
      </c>
      <c r="U80" s="1728"/>
      <c r="V80" s="50">
        <f t="shared" si="8"/>
        <v>0</v>
      </c>
      <c r="W80" s="1767"/>
      <c r="X80" s="50"/>
    </row>
    <row r="81" spans="1:24" x14ac:dyDescent="0.2">
      <c r="B81" s="1657" t="s">
        <v>256</v>
      </c>
      <c r="C81" s="84">
        <v>43169</v>
      </c>
      <c r="D81" s="85" t="s">
        <v>61</v>
      </c>
      <c r="E81" s="86"/>
      <c r="F81" s="1401" t="s">
        <v>3</v>
      </c>
      <c r="G81" s="87">
        <v>4.2002314814814812E-2</v>
      </c>
      <c r="H81" s="88">
        <v>14.03</v>
      </c>
      <c r="I81" s="89">
        <f t="shared" si="5"/>
        <v>2.9937501649903646E-3</v>
      </c>
      <c r="J81" s="90">
        <v>159</v>
      </c>
      <c r="K81" s="1757"/>
      <c r="L81" s="1563">
        <v>267</v>
      </c>
      <c r="M81" s="1585"/>
      <c r="N81" s="140">
        <f t="shared" si="6"/>
        <v>1.0156209383254369</v>
      </c>
      <c r="O81" s="92" t="s">
        <v>16</v>
      </c>
      <c r="P81" s="93"/>
      <c r="Q81" s="94"/>
      <c r="R81" s="46"/>
      <c r="S81" s="47">
        <f t="shared" si="7"/>
        <v>1.679245283018868</v>
      </c>
      <c r="U81" s="1728"/>
      <c r="V81" s="50">
        <f t="shared" si="8"/>
        <v>0</v>
      </c>
      <c r="W81" s="1767"/>
      <c r="X81" s="50"/>
    </row>
    <row r="82" spans="1:24" ht="16" thickBot="1" x14ac:dyDescent="0.25">
      <c r="B82" s="1658" t="e">
        <f>AVERAGE(#REF!)</f>
        <v>#REF!</v>
      </c>
      <c r="C82" s="141">
        <v>43170</v>
      </c>
      <c r="D82" s="181"/>
      <c r="E82" s="182"/>
      <c r="F82" s="1402"/>
      <c r="G82" s="98"/>
      <c r="H82" s="183"/>
      <c r="I82" s="184"/>
      <c r="J82" s="185"/>
      <c r="K82" s="1757"/>
      <c r="L82" s="1565"/>
      <c r="M82" s="1588"/>
      <c r="N82" s="186" t="str">
        <f t="shared" si="6"/>
        <v/>
      </c>
      <c r="O82" s="104"/>
      <c r="P82" s="105"/>
      <c r="Q82" s="107"/>
      <c r="R82" s="107"/>
      <c r="S82" s="65" t="str">
        <f t="shared" si="7"/>
        <v/>
      </c>
      <c r="U82" s="1728"/>
      <c r="V82" s="209">
        <f t="shared" si="8"/>
        <v>0</v>
      </c>
      <c r="W82" s="1768"/>
      <c r="X82" s="209"/>
    </row>
    <row r="83" spans="1:24" ht="16" thickBot="1" x14ac:dyDescent="0.25">
      <c r="B83" s="1652">
        <f>B76+1</f>
        <v>11</v>
      </c>
      <c r="C83" s="142">
        <v>43171</v>
      </c>
      <c r="D83" s="143" t="s">
        <v>62</v>
      </c>
      <c r="E83" s="144"/>
      <c r="F83" s="1403" t="s">
        <v>153</v>
      </c>
      <c r="G83" s="210">
        <v>8.2071759259259261E-2</v>
      </c>
      <c r="H83" s="211">
        <v>20.91</v>
      </c>
      <c r="I83" s="212">
        <f>G83/H83</f>
        <v>3.925000442814886E-3</v>
      </c>
      <c r="J83" s="213">
        <v>137</v>
      </c>
      <c r="K83" s="1757"/>
      <c r="L83" s="1562">
        <v>213</v>
      </c>
      <c r="M83" s="1584"/>
      <c r="N83" s="150">
        <f t="shared" si="6"/>
        <v>1.0622436492531016</v>
      </c>
      <c r="O83" s="151" t="s">
        <v>17</v>
      </c>
      <c r="P83" s="214" t="str">
        <f>IFERROR(VLOOKUP(F83,#REF!,12,FALSE),"")</f>
        <v/>
      </c>
      <c r="Q83" s="153" t="s">
        <v>8</v>
      </c>
      <c r="R83" s="32" t="str">
        <f>IFERROR(VLOOKUP(F83,#REF!,14,FALSE),"")</f>
        <v/>
      </c>
      <c r="S83" s="33">
        <f t="shared" si="7"/>
        <v>1.5547445255474452</v>
      </c>
      <c r="U83" s="1728"/>
      <c r="V83" s="192">
        <f t="shared" si="8"/>
        <v>0</v>
      </c>
      <c r="W83" s="1766"/>
      <c r="X83" s="192"/>
    </row>
    <row r="84" spans="1:24" x14ac:dyDescent="0.2">
      <c r="B84" s="1653" t="s">
        <v>142</v>
      </c>
      <c r="C84" s="155">
        <v>43172</v>
      </c>
      <c r="D84" s="49"/>
      <c r="E84" s="156"/>
      <c r="F84" s="1404"/>
      <c r="G84" s="216"/>
      <c r="H84" s="217" t="str">
        <f>IFERROR(VLOOKUP(F84,#REF!,10,FALSE),"")</f>
        <v/>
      </c>
      <c r="I84" s="218"/>
      <c r="J84" s="219"/>
      <c r="K84" s="1757"/>
      <c r="L84" s="1563"/>
      <c r="M84" s="1585"/>
      <c r="N84" s="158" t="str">
        <f t="shared" si="6"/>
        <v/>
      </c>
      <c r="O84" s="159"/>
      <c r="P84" s="93" t="str">
        <f>IFERROR(VLOOKUP(F84,#REF!,12,FALSE),"")</f>
        <v/>
      </c>
      <c r="Q84" s="94" t="s">
        <v>8</v>
      </c>
      <c r="R84" s="46" t="str">
        <f>IFERROR(VLOOKUP(F84,#REF!,14,FALSE),"")</f>
        <v/>
      </c>
      <c r="S84" s="47" t="str">
        <f t="shared" si="7"/>
        <v/>
      </c>
      <c r="U84" s="1728"/>
      <c r="V84" s="50">
        <f t="shared" si="8"/>
        <v>0</v>
      </c>
      <c r="W84" s="1767"/>
      <c r="X84" s="50"/>
    </row>
    <row r="85" spans="1:24" ht="16" thickBot="1" x14ac:dyDescent="0.25">
      <c r="B85" s="1654">
        <f>SUM(H83:H89)</f>
        <v>43.800000000000004</v>
      </c>
      <c r="C85" s="155">
        <v>43173</v>
      </c>
      <c r="D85" s="49" t="s">
        <v>63</v>
      </c>
      <c r="E85" s="156"/>
      <c r="F85" s="1404" t="s">
        <v>147</v>
      </c>
      <c r="G85" s="216">
        <v>2.9374999999999998E-2</v>
      </c>
      <c r="H85" s="217">
        <v>7.46</v>
      </c>
      <c r="I85" s="218">
        <f t="shared" ref="I85:I87" si="9">G85/H85</f>
        <v>3.9376675603217158E-3</v>
      </c>
      <c r="J85" s="219">
        <v>128</v>
      </c>
      <c r="K85" s="1757"/>
      <c r="L85" s="1563">
        <v>210</v>
      </c>
      <c r="M85" s="1585"/>
      <c r="N85" s="158">
        <f t="shared" si="6"/>
        <v>1.0506623560952533</v>
      </c>
      <c r="O85" s="159" t="s">
        <v>14</v>
      </c>
      <c r="P85" s="93" t="str">
        <f>IFERROR(VLOOKUP(F85,#REF!,12,FALSE),"")</f>
        <v/>
      </c>
      <c r="Q85" s="94" t="s">
        <v>8</v>
      </c>
      <c r="R85" s="46" t="str">
        <f>IFERROR(VLOOKUP(F85,#REF!,14,FALSE),"")</f>
        <v/>
      </c>
      <c r="S85" s="47">
        <f t="shared" si="7"/>
        <v>1.640625</v>
      </c>
      <c r="U85" s="1728"/>
      <c r="V85" s="50">
        <f t="shared" si="8"/>
        <v>0</v>
      </c>
      <c r="W85" s="1767"/>
      <c r="X85" s="50"/>
    </row>
    <row r="86" spans="1:24" x14ac:dyDescent="0.2">
      <c r="B86" s="1655" t="s">
        <v>144</v>
      </c>
      <c r="C86" s="161">
        <v>43174</v>
      </c>
      <c r="D86" s="49"/>
      <c r="E86" s="156"/>
      <c r="F86" s="1404"/>
      <c r="G86" s="216"/>
      <c r="H86" s="217" t="str">
        <f>IFERROR(VLOOKUP(F86,#REF!,10,FALSE),"")</f>
        <v/>
      </c>
      <c r="I86" s="218"/>
      <c r="J86" s="219"/>
      <c r="K86" s="1757"/>
      <c r="L86" s="1563"/>
      <c r="M86" s="1585"/>
      <c r="N86" s="158" t="str">
        <f t="shared" si="6"/>
        <v/>
      </c>
      <c r="O86" s="159"/>
      <c r="P86" s="93" t="str">
        <f>IFERROR(VLOOKUP(F86,#REF!,12,FALSE),"")</f>
        <v/>
      </c>
      <c r="Q86" s="94" t="s">
        <v>8</v>
      </c>
      <c r="R86" s="46" t="str">
        <f>IFERROR(VLOOKUP(F86,#REF!,14,FALSE),"")</f>
        <v/>
      </c>
      <c r="S86" s="47" t="str">
        <f t="shared" si="7"/>
        <v/>
      </c>
      <c r="U86" s="1728"/>
      <c r="V86" s="50">
        <f t="shared" si="8"/>
        <v>0</v>
      </c>
      <c r="W86" s="1767"/>
      <c r="X86" s="50"/>
    </row>
    <row r="87" spans="1:24" ht="16" thickBot="1" x14ac:dyDescent="0.25">
      <c r="B87" s="1656" t="e">
        <f>SUM(#REF!)</f>
        <v>#REF!</v>
      </c>
      <c r="C87" s="161">
        <v>43175</v>
      </c>
      <c r="D87" s="49" t="s">
        <v>64</v>
      </c>
      <c r="E87" s="156"/>
      <c r="F87" s="1404" t="s">
        <v>165</v>
      </c>
      <c r="G87" s="216">
        <v>2.9560185185185189E-2</v>
      </c>
      <c r="H87" s="121">
        <v>8.15</v>
      </c>
      <c r="I87" s="220">
        <f t="shared" si="9"/>
        <v>3.6270165871392867E-3</v>
      </c>
      <c r="J87" s="221">
        <v>140</v>
      </c>
      <c r="K87" s="1757"/>
      <c r="L87" s="1563">
        <v>223</v>
      </c>
      <c r="M87" s="1585"/>
      <c r="N87" s="158">
        <f t="shared" si="6"/>
        <v>1.0276831468783831</v>
      </c>
      <c r="O87" s="159" t="s">
        <v>16</v>
      </c>
      <c r="P87" s="93" t="str">
        <f>IFERROR(VLOOKUP(F87,#REF!,12,FALSE),"")</f>
        <v/>
      </c>
      <c r="Q87" s="94" t="s">
        <v>8</v>
      </c>
      <c r="R87" s="46" t="str">
        <f>IFERROR(VLOOKUP(F87,#REF!,14,FALSE),"")</f>
        <v/>
      </c>
      <c r="S87" s="47">
        <f t="shared" si="7"/>
        <v>1.5928571428571427</v>
      </c>
      <c r="U87" s="1728"/>
      <c r="V87" s="50">
        <f t="shared" si="8"/>
        <v>0</v>
      </c>
      <c r="W87" s="1767"/>
      <c r="X87" s="50"/>
    </row>
    <row r="88" spans="1:24" x14ac:dyDescent="0.2">
      <c r="B88" s="1657" t="s">
        <v>256</v>
      </c>
      <c r="C88" s="161">
        <v>43176</v>
      </c>
      <c r="D88" s="49"/>
      <c r="E88" s="156"/>
      <c r="F88" s="1404"/>
      <c r="G88" s="216"/>
      <c r="H88" s="121" t="str">
        <f>IFERROR(VLOOKUP(F88,#REF!,10,FALSE),"")</f>
        <v/>
      </c>
      <c r="I88" s="220"/>
      <c r="J88" s="221"/>
      <c r="K88" s="1757"/>
      <c r="L88" s="1563"/>
      <c r="M88" s="1585"/>
      <c r="N88" s="158" t="str">
        <f t="shared" si="6"/>
        <v/>
      </c>
      <c r="O88" s="159"/>
      <c r="P88" s="93" t="str">
        <f>IFERROR(VLOOKUP(F88,#REF!,12,FALSE),"")</f>
        <v/>
      </c>
      <c r="Q88" s="94" t="s">
        <v>8</v>
      </c>
      <c r="R88" s="46" t="str">
        <f>IFERROR(VLOOKUP(F88,#REF!,14,FALSE),"")</f>
        <v/>
      </c>
      <c r="S88" s="47" t="str">
        <f t="shared" si="7"/>
        <v/>
      </c>
      <c r="U88" s="1728"/>
      <c r="V88" s="50">
        <f t="shared" si="8"/>
        <v>0</v>
      </c>
      <c r="W88" s="1767"/>
      <c r="X88" s="50"/>
    </row>
    <row r="89" spans="1:24" ht="16" thickBot="1" x14ac:dyDescent="0.25">
      <c r="B89" s="1658" t="e">
        <f>AVERAGE(#REF!)</f>
        <v>#REF!</v>
      </c>
      <c r="C89" s="207">
        <v>43177</v>
      </c>
      <c r="D89" s="67" t="s">
        <v>65</v>
      </c>
      <c r="E89" s="208"/>
      <c r="F89" s="1405" t="s">
        <v>262</v>
      </c>
      <c r="G89" s="222">
        <v>2.7627314814814813E-2</v>
      </c>
      <c r="H89" s="168">
        <v>7.28</v>
      </c>
      <c r="I89" s="169">
        <f t="shared" ref="I89" si="10">G89/H89</f>
        <v>3.7949608262108259E-3</v>
      </c>
      <c r="J89" s="223">
        <v>135</v>
      </c>
      <c r="K89" s="1757"/>
      <c r="L89" s="1564">
        <v>219</v>
      </c>
      <c r="M89" s="1586"/>
      <c r="N89" s="172">
        <f t="shared" si="6"/>
        <v>1.0559813348416289</v>
      </c>
      <c r="O89" s="173" t="s">
        <v>14</v>
      </c>
      <c r="P89" s="174" t="str">
        <f>IFERROR(VLOOKUP(F89,#REF!,12,FALSE),"")</f>
        <v/>
      </c>
      <c r="Q89" s="175" t="s">
        <v>8</v>
      </c>
      <c r="R89" s="64" t="str">
        <f>IFERROR(VLOOKUP(F89,#REF!,14,FALSE),"")</f>
        <v/>
      </c>
      <c r="S89" s="65">
        <f t="shared" si="7"/>
        <v>1.6222222222222222</v>
      </c>
      <c r="U89" s="1728"/>
      <c r="V89" s="177">
        <f t="shared" si="8"/>
        <v>0</v>
      </c>
      <c r="W89" s="1768"/>
      <c r="X89" s="177"/>
    </row>
    <row r="90" spans="1:24" ht="16" thickBot="1" x14ac:dyDescent="0.25">
      <c r="B90" s="1652">
        <f>B83+1</f>
        <v>12</v>
      </c>
      <c r="C90" s="193">
        <v>43178</v>
      </c>
      <c r="D90" s="70"/>
      <c r="E90" s="71"/>
      <c r="F90" s="1394"/>
      <c r="G90" s="72"/>
      <c r="H90" s="178" t="str">
        <f>IFERROR(VLOOKUP(F90,#REF!,10,FALSE),"")</f>
        <v/>
      </c>
      <c r="I90" s="179"/>
      <c r="J90" s="180"/>
      <c r="K90" s="1757"/>
      <c r="L90" s="76"/>
      <c r="M90" s="1587"/>
      <c r="N90" s="77" t="str">
        <f t="shared" si="6"/>
        <v/>
      </c>
      <c r="O90" s="78"/>
      <c r="P90" s="224" t="str">
        <f>IFERROR(VLOOKUP(F90,#REF!,12,FALSE),"")</f>
        <v/>
      </c>
      <c r="Q90" s="80" t="s">
        <v>8</v>
      </c>
      <c r="R90" s="80" t="str">
        <f>IFERROR(VLOOKUP(F90,#REF!,14,FALSE),"")</f>
        <v/>
      </c>
      <c r="S90" s="33" t="str">
        <f t="shared" si="7"/>
        <v/>
      </c>
      <c r="U90" s="1728"/>
      <c r="V90" s="82">
        <f t="shared" si="8"/>
        <v>0</v>
      </c>
      <c r="W90" s="1766"/>
      <c r="X90" s="82"/>
    </row>
    <row r="91" spans="1:24" x14ac:dyDescent="0.2">
      <c r="B91" s="1653" t="s">
        <v>142</v>
      </c>
      <c r="C91" s="84">
        <v>43179</v>
      </c>
      <c r="D91" s="162" t="s">
        <v>66</v>
      </c>
      <c r="E91" s="163"/>
      <c r="F91" s="1408" t="s">
        <v>165</v>
      </c>
      <c r="G91" s="226">
        <v>2.8784722222222225E-2</v>
      </c>
      <c r="H91" s="227">
        <v>8.1300000000000008</v>
      </c>
      <c r="I91" s="228">
        <f t="shared" ref="I91:I98" si="11">G91/H91</f>
        <v>3.5405562388957225E-3</v>
      </c>
      <c r="J91" s="90">
        <v>143</v>
      </c>
      <c r="K91" s="1757"/>
      <c r="L91" s="1563">
        <v>232</v>
      </c>
      <c r="M91" s="1585"/>
      <c r="N91" s="140">
        <f t="shared" si="6"/>
        <v>1.0436726720208378</v>
      </c>
      <c r="O91" s="92" t="s">
        <v>14</v>
      </c>
      <c r="P91" s="229" t="str">
        <f>IFERROR(VLOOKUP(F91,#REF!,12,FALSE),"")</f>
        <v/>
      </c>
      <c r="Q91" s="230" t="s">
        <v>8</v>
      </c>
      <c r="R91" s="46" t="str">
        <f>IFERROR(VLOOKUP(F91,#REF!,14,FALSE),"")</f>
        <v/>
      </c>
      <c r="S91" s="47">
        <f t="shared" si="7"/>
        <v>1.6223776223776223</v>
      </c>
      <c r="U91" s="1728"/>
      <c r="V91" s="50">
        <f t="shared" si="8"/>
        <v>0</v>
      </c>
      <c r="W91" s="1767"/>
      <c r="X91" s="50"/>
    </row>
    <row r="92" spans="1:24" ht="16" thickBot="1" x14ac:dyDescent="0.25">
      <c r="B92" s="1654">
        <f>SUM(H90:H96)</f>
        <v>40.394999999999996</v>
      </c>
      <c r="C92" s="84">
        <v>43180</v>
      </c>
      <c r="D92" s="162"/>
      <c r="E92" s="163"/>
      <c r="F92" s="1408"/>
      <c r="G92" s="226"/>
      <c r="H92" s="227" t="str">
        <f>IFERROR(VLOOKUP(F92,#REF!,10,FALSE),"")</f>
        <v/>
      </c>
      <c r="I92" s="231"/>
      <c r="J92" s="90"/>
      <c r="K92" s="1757"/>
      <c r="L92" s="1563"/>
      <c r="M92" s="1585"/>
      <c r="N92" s="140" t="str">
        <f t="shared" si="6"/>
        <v/>
      </c>
      <c r="O92" s="92"/>
      <c r="P92" s="229" t="str">
        <f>IFERROR(VLOOKUP(F92,#REF!,12,FALSE),"")</f>
        <v/>
      </c>
      <c r="Q92" s="230" t="s">
        <v>8</v>
      </c>
      <c r="R92" s="46" t="str">
        <f>IFERROR(VLOOKUP(F92,#REF!,14,FALSE),"")</f>
        <v/>
      </c>
      <c r="S92" s="47" t="str">
        <f t="shared" si="7"/>
        <v/>
      </c>
      <c r="U92" s="1728"/>
      <c r="V92" s="50">
        <f t="shared" si="8"/>
        <v>0</v>
      </c>
      <c r="W92" s="1767"/>
      <c r="X92" s="50"/>
    </row>
    <row r="93" spans="1:24" x14ac:dyDescent="0.2">
      <c r="B93" s="1655" t="s">
        <v>144</v>
      </c>
      <c r="C93" s="84">
        <v>43181</v>
      </c>
      <c r="D93" s="162" t="s">
        <v>67</v>
      </c>
      <c r="E93" s="163"/>
      <c r="F93" s="1408" t="s">
        <v>146</v>
      </c>
      <c r="G93" s="226">
        <v>2.6875E-2</v>
      </c>
      <c r="H93" s="227">
        <v>6.66</v>
      </c>
      <c r="I93" s="228">
        <f t="shared" si="11"/>
        <v>4.0352852852852854E-3</v>
      </c>
      <c r="J93" s="90">
        <v>124</v>
      </c>
      <c r="K93" s="1757"/>
      <c r="L93" s="1563">
        <v>209</v>
      </c>
      <c r="M93" s="1585"/>
      <c r="N93" s="140">
        <f t="shared" si="6"/>
        <v>1.0715818759936409</v>
      </c>
      <c r="O93" s="92" t="s">
        <v>14</v>
      </c>
      <c r="P93" s="229" t="str">
        <f>IFERROR(VLOOKUP(F93,#REF!,12,FALSE),"")</f>
        <v/>
      </c>
      <c r="Q93" s="230" t="s">
        <v>8</v>
      </c>
      <c r="R93" s="46" t="str">
        <f>IFERROR(VLOOKUP(F93,#REF!,14,FALSE),"")</f>
        <v/>
      </c>
      <c r="S93" s="47">
        <f t="shared" si="7"/>
        <v>1.685483870967742</v>
      </c>
      <c r="U93" s="1728"/>
      <c r="V93" s="50">
        <f t="shared" si="8"/>
        <v>0</v>
      </c>
      <c r="W93" s="1767"/>
      <c r="X93" s="50"/>
    </row>
    <row r="94" spans="1:24" ht="16" thickBot="1" x14ac:dyDescent="0.25">
      <c r="B94" s="1656" t="e">
        <f>SUM(#REF!)</f>
        <v>#REF!</v>
      </c>
      <c r="C94" s="84">
        <v>43182</v>
      </c>
      <c r="D94" s="162"/>
      <c r="E94" s="163"/>
      <c r="F94" s="1408"/>
      <c r="G94" s="226"/>
      <c r="H94" s="227" t="str">
        <f>IFERROR(VLOOKUP(F94,#REF!,10,FALSE),"")</f>
        <v/>
      </c>
      <c r="I94" s="231"/>
      <c r="J94" s="90"/>
      <c r="K94" s="1757"/>
      <c r="L94" s="1563"/>
      <c r="M94" s="1585"/>
      <c r="N94" s="140" t="str">
        <f t="shared" si="6"/>
        <v/>
      </c>
      <c r="O94" s="92"/>
      <c r="P94" s="229" t="str">
        <f>IFERROR(VLOOKUP(F94,#REF!,12,FALSE),"")</f>
        <v/>
      </c>
      <c r="Q94" s="230" t="s">
        <v>8</v>
      </c>
      <c r="R94" s="46" t="str">
        <f>IFERROR(VLOOKUP(F94,#REF!,14,FALSE),"")</f>
        <v/>
      </c>
      <c r="S94" s="47" t="str">
        <f t="shared" si="7"/>
        <v/>
      </c>
      <c r="U94" s="1728"/>
      <c r="V94" s="50">
        <f t="shared" si="8"/>
        <v>0</v>
      </c>
      <c r="W94" s="1767"/>
      <c r="X94" s="50"/>
    </row>
    <row r="95" spans="1:24" x14ac:dyDescent="0.2">
      <c r="B95" s="1657" t="s">
        <v>256</v>
      </c>
      <c r="C95" s="84">
        <v>43183</v>
      </c>
      <c r="D95" s="162" t="s">
        <v>68</v>
      </c>
      <c r="E95" s="163"/>
      <c r="F95" s="1408" t="s">
        <v>145</v>
      </c>
      <c r="G95" s="226">
        <v>2.3101851851851849E-2</v>
      </c>
      <c r="H95" s="227">
        <v>4.51</v>
      </c>
      <c r="I95" s="228">
        <f t="shared" si="11"/>
        <v>5.1223618296789026E-3</v>
      </c>
      <c r="J95" s="90">
        <v>113</v>
      </c>
      <c r="K95" s="1757"/>
      <c r="L95" s="1563">
        <v>161</v>
      </c>
      <c r="M95" s="1585"/>
      <c r="N95" s="140">
        <f t="shared" si="6"/>
        <v>1.047854441111256</v>
      </c>
      <c r="O95" s="92" t="s">
        <v>14</v>
      </c>
      <c r="P95" s="229" t="str">
        <f>IFERROR(VLOOKUP(F95,#REF!,12,FALSE),"")</f>
        <v/>
      </c>
      <c r="Q95" s="230" t="s">
        <v>8</v>
      </c>
      <c r="R95" s="46" t="str">
        <f>IFERROR(VLOOKUP(F95,#REF!,14,FALSE),"")</f>
        <v/>
      </c>
      <c r="S95" s="47">
        <f t="shared" si="7"/>
        <v>1.4247787610619469</v>
      </c>
      <c r="U95" s="1728"/>
      <c r="V95" s="50">
        <f t="shared" si="8"/>
        <v>0</v>
      </c>
      <c r="W95" s="1767"/>
      <c r="X95" s="50"/>
    </row>
    <row r="96" spans="1:24" customFormat="1" ht="16" thickBot="1" x14ac:dyDescent="0.25">
      <c r="A96" s="3"/>
      <c r="B96" s="1658" t="e">
        <f>AVERAGE(#REF!)</f>
        <v>#REF!</v>
      </c>
      <c r="C96" s="196">
        <v>43184</v>
      </c>
      <c r="D96" s="197" t="s">
        <v>69</v>
      </c>
      <c r="E96" s="198" t="s">
        <v>293</v>
      </c>
      <c r="F96" s="1409" t="s">
        <v>4</v>
      </c>
      <c r="G96" s="199">
        <v>6.4328703703703707E-2</v>
      </c>
      <c r="H96" s="200">
        <v>21.094999999999999</v>
      </c>
      <c r="I96" s="201">
        <f t="shared" si="11"/>
        <v>3.0494763547619678E-3</v>
      </c>
      <c r="J96" s="202">
        <v>157</v>
      </c>
      <c r="K96" s="1757"/>
      <c r="L96" s="1567">
        <v>267</v>
      </c>
      <c r="M96" s="1590"/>
      <c r="N96" s="203">
        <f t="shared" si="6"/>
        <v>1.0345258843048952</v>
      </c>
      <c r="O96" s="204" t="s">
        <v>16</v>
      </c>
      <c r="P96" s="232" t="str">
        <f>IFERROR(VLOOKUP(F96,#REF!,12,FALSE),"")</f>
        <v/>
      </c>
      <c r="Q96" s="233" t="s">
        <v>8</v>
      </c>
      <c r="R96" s="233" t="str">
        <f>IFERROR(VLOOKUP(F96,#REF!,14,FALSE),"")</f>
        <v/>
      </c>
      <c r="S96" s="65">
        <f t="shared" si="7"/>
        <v>1.7006369426751593</v>
      </c>
      <c r="T96" s="1379"/>
      <c r="U96" s="1729"/>
      <c r="V96" s="109">
        <f t="shared" si="8"/>
        <v>0</v>
      </c>
      <c r="W96" s="1768"/>
      <c r="X96" s="109"/>
    </row>
    <row r="97" spans="1:24" ht="16" thickBot="1" x14ac:dyDescent="0.25">
      <c r="B97" s="1652">
        <f>B90+1</f>
        <v>13</v>
      </c>
      <c r="C97" s="189">
        <v>43185</v>
      </c>
      <c r="D97" s="143"/>
      <c r="E97" s="144"/>
      <c r="F97" s="1410"/>
      <c r="G97" s="210"/>
      <c r="H97" s="234" t="str">
        <f>IFERROR(VLOOKUP(F97,#REF!,10,FALSE),"")</f>
        <v/>
      </c>
      <c r="I97" s="235"/>
      <c r="J97" s="236"/>
      <c r="K97" s="1757"/>
      <c r="L97" s="1562"/>
      <c r="M97" s="1584"/>
      <c r="N97" s="150" t="str">
        <f t="shared" si="6"/>
        <v/>
      </c>
      <c r="O97" s="151"/>
      <c r="P97" s="214" t="str">
        <f>IFERROR(VLOOKUP(F97,#REF!,12,FALSE),"")</f>
        <v/>
      </c>
      <c r="Q97" s="153" t="s">
        <v>8</v>
      </c>
      <c r="R97" s="32" t="str">
        <f>IFERROR(VLOOKUP(F97,#REF!,14,FALSE),"")</f>
        <v/>
      </c>
      <c r="S97" s="33" t="str">
        <f t="shared" si="7"/>
        <v/>
      </c>
      <c r="U97" s="1728"/>
      <c r="V97" s="34">
        <f t="shared" si="8"/>
        <v>0</v>
      </c>
      <c r="W97" s="1766"/>
      <c r="X97" s="34"/>
    </row>
    <row r="98" spans="1:24" x14ac:dyDescent="0.2">
      <c r="B98" s="1653" t="s">
        <v>142</v>
      </c>
      <c r="C98" s="161">
        <v>43186</v>
      </c>
      <c r="D98" s="49" t="s">
        <v>70</v>
      </c>
      <c r="E98" s="156"/>
      <c r="F98" s="1398" t="s">
        <v>145</v>
      </c>
      <c r="G98" s="216">
        <v>2.0474537037037038E-2</v>
      </c>
      <c r="H98" s="121">
        <v>4.7</v>
      </c>
      <c r="I98" s="220">
        <f t="shared" si="11"/>
        <v>4.3562844759653272E-3</v>
      </c>
      <c r="J98" s="123"/>
      <c r="K98" s="1757"/>
      <c r="L98" s="1563">
        <v>192</v>
      </c>
      <c r="M98" s="1585"/>
      <c r="N98" s="237">
        <f t="shared" si="6"/>
        <v>1.0627284105131416</v>
      </c>
      <c r="O98" s="159" t="s">
        <v>14</v>
      </c>
      <c r="P98" s="93" t="str">
        <f>IFERROR(VLOOKUP(F98,#REF!,12,FALSE),"")</f>
        <v/>
      </c>
      <c r="Q98" s="94" t="s">
        <v>8</v>
      </c>
      <c r="R98" s="46" t="str">
        <f>IFERROR(VLOOKUP(F98,#REF!,14,FALSE),"")</f>
        <v/>
      </c>
      <c r="S98" s="47" t="str">
        <f t="shared" si="7"/>
        <v/>
      </c>
      <c r="U98" s="1728"/>
      <c r="V98" s="206">
        <f t="shared" si="8"/>
        <v>0</v>
      </c>
      <c r="W98" s="1767"/>
      <c r="X98" s="206"/>
    </row>
    <row r="99" spans="1:24" ht="16" thickBot="1" x14ac:dyDescent="0.25">
      <c r="B99" s="1654">
        <f>SUM(H97:H103)</f>
        <v>26.77</v>
      </c>
      <c r="C99" s="161">
        <v>43187</v>
      </c>
      <c r="D99" s="162"/>
      <c r="E99" s="163"/>
      <c r="F99" s="1398"/>
      <c r="G99" s="216"/>
      <c r="H99" s="121"/>
      <c r="I99" s="122"/>
      <c r="J99" s="123"/>
      <c r="K99" s="1757"/>
      <c r="L99" s="1563"/>
      <c r="M99" s="1585"/>
      <c r="N99" s="237" t="str">
        <f t="shared" si="6"/>
        <v/>
      </c>
      <c r="O99" s="159"/>
      <c r="P99" s="93" t="str">
        <f>IFERROR(VLOOKUP(F99,#REF!,12,FALSE),"")</f>
        <v/>
      </c>
      <c r="Q99" s="94" t="s">
        <v>8</v>
      </c>
      <c r="R99" s="46" t="str">
        <f>IFERROR(VLOOKUP(F99,#REF!,14,FALSE),"")</f>
        <v/>
      </c>
      <c r="S99" s="47" t="str">
        <f t="shared" si="7"/>
        <v/>
      </c>
      <c r="U99" s="1728"/>
      <c r="V99" s="206">
        <f t="shared" si="8"/>
        <v>0</v>
      </c>
      <c r="W99" s="1767"/>
      <c r="X99" s="206"/>
    </row>
    <row r="100" spans="1:24" x14ac:dyDescent="0.2">
      <c r="B100" s="1655" t="s">
        <v>144</v>
      </c>
      <c r="C100" s="161">
        <v>43188</v>
      </c>
      <c r="D100" s="162"/>
      <c r="E100" s="163"/>
      <c r="F100" s="1398"/>
      <c r="G100" s="216"/>
      <c r="H100" s="121" t="str">
        <f>IFERROR(VLOOKUP(F100,#REF!,10,FALSE),"")</f>
        <v/>
      </c>
      <c r="I100" s="122"/>
      <c r="J100" s="123"/>
      <c r="K100" s="1757"/>
      <c r="L100" s="1563"/>
      <c r="M100" s="1585"/>
      <c r="N100" s="237" t="str">
        <f t="shared" si="6"/>
        <v/>
      </c>
      <c r="O100" s="159"/>
      <c r="P100" s="93" t="str">
        <f>IFERROR(VLOOKUP(F100,#REF!,12,FALSE),"")</f>
        <v/>
      </c>
      <c r="Q100" s="94" t="s">
        <v>8</v>
      </c>
      <c r="R100" s="46" t="str">
        <f>IFERROR(VLOOKUP(F100,#REF!,14,FALSE),"")</f>
        <v/>
      </c>
      <c r="S100" s="47" t="str">
        <f t="shared" si="7"/>
        <v/>
      </c>
      <c r="U100" s="1728"/>
      <c r="V100" s="206">
        <f t="shared" si="8"/>
        <v>0</v>
      </c>
      <c r="W100" s="1767"/>
      <c r="X100" s="206"/>
    </row>
    <row r="101" spans="1:24" ht="16" thickBot="1" x14ac:dyDescent="0.25">
      <c r="B101" s="1656" t="e">
        <f>SUM(#REF!)</f>
        <v>#REF!</v>
      </c>
      <c r="C101" s="161">
        <v>43189</v>
      </c>
      <c r="D101" s="162" t="s">
        <v>71</v>
      </c>
      <c r="E101" s="163"/>
      <c r="F101" s="1398" t="s">
        <v>13</v>
      </c>
      <c r="G101" s="216">
        <v>4.6458333333333331E-2</v>
      </c>
      <c r="H101" s="121">
        <v>12.3</v>
      </c>
      <c r="I101" s="220">
        <f t="shared" ref="I101:I102" si="12">G101/H101</f>
        <v>3.7771002710027097E-3</v>
      </c>
      <c r="J101" s="123"/>
      <c r="K101" s="1757"/>
      <c r="L101" s="1563">
        <v>222</v>
      </c>
      <c r="M101" s="1585"/>
      <c r="N101" s="237">
        <f t="shared" si="6"/>
        <v>1.065408895265423</v>
      </c>
      <c r="O101" s="159" t="s">
        <v>14</v>
      </c>
      <c r="P101" s="93"/>
      <c r="Q101" s="94" t="s">
        <v>8</v>
      </c>
      <c r="R101" s="46"/>
      <c r="S101" s="47" t="str">
        <f t="shared" si="7"/>
        <v/>
      </c>
      <c r="U101" s="1728"/>
      <c r="V101" s="206">
        <f t="shared" si="8"/>
        <v>0</v>
      </c>
      <c r="W101" s="1767"/>
      <c r="X101" s="206"/>
    </row>
    <row r="102" spans="1:24" x14ac:dyDescent="0.2">
      <c r="B102" s="1657" t="s">
        <v>256</v>
      </c>
      <c r="C102" s="161">
        <v>43190</v>
      </c>
      <c r="D102" s="162" t="s">
        <v>72</v>
      </c>
      <c r="E102" s="163"/>
      <c r="F102" s="1398" t="s">
        <v>173</v>
      </c>
      <c r="G102" s="216">
        <v>3.5949074074074071E-2</v>
      </c>
      <c r="H102" s="121">
        <v>9.77</v>
      </c>
      <c r="I102" s="220">
        <f t="shared" si="12"/>
        <v>3.6795367527199664E-3</v>
      </c>
      <c r="J102" s="123"/>
      <c r="K102" s="1757"/>
      <c r="L102" s="1563">
        <v>221</v>
      </c>
      <c r="M102" s="1585"/>
      <c r="N102" s="237">
        <f t="shared" si="6"/>
        <v>1.0332139201637665</v>
      </c>
      <c r="O102" s="159" t="s">
        <v>14</v>
      </c>
      <c r="P102" s="93" t="str">
        <f>IFERROR(VLOOKUP(F102,#REF!,12,FALSE),"")</f>
        <v/>
      </c>
      <c r="Q102" s="94" t="s">
        <v>8</v>
      </c>
      <c r="R102" s="46" t="str">
        <f>IFERROR(VLOOKUP(F102,#REF!,14,FALSE),"")</f>
        <v/>
      </c>
      <c r="S102" s="47" t="str">
        <f t="shared" si="7"/>
        <v/>
      </c>
      <c r="U102" s="1728"/>
      <c r="V102" s="206">
        <f t="shared" si="8"/>
        <v>0</v>
      </c>
      <c r="W102" s="1767"/>
      <c r="X102" s="206"/>
    </row>
    <row r="103" spans="1:24" ht="16" thickBot="1" x14ac:dyDescent="0.25">
      <c r="B103" s="1658" t="e">
        <f>AVERAGE(#REF!)</f>
        <v>#REF!</v>
      </c>
      <c r="C103" s="164">
        <v>43191</v>
      </c>
      <c r="D103" s="165"/>
      <c r="E103" s="166"/>
      <c r="F103" s="1411"/>
      <c r="G103" s="222"/>
      <c r="H103" s="168"/>
      <c r="I103" s="169"/>
      <c r="J103" s="170"/>
      <c r="K103" s="1757"/>
      <c r="L103" s="1564"/>
      <c r="M103" s="1586"/>
      <c r="N103" s="172" t="str">
        <f t="shared" si="6"/>
        <v/>
      </c>
      <c r="O103" s="173"/>
      <c r="P103" s="174" t="str">
        <f>IFERROR(VLOOKUP(F103,#REF!,12,FALSE),"")</f>
        <v/>
      </c>
      <c r="Q103" s="175" t="s">
        <v>8</v>
      </c>
      <c r="R103" s="64" t="str">
        <f>IFERROR(VLOOKUP(F103,#REF!,14,FALSE),"")</f>
        <v/>
      </c>
      <c r="S103" s="65" t="str">
        <f t="shared" si="7"/>
        <v/>
      </c>
      <c r="U103" s="1728"/>
      <c r="V103" s="177">
        <f t="shared" si="8"/>
        <v>0</v>
      </c>
      <c r="W103" s="1768"/>
      <c r="X103" s="177"/>
    </row>
    <row r="104" spans="1:24" ht="16" thickBot="1" x14ac:dyDescent="0.25">
      <c r="B104" s="1652">
        <f>B97+1</f>
        <v>14</v>
      </c>
      <c r="C104" s="69">
        <v>43192</v>
      </c>
      <c r="D104" s="70" t="s">
        <v>73</v>
      </c>
      <c r="E104" s="71"/>
      <c r="F104" s="1394" t="s">
        <v>13</v>
      </c>
      <c r="G104" s="72">
        <v>3.7592592592592594E-2</v>
      </c>
      <c r="H104" s="178">
        <v>10.4</v>
      </c>
      <c r="I104" s="238">
        <f>G104/H104</f>
        <v>3.6146723646723646E-3</v>
      </c>
      <c r="J104" s="180"/>
      <c r="K104" s="1757"/>
      <c r="L104" s="76">
        <v>230</v>
      </c>
      <c r="M104" s="1587"/>
      <c r="N104" s="77">
        <f t="shared" si="6"/>
        <v>1.0563348416289593</v>
      </c>
      <c r="O104" s="78" t="s">
        <v>14</v>
      </c>
      <c r="P104" s="224"/>
      <c r="Q104" s="80" t="s">
        <v>8</v>
      </c>
      <c r="R104" s="80"/>
      <c r="S104" s="33" t="str">
        <f t="shared" si="7"/>
        <v/>
      </c>
      <c r="U104" s="1728"/>
      <c r="V104" s="82">
        <f t="shared" si="8"/>
        <v>0</v>
      </c>
      <c r="W104" s="1766"/>
      <c r="X104" s="82"/>
    </row>
    <row r="105" spans="1:24" x14ac:dyDescent="0.2">
      <c r="B105" s="1653" t="s">
        <v>142</v>
      </c>
      <c r="C105" s="84">
        <v>43193</v>
      </c>
      <c r="D105" s="162" t="s">
        <v>74</v>
      </c>
      <c r="E105" s="163"/>
      <c r="F105" s="1408" t="s">
        <v>145</v>
      </c>
      <c r="G105" s="226">
        <v>2.0486111111111111E-2</v>
      </c>
      <c r="H105" s="227">
        <v>3.97</v>
      </c>
      <c r="I105" s="228">
        <f t="shared" ref="I105:I106" si="13">G105/H105</f>
        <v>5.1602294990204306E-3</v>
      </c>
      <c r="J105" s="90">
        <v>113</v>
      </c>
      <c r="K105" s="1757"/>
      <c r="L105" s="1563">
        <v>161</v>
      </c>
      <c r="M105" s="1585"/>
      <c r="N105" s="140">
        <f t="shared" si="6"/>
        <v>1.0556008297525556</v>
      </c>
      <c r="O105" s="92" t="s">
        <v>14</v>
      </c>
      <c r="P105" s="229" t="str">
        <f>IFERROR(VLOOKUP(F105,#REF!,12,FALSE),"")</f>
        <v/>
      </c>
      <c r="Q105" s="230" t="s">
        <v>8</v>
      </c>
      <c r="R105" s="46" t="str">
        <f>IFERROR(VLOOKUP(F105,#REF!,14,FALSE),"")</f>
        <v/>
      </c>
      <c r="S105" s="47">
        <f t="shared" si="7"/>
        <v>1.4247787610619469</v>
      </c>
      <c r="U105" s="1728"/>
      <c r="V105" s="50">
        <f t="shared" si="8"/>
        <v>0</v>
      </c>
      <c r="W105" s="1767"/>
      <c r="X105" s="50"/>
    </row>
    <row r="106" spans="1:24" ht="16" thickBot="1" x14ac:dyDescent="0.25">
      <c r="B106" s="1654">
        <f>SUM(H104:H110)</f>
        <v>44.34</v>
      </c>
      <c r="C106" s="84">
        <v>43194</v>
      </c>
      <c r="D106" s="162" t="s">
        <v>75</v>
      </c>
      <c r="E106" s="163"/>
      <c r="F106" s="1408" t="s">
        <v>173</v>
      </c>
      <c r="G106" s="226">
        <v>3.1296296296296301E-2</v>
      </c>
      <c r="H106" s="227">
        <v>8.27</v>
      </c>
      <c r="I106" s="228">
        <f t="shared" si="13"/>
        <v>3.784316359890726E-3</v>
      </c>
      <c r="J106" s="90">
        <v>136</v>
      </c>
      <c r="K106" s="1757"/>
      <c r="L106" s="1563">
        <v>219</v>
      </c>
      <c r="M106" s="1585"/>
      <c r="N106" s="140">
        <f t="shared" si="6"/>
        <v>1.0530194181662995</v>
      </c>
      <c r="O106" s="92" t="s">
        <v>14</v>
      </c>
      <c r="P106" s="229" t="str">
        <f>IFERROR(VLOOKUP(F106,#REF!,12,FALSE),"")</f>
        <v/>
      </c>
      <c r="Q106" s="230" t="s">
        <v>8</v>
      </c>
      <c r="R106" s="46" t="str">
        <f>IFERROR(VLOOKUP(F106,#REF!,14,FALSE),"")</f>
        <v/>
      </c>
      <c r="S106" s="47">
        <f t="shared" si="7"/>
        <v>1.6102941176470589</v>
      </c>
      <c r="U106" s="1728"/>
      <c r="V106" s="50">
        <f t="shared" si="8"/>
        <v>0</v>
      </c>
      <c r="W106" s="1767"/>
      <c r="X106" s="50"/>
    </row>
    <row r="107" spans="1:24" x14ac:dyDescent="0.2">
      <c r="B107" s="1655" t="s">
        <v>144</v>
      </c>
      <c r="C107" s="84">
        <v>43195</v>
      </c>
      <c r="D107" s="162"/>
      <c r="E107" s="163"/>
      <c r="F107" s="1408"/>
      <c r="G107" s="226"/>
      <c r="H107" s="227" t="str">
        <f>IFERROR(VLOOKUP(F107,#REF!,10,FALSE),"")</f>
        <v/>
      </c>
      <c r="I107" s="231"/>
      <c r="J107" s="90"/>
      <c r="K107" s="1757"/>
      <c r="L107" s="1563"/>
      <c r="M107" s="1585"/>
      <c r="N107" s="140" t="str">
        <f t="shared" si="6"/>
        <v/>
      </c>
      <c r="O107" s="92"/>
      <c r="P107" s="229" t="str">
        <f>IFERROR(VLOOKUP(F107,#REF!,12,FALSE),"")</f>
        <v/>
      </c>
      <c r="Q107" s="230" t="s">
        <v>8</v>
      </c>
      <c r="R107" s="46" t="str">
        <f>IFERROR(VLOOKUP(F107,#REF!,14,FALSE),"")</f>
        <v/>
      </c>
      <c r="S107" s="47" t="str">
        <f t="shared" si="7"/>
        <v/>
      </c>
      <c r="U107" s="1728"/>
      <c r="V107" s="50">
        <f t="shared" si="8"/>
        <v>0</v>
      </c>
      <c r="W107" s="1767"/>
      <c r="X107" s="50"/>
    </row>
    <row r="108" spans="1:24" ht="16" thickBot="1" x14ac:dyDescent="0.25">
      <c r="B108" s="1656" t="e">
        <f>SUM(#REF!)</f>
        <v>#REF!</v>
      </c>
      <c r="C108" s="84">
        <v>43196</v>
      </c>
      <c r="D108" s="162"/>
      <c r="E108" s="163"/>
      <c r="F108" s="1408"/>
      <c r="G108" s="226"/>
      <c r="H108" s="227" t="str">
        <f>IFERROR(VLOOKUP(F108,#REF!,10,FALSE),"")</f>
        <v/>
      </c>
      <c r="I108" s="231"/>
      <c r="J108" s="90"/>
      <c r="K108" s="1757"/>
      <c r="L108" s="1563"/>
      <c r="M108" s="1585"/>
      <c r="N108" s="140" t="str">
        <f t="shared" si="6"/>
        <v/>
      </c>
      <c r="O108" s="92"/>
      <c r="P108" s="229" t="str">
        <f>IFERROR(VLOOKUP(F108,#REF!,12,FALSE),"")</f>
        <v/>
      </c>
      <c r="Q108" s="230" t="s">
        <v>8</v>
      </c>
      <c r="R108" s="46" t="str">
        <f>IFERROR(VLOOKUP(F108,#REF!,14,FALSE),"")</f>
        <v/>
      </c>
      <c r="S108" s="47" t="str">
        <f t="shared" si="7"/>
        <v/>
      </c>
      <c r="U108" s="1728"/>
      <c r="V108" s="50">
        <f t="shared" si="8"/>
        <v>0</v>
      </c>
      <c r="W108" s="1767"/>
      <c r="X108" s="50"/>
    </row>
    <row r="109" spans="1:24" x14ac:dyDescent="0.2">
      <c r="B109" s="1657" t="s">
        <v>256</v>
      </c>
      <c r="C109" s="84">
        <v>43197</v>
      </c>
      <c r="D109" s="162" t="s">
        <v>76</v>
      </c>
      <c r="E109" s="163"/>
      <c r="F109" s="1408" t="s">
        <v>13</v>
      </c>
      <c r="G109" s="226">
        <v>4.1921296296296297E-2</v>
      </c>
      <c r="H109" s="227">
        <v>11.4</v>
      </c>
      <c r="I109" s="228">
        <f t="shared" ref="I109:I117" si="14">G109/H109</f>
        <v>3.6773066926575697E-3</v>
      </c>
      <c r="J109" s="90">
        <v>141</v>
      </c>
      <c r="K109" s="1757"/>
      <c r="L109" s="1563">
        <v>229</v>
      </c>
      <c r="M109" s="1585"/>
      <c r="N109" s="140">
        <f t="shared" si="6"/>
        <v>1.0699664602683179</v>
      </c>
      <c r="O109" s="92" t="s">
        <v>14</v>
      </c>
      <c r="P109" s="229"/>
      <c r="Q109" s="230" t="s">
        <v>8</v>
      </c>
      <c r="R109" s="46"/>
      <c r="S109" s="47">
        <f t="shared" si="7"/>
        <v>1.624113475177305</v>
      </c>
      <c r="U109" s="1728"/>
      <c r="V109" s="50">
        <f t="shared" si="8"/>
        <v>0</v>
      </c>
      <c r="W109" s="1767"/>
      <c r="X109" s="50"/>
    </row>
    <row r="110" spans="1:24" customFormat="1" ht="16" thickBot="1" x14ac:dyDescent="0.25">
      <c r="A110" s="3"/>
      <c r="B110" s="1658" t="e">
        <f>AVERAGE(#REF!)</f>
        <v>#REF!</v>
      </c>
      <c r="C110" s="141">
        <v>43198</v>
      </c>
      <c r="D110" s="181" t="s">
        <v>77</v>
      </c>
      <c r="E110" s="182"/>
      <c r="F110" s="1396" t="s">
        <v>173</v>
      </c>
      <c r="G110" s="98">
        <v>4.3923611111111115E-2</v>
      </c>
      <c r="H110" s="183">
        <v>10.3</v>
      </c>
      <c r="I110" s="184">
        <f t="shared" si="14"/>
        <v>4.2644282632146712E-3</v>
      </c>
      <c r="J110" s="185">
        <v>127</v>
      </c>
      <c r="K110" s="1757"/>
      <c r="L110" s="1565"/>
      <c r="M110" s="1588"/>
      <c r="N110" s="186"/>
      <c r="O110" s="104" t="s">
        <v>14</v>
      </c>
      <c r="P110" s="105" t="str">
        <f>IFERROR(VLOOKUP(F110,#REF!,12,FALSE),"")</f>
        <v/>
      </c>
      <c r="Q110" s="107" t="s">
        <v>8</v>
      </c>
      <c r="R110" s="107" t="str">
        <f>IFERROR(VLOOKUP(F110,#REF!,14,FALSE),"")</f>
        <v/>
      </c>
      <c r="S110" s="65"/>
      <c r="T110" s="1379"/>
      <c r="U110" s="1729"/>
      <c r="V110" s="209">
        <f t="shared" si="8"/>
        <v>0</v>
      </c>
      <c r="W110" s="1768"/>
      <c r="X110" s="209"/>
    </row>
    <row r="111" spans="1:24" ht="16" thickBot="1" x14ac:dyDescent="0.25">
      <c r="B111" s="1652">
        <f>B104+1</f>
        <v>15</v>
      </c>
      <c r="C111" s="142">
        <v>43199</v>
      </c>
      <c r="D111" s="143"/>
      <c r="E111" s="144"/>
      <c r="F111" s="1403"/>
      <c r="G111" s="145"/>
      <c r="H111" s="146" t="str">
        <f>IFERROR(VLOOKUP(F111,#REF!,10,FALSE),"")</f>
        <v/>
      </c>
      <c r="I111" s="147"/>
      <c r="J111" s="148"/>
      <c r="K111" s="1757"/>
      <c r="L111" s="1562"/>
      <c r="M111" s="1584"/>
      <c r="N111" s="150" t="str">
        <f t="shared" ref="N111:N120" si="15">IFERROR((L111/68)/(1/(I111*24)/3.6),"")</f>
        <v/>
      </c>
      <c r="O111" s="151"/>
      <c r="P111" s="214" t="str">
        <f>IFERROR(VLOOKUP(F111,#REF!,12,FALSE),"")</f>
        <v/>
      </c>
      <c r="Q111" s="153" t="s">
        <v>8</v>
      </c>
      <c r="R111" s="32" t="str">
        <f>IFERROR(VLOOKUP(F111,#REF!,14,FALSE),"")</f>
        <v/>
      </c>
      <c r="S111" s="33" t="str">
        <f t="shared" ref="S111:S120" si="16">IFERROR(L111/J111,"")</f>
        <v/>
      </c>
      <c r="U111" s="1728"/>
      <c r="V111" s="34">
        <f t="shared" si="8"/>
        <v>0</v>
      </c>
      <c r="W111" s="1766"/>
      <c r="X111" s="34"/>
    </row>
    <row r="112" spans="1:24" x14ac:dyDescent="0.2">
      <c r="B112" s="1653" t="s">
        <v>142</v>
      </c>
      <c r="C112" s="155">
        <v>43200</v>
      </c>
      <c r="D112" s="49" t="s">
        <v>78</v>
      </c>
      <c r="E112" s="156"/>
      <c r="F112" s="1412" t="s">
        <v>173</v>
      </c>
      <c r="G112" s="120">
        <v>4.3449074074074077E-2</v>
      </c>
      <c r="H112" s="239">
        <v>10.199999999999999</v>
      </c>
      <c r="I112" s="240">
        <f t="shared" si="14"/>
        <v>4.2597131445170668E-3</v>
      </c>
      <c r="J112" s="241">
        <v>124</v>
      </c>
      <c r="K112" s="1757"/>
      <c r="L112" s="1563">
        <v>194</v>
      </c>
      <c r="M112" s="1585"/>
      <c r="N112" s="158">
        <f t="shared" si="15"/>
        <v>1.0499942329873129</v>
      </c>
      <c r="O112" s="159" t="s">
        <v>14</v>
      </c>
      <c r="P112" s="93" t="str">
        <f>IFERROR(VLOOKUP(F112,#REF!,12,FALSE),"")</f>
        <v/>
      </c>
      <c r="Q112" s="94" t="s">
        <v>8</v>
      </c>
      <c r="R112" s="46" t="str">
        <f>IFERROR(VLOOKUP(F112,#REF!,14,FALSE),"")</f>
        <v/>
      </c>
      <c r="S112" s="47">
        <f t="shared" si="16"/>
        <v>1.564516129032258</v>
      </c>
      <c r="U112" s="1728"/>
      <c r="V112" s="50">
        <f t="shared" si="8"/>
        <v>0</v>
      </c>
      <c r="W112" s="1767"/>
      <c r="X112" s="50"/>
    </row>
    <row r="113" spans="2:24" ht="16" thickBot="1" x14ac:dyDescent="0.25">
      <c r="B113" s="1654">
        <f>SUM(H111:H117)</f>
        <v>38.200000000000003</v>
      </c>
      <c r="C113" s="155">
        <v>43201</v>
      </c>
      <c r="D113" s="49" t="s">
        <v>79</v>
      </c>
      <c r="E113" s="156"/>
      <c r="F113" s="1412" t="s">
        <v>13</v>
      </c>
      <c r="G113" s="120">
        <v>2.6493055555555558E-2</v>
      </c>
      <c r="H113" s="239">
        <v>7.22</v>
      </c>
      <c r="I113" s="240">
        <f t="shared" si="14"/>
        <v>3.6693982763927368E-3</v>
      </c>
      <c r="J113" s="241">
        <v>139</v>
      </c>
      <c r="K113" s="1757"/>
      <c r="L113" s="1563">
        <v>225</v>
      </c>
      <c r="M113" s="1585"/>
      <c r="N113" s="158">
        <f t="shared" si="15"/>
        <v>1.0490162131334531</v>
      </c>
      <c r="O113" s="159" t="s">
        <v>14</v>
      </c>
      <c r="P113" s="93"/>
      <c r="Q113" s="94" t="s">
        <v>8</v>
      </c>
      <c r="R113" s="46"/>
      <c r="S113" s="47">
        <f t="shared" si="16"/>
        <v>1.6187050359712229</v>
      </c>
      <c r="U113" s="1728"/>
      <c r="V113" s="50">
        <f t="shared" si="8"/>
        <v>0</v>
      </c>
      <c r="W113" s="1767"/>
      <c r="X113" s="50"/>
    </row>
    <row r="114" spans="2:24" x14ac:dyDescent="0.2">
      <c r="B114" s="1655" t="s">
        <v>144</v>
      </c>
      <c r="C114" s="161">
        <v>43202</v>
      </c>
      <c r="D114" s="162"/>
      <c r="E114" s="163"/>
      <c r="F114" s="1412"/>
      <c r="G114" s="120"/>
      <c r="H114" s="239" t="str">
        <f>IFERROR(VLOOKUP(F114,#REF!,10,FALSE),"")</f>
        <v/>
      </c>
      <c r="I114" s="242"/>
      <c r="J114" s="241"/>
      <c r="K114" s="1757"/>
      <c r="L114" s="1563"/>
      <c r="M114" s="1585"/>
      <c r="N114" s="158" t="str">
        <f t="shared" si="15"/>
        <v/>
      </c>
      <c r="O114" s="159"/>
      <c r="P114" s="93" t="str">
        <f>IFERROR(VLOOKUP(F114,#REF!,12,FALSE),"")</f>
        <v/>
      </c>
      <c r="Q114" s="94" t="s">
        <v>8</v>
      </c>
      <c r="R114" s="46" t="str">
        <f>IFERROR(VLOOKUP(F114,#REF!,14,FALSE),"")</f>
        <v/>
      </c>
      <c r="S114" s="47" t="str">
        <f t="shared" si="16"/>
        <v/>
      </c>
      <c r="U114" s="1728"/>
      <c r="V114" s="50">
        <f t="shared" si="8"/>
        <v>0</v>
      </c>
      <c r="W114" s="1767"/>
      <c r="X114" s="50"/>
    </row>
    <row r="115" spans="2:24" ht="16" thickBot="1" x14ac:dyDescent="0.25">
      <c r="B115" s="1656" t="e">
        <f>SUM(#REF!)</f>
        <v>#REF!</v>
      </c>
      <c r="C115" s="161">
        <v>43203</v>
      </c>
      <c r="D115" s="49" t="s">
        <v>80</v>
      </c>
      <c r="E115" s="156"/>
      <c r="F115" s="1412" t="s">
        <v>173</v>
      </c>
      <c r="G115" s="120">
        <v>4.4722222222222219E-2</v>
      </c>
      <c r="H115" s="239">
        <v>11.39</v>
      </c>
      <c r="I115" s="240">
        <f t="shared" si="14"/>
        <v>3.926446200370695E-3</v>
      </c>
      <c r="J115" s="241">
        <v>129</v>
      </c>
      <c r="K115" s="1757"/>
      <c r="L115" s="1563">
        <v>213</v>
      </c>
      <c r="M115" s="1585"/>
      <c r="N115" s="158">
        <f t="shared" si="15"/>
        <v>1.0626349222744409</v>
      </c>
      <c r="O115" s="159" t="s">
        <v>14</v>
      </c>
      <c r="P115" s="93" t="str">
        <f>IFERROR(VLOOKUP(F115,#REF!,12,FALSE),"")</f>
        <v/>
      </c>
      <c r="Q115" s="94" t="s">
        <v>8</v>
      </c>
      <c r="R115" s="46" t="str">
        <f>IFERROR(VLOOKUP(F115,#REF!,14,FALSE),"")</f>
        <v/>
      </c>
      <c r="S115" s="47">
        <f t="shared" si="16"/>
        <v>1.6511627906976745</v>
      </c>
      <c r="U115" s="1728"/>
      <c r="V115" s="50">
        <f t="shared" si="8"/>
        <v>0</v>
      </c>
      <c r="W115" s="1767"/>
      <c r="X115" s="50"/>
    </row>
    <row r="116" spans="2:24" x14ac:dyDescent="0.2">
      <c r="B116" s="1657" t="s">
        <v>256</v>
      </c>
      <c r="C116" s="161">
        <v>43204</v>
      </c>
      <c r="D116" s="49"/>
      <c r="E116" s="156"/>
      <c r="F116" s="1412"/>
      <c r="G116" s="120"/>
      <c r="H116" s="239" t="str">
        <f>IFERROR(VLOOKUP(F116,#REF!,10,FALSE),"")</f>
        <v/>
      </c>
      <c r="I116" s="242"/>
      <c r="J116" s="241"/>
      <c r="K116" s="1757"/>
      <c r="L116" s="1563"/>
      <c r="M116" s="1585"/>
      <c r="N116" s="158" t="str">
        <f t="shared" si="15"/>
        <v/>
      </c>
      <c r="O116" s="159"/>
      <c r="P116" s="93" t="str">
        <f>IFERROR(VLOOKUP(F116,#REF!,12,FALSE),"")</f>
        <v/>
      </c>
      <c r="Q116" s="94" t="s">
        <v>8</v>
      </c>
      <c r="R116" s="46" t="str">
        <f>IFERROR(VLOOKUP(F116,#REF!,14,FALSE),"")</f>
        <v/>
      </c>
      <c r="S116" s="47" t="str">
        <f t="shared" si="16"/>
        <v/>
      </c>
      <c r="U116" s="1728"/>
      <c r="V116" s="50">
        <f t="shared" si="8"/>
        <v>0</v>
      </c>
      <c r="W116" s="1767"/>
      <c r="X116" s="50"/>
    </row>
    <row r="117" spans="2:24" ht="16" thickBot="1" x14ac:dyDescent="0.25">
      <c r="B117" s="1658" t="e">
        <f>AVERAGE(#REF!)</f>
        <v>#REF!</v>
      </c>
      <c r="C117" s="207">
        <v>43205</v>
      </c>
      <c r="D117" s="67" t="s">
        <v>81</v>
      </c>
      <c r="E117" s="208"/>
      <c r="F117" s="1405" t="s">
        <v>149</v>
      </c>
      <c r="G117" s="167">
        <v>4.1643518518518517E-2</v>
      </c>
      <c r="H117" s="168">
        <v>9.39</v>
      </c>
      <c r="I117" s="169">
        <f t="shared" si="14"/>
        <v>4.4348795014396711E-3</v>
      </c>
      <c r="J117" s="170">
        <v>135</v>
      </c>
      <c r="K117" s="1757"/>
      <c r="L117" s="1564">
        <v>189</v>
      </c>
      <c r="M117" s="1586"/>
      <c r="N117" s="172">
        <f t="shared" si="15"/>
        <v>1.0649971809810186</v>
      </c>
      <c r="O117" s="173" t="s">
        <v>14</v>
      </c>
      <c r="P117" s="174" t="str">
        <f>IFERROR(VLOOKUP(F117,#REF!,12,FALSE),"")</f>
        <v/>
      </c>
      <c r="Q117" s="175" t="s">
        <v>8</v>
      </c>
      <c r="R117" s="64" t="str">
        <f>IFERROR(VLOOKUP(F117,#REF!,14,FALSE),"")</f>
        <v/>
      </c>
      <c r="S117" s="65">
        <f t="shared" si="16"/>
        <v>1.4</v>
      </c>
      <c r="U117" s="1728"/>
      <c r="V117" s="177">
        <f t="shared" si="8"/>
        <v>0</v>
      </c>
      <c r="W117" s="1768"/>
      <c r="X117" s="177"/>
    </row>
    <row r="118" spans="2:24" ht="16" thickBot="1" x14ac:dyDescent="0.25">
      <c r="B118" s="1652">
        <f>B111+1</f>
        <v>16</v>
      </c>
      <c r="C118" s="69">
        <v>43206</v>
      </c>
      <c r="D118" s="70"/>
      <c r="E118" s="71"/>
      <c r="F118" s="1406"/>
      <c r="G118" s="72"/>
      <c r="H118" s="178" t="str">
        <f>IFERROR(VLOOKUP(F118,#REF!,10,FALSE),"")</f>
        <v/>
      </c>
      <c r="I118" s="179"/>
      <c r="J118" s="180"/>
      <c r="K118" s="1757"/>
      <c r="L118" s="76"/>
      <c r="M118" s="1587"/>
      <c r="N118" s="77" t="str">
        <f t="shared" si="15"/>
        <v/>
      </c>
      <c r="O118" s="78"/>
      <c r="P118" s="224" t="str">
        <f>IFERROR(VLOOKUP(F118,#REF!,12,FALSE),"")</f>
        <v/>
      </c>
      <c r="Q118" s="80" t="s">
        <v>8</v>
      </c>
      <c r="R118" s="80" t="str">
        <f>IFERROR(VLOOKUP(F118,#REF!,14,FALSE),"")</f>
        <v/>
      </c>
      <c r="S118" s="33" t="str">
        <f t="shared" si="16"/>
        <v/>
      </c>
      <c r="U118" s="1728"/>
      <c r="V118" s="243">
        <f t="shared" si="8"/>
        <v>0</v>
      </c>
      <c r="W118" s="1766"/>
      <c r="X118" s="243"/>
    </row>
    <row r="119" spans="2:24" x14ac:dyDescent="0.2">
      <c r="B119" s="1653" t="s">
        <v>142</v>
      </c>
      <c r="C119" s="84">
        <v>43207</v>
      </c>
      <c r="D119" s="162"/>
      <c r="E119" s="163"/>
      <c r="F119" s="1401"/>
      <c r="G119" s="226"/>
      <c r="H119" s="227" t="str">
        <f>IFERROR(VLOOKUP(F119,#REF!,10,FALSE),"")</f>
        <v/>
      </c>
      <c r="I119" s="231"/>
      <c r="J119" s="90"/>
      <c r="K119" s="1757"/>
      <c r="L119" s="1563"/>
      <c r="M119" s="1585"/>
      <c r="N119" s="140" t="str">
        <f t="shared" si="15"/>
        <v/>
      </c>
      <c r="O119" s="92"/>
      <c r="P119" s="229" t="str">
        <f>IFERROR(VLOOKUP(F119,#REF!,12,FALSE),"")</f>
        <v/>
      </c>
      <c r="Q119" s="230" t="s">
        <v>8</v>
      </c>
      <c r="R119" s="46" t="str">
        <f>IFERROR(VLOOKUP(F119,#REF!,14,FALSE),"")</f>
        <v/>
      </c>
      <c r="S119" s="47" t="str">
        <f t="shared" si="16"/>
        <v/>
      </c>
      <c r="U119" s="1728"/>
      <c r="V119" s="50">
        <f t="shared" si="8"/>
        <v>0</v>
      </c>
      <c r="W119" s="1767"/>
      <c r="X119" s="50"/>
    </row>
    <row r="120" spans="2:24" ht="16" thickBot="1" x14ac:dyDescent="0.25">
      <c r="B120" s="1654">
        <f>SUM(H118:H124)</f>
        <v>28.369999999999997</v>
      </c>
      <c r="C120" s="84">
        <v>43208</v>
      </c>
      <c r="D120" s="162" t="s">
        <v>82</v>
      </c>
      <c r="E120" s="163"/>
      <c r="F120" s="1401" t="s">
        <v>149</v>
      </c>
      <c r="G120" s="226">
        <v>4.6412037037037036E-2</v>
      </c>
      <c r="H120" s="227">
        <v>11.92</v>
      </c>
      <c r="I120" s="244">
        <f t="shared" ref="I120:I121" si="17">G120/H120</f>
        <v>3.8936272682078051E-3</v>
      </c>
      <c r="J120" s="90">
        <v>133</v>
      </c>
      <c r="K120" s="1757"/>
      <c r="L120" s="1563">
        <v>213</v>
      </c>
      <c r="M120" s="1585"/>
      <c r="N120" s="140">
        <f t="shared" si="15"/>
        <v>1.0537529609159102</v>
      </c>
      <c r="O120" s="92" t="s">
        <v>176</v>
      </c>
      <c r="P120" s="229" t="str">
        <f>IFERROR(VLOOKUP(F120,#REF!,12,FALSE),"")</f>
        <v/>
      </c>
      <c r="Q120" s="230" t="s">
        <v>8</v>
      </c>
      <c r="R120" s="46" t="str">
        <f>IFERROR(VLOOKUP(F120,#REF!,14,FALSE),"")</f>
        <v/>
      </c>
      <c r="S120" s="47">
        <f t="shared" si="16"/>
        <v>1.6015037593984962</v>
      </c>
      <c r="U120" s="1728"/>
      <c r="V120" s="50">
        <f t="shared" si="8"/>
        <v>0</v>
      </c>
      <c r="W120" s="1767"/>
      <c r="X120" s="50"/>
    </row>
    <row r="121" spans="2:24" x14ac:dyDescent="0.2">
      <c r="B121" s="1655" t="s">
        <v>144</v>
      </c>
      <c r="C121" s="84">
        <v>43209</v>
      </c>
      <c r="D121" s="162" t="s">
        <v>83</v>
      </c>
      <c r="E121" s="163"/>
      <c r="F121" s="1401" t="s">
        <v>146</v>
      </c>
      <c r="G121" s="226">
        <v>2.6377314814814815E-2</v>
      </c>
      <c r="H121" s="227">
        <v>6.01</v>
      </c>
      <c r="I121" s="244">
        <f t="shared" si="17"/>
        <v>4.3889042953102857E-3</v>
      </c>
      <c r="J121" s="90">
        <v>122</v>
      </c>
      <c r="K121" s="1757"/>
      <c r="L121" s="1563"/>
      <c r="M121" s="1585"/>
      <c r="N121" s="140"/>
      <c r="O121" s="92" t="s">
        <v>176</v>
      </c>
      <c r="P121" s="229" t="str">
        <f>IFERROR(VLOOKUP(F121,#REF!,12,FALSE),"")</f>
        <v/>
      </c>
      <c r="Q121" s="230" t="s">
        <v>8</v>
      </c>
      <c r="R121" s="46" t="str">
        <f>IFERROR(VLOOKUP(F121,#REF!,14,FALSE),"")</f>
        <v/>
      </c>
      <c r="S121" s="47"/>
      <c r="U121" s="1728"/>
      <c r="V121" s="50">
        <f t="shared" si="8"/>
        <v>0</v>
      </c>
      <c r="W121" s="1767"/>
      <c r="X121" s="50"/>
    </row>
    <row r="122" spans="2:24" ht="16" thickBot="1" x14ac:dyDescent="0.25">
      <c r="B122" s="1656" t="e">
        <f>SUM(#REF!)</f>
        <v>#REF!</v>
      </c>
      <c r="C122" s="84">
        <v>43210</v>
      </c>
      <c r="D122" s="162"/>
      <c r="E122" s="163"/>
      <c r="F122" s="1401"/>
      <c r="G122" s="226"/>
      <c r="H122" s="227" t="str">
        <f>IFERROR(VLOOKUP(F122,#REF!,10,FALSE),"")</f>
        <v/>
      </c>
      <c r="I122" s="231"/>
      <c r="J122" s="90"/>
      <c r="K122" s="1757"/>
      <c r="L122" s="1563"/>
      <c r="M122" s="1585"/>
      <c r="N122" s="140" t="str">
        <f>IFERROR((L122/68)/(1/(I122*24)/3.6),"")</f>
        <v/>
      </c>
      <c r="O122" s="92"/>
      <c r="P122" s="229" t="str">
        <f>IFERROR(VLOOKUP(F122,#REF!,12,FALSE),"")</f>
        <v/>
      </c>
      <c r="Q122" s="230" t="s">
        <v>8</v>
      </c>
      <c r="R122" s="46" t="str">
        <f>IFERROR(VLOOKUP(F122,#REF!,14,FALSE),"")</f>
        <v/>
      </c>
      <c r="S122" s="47" t="str">
        <f>IFERROR(L122/J122,"")</f>
        <v/>
      </c>
      <c r="U122" s="1728"/>
      <c r="V122" s="50">
        <f t="shared" si="8"/>
        <v>0</v>
      </c>
      <c r="W122" s="1767"/>
      <c r="X122" s="50"/>
    </row>
    <row r="123" spans="2:24" x14ac:dyDescent="0.2">
      <c r="B123" s="1657" t="s">
        <v>256</v>
      </c>
      <c r="C123" s="84">
        <v>43211</v>
      </c>
      <c r="D123" s="162"/>
      <c r="E123" s="163"/>
      <c r="F123" s="1401"/>
      <c r="G123" s="226"/>
      <c r="H123" s="227" t="str">
        <f>IFERROR(VLOOKUP(F123,#REF!,10,FALSE),"")</f>
        <v/>
      </c>
      <c r="I123" s="231"/>
      <c r="J123" s="90"/>
      <c r="K123" s="1757"/>
      <c r="L123" s="1563"/>
      <c r="M123" s="1585"/>
      <c r="N123" s="140" t="str">
        <f>IFERROR((L123/68)/(1/(I123*24)/3.6),"")</f>
        <v/>
      </c>
      <c r="O123" s="92"/>
      <c r="P123" s="229" t="str">
        <f>IFERROR(VLOOKUP(F123,#REF!,12,FALSE),"")</f>
        <v/>
      </c>
      <c r="Q123" s="230" t="s">
        <v>8</v>
      </c>
      <c r="R123" s="46" t="str">
        <f>IFERROR(VLOOKUP(F123,#REF!,14,FALSE),"")</f>
        <v/>
      </c>
      <c r="S123" s="47" t="str">
        <f>IFERROR(L123/J123,"")</f>
        <v/>
      </c>
      <c r="U123" s="1728"/>
      <c r="V123" s="50">
        <f t="shared" si="8"/>
        <v>0</v>
      </c>
      <c r="W123" s="1767"/>
      <c r="X123" s="50"/>
    </row>
    <row r="124" spans="2:24" ht="16" thickBot="1" x14ac:dyDescent="0.25">
      <c r="B124" s="1658" t="e">
        <f>AVERAGE(#REF!)</f>
        <v>#REF!</v>
      </c>
      <c r="C124" s="141">
        <v>43212</v>
      </c>
      <c r="D124" s="181" t="s">
        <v>84</v>
      </c>
      <c r="E124" s="182"/>
      <c r="F124" s="1402" t="s">
        <v>173</v>
      </c>
      <c r="G124" s="98">
        <v>3.8807870370370375E-2</v>
      </c>
      <c r="H124" s="183">
        <v>10.44</v>
      </c>
      <c r="I124" s="184">
        <f t="shared" ref="I124" si="18">G124/H124</f>
        <v>3.7172289626791546E-3</v>
      </c>
      <c r="J124" s="185">
        <v>146</v>
      </c>
      <c r="K124" s="1757"/>
      <c r="L124" s="1565"/>
      <c r="M124" s="1588"/>
      <c r="N124" s="186"/>
      <c r="O124" s="104" t="s">
        <v>14</v>
      </c>
      <c r="P124" s="105" t="str">
        <f>IFERROR(VLOOKUP(F124,#REF!,12,FALSE),"")</f>
        <v/>
      </c>
      <c r="Q124" s="107" t="s">
        <v>8</v>
      </c>
      <c r="R124" s="107" t="str">
        <f>IFERROR(VLOOKUP(F124,#REF!,14,FALSE),"")</f>
        <v/>
      </c>
      <c r="S124" s="65"/>
      <c r="U124" s="1728"/>
      <c r="V124" s="209">
        <f t="shared" si="8"/>
        <v>0</v>
      </c>
      <c r="W124" s="1768"/>
      <c r="X124" s="209"/>
    </row>
    <row r="125" spans="2:24" ht="16" thickBot="1" x14ac:dyDescent="0.25">
      <c r="B125" s="1652">
        <f>B118+1</f>
        <v>17</v>
      </c>
      <c r="C125" s="142">
        <v>43213</v>
      </c>
      <c r="D125" s="143"/>
      <c r="E125" s="144"/>
      <c r="F125" s="1403"/>
      <c r="G125" s="145"/>
      <c r="H125" s="146" t="str">
        <f>IFERROR(VLOOKUP(F125,#REF!,10,FALSE),"")</f>
        <v/>
      </c>
      <c r="I125" s="147"/>
      <c r="J125" s="148"/>
      <c r="K125" s="1757"/>
      <c r="L125" s="1562"/>
      <c r="M125" s="1584"/>
      <c r="N125" s="150" t="str">
        <f t="shared" ref="N125:N135" si="19">IFERROR((L125/68)/(1/(I125*24)/3.6),"")</f>
        <v/>
      </c>
      <c r="O125" s="151"/>
      <c r="P125" s="214" t="str">
        <f>IFERROR(VLOOKUP(F125,#REF!,12,FALSE),"")</f>
        <v/>
      </c>
      <c r="Q125" s="153" t="s">
        <v>8</v>
      </c>
      <c r="R125" s="32" t="str">
        <f>IFERROR(VLOOKUP(F125,#REF!,14,FALSE),"")</f>
        <v/>
      </c>
      <c r="S125" s="33" t="str">
        <f t="shared" ref="S125:S135" si="20">IFERROR(L125/J125,"")</f>
        <v/>
      </c>
      <c r="U125" s="1728"/>
      <c r="V125" s="34">
        <f t="shared" si="8"/>
        <v>0</v>
      </c>
      <c r="W125" s="1766"/>
      <c r="X125" s="34"/>
    </row>
    <row r="126" spans="2:24" x14ac:dyDescent="0.2">
      <c r="B126" s="1653" t="s">
        <v>142</v>
      </c>
      <c r="C126" s="155">
        <v>43214</v>
      </c>
      <c r="D126" s="49"/>
      <c r="E126" s="156"/>
      <c r="F126" s="1412"/>
      <c r="G126" s="120"/>
      <c r="H126" s="239" t="str">
        <f>IFERROR(VLOOKUP(F126,#REF!,10,FALSE),"")</f>
        <v/>
      </c>
      <c r="I126" s="242"/>
      <c r="J126" s="241"/>
      <c r="K126" s="1757"/>
      <c r="L126" s="1563"/>
      <c r="M126" s="1585"/>
      <c r="N126" s="158" t="str">
        <f t="shared" si="19"/>
        <v/>
      </c>
      <c r="O126" s="159"/>
      <c r="P126" s="93" t="str">
        <f>IFERROR(VLOOKUP(F126,#REF!,12,FALSE),"")</f>
        <v/>
      </c>
      <c r="Q126" s="94" t="s">
        <v>8</v>
      </c>
      <c r="R126" s="46" t="str">
        <f>IFERROR(VLOOKUP(F126,#REF!,14,FALSE),"")</f>
        <v/>
      </c>
      <c r="S126" s="47" t="str">
        <f t="shared" si="20"/>
        <v/>
      </c>
      <c r="U126" s="1728"/>
      <c r="V126" s="50">
        <f t="shared" si="8"/>
        <v>0</v>
      </c>
      <c r="W126" s="1767"/>
      <c r="X126" s="50"/>
    </row>
    <row r="127" spans="2:24" ht="16" thickBot="1" x14ac:dyDescent="0.25">
      <c r="B127" s="1654">
        <f>SUM(H125:H131)</f>
        <v>34.479999999999997</v>
      </c>
      <c r="C127" s="155">
        <v>43215</v>
      </c>
      <c r="D127" s="49" t="s">
        <v>85</v>
      </c>
      <c r="E127" s="156"/>
      <c r="F127" s="1412" t="s">
        <v>173</v>
      </c>
      <c r="G127" s="120">
        <v>4.3437499999999997E-2</v>
      </c>
      <c r="H127" s="239">
        <v>11.46</v>
      </c>
      <c r="I127" s="245">
        <f t="shared" ref="I127:I130" si="21">G127/H127</f>
        <v>3.7903577661431058E-3</v>
      </c>
      <c r="J127" s="241">
        <v>134</v>
      </c>
      <c r="K127" s="1757"/>
      <c r="L127" s="1563">
        <v>216</v>
      </c>
      <c r="M127" s="1585"/>
      <c r="N127" s="158">
        <f t="shared" si="19"/>
        <v>1.0402525408068986</v>
      </c>
      <c r="O127" s="159" t="s">
        <v>14</v>
      </c>
      <c r="P127" s="93" t="str">
        <f>IFERROR(VLOOKUP(F127,#REF!,12,FALSE),"")</f>
        <v/>
      </c>
      <c r="Q127" s="94" t="s">
        <v>8</v>
      </c>
      <c r="R127" s="46" t="str">
        <f>IFERROR(VLOOKUP(F127,#REF!,14,FALSE),"")</f>
        <v/>
      </c>
      <c r="S127" s="47">
        <f t="shared" si="20"/>
        <v>1.6119402985074627</v>
      </c>
      <c r="U127" s="1728"/>
      <c r="V127" s="50">
        <f t="shared" si="8"/>
        <v>0</v>
      </c>
      <c r="W127" s="1767"/>
      <c r="X127" s="50"/>
    </row>
    <row r="128" spans="2:24" x14ac:dyDescent="0.2">
      <c r="B128" s="1655" t="s">
        <v>144</v>
      </c>
      <c r="C128" s="161">
        <v>43216</v>
      </c>
      <c r="D128" s="49" t="s">
        <v>86</v>
      </c>
      <c r="E128" s="156"/>
      <c r="F128" s="1412" t="s">
        <v>146</v>
      </c>
      <c r="G128" s="120">
        <v>1.5208333333333332E-2</v>
      </c>
      <c r="H128" s="239">
        <v>4.01</v>
      </c>
      <c r="I128" s="245">
        <f t="shared" si="21"/>
        <v>3.7926018287614298E-3</v>
      </c>
      <c r="J128" s="241">
        <v>124</v>
      </c>
      <c r="K128" s="1757"/>
      <c r="L128" s="1563">
        <v>218</v>
      </c>
      <c r="M128" s="1585"/>
      <c r="N128" s="158">
        <f t="shared" si="19"/>
        <v>1.0505060877218717</v>
      </c>
      <c r="O128" s="159" t="s">
        <v>14</v>
      </c>
      <c r="P128" s="93" t="str">
        <f>IFERROR(VLOOKUP(F128,#REF!,12,FALSE),"")</f>
        <v/>
      </c>
      <c r="Q128" s="94" t="s">
        <v>8</v>
      </c>
      <c r="R128" s="46" t="str">
        <f>IFERROR(VLOOKUP(F128,#REF!,14,FALSE),"")</f>
        <v/>
      </c>
      <c r="S128" s="47">
        <f t="shared" si="20"/>
        <v>1.7580645161290323</v>
      </c>
      <c r="U128" s="1728"/>
      <c r="V128" s="50">
        <f t="shared" si="8"/>
        <v>0</v>
      </c>
      <c r="W128" s="1767"/>
      <c r="X128" s="50"/>
    </row>
    <row r="129" spans="2:24" ht="16" thickBot="1" x14ac:dyDescent="0.25">
      <c r="B129" s="1656" t="e">
        <f>SUM(#REF!)</f>
        <v>#REF!</v>
      </c>
      <c r="C129" s="161">
        <v>43217</v>
      </c>
      <c r="D129" s="49" t="s">
        <v>87</v>
      </c>
      <c r="E129" s="156"/>
      <c r="F129" s="1412" t="s">
        <v>158</v>
      </c>
      <c r="G129" s="120">
        <v>2.6956018518518522E-2</v>
      </c>
      <c r="H129" s="239">
        <v>9.18</v>
      </c>
      <c r="I129" s="245">
        <f t="shared" si="21"/>
        <v>2.9363854595336079E-3</v>
      </c>
      <c r="J129" s="241">
        <v>163</v>
      </c>
      <c r="K129" s="1757"/>
      <c r="L129" s="1563">
        <v>279</v>
      </c>
      <c r="M129" s="1585"/>
      <c r="N129" s="158">
        <f t="shared" si="19"/>
        <v>1.0409313725490197</v>
      </c>
      <c r="O129" s="159" t="s">
        <v>14</v>
      </c>
      <c r="P129" s="93" t="str">
        <f>IFERROR(VLOOKUP(F129,#REF!,12,FALSE),"")</f>
        <v/>
      </c>
      <c r="Q129" s="94" t="s">
        <v>8</v>
      </c>
      <c r="R129" s="46" t="str">
        <f>IFERROR(VLOOKUP(F129,#REF!,14,FALSE),"")</f>
        <v/>
      </c>
      <c r="S129" s="47">
        <f t="shared" si="20"/>
        <v>1.7116564417177915</v>
      </c>
      <c r="U129" s="1728"/>
      <c r="V129" s="50">
        <f t="shared" si="8"/>
        <v>0</v>
      </c>
      <c r="W129" s="1767"/>
      <c r="X129" s="50"/>
    </row>
    <row r="130" spans="2:24" x14ac:dyDescent="0.2">
      <c r="B130" s="1657" t="s">
        <v>256</v>
      </c>
      <c r="C130" s="161">
        <v>43218</v>
      </c>
      <c r="D130" s="49" t="s">
        <v>88</v>
      </c>
      <c r="E130" s="156"/>
      <c r="F130" s="1412" t="s">
        <v>173</v>
      </c>
      <c r="G130" s="120">
        <v>3.9270833333333331E-2</v>
      </c>
      <c r="H130" s="239">
        <v>9.83</v>
      </c>
      <c r="I130" s="245">
        <f t="shared" si="21"/>
        <v>3.9949983045100028E-3</v>
      </c>
      <c r="J130" s="241">
        <v>127</v>
      </c>
      <c r="K130" s="1757"/>
      <c r="L130" s="1563">
        <v>209</v>
      </c>
      <c r="M130" s="1585"/>
      <c r="N130" s="158">
        <f t="shared" si="19"/>
        <v>1.0608835497576445</v>
      </c>
      <c r="O130" s="159" t="s">
        <v>14</v>
      </c>
      <c r="P130" s="93" t="str">
        <f>IFERROR(VLOOKUP(F130,#REF!,12,FALSE),"")</f>
        <v/>
      </c>
      <c r="Q130" s="94" t="s">
        <v>8</v>
      </c>
      <c r="R130" s="46" t="str">
        <f>IFERROR(VLOOKUP(F130,#REF!,14,FALSE),"")</f>
        <v/>
      </c>
      <c r="S130" s="47">
        <f t="shared" si="20"/>
        <v>1.6456692913385826</v>
      </c>
      <c r="U130" s="1728"/>
      <c r="V130" s="50">
        <f t="shared" si="8"/>
        <v>0</v>
      </c>
      <c r="W130" s="1767"/>
      <c r="X130" s="50"/>
    </row>
    <row r="131" spans="2:24" ht="16" thickBot="1" x14ac:dyDescent="0.25">
      <c r="B131" s="1658" t="e">
        <f>AVERAGE(#REF!)</f>
        <v>#REF!</v>
      </c>
      <c r="C131" s="207">
        <v>43219</v>
      </c>
      <c r="D131" s="67"/>
      <c r="E131" s="208"/>
      <c r="F131" s="1405"/>
      <c r="G131" s="167"/>
      <c r="H131" s="168" t="str">
        <f>IFERROR(VLOOKUP(F131,#REF!,10,FALSE),"")</f>
        <v/>
      </c>
      <c r="I131" s="169"/>
      <c r="J131" s="170"/>
      <c r="K131" s="1757"/>
      <c r="L131" s="1564"/>
      <c r="M131" s="1586"/>
      <c r="N131" s="172" t="str">
        <f t="shared" si="19"/>
        <v/>
      </c>
      <c r="O131" s="173"/>
      <c r="P131" s="174" t="str">
        <f>IFERROR(VLOOKUP(F131,#REF!,12,FALSE),"")</f>
        <v/>
      </c>
      <c r="Q131" s="175" t="s">
        <v>8</v>
      </c>
      <c r="R131" s="64" t="str">
        <f>IFERROR(VLOOKUP(F131,#REF!,14,FALSE),"")</f>
        <v/>
      </c>
      <c r="S131" s="65" t="str">
        <f t="shared" si="20"/>
        <v/>
      </c>
      <c r="U131" s="1728"/>
      <c r="V131" s="177">
        <f t="shared" si="8"/>
        <v>0</v>
      </c>
      <c r="W131" s="1768"/>
      <c r="X131" s="177"/>
    </row>
    <row r="132" spans="2:24" ht="16" thickBot="1" x14ac:dyDescent="0.25">
      <c r="B132" s="1652">
        <f>B125+1</f>
        <v>18</v>
      </c>
      <c r="C132" s="193">
        <v>43220</v>
      </c>
      <c r="D132" s="70"/>
      <c r="E132" s="71"/>
      <c r="F132" s="1406"/>
      <c r="G132" s="72"/>
      <c r="H132" s="178" t="str">
        <f>IFERROR(VLOOKUP(F132,#REF!,10,FALSE),"")</f>
        <v/>
      </c>
      <c r="I132" s="179"/>
      <c r="J132" s="180"/>
      <c r="K132" s="1757"/>
      <c r="L132" s="76"/>
      <c r="M132" s="1587"/>
      <c r="N132" s="77" t="str">
        <f t="shared" si="19"/>
        <v/>
      </c>
      <c r="O132" s="78"/>
      <c r="P132" s="224" t="str">
        <f>IFERROR(VLOOKUP(F132,#REF!,12,FALSE),"")</f>
        <v/>
      </c>
      <c r="Q132" s="80" t="s">
        <v>8</v>
      </c>
      <c r="R132" s="80" t="str">
        <f>IFERROR(VLOOKUP(F132,#REF!,14,FALSE),"")</f>
        <v/>
      </c>
      <c r="S132" s="33" t="str">
        <f t="shared" si="20"/>
        <v/>
      </c>
      <c r="U132" s="1728"/>
      <c r="V132" s="82">
        <f t="shared" si="8"/>
        <v>0</v>
      </c>
      <c r="W132" s="1766"/>
      <c r="X132" s="82"/>
    </row>
    <row r="133" spans="2:24" x14ac:dyDescent="0.2">
      <c r="B133" s="1653" t="s">
        <v>142</v>
      </c>
      <c r="C133" s="84">
        <v>43221</v>
      </c>
      <c r="D133" s="162" t="s">
        <v>89</v>
      </c>
      <c r="E133" s="163"/>
      <c r="F133" s="1413" t="s">
        <v>173</v>
      </c>
      <c r="G133" s="226">
        <v>4.4120370370370372E-2</v>
      </c>
      <c r="H133" s="227">
        <v>11.4</v>
      </c>
      <c r="I133" s="244">
        <f t="shared" ref="I133:I136" si="22">G133/H133</f>
        <v>3.870207927225471E-3</v>
      </c>
      <c r="J133" s="90">
        <v>129</v>
      </c>
      <c r="K133" s="1757"/>
      <c r="L133" s="1563">
        <v>216</v>
      </c>
      <c r="M133" s="1585"/>
      <c r="N133" s="91">
        <f t="shared" si="19"/>
        <v>1.0621671826625385</v>
      </c>
      <c r="O133" s="92" t="s">
        <v>176</v>
      </c>
      <c r="P133" s="229" t="str">
        <f>IFERROR(VLOOKUP(F133,#REF!,12,FALSE),"")</f>
        <v/>
      </c>
      <c r="Q133" s="230" t="s">
        <v>8</v>
      </c>
      <c r="R133" s="46" t="str">
        <f>IFERROR(VLOOKUP(F133,#REF!,14,FALSE),"")</f>
        <v/>
      </c>
      <c r="S133" s="47">
        <f t="shared" si="20"/>
        <v>1.6744186046511629</v>
      </c>
      <c r="U133" s="1728"/>
      <c r="V133" s="50">
        <f t="shared" si="8"/>
        <v>0</v>
      </c>
      <c r="W133" s="1767"/>
      <c r="X133" s="50"/>
    </row>
    <row r="134" spans="2:24" ht="16" thickBot="1" x14ac:dyDescent="0.25">
      <c r="B134" s="1654">
        <f>SUM(H132:H138)</f>
        <v>41.81</v>
      </c>
      <c r="C134" s="84">
        <v>43222</v>
      </c>
      <c r="D134" s="162" t="s">
        <v>90</v>
      </c>
      <c r="E134" s="163"/>
      <c r="F134" s="1413" t="s">
        <v>173</v>
      </c>
      <c r="G134" s="226">
        <v>3.5868055555555556E-2</v>
      </c>
      <c r="H134" s="227">
        <v>8.91</v>
      </c>
      <c r="I134" s="244">
        <f t="shared" si="22"/>
        <v>4.0255954607806461E-3</v>
      </c>
      <c r="J134" s="90">
        <v>127</v>
      </c>
      <c r="K134" s="1757"/>
      <c r="L134" s="1563">
        <v>211</v>
      </c>
      <c r="M134" s="1585"/>
      <c r="N134" s="91">
        <f t="shared" si="19"/>
        <v>1.0792384630619927</v>
      </c>
      <c r="O134" s="92" t="s">
        <v>14</v>
      </c>
      <c r="P134" s="229" t="str">
        <f>IFERROR(VLOOKUP(F134,#REF!,12,FALSE),"")</f>
        <v/>
      </c>
      <c r="Q134" s="230" t="s">
        <v>8</v>
      </c>
      <c r="R134" s="46" t="str">
        <f>IFERROR(VLOOKUP(F134,#REF!,14,FALSE),"")</f>
        <v/>
      </c>
      <c r="S134" s="47">
        <f t="shared" si="20"/>
        <v>1.6614173228346456</v>
      </c>
      <c r="U134" s="1728"/>
      <c r="V134" s="50">
        <f t="shared" si="8"/>
        <v>0</v>
      </c>
      <c r="W134" s="1767"/>
      <c r="X134" s="50"/>
    </row>
    <row r="135" spans="2:24" x14ac:dyDescent="0.2">
      <c r="B135" s="1655" t="s">
        <v>144</v>
      </c>
      <c r="C135" s="84">
        <v>43223</v>
      </c>
      <c r="D135" s="162"/>
      <c r="E135" s="163"/>
      <c r="F135" s="1413"/>
      <c r="G135" s="226"/>
      <c r="H135" s="227" t="str">
        <f>IFERROR(VLOOKUP(F135,#REF!,10,FALSE),"")</f>
        <v/>
      </c>
      <c r="I135" s="231"/>
      <c r="J135" s="90"/>
      <c r="K135" s="1757"/>
      <c r="L135" s="1563"/>
      <c r="M135" s="1585"/>
      <c r="N135" s="91" t="str">
        <f t="shared" si="19"/>
        <v/>
      </c>
      <c r="O135" s="92"/>
      <c r="P135" s="229" t="str">
        <f>IFERROR(VLOOKUP(F135,#REF!,12,FALSE),"")</f>
        <v/>
      </c>
      <c r="Q135" s="230" t="s">
        <v>8</v>
      </c>
      <c r="R135" s="46" t="str">
        <f>IFERROR(VLOOKUP(F135,#REF!,14,FALSE),"")</f>
        <v/>
      </c>
      <c r="S135" s="47" t="str">
        <f t="shared" si="20"/>
        <v/>
      </c>
      <c r="U135" s="1728"/>
      <c r="V135" s="50">
        <f t="shared" si="8"/>
        <v>0</v>
      </c>
      <c r="W135" s="1767"/>
      <c r="X135" s="50"/>
    </row>
    <row r="136" spans="2:24" ht="16" thickBot="1" x14ac:dyDescent="0.25">
      <c r="B136" s="1656" t="e">
        <f>SUM(#REF!)</f>
        <v>#REF!</v>
      </c>
      <c r="C136" s="84">
        <v>43224</v>
      </c>
      <c r="D136" s="162" t="s">
        <v>91</v>
      </c>
      <c r="E136" s="163"/>
      <c r="F136" s="1413" t="s">
        <v>173</v>
      </c>
      <c r="G136" s="226">
        <v>4.3298611111111107E-2</v>
      </c>
      <c r="H136" s="227">
        <v>11.2</v>
      </c>
      <c r="I136" s="244">
        <f t="shared" si="22"/>
        <v>3.8659474206349203E-3</v>
      </c>
      <c r="J136" s="90">
        <v>135</v>
      </c>
      <c r="K136" s="1757"/>
      <c r="L136" s="1563"/>
      <c r="M136" s="1585"/>
      <c r="N136" s="91"/>
      <c r="O136" s="92" t="s">
        <v>14</v>
      </c>
      <c r="P136" s="229" t="str">
        <f>IFERROR(VLOOKUP(F136,#REF!,12,FALSE),"")</f>
        <v/>
      </c>
      <c r="Q136" s="230" t="s">
        <v>8</v>
      </c>
      <c r="R136" s="46" t="str">
        <f>IFERROR(VLOOKUP(F136,#REF!,14,FALSE),"")</f>
        <v/>
      </c>
      <c r="S136" s="47"/>
      <c r="U136" s="1728"/>
      <c r="V136" s="50">
        <f t="shared" si="8"/>
        <v>0</v>
      </c>
      <c r="W136" s="1767"/>
      <c r="X136" s="50"/>
    </row>
    <row r="137" spans="2:24" x14ac:dyDescent="0.2">
      <c r="B137" s="1657" t="s">
        <v>256</v>
      </c>
      <c r="C137" s="84">
        <v>43225</v>
      </c>
      <c r="D137" s="162"/>
      <c r="E137" s="163"/>
      <c r="F137" s="1413"/>
      <c r="G137" s="226"/>
      <c r="H137" s="227" t="str">
        <f>IFERROR(VLOOKUP(F137,#REF!,10,FALSE),"")</f>
        <v/>
      </c>
      <c r="I137" s="231"/>
      <c r="J137" s="90"/>
      <c r="K137" s="1757"/>
      <c r="L137" s="1563"/>
      <c r="M137" s="1585"/>
      <c r="N137" s="91" t="str">
        <f t="shared" ref="N137:N145" si="23">IFERROR((L137/68)/(1/(I137*24)/3.6),"")</f>
        <v/>
      </c>
      <c r="O137" s="92"/>
      <c r="P137" s="229" t="str">
        <f>IFERROR(VLOOKUP(F137,#REF!,12,FALSE),"")</f>
        <v/>
      </c>
      <c r="Q137" s="230" t="s">
        <v>8</v>
      </c>
      <c r="R137" s="46" t="str">
        <f>IFERROR(VLOOKUP(F137,#REF!,14,FALSE),"")</f>
        <v/>
      </c>
      <c r="S137" s="47" t="str">
        <f t="shared" ref="S137:S145" si="24">IFERROR(L137/J137,"")</f>
        <v/>
      </c>
      <c r="U137" s="1728"/>
      <c r="V137" s="50">
        <f t="shared" si="8"/>
        <v>0</v>
      </c>
      <c r="W137" s="1767"/>
      <c r="X137" s="50"/>
    </row>
    <row r="138" spans="2:24" ht="16" thickBot="1" x14ac:dyDescent="0.25">
      <c r="B138" s="1658" t="e">
        <f>AVERAGE(#REF!)</f>
        <v>#REF!</v>
      </c>
      <c r="C138" s="141">
        <v>43226</v>
      </c>
      <c r="D138" s="181" t="s">
        <v>92</v>
      </c>
      <c r="E138" s="182"/>
      <c r="F138" s="1402" t="s">
        <v>151</v>
      </c>
      <c r="G138" s="98">
        <v>3.7800925925925925E-2</v>
      </c>
      <c r="H138" s="183">
        <v>10.3</v>
      </c>
      <c r="I138" s="184">
        <f t="shared" ref="I138" si="25">G138/H138</f>
        <v>3.6699928083423227E-3</v>
      </c>
      <c r="J138" s="185">
        <v>140</v>
      </c>
      <c r="K138" s="1757"/>
      <c r="L138" s="1565">
        <v>226</v>
      </c>
      <c r="M138" s="1588"/>
      <c r="N138" s="186">
        <f t="shared" si="23"/>
        <v>1.0538492290119932</v>
      </c>
      <c r="O138" s="104" t="s">
        <v>176</v>
      </c>
      <c r="P138" s="105" t="str">
        <f>IFERROR(VLOOKUP(F138,#REF!,12,FALSE),"")</f>
        <v/>
      </c>
      <c r="Q138" s="107" t="s">
        <v>8</v>
      </c>
      <c r="R138" s="107" t="str">
        <f>IFERROR(VLOOKUP(F138,#REF!,14,FALSE),"")</f>
        <v/>
      </c>
      <c r="S138" s="65">
        <f t="shared" si="24"/>
        <v>1.6142857142857143</v>
      </c>
      <c r="U138" s="1728"/>
      <c r="V138" s="209">
        <f t="shared" si="8"/>
        <v>0</v>
      </c>
      <c r="W138" s="1768"/>
      <c r="X138" s="209"/>
    </row>
    <row r="139" spans="2:24" ht="16" thickBot="1" x14ac:dyDescent="0.25">
      <c r="B139" s="1652">
        <f>B132+1</f>
        <v>19</v>
      </c>
      <c r="C139" s="142">
        <v>43227</v>
      </c>
      <c r="D139" s="143"/>
      <c r="E139" s="144"/>
      <c r="F139" s="1403"/>
      <c r="G139" s="145"/>
      <c r="H139" s="146" t="str">
        <f>IFERROR(VLOOKUP(F139,#REF!,10,FALSE),"")</f>
        <v/>
      </c>
      <c r="I139" s="147"/>
      <c r="J139" s="148"/>
      <c r="K139" s="1757"/>
      <c r="L139" s="1562"/>
      <c r="M139" s="1584"/>
      <c r="N139" s="150" t="str">
        <f t="shared" si="23"/>
        <v/>
      </c>
      <c r="O139" s="151"/>
      <c r="P139" s="214" t="str">
        <f>IFERROR(VLOOKUP(F139,#REF!,12,FALSE),"")</f>
        <v/>
      </c>
      <c r="Q139" s="153" t="s">
        <v>8</v>
      </c>
      <c r="R139" s="32" t="str">
        <f>IFERROR(VLOOKUP(F139,#REF!,14,FALSE),"")</f>
        <v/>
      </c>
      <c r="S139" s="33" t="str">
        <f t="shared" si="24"/>
        <v/>
      </c>
      <c r="U139" s="1728"/>
      <c r="V139" s="192">
        <f t="shared" si="8"/>
        <v>0</v>
      </c>
      <c r="W139" s="1766"/>
      <c r="X139" s="192"/>
    </row>
    <row r="140" spans="2:24" x14ac:dyDescent="0.2">
      <c r="B140" s="1653" t="s">
        <v>142</v>
      </c>
      <c r="C140" s="161">
        <v>43228</v>
      </c>
      <c r="D140" s="49" t="s">
        <v>93</v>
      </c>
      <c r="E140" s="156"/>
      <c r="F140" s="1412" t="s">
        <v>173</v>
      </c>
      <c r="G140" s="120">
        <v>5.7719907407407407E-2</v>
      </c>
      <c r="H140" s="239">
        <v>14.9</v>
      </c>
      <c r="I140" s="245">
        <f t="shared" ref="I140:I143" si="26">G140/H140</f>
        <v>3.8738192890877452E-3</v>
      </c>
      <c r="J140" s="241">
        <v>140</v>
      </c>
      <c r="K140" s="1757"/>
      <c r="L140" s="1563">
        <v>217</v>
      </c>
      <c r="M140" s="1585"/>
      <c r="N140" s="158">
        <f t="shared" si="23"/>
        <v>1.0680803395183578</v>
      </c>
      <c r="O140" s="159" t="s">
        <v>14</v>
      </c>
      <c r="P140" s="93" t="str">
        <f>IFERROR(VLOOKUP(F140,#REF!,12,FALSE),"")</f>
        <v/>
      </c>
      <c r="Q140" s="94" t="s">
        <v>8</v>
      </c>
      <c r="R140" s="46" t="str">
        <f>IFERROR(VLOOKUP(F140,#REF!,14,FALSE),"")</f>
        <v/>
      </c>
      <c r="S140" s="47">
        <f t="shared" si="24"/>
        <v>1.55</v>
      </c>
      <c r="U140" s="1728"/>
      <c r="V140" s="206">
        <f t="shared" si="8"/>
        <v>0</v>
      </c>
      <c r="W140" s="1767"/>
      <c r="X140" s="206"/>
    </row>
    <row r="141" spans="2:24" ht="16" thickBot="1" x14ac:dyDescent="0.25">
      <c r="B141" s="1654">
        <f>SUM(H139:H145)</f>
        <v>30.82</v>
      </c>
      <c r="C141" s="161">
        <v>43229</v>
      </c>
      <c r="D141" s="49" t="s">
        <v>94</v>
      </c>
      <c r="E141" s="156"/>
      <c r="F141" s="1412" t="s">
        <v>173</v>
      </c>
      <c r="G141" s="120">
        <v>2.9664351851851855E-2</v>
      </c>
      <c r="H141" s="239">
        <v>7.54</v>
      </c>
      <c r="I141" s="245">
        <f t="shared" si="26"/>
        <v>3.9342641713331376E-3</v>
      </c>
      <c r="J141" s="241">
        <v>138</v>
      </c>
      <c r="K141" s="1757"/>
      <c r="L141" s="1563">
        <v>212</v>
      </c>
      <c r="M141" s="1585"/>
      <c r="N141" s="158">
        <f t="shared" si="23"/>
        <v>1.0597519113746297</v>
      </c>
      <c r="O141" s="159" t="s">
        <v>14</v>
      </c>
      <c r="P141" s="93" t="str">
        <f>IFERROR(VLOOKUP(F141,#REF!,12,FALSE),"")</f>
        <v/>
      </c>
      <c r="Q141" s="94" t="s">
        <v>8</v>
      </c>
      <c r="R141" s="46" t="str">
        <f>IFERROR(VLOOKUP(F141,#REF!,14,FALSE),"")</f>
        <v/>
      </c>
      <c r="S141" s="47">
        <f t="shared" si="24"/>
        <v>1.536231884057971</v>
      </c>
      <c r="U141" s="1728"/>
      <c r="V141" s="206">
        <f t="shared" si="8"/>
        <v>0</v>
      </c>
      <c r="W141" s="1767"/>
      <c r="X141" s="206"/>
    </row>
    <row r="142" spans="2:24" x14ac:dyDescent="0.2">
      <c r="B142" s="1655" t="s">
        <v>144</v>
      </c>
      <c r="C142" s="161">
        <v>43230</v>
      </c>
      <c r="D142" s="49"/>
      <c r="E142" s="156"/>
      <c r="F142" s="1412"/>
      <c r="G142" s="120"/>
      <c r="H142" s="239" t="str">
        <f>IFERROR(VLOOKUP(F142,#REF!,10,FALSE),"")</f>
        <v/>
      </c>
      <c r="I142" s="242"/>
      <c r="J142" s="241"/>
      <c r="K142" s="1757"/>
      <c r="L142" s="1563"/>
      <c r="M142" s="1585"/>
      <c r="N142" s="158" t="str">
        <f t="shared" si="23"/>
        <v/>
      </c>
      <c r="O142" s="159"/>
      <c r="P142" s="93" t="str">
        <f>IFERROR(VLOOKUP(F142,#REF!,12,FALSE),"")</f>
        <v/>
      </c>
      <c r="Q142" s="94" t="s">
        <v>8</v>
      </c>
      <c r="R142" s="46" t="str">
        <f>IFERROR(VLOOKUP(F142,#REF!,14,FALSE),"")</f>
        <v/>
      </c>
      <c r="S142" s="47" t="str">
        <f t="shared" si="24"/>
        <v/>
      </c>
      <c r="U142" s="1728"/>
      <c r="V142" s="206">
        <f t="shared" ref="V142:V205" si="27">U141-T141</f>
        <v>0</v>
      </c>
      <c r="W142" s="1767"/>
      <c r="X142" s="206"/>
    </row>
    <row r="143" spans="2:24" ht="16" thickBot="1" x14ac:dyDescent="0.25">
      <c r="B143" s="1656" t="e">
        <f>SUM(#REF!)</f>
        <v>#REF!</v>
      </c>
      <c r="C143" s="246">
        <v>43231</v>
      </c>
      <c r="D143" s="247" t="s">
        <v>95</v>
      </c>
      <c r="E143" s="248"/>
      <c r="F143" s="1414" t="s">
        <v>173</v>
      </c>
      <c r="G143" s="249">
        <v>3.3437500000000002E-2</v>
      </c>
      <c r="H143" s="250">
        <v>8.3800000000000008</v>
      </c>
      <c r="I143" s="245">
        <f t="shared" si="26"/>
        <v>3.990155131264916E-3</v>
      </c>
      <c r="J143" s="251">
        <v>134</v>
      </c>
      <c r="K143" s="1757"/>
      <c r="L143" s="1568">
        <v>212</v>
      </c>
      <c r="M143" s="1591"/>
      <c r="N143" s="158">
        <f t="shared" si="23"/>
        <v>1.0748069633581356</v>
      </c>
      <c r="O143" s="253" t="s">
        <v>14</v>
      </c>
      <c r="P143" s="93" t="str">
        <f>IFERROR(VLOOKUP(F143,#REF!,12,FALSE),"")</f>
        <v/>
      </c>
      <c r="Q143" s="94" t="s">
        <v>8</v>
      </c>
      <c r="R143" s="46" t="str">
        <f>IFERROR(VLOOKUP(F143,#REF!,14,FALSE),"")</f>
        <v/>
      </c>
      <c r="S143" s="47">
        <f t="shared" si="24"/>
        <v>1.5820895522388059</v>
      </c>
      <c r="U143" s="1728"/>
      <c r="V143" s="206">
        <f t="shared" si="27"/>
        <v>0</v>
      </c>
      <c r="W143" s="1767"/>
      <c r="X143" s="206"/>
    </row>
    <row r="144" spans="2:24" x14ac:dyDescent="0.2">
      <c r="B144" s="1657" t="s">
        <v>256</v>
      </c>
      <c r="C144" s="246">
        <v>43232</v>
      </c>
      <c r="D144" s="247"/>
      <c r="E144" s="248"/>
      <c r="F144" s="1414"/>
      <c r="G144" s="249"/>
      <c r="H144" s="250" t="str">
        <f>IFERROR(VLOOKUP(F144,#REF!,10,FALSE),"")</f>
        <v/>
      </c>
      <c r="I144" s="254"/>
      <c r="J144" s="251"/>
      <c r="K144" s="1757"/>
      <c r="L144" s="1568"/>
      <c r="M144" s="1591"/>
      <c r="N144" s="158" t="str">
        <f t="shared" si="23"/>
        <v/>
      </c>
      <c r="O144" s="253"/>
      <c r="P144" s="93" t="str">
        <f>IFERROR(VLOOKUP(F144,#REF!,12,FALSE),"")</f>
        <v/>
      </c>
      <c r="Q144" s="94" t="s">
        <v>8</v>
      </c>
      <c r="R144" s="46" t="str">
        <f>IFERROR(VLOOKUP(F144,#REF!,14,FALSE),"")</f>
        <v/>
      </c>
      <c r="S144" s="47" t="str">
        <f t="shared" si="24"/>
        <v/>
      </c>
      <c r="U144" s="1728"/>
      <c r="V144" s="206">
        <f t="shared" si="27"/>
        <v>0</v>
      </c>
      <c r="W144" s="1767"/>
      <c r="X144" s="206"/>
    </row>
    <row r="145" spans="1:24" customFormat="1" ht="16" thickBot="1" x14ac:dyDescent="0.25">
      <c r="A145" s="3"/>
      <c r="B145" s="1658" t="e">
        <f>AVERAGE(#REF!)</f>
        <v>#REF!</v>
      </c>
      <c r="C145" s="255">
        <v>43233</v>
      </c>
      <c r="D145" s="256"/>
      <c r="E145" s="257"/>
      <c r="F145" s="1415"/>
      <c r="G145" s="258"/>
      <c r="H145" s="259" t="str">
        <f>IFERROR(VLOOKUP(F145,#REF!,10,FALSE),"")</f>
        <v/>
      </c>
      <c r="I145" s="260"/>
      <c r="J145" s="261"/>
      <c r="K145" s="1757"/>
      <c r="L145" s="1569"/>
      <c r="M145" s="1592"/>
      <c r="N145" s="172" t="str">
        <f t="shared" si="23"/>
        <v/>
      </c>
      <c r="O145" s="263"/>
      <c r="P145" s="174" t="str">
        <f>IFERROR(VLOOKUP(F145,#REF!,12,FALSE),"")</f>
        <v/>
      </c>
      <c r="Q145" s="175" t="s">
        <v>8</v>
      </c>
      <c r="R145" s="64" t="str">
        <f>IFERROR(VLOOKUP(F145,#REF!,14,FALSE),"")</f>
        <v/>
      </c>
      <c r="S145" s="65" t="str">
        <f t="shared" si="24"/>
        <v/>
      </c>
      <c r="T145" s="1379"/>
      <c r="U145" s="1729"/>
      <c r="V145" s="177">
        <f t="shared" si="27"/>
        <v>0</v>
      </c>
      <c r="W145" s="1768"/>
      <c r="X145" s="177"/>
    </row>
    <row r="146" spans="1:24" ht="16" thickBot="1" x14ac:dyDescent="0.25">
      <c r="B146" s="1652">
        <f>B139+1</f>
        <v>20</v>
      </c>
      <c r="C146" s="264">
        <v>43234</v>
      </c>
      <c r="D146" s="265" t="s">
        <v>96</v>
      </c>
      <c r="E146" s="266"/>
      <c r="F146" s="1416" t="s">
        <v>173</v>
      </c>
      <c r="G146" s="267">
        <v>3.1898148148148148E-2</v>
      </c>
      <c r="H146" s="268">
        <v>8.4</v>
      </c>
      <c r="I146" s="238">
        <f>G146/H146</f>
        <v>3.7973985890652553E-3</v>
      </c>
      <c r="J146" s="269">
        <v>137</v>
      </c>
      <c r="K146" s="1757"/>
      <c r="L146" s="270"/>
      <c r="M146" s="1593"/>
      <c r="N146" s="77"/>
      <c r="O146" s="271" t="s">
        <v>14</v>
      </c>
      <c r="P146" s="224" t="str">
        <f>IFERROR(VLOOKUP(F146,#REF!,12,FALSE),"")</f>
        <v/>
      </c>
      <c r="Q146" s="80" t="s">
        <v>8</v>
      </c>
      <c r="R146" s="80" t="str">
        <f>IFERROR(VLOOKUP(F146,#REF!,14,FALSE),"")</f>
        <v/>
      </c>
      <c r="S146" s="33"/>
      <c r="U146" s="1728"/>
      <c r="V146" s="82">
        <f t="shared" si="27"/>
        <v>0</v>
      </c>
      <c r="W146" s="1766"/>
      <c r="X146" s="82"/>
    </row>
    <row r="147" spans="1:24" x14ac:dyDescent="0.2">
      <c r="B147" s="1653" t="s">
        <v>142</v>
      </c>
      <c r="C147" s="272">
        <v>43235</v>
      </c>
      <c r="D147" s="273"/>
      <c r="E147" s="274"/>
      <c r="F147" s="1417"/>
      <c r="G147" s="275"/>
      <c r="H147" s="276" t="str">
        <f>IFERROR(VLOOKUP(F147,#REF!,10,FALSE),"")</f>
        <v/>
      </c>
      <c r="I147" s="277"/>
      <c r="J147" s="278"/>
      <c r="K147" s="1757"/>
      <c r="L147" s="1568"/>
      <c r="M147" s="1591"/>
      <c r="N147" s="140"/>
      <c r="O147" s="279"/>
      <c r="P147" s="229" t="str">
        <f>IFERROR(VLOOKUP(F147,#REF!,12,FALSE),"")</f>
        <v/>
      </c>
      <c r="Q147" s="230" t="s">
        <v>8</v>
      </c>
      <c r="R147" s="46" t="str">
        <f>IFERROR(VLOOKUP(F147,#REF!,14,FALSE),"")</f>
        <v/>
      </c>
      <c r="S147" s="47" t="str">
        <f>IFERROR(L147/J147,"")</f>
        <v/>
      </c>
      <c r="U147" s="1728"/>
      <c r="V147" s="50">
        <f t="shared" si="27"/>
        <v>0</v>
      </c>
      <c r="W147" s="1767"/>
      <c r="X147" s="50"/>
    </row>
    <row r="148" spans="1:24" ht="16" thickBot="1" x14ac:dyDescent="0.25">
      <c r="B148" s="1654">
        <f>SUM(H146:H152)</f>
        <v>18.100000000000001</v>
      </c>
      <c r="C148" s="272">
        <v>43236</v>
      </c>
      <c r="D148" s="273" t="s">
        <v>97</v>
      </c>
      <c r="E148" s="274"/>
      <c r="F148" s="1417" t="s">
        <v>173</v>
      </c>
      <c r="G148" s="275">
        <v>3.7476851851851851E-2</v>
      </c>
      <c r="H148" s="276">
        <v>9.6999999999999993</v>
      </c>
      <c r="I148" s="245">
        <f t="shared" ref="I148" si="28">G148/H148</f>
        <v>3.863592974417717E-3</v>
      </c>
      <c r="J148" s="278">
        <v>151</v>
      </c>
      <c r="K148" s="1757"/>
      <c r="L148" s="1568"/>
      <c r="M148" s="1591"/>
      <c r="N148" s="140"/>
      <c r="O148" s="279" t="s">
        <v>14</v>
      </c>
      <c r="P148" s="229" t="str">
        <f>IFERROR(VLOOKUP(F148,#REF!,12,FALSE),"")</f>
        <v/>
      </c>
      <c r="Q148" s="230" t="s">
        <v>8</v>
      </c>
      <c r="R148" s="46" t="str">
        <f>IFERROR(VLOOKUP(F148,#REF!,14,FALSE),"")</f>
        <v/>
      </c>
      <c r="S148" s="47"/>
      <c r="U148" s="1728"/>
      <c r="V148" s="50">
        <f t="shared" si="27"/>
        <v>0</v>
      </c>
      <c r="W148" s="1767"/>
      <c r="X148" s="50"/>
    </row>
    <row r="149" spans="1:24" x14ac:dyDescent="0.2">
      <c r="B149" s="1655" t="s">
        <v>144</v>
      </c>
      <c r="C149" s="272">
        <v>43237</v>
      </c>
      <c r="D149" s="273"/>
      <c r="E149" s="274"/>
      <c r="F149" s="1417"/>
      <c r="G149" s="275"/>
      <c r="H149" s="276" t="str">
        <f>IFERROR(VLOOKUP(F149,#REF!,10,FALSE),"")</f>
        <v/>
      </c>
      <c r="I149" s="277"/>
      <c r="J149" s="278"/>
      <c r="K149" s="1757"/>
      <c r="L149" s="1568"/>
      <c r="M149" s="1591"/>
      <c r="N149" s="140" t="str">
        <f t="shared" ref="N149:N180" si="29">IFERROR((L149/68)/(1/(I149*24)/3.6),"")</f>
        <v/>
      </c>
      <c r="O149" s="279"/>
      <c r="P149" s="229" t="str">
        <f>IFERROR(VLOOKUP(F149,#REF!,12,FALSE),"")</f>
        <v/>
      </c>
      <c r="Q149" s="230" t="s">
        <v>8</v>
      </c>
      <c r="R149" s="46" t="str">
        <f>IFERROR(VLOOKUP(F149,#REF!,14,FALSE),"")</f>
        <v/>
      </c>
      <c r="S149" s="47" t="str">
        <f t="shared" ref="S149:S180" si="30">IFERROR(L149/J149,"")</f>
        <v/>
      </c>
      <c r="U149" s="1728"/>
      <c r="V149" s="50">
        <f t="shared" si="27"/>
        <v>0</v>
      </c>
      <c r="W149" s="1767"/>
      <c r="X149" s="50"/>
    </row>
    <row r="150" spans="1:24" ht="16" thickBot="1" x14ac:dyDescent="0.25">
      <c r="B150" s="1656" t="e">
        <f>SUM(#REF!)</f>
        <v>#REF!</v>
      </c>
      <c r="C150" s="272">
        <v>43238</v>
      </c>
      <c r="D150" s="273"/>
      <c r="E150" s="274"/>
      <c r="F150" s="1417"/>
      <c r="G150" s="275"/>
      <c r="H150" s="276" t="str">
        <f>IFERROR(VLOOKUP(F150,#REF!,10,FALSE),"")</f>
        <v/>
      </c>
      <c r="I150" s="277"/>
      <c r="J150" s="278"/>
      <c r="K150" s="1757"/>
      <c r="L150" s="1568"/>
      <c r="M150" s="1591"/>
      <c r="N150" s="140" t="str">
        <f t="shared" si="29"/>
        <v/>
      </c>
      <c r="O150" s="279"/>
      <c r="P150" s="229" t="str">
        <f>IFERROR(VLOOKUP(F150,#REF!,12,FALSE),"")</f>
        <v/>
      </c>
      <c r="Q150" s="230" t="s">
        <v>8</v>
      </c>
      <c r="R150" s="46" t="str">
        <f>IFERROR(VLOOKUP(F150,#REF!,14,FALSE),"")</f>
        <v/>
      </c>
      <c r="S150" s="47" t="str">
        <f t="shared" si="30"/>
        <v/>
      </c>
      <c r="U150" s="1728"/>
      <c r="V150" s="50">
        <f t="shared" si="27"/>
        <v>0</v>
      </c>
      <c r="W150" s="1767"/>
      <c r="X150" s="50"/>
    </row>
    <row r="151" spans="1:24" x14ac:dyDescent="0.2">
      <c r="B151" s="1657" t="s">
        <v>256</v>
      </c>
      <c r="C151" s="272">
        <v>43239</v>
      </c>
      <c r="D151" s="273"/>
      <c r="E151" s="274"/>
      <c r="F151" s="1417"/>
      <c r="G151" s="275"/>
      <c r="H151" s="276" t="str">
        <f>IFERROR(VLOOKUP(F151,#REF!,10,FALSE),"")</f>
        <v/>
      </c>
      <c r="I151" s="277"/>
      <c r="J151" s="278"/>
      <c r="K151" s="1757"/>
      <c r="L151" s="1568"/>
      <c r="M151" s="1591"/>
      <c r="N151" s="140" t="str">
        <f t="shared" si="29"/>
        <v/>
      </c>
      <c r="O151" s="279"/>
      <c r="P151" s="229" t="str">
        <f>IFERROR(VLOOKUP(F151,#REF!,12,FALSE),"")</f>
        <v/>
      </c>
      <c r="Q151" s="230" t="s">
        <v>8</v>
      </c>
      <c r="R151" s="46" t="str">
        <f>IFERROR(VLOOKUP(F151,#REF!,14,FALSE),"")</f>
        <v/>
      </c>
      <c r="S151" s="47" t="str">
        <f t="shared" si="30"/>
        <v/>
      </c>
      <c r="U151" s="1728"/>
      <c r="V151" s="50">
        <f t="shared" si="27"/>
        <v>0</v>
      </c>
      <c r="W151" s="1767"/>
      <c r="X151" s="50"/>
    </row>
    <row r="152" spans="1:24" ht="16" thickBot="1" x14ac:dyDescent="0.25">
      <c r="B152" s="1658" t="e">
        <f>AVERAGE(#REF!)</f>
        <v>#REF!</v>
      </c>
      <c r="C152" s="280">
        <v>43240</v>
      </c>
      <c r="D152" s="281"/>
      <c r="E152" s="282"/>
      <c r="F152" s="1418"/>
      <c r="G152" s="283"/>
      <c r="H152" s="284" t="str">
        <f>IFERROR(VLOOKUP(F152,#REF!,10,FALSE),"")</f>
        <v/>
      </c>
      <c r="I152" s="285"/>
      <c r="J152" s="286"/>
      <c r="K152" s="1757"/>
      <c r="L152" s="1570"/>
      <c r="M152" s="1594"/>
      <c r="N152" s="186" t="str">
        <f t="shared" si="29"/>
        <v/>
      </c>
      <c r="O152" s="287"/>
      <c r="P152" s="105" t="str">
        <f>IFERROR(VLOOKUP(F152,#REF!,12,FALSE),"")</f>
        <v/>
      </c>
      <c r="Q152" s="107" t="s">
        <v>8</v>
      </c>
      <c r="R152" s="107" t="str">
        <f>IFERROR(VLOOKUP(F152,#REF!,14,FALSE),"")</f>
        <v/>
      </c>
      <c r="S152" s="65" t="str">
        <f t="shared" si="30"/>
        <v/>
      </c>
      <c r="U152" s="1728"/>
      <c r="V152" s="209">
        <f t="shared" si="27"/>
        <v>0</v>
      </c>
      <c r="W152" s="1768"/>
      <c r="X152" s="209"/>
    </row>
    <row r="153" spans="1:24" ht="16" thickBot="1" x14ac:dyDescent="0.25">
      <c r="B153" s="1652">
        <f>B146+1</f>
        <v>21</v>
      </c>
      <c r="C153" s="288">
        <v>43241</v>
      </c>
      <c r="D153" s="289"/>
      <c r="E153" s="290"/>
      <c r="F153" s="1419"/>
      <c r="G153" s="291"/>
      <c r="H153" s="292" t="str">
        <f>IFERROR(VLOOKUP(F153,#REF!,10,FALSE),"")</f>
        <v/>
      </c>
      <c r="I153" s="293"/>
      <c r="J153" s="294"/>
      <c r="K153" s="1757"/>
      <c r="L153" s="792"/>
      <c r="M153" s="1595"/>
      <c r="N153" s="150" t="str">
        <f t="shared" si="29"/>
        <v/>
      </c>
      <c r="O153" s="296"/>
      <c r="P153" s="214" t="str">
        <f>IFERROR(VLOOKUP(F153,#REF!,12,FALSE),"")</f>
        <v/>
      </c>
      <c r="Q153" s="153" t="s">
        <v>8</v>
      </c>
      <c r="R153" s="32" t="str">
        <f>IFERROR(VLOOKUP(F153,#REF!,14,FALSE),"")</f>
        <v/>
      </c>
      <c r="S153" s="33" t="str">
        <f t="shared" si="30"/>
        <v/>
      </c>
      <c r="U153" s="1728"/>
      <c r="V153" s="34">
        <f t="shared" si="27"/>
        <v>0</v>
      </c>
      <c r="W153" s="1766"/>
      <c r="X153" s="34"/>
    </row>
    <row r="154" spans="1:24" x14ac:dyDescent="0.2">
      <c r="B154" s="1653" t="s">
        <v>142</v>
      </c>
      <c r="C154" s="297">
        <v>43242</v>
      </c>
      <c r="D154" s="247"/>
      <c r="E154" s="248"/>
      <c r="F154" s="1414"/>
      <c r="G154" s="298"/>
      <c r="H154" s="299" t="str">
        <f>IFERROR(VLOOKUP(F154,#REF!,10,FALSE),"")</f>
        <v/>
      </c>
      <c r="I154" s="300"/>
      <c r="J154" s="301"/>
      <c r="K154" s="1757"/>
      <c r="L154" s="1568"/>
      <c r="M154" s="1591"/>
      <c r="N154" s="158" t="str">
        <f t="shared" si="29"/>
        <v/>
      </c>
      <c r="O154" s="253"/>
      <c r="P154" s="93" t="str">
        <f>IFERROR(VLOOKUP(F154,#REF!,12,FALSE),"")</f>
        <v/>
      </c>
      <c r="Q154" s="94" t="s">
        <v>8</v>
      </c>
      <c r="R154" s="46" t="str">
        <f>IFERROR(VLOOKUP(F154,#REF!,14,FALSE),"")</f>
        <v/>
      </c>
      <c r="S154" s="47" t="str">
        <f t="shared" si="30"/>
        <v/>
      </c>
      <c r="U154" s="1728"/>
      <c r="V154" s="206">
        <f t="shared" si="27"/>
        <v>0</v>
      </c>
      <c r="W154" s="1767"/>
      <c r="X154" s="206"/>
    </row>
    <row r="155" spans="1:24" ht="16" thickBot="1" x14ac:dyDescent="0.25">
      <c r="B155" s="1654">
        <f>SUM(H153:H159)</f>
        <v>18.63</v>
      </c>
      <c r="C155" s="246">
        <v>43243</v>
      </c>
      <c r="D155" s="247"/>
      <c r="E155" s="248"/>
      <c r="F155" s="1414"/>
      <c r="G155" s="298"/>
      <c r="H155" s="299" t="str">
        <f>IFERROR(VLOOKUP(F155,#REF!,10,FALSE),"")</f>
        <v/>
      </c>
      <c r="I155" s="300"/>
      <c r="J155" s="301"/>
      <c r="K155" s="1757"/>
      <c r="L155" s="1568"/>
      <c r="M155" s="1591"/>
      <c r="N155" s="158" t="str">
        <f t="shared" si="29"/>
        <v/>
      </c>
      <c r="O155" s="253"/>
      <c r="P155" s="93" t="str">
        <f>IFERROR(VLOOKUP(F155,#REF!,12,FALSE),"")</f>
        <v/>
      </c>
      <c r="Q155" s="94" t="s">
        <v>8</v>
      </c>
      <c r="R155" s="46" t="str">
        <f>IFERROR(VLOOKUP(F155,#REF!,14,FALSE),"")</f>
        <v/>
      </c>
      <c r="S155" s="47" t="str">
        <f t="shared" si="30"/>
        <v/>
      </c>
      <c r="U155" s="1728"/>
      <c r="V155" s="206">
        <f t="shared" si="27"/>
        <v>0</v>
      </c>
      <c r="W155" s="1767"/>
      <c r="X155" s="206"/>
    </row>
    <row r="156" spans="1:24" x14ac:dyDescent="0.2">
      <c r="B156" s="1655" t="s">
        <v>144</v>
      </c>
      <c r="C156" s="246">
        <v>43244</v>
      </c>
      <c r="D156" s="273"/>
      <c r="E156" s="274"/>
      <c r="F156" s="1414"/>
      <c r="G156" s="298"/>
      <c r="H156" s="299" t="str">
        <f>IFERROR(VLOOKUP(F156,#REF!,10,FALSE),"")</f>
        <v/>
      </c>
      <c r="I156" s="300"/>
      <c r="J156" s="301"/>
      <c r="K156" s="1757"/>
      <c r="L156" s="1568"/>
      <c r="M156" s="1591"/>
      <c r="N156" s="158" t="str">
        <f t="shared" si="29"/>
        <v/>
      </c>
      <c r="O156" s="253"/>
      <c r="P156" s="93" t="str">
        <f>IFERROR(VLOOKUP(F156,#REF!,12,FALSE),"")</f>
        <v/>
      </c>
      <c r="Q156" s="94" t="s">
        <v>8</v>
      </c>
      <c r="R156" s="46" t="str">
        <f>IFERROR(VLOOKUP(F156,#REF!,14,FALSE),"")</f>
        <v/>
      </c>
      <c r="S156" s="47" t="str">
        <f t="shared" si="30"/>
        <v/>
      </c>
      <c r="U156" s="1728"/>
      <c r="V156" s="206">
        <f t="shared" si="27"/>
        <v>0</v>
      </c>
      <c r="W156" s="1767"/>
      <c r="X156" s="206"/>
    </row>
    <row r="157" spans="1:24" ht="16" thickBot="1" x14ac:dyDescent="0.25">
      <c r="B157" s="1656" t="e">
        <f>SUM(#REF!)</f>
        <v>#REF!</v>
      </c>
      <c r="C157" s="246">
        <v>43245</v>
      </c>
      <c r="D157" s="247" t="s">
        <v>98</v>
      </c>
      <c r="E157" s="248"/>
      <c r="F157" s="1414" t="s">
        <v>147</v>
      </c>
      <c r="G157" s="298">
        <v>3.4155092592592591E-2</v>
      </c>
      <c r="H157" s="299">
        <v>8.43</v>
      </c>
      <c r="I157" s="245">
        <f t="shared" ref="I157" si="31">G157/H157</f>
        <v>4.0516124071877336E-3</v>
      </c>
      <c r="J157" s="301">
        <v>136</v>
      </c>
      <c r="K157" s="1757"/>
      <c r="L157" s="1568">
        <v>211</v>
      </c>
      <c r="M157" s="1591"/>
      <c r="N157" s="158">
        <f t="shared" si="29"/>
        <v>1.0862134533528716</v>
      </c>
      <c r="O157" s="253" t="s">
        <v>14</v>
      </c>
      <c r="P157" s="93" t="str">
        <f>IFERROR(VLOOKUP(F157,#REF!,12,FALSE),"")</f>
        <v/>
      </c>
      <c r="Q157" s="94" t="s">
        <v>8</v>
      </c>
      <c r="R157" s="46" t="str">
        <f>IFERROR(VLOOKUP(F157,#REF!,14,FALSE),"")</f>
        <v/>
      </c>
      <c r="S157" s="47">
        <f t="shared" si="30"/>
        <v>1.5514705882352942</v>
      </c>
      <c r="U157" s="1728"/>
      <c r="V157" s="206">
        <f t="shared" si="27"/>
        <v>0</v>
      </c>
      <c r="W157" s="1767"/>
      <c r="X157" s="206"/>
    </row>
    <row r="158" spans="1:24" x14ac:dyDescent="0.2">
      <c r="B158" s="1657" t="s">
        <v>256</v>
      </c>
      <c r="C158" s="246">
        <v>43246</v>
      </c>
      <c r="D158" s="247"/>
      <c r="E158" s="248"/>
      <c r="F158" s="1414"/>
      <c r="G158" s="298"/>
      <c r="H158" s="299" t="str">
        <f>IFERROR(VLOOKUP(F158,#REF!,10,FALSE),"")</f>
        <v/>
      </c>
      <c r="I158" s="300"/>
      <c r="J158" s="301"/>
      <c r="K158" s="1757"/>
      <c r="L158" s="1568"/>
      <c r="M158" s="1591"/>
      <c r="N158" s="158" t="str">
        <f t="shared" si="29"/>
        <v/>
      </c>
      <c r="O158" s="253"/>
      <c r="P158" s="93" t="str">
        <f>IFERROR(VLOOKUP(F158,#REF!,12,FALSE),"")</f>
        <v/>
      </c>
      <c r="Q158" s="94" t="s">
        <v>8</v>
      </c>
      <c r="R158" s="46" t="str">
        <f>IFERROR(VLOOKUP(F158,#REF!,14,FALSE),"")</f>
        <v/>
      </c>
      <c r="S158" s="47" t="str">
        <f t="shared" si="30"/>
        <v/>
      </c>
      <c r="U158" s="1728"/>
      <c r="V158" s="206">
        <f t="shared" si="27"/>
        <v>0</v>
      </c>
      <c r="W158" s="1767"/>
      <c r="X158" s="206"/>
    </row>
    <row r="159" spans="1:24" customFormat="1" ht="16" thickBot="1" x14ac:dyDescent="0.25">
      <c r="A159" s="3"/>
      <c r="B159" s="1658" t="e">
        <f>AVERAGE(#REF!)</f>
        <v>#REF!</v>
      </c>
      <c r="C159" s="255">
        <v>43247</v>
      </c>
      <c r="D159" s="256" t="s">
        <v>99</v>
      </c>
      <c r="E159" s="257"/>
      <c r="F159" s="1415" t="s">
        <v>173</v>
      </c>
      <c r="G159" s="302">
        <v>4.0358796296296295E-2</v>
      </c>
      <c r="H159" s="303">
        <v>10.199999999999999</v>
      </c>
      <c r="I159" s="304">
        <f t="shared" ref="I159" si="32">G159/H159</f>
        <v>3.95674473493101E-3</v>
      </c>
      <c r="J159" s="305">
        <v>144</v>
      </c>
      <c r="K159" s="1757"/>
      <c r="L159" s="1569">
        <v>215</v>
      </c>
      <c r="M159" s="1592"/>
      <c r="N159" s="172">
        <f t="shared" si="29"/>
        <v>1.080889561707036</v>
      </c>
      <c r="O159" s="263" t="s">
        <v>14</v>
      </c>
      <c r="P159" s="174" t="str">
        <f>IFERROR(VLOOKUP(F159,#REF!,12,FALSE),"")</f>
        <v/>
      </c>
      <c r="Q159" s="175" t="s">
        <v>8</v>
      </c>
      <c r="R159" s="64" t="str">
        <f>IFERROR(VLOOKUP(F159,#REF!,14,FALSE),"")</f>
        <v/>
      </c>
      <c r="S159" s="65">
        <f t="shared" si="30"/>
        <v>1.4930555555555556</v>
      </c>
      <c r="T159" s="1379"/>
      <c r="U159" s="1729"/>
      <c r="V159" s="68">
        <f t="shared" si="27"/>
        <v>0</v>
      </c>
      <c r="W159" s="1768"/>
      <c r="X159" s="68"/>
    </row>
    <row r="160" spans="1:24" ht="16" thickBot="1" x14ac:dyDescent="0.25">
      <c r="B160" s="1652">
        <f>B153+1</f>
        <v>22</v>
      </c>
      <c r="C160" s="69">
        <v>43248</v>
      </c>
      <c r="D160" s="70"/>
      <c r="E160" s="71"/>
      <c r="F160" s="1420"/>
      <c r="G160" s="72"/>
      <c r="H160" s="178" t="str">
        <f>IFERROR(VLOOKUP(F160,#REF!,10,FALSE),"")</f>
        <v/>
      </c>
      <c r="I160" s="179"/>
      <c r="J160" s="180"/>
      <c r="K160" s="1757"/>
      <c r="L160" s="76"/>
      <c r="M160" s="1587"/>
      <c r="N160" s="77" t="str">
        <f t="shared" si="29"/>
        <v/>
      </c>
      <c r="O160" s="78"/>
      <c r="P160" s="224" t="str">
        <f>IFERROR(VLOOKUP(F160,#REF!,12,FALSE),"")</f>
        <v/>
      </c>
      <c r="Q160" s="80" t="s">
        <v>8</v>
      </c>
      <c r="R160" s="80" t="str">
        <f>IFERROR(VLOOKUP(F160,#REF!,14,FALSE),"")</f>
        <v/>
      </c>
      <c r="S160" s="33" t="str">
        <f t="shared" si="30"/>
        <v/>
      </c>
      <c r="U160" s="1728"/>
      <c r="V160" s="82">
        <f t="shared" si="27"/>
        <v>0</v>
      </c>
      <c r="W160" s="1766"/>
      <c r="X160" s="82"/>
    </row>
    <row r="161" spans="2:24" x14ac:dyDescent="0.2">
      <c r="B161" s="1653" t="s">
        <v>142</v>
      </c>
      <c r="C161" s="84">
        <v>43249</v>
      </c>
      <c r="D161" s="162" t="s">
        <v>100</v>
      </c>
      <c r="E161" s="163"/>
      <c r="F161" s="1413" t="s">
        <v>173</v>
      </c>
      <c r="G161" s="226">
        <v>4.4270833333333336E-2</v>
      </c>
      <c r="H161" s="227">
        <v>11.4</v>
      </c>
      <c r="I161" s="244">
        <f t="shared" ref="I161:I164" si="33">G161/H161</f>
        <v>3.8834064327485382E-3</v>
      </c>
      <c r="J161" s="90">
        <v>130</v>
      </c>
      <c r="K161" s="1757"/>
      <c r="L161" s="1563">
        <v>217</v>
      </c>
      <c r="M161" s="1585"/>
      <c r="N161" s="140">
        <f t="shared" si="29"/>
        <v>1.0707236842105265</v>
      </c>
      <c r="O161" s="92" t="s">
        <v>176</v>
      </c>
      <c r="P161" s="229" t="str">
        <f>IFERROR(VLOOKUP(F161,#REF!,12,FALSE),"")</f>
        <v/>
      </c>
      <c r="Q161" s="230" t="s">
        <v>8</v>
      </c>
      <c r="R161" s="46" t="str">
        <f>IFERROR(VLOOKUP(F161,#REF!,14,FALSE),"")</f>
        <v/>
      </c>
      <c r="S161" s="47">
        <f t="shared" si="30"/>
        <v>1.6692307692307693</v>
      </c>
      <c r="U161" s="1728"/>
      <c r="V161" s="50">
        <f t="shared" si="27"/>
        <v>0</v>
      </c>
      <c r="W161" s="1767"/>
      <c r="X161" s="50"/>
    </row>
    <row r="162" spans="2:24" ht="16" thickBot="1" x14ac:dyDescent="0.25">
      <c r="B162" s="1654">
        <f>SUM(H160:H166)</f>
        <v>34.08</v>
      </c>
      <c r="C162" s="84">
        <v>43250</v>
      </c>
      <c r="D162" s="162" t="s">
        <v>101</v>
      </c>
      <c r="E162" s="163"/>
      <c r="F162" s="1413" t="s">
        <v>173</v>
      </c>
      <c r="G162" s="226">
        <v>4.3495370370370372E-2</v>
      </c>
      <c r="H162" s="227">
        <v>11.4</v>
      </c>
      <c r="I162" s="244">
        <f t="shared" si="33"/>
        <v>3.8153833658219624E-3</v>
      </c>
      <c r="J162" s="90">
        <v>139</v>
      </c>
      <c r="K162" s="1757"/>
      <c r="L162" s="1563">
        <v>218</v>
      </c>
      <c r="M162" s="1585"/>
      <c r="N162" s="140">
        <f t="shared" si="29"/>
        <v>1.0568163054695563</v>
      </c>
      <c r="O162" s="92" t="s">
        <v>176</v>
      </c>
      <c r="P162" s="229" t="str">
        <f>IFERROR(VLOOKUP(F162,#REF!,12,FALSE),"")</f>
        <v/>
      </c>
      <c r="Q162" s="230" t="s">
        <v>8</v>
      </c>
      <c r="R162" s="46" t="str">
        <f>IFERROR(VLOOKUP(F162,#REF!,14,FALSE),"")</f>
        <v/>
      </c>
      <c r="S162" s="47">
        <f t="shared" si="30"/>
        <v>1.5683453237410072</v>
      </c>
      <c r="U162" s="1728"/>
      <c r="V162" s="50">
        <f t="shared" si="27"/>
        <v>0</v>
      </c>
      <c r="W162" s="1767"/>
      <c r="X162" s="50"/>
    </row>
    <row r="163" spans="2:24" x14ac:dyDescent="0.2">
      <c r="B163" s="1655" t="s">
        <v>144</v>
      </c>
      <c r="C163" s="84">
        <v>43251</v>
      </c>
      <c r="D163" s="162"/>
      <c r="E163" s="163"/>
      <c r="F163" s="1413"/>
      <c r="G163" s="226"/>
      <c r="H163" s="227" t="str">
        <f>IFERROR(VLOOKUP(F163,#REF!,10,FALSE),"")</f>
        <v/>
      </c>
      <c r="I163" s="231"/>
      <c r="J163" s="90"/>
      <c r="K163" s="1757"/>
      <c r="L163" s="1563"/>
      <c r="M163" s="1585"/>
      <c r="N163" s="140" t="str">
        <f t="shared" si="29"/>
        <v/>
      </c>
      <c r="O163" s="92"/>
      <c r="P163" s="229" t="str">
        <f>IFERROR(VLOOKUP(F163,#REF!,12,FALSE),"")</f>
        <v/>
      </c>
      <c r="Q163" s="230" t="s">
        <v>8</v>
      </c>
      <c r="R163" s="46" t="str">
        <f>IFERROR(VLOOKUP(F163,#REF!,14,FALSE),"")</f>
        <v/>
      </c>
      <c r="S163" s="47" t="str">
        <f t="shared" si="30"/>
        <v/>
      </c>
      <c r="U163" s="1728"/>
      <c r="V163" s="50">
        <f t="shared" si="27"/>
        <v>0</v>
      </c>
      <c r="W163" s="1767"/>
      <c r="X163" s="50"/>
    </row>
    <row r="164" spans="2:24" ht="16" thickBot="1" x14ac:dyDescent="0.25">
      <c r="B164" s="1656" t="e">
        <f>SUM(#REF!)</f>
        <v>#REF!</v>
      </c>
      <c r="C164" s="84">
        <v>43252</v>
      </c>
      <c r="D164" s="162" t="s">
        <v>102</v>
      </c>
      <c r="E164" s="163"/>
      <c r="F164" s="1413" t="s">
        <v>173</v>
      </c>
      <c r="G164" s="226">
        <v>4.4780092592592587E-2</v>
      </c>
      <c r="H164" s="227">
        <v>11.28</v>
      </c>
      <c r="I164" s="244">
        <f t="shared" si="33"/>
        <v>3.9698663645915417E-3</v>
      </c>
      <c r="J164" s="90">
        <v>136</v>
      </c>
      <c r="K164" s="1757"/>
      <c r="L164" s="1563">
        <v>214</v>
      </c>
      <c r="M164" s="1585"/>
      <c r="N164" s="140">
        <f t="shared" si="29"/>
        <v>1.0794300166875259</v>
      </c>
      <c r="O164" s="92" t="s">
        <v>176</v>
      </c>
      <c r="P164" s="229" t="str">
        <f>IFERROR(VLOOKUP(F164,#REF!,12,FALSE),"")</f>
        <v/>
      </c>
      <c r="Q164" s="230" t="s">
        <v>8</v>
      </c>
      <c r="R164" s="46" t="str">
        <f>IFERROR(VLOOKUP(F164,#REF!,14,FALSE),"")</f>
        <v/>
      </c>
      <c r="S164" s="47">
        <f t="shared" si="30"/>
        <v>1.5735294117647058</v>
      </c>
      <c r="U164" s="1728"/>
      <c r="V164" s="50">
        <f t="shared" si="27"/>
        <v>0</v>
      </c>
      <c r="W164" s="1767"/>
      <c r="X164" s="50"/>
    </row>
    <row r="165" spans="2:24" x14ac:dyDescent="0.2">
      <c r="B165" s="1657" t="s">
        <v>256</v>
      </c>
      <c r="C165" s="84">
        <v>43253</v>
      </c>
      <c r="D165" s="162"/>
      <c r="E165" s="163"/>
      <c r="F165" s="1413"/>
      <c r="G165" s="226"/>
      <c r="H165" s="227" t="str">
        <f>IFERROR(VLOOKUP(F165,#REF!,10,FALSE),"")</f>
        <v/>
      </c>
      <c r="I165" s="231"/>
      <c r="J165" s="90"/>
      <c r="K165" s="1757"/>
      <c r="L165" s="1563"/>
      <c r="M165" s="1585"/>
      <c r="N165" s="140" t="str">
        <f t="shared" si="29"/>
        <v/>
      </c>
      <c r="O165" s="92"/>
      <c r="P165" s="229" t="str">
        <f>IFERROR(VLOOKUP(F165,#REF!,12,FALSE),"")</f>
        <v/>
      </c>
      <c r="Q165" s="230" t="s">
        <v>8</v>
      </c>
      <c r="R165" s="46" t="str">
        <f>IFERROR(VLOOKUP(F165,#REF!,14,FALSE),"")</f>
        <v/>
      </c>
      <c r="S165" s="47" t="str">
        <f t="shared" si="30"/>
        <v/>
      </c>
      <c r="U165" s="1728"/>
      <c r="V165" s="50">
        <f t="shared" si="27"/>
        <v>0</v>
      </c>
      <c r="W165" s="1767"/>
      <c r="X165" s="50"/>
    </row>
    <row r="166" spans="2:24" ht="16" thickBot="1" x14ac:dyDescent="0.25">
      <c r="B166" s="1658" t="e">
        <f>AVERAGE(#REF!)</f>
        <v>#REF!</v>
      </c>
      <c r="C166" s="141">
        <v>43254</v>
      </c>
      <c r="D166" s="205"/>
      <c r="E166" s="306"/>
      <c r="F166" s="1402"/>
      <c r="G166" s="98"/>
      <c r="H166" s="183" t="str">
        <f>IFERROR(VLOOKUP(F166,#REF!,10,FALSE),"")</f>
        <v/>
      </c>
      <c r="I166" s="184"/>
      <c r="J166" s="185"/>
      <c r="K166" s="1757"/>
      <c r="L166" s="1565"/>
      <c r="M166" s="1588"/>
      <c r="N166" s="186" t="str">
        <f t="shared" si="29"/>
        <v/>
      </c>
      <c r="O166" s="104"/>
      <c r="P166" s="105" t="str">
        <f>IFERROR(VLOOKUP(F166,#REF!,12,FALSE),"")</f>
        <v/>
      </c>
      <c r="Q166" s="107" t="s">
        <v>8</v>
      </c>
      <c r="R166" s="107" t="str">
        <f>IFERROR(VLOOKUP(F166,#REF!,14,FALSE),"")</f>
        <v/>
      </c>
      <c r="S166" s="65" t="str">
        <f t="shared" si="30"/>
        <v/>
      </c>
      <c r="U166" s="1728"/>
      <c r="V166" s="109">
        <f t="shared" si="27"/>
        <v>0</v>
      </c>
      <c r="W166" s="1768"/>
      <c r="X166" s="109"/>
    </row>
    <row r="167" spans="2:24" ht="16" thickBot="1" x14ac:dyDescent="0.25">
      <c r="B167" s="1652">
        <f>B160+1</f>
        <v>23</v>
      </c>
      <c r="C167" s="142">
        <v>43255</v>
      </c>
      <c r="D167" s="143"/>
      <c r="E167" s="144"/>
      <c r="F167" s="1410"/>
      <c r="G167" s="145"/>
      <c r="H167" s="234" t="str">
        <f>IFERROR(VLOOKUP(F167,#REF!,10,FALSE),"")</f>
        <v/>
      </c>
      <c r="I167" s="235"/>
      <c r="J167" s="236"/>
      <c r="K167" s="1757"/>
      <c r="L167" s="1562"/>
      <c r="M167" s="1584"/>
      <c r="N167" s="150" t="str">
        <f t="shared" si="29"/>
        <v/>
      </c>
      <c r="O167" s="151"/>
      <c r="P167" s="214" t="str">
        <f>IFERROR(VLOOKUP(F167,#REF!,12,FALSE),"")</f>
        <v/>
      </c>
      <c r="Q167" s="153" t="s">
        <v>8</v>
      </c>
      <c r="R167" s="32" t="str">
        <f>IFERROR(VLOOKUP(F167,#REF!,14,FALSE),"")</f>
        <v/>
      </c>
      <c r="S167" s="33" t="str">
        <f t="shared" si="30"/>
        <v/>
      </c>
      <c r="U167" s="1728"/>
      <c r="V167" s="34">
        <f t="shared" si="27"/>
        <v>0</v>
      </c>
      <c r="W167" s="1766"/>
      <c r="X167" s="34"/>
    </row>
    <row r="168" spans="2:24" x14ac:dyDescent="0.2">
      <c r="B168" s="1653" t="s">
        <v>142</v>
      </c>
      <c r="C168" s="155">
        <v>43256</v>
      </c>
      <c r="D168" s="49" t="s">
        <v>103</v>
      </c>
      <c r="E168" s="156"/>
      <c r="F168" s="1398" t="s">
        <v>173</v>
      </c>
      <c r="G168" s="120">
        <v>3.6608796296296299E-2</v>
      </c>
      <c r="H168" s="121">
        <v>9.3699999999999992</v>
      </c>
      <c r="I168" s="245">
        <f t="shared" ref="I168:I171" si="34">G168/H168</f>
        <v>3.907022016680502E-3</v>
      </c>
      <c r="J168" s="123">
        <v>134</v>
      </c>
      <c r="K168" s="1757"/>
      <c r="L168" s="1563">
        <v>217</v>
      </c>
      <c r="M168" s="1585"/>
      <c r="N168" s="158">
        <f t="shared" si="29"/>
        <v>1.0772349174461677</v>
      </c>
      <c r="O168" s="159" t="s">
        <v>176</v>
      </c>
      <c r="P168" s="93" t="str">
        <f>IFERROR(VLOOKUP(F168,#REF!,12,FALSE),"")</f>
        <v/>
      </c>
      <c r="Q168" s="94" t="s">
        <v>8</v>
      </c>
      <c r="R168" s="46" t="str">
        <f>IFERROR(VLOOKUP(F168,#REF!,14,FALSE),"")</f>
        <v/>
      </c>
      <c r="S168" s="47">
        <f t="shared" si="30"/>
        <v>1.6194029850746268</v>
      </c>
      <c r="U168" s="1728"/>
      <c r="V168" s="206">
        <f t="shared" si="27"/>
        <v>0</v>
      </c>
      <c r="W168" s="1767"/>
      <c r="X168" s="206"/>
    </row>
    <row r="169" spans="2:24" ht="16" thickBot="1" x14ac:dyDescent="0.25">
      <c r="B169" s="1654">
        <f>SUM(H167:H173)</f>
        <v>49.83</v>
      </c>
      <c r="C169" s="161">
        <v>43257</v>
      </c>
      <c r="D169" s="49" t="s">
        <v>104</v>
      </c>
      <c r="E169" s="156"/>
      <c r="F169" s="1398" t="s">
        <v>149</v>
      </c>
      <c r="G169" s="120">
        <v>4.9594907407407407E-2</v>
      </c>
      <c r="H169" s="121">
        <v>12.9</v>
      </c>
      <c r="I169" s="245">
        <f t="shared" si="34"/>
        <v>3.8445664656904964E-3</v>
      </c>
      <c r="J169" s="123">
        <v>136</v>
      </c>
      <c r="K169" s="1757"/>
      <c r="L169" s="1563">
        <v>217</v>
      </c>
      <c r="M169" s="1585"/>
      <c r="N169" s="158">
        <f t="shared" si="29"/>
        <v>1.0600148198814408</v>
      </c>
      <c r="O169" s="159" t="s">
        <v>176</v>
      </c>
      <c r="P169" s="93" t="str">
        <f>IFERROR(VLOOKUP(F169,#REF!,12,FALSE),"")</f>
        <v/>
      </c>
      <c r="Q169" s="94" t="s">
        <v>8</v>
      </c>
      <c r="R169" s="46" t="str">
        <f>IFERROR(VLOOKUP(F169,#REF!,14,FALSE),"")</f>
        <v/>
      </c>
      <c r="S169" s="47">
        <f t="shared" si="30"/>
        <v>1.5955882352941178</v>
      </c>
      <c r="U169" s="1728"/>
      <c r="V169" s="206">
        <f t="shared" si="27"/>
        <v>0</v>
      </c>
      <c r="W169" s="1767"/>
      <c r="X169" s="206"/>
    </row>
    <row r="170" spans="2:24" x14ac:dyDescent="0.2">
      <c r="B170" s="1655" t="s">
        <v>144</v>
      </c>
      <c r="C170" s="161">
        <v>43258</v>
      </c>
      <c r="D170" s="162"/>
      <c r="E170" s="163"/>
      <c r="F170" s="1398"/>
      <c r="G170" s="120"/>
      <c r="H170" s="121" t="str">
        <f>IFERROR(VLOOKUP(F170,#REF!,10,FALSE),"")</f>
        <v/>
      </c>
      <c r="I170" s="122"/>
      <c r="J170" s="123"/>
      <c r="K170" s="1757"/>
      <c r="L170" s="1563"/>
      <c r="M170" s="1585"/>
      <c r="N170" s="158" t="str">
        <f t="shared" si="29"/>
        <v/>
      </c>
      <c r="O170" s="159"/>
      <c r="P170" s="93" t="str">
        <f>IFERROR(VLOOKUP(F170,#REF!,12,FALSE),"")</f>
        <v/>
      </c>
      <c r="Q170" s="94" t="s">
        <v>8</v>
      </c>
      <c r="R170" s="46" t="str">
        <f>IFERROR(VLOOKUP(F170,#REF!,14,FALSE),"")</f>
        <v/>
      </c>
      <c r="S170" s="47" t="str">
        <f t="shared" si="30"/>
        <v/>
      </c>
      <c r="U170" s="1728"/>
      <c r="V170" s="206">
        <f t="shared" si="27"/>
        <v>0</v>
      </c>
      <c r="W170" s="1767"/>
      <c r="X170" s="206"/>
    </row>
    <row r="171" spans="2:24" ht="16" thickBot="1" x14ac:dyDescent="0.25">
      <c r="B171" s="1656" t="e">
        <f>SUM(#REF!)</f>
        <v>#REF!</v>
      </c>
      <c r="C171" s="161">
        <v>43259</v>
      </c>
      <c r="D171" s="49" t="s">
        <v>105</v>
      </c>
      <c r="E171" s="156"/>
      <c r="F171" s="1398" t="s">
        <v>159</v>
      </c>
      <c r="G171" s="120">
        <v>4.7280092592592589E-2</v>
      </c>
      <c r="H171" s="121">
        <v>14.3</v>
      </c>
      <c r="I171" s="245">
        <f t="shared" si="34"/>
        <v>3.3063001813001809E-3</v>
      </c>
      <c r="J171" s="123">
        <v>157</v>
      </c>
      <c r="K171" s="1757"/>
      <c r="L171" s="1563">
        <v>242</v>
      </c>
      <c r="M171" s="1585"/>
      <c r="N171" s="158">
        <f t="shared" si="29"/>
        <v>1.0166289592760178</v>
      </c>
      <c r="O171" s="159" t="s">
        <v>16</v>
      </c>
      <c r="P171" s="93" t="str">
        <f>IFERROR(VLOOKUP(F171,#REF!,12,FALSE),"")</f>
        <v/>
      </c>
      <c r="Q171" s="94" t="s">
        <v>8</v>
      </c>
      <c r="R171" s="46" t="str">
        <f>IFERROR(VLOOKUP(F171,#REF!,14,FALSE),"")</f>
        <v/>
      </c>
      <c r="S171" s="47">
        <f t="shared" si="30"/>
        <v>1.5414012738853504</v>
      </c>
      <c r="U171" s="1728"/>
      <c r="V171" s="206">
        <f t="shared" si="27"/>
        <v>0</v>
      </c>
      <c r="W171" s="1767"/>
      <c r="X171" s="206"/>
    </row>
    <row r="172" spans="2:24" x14ac:dyDescent="0.2">
      <c r="B172" s="1657" t="s">
        <v>256</v>
      </c>
      <c r="C172" s="161">
        <v>43260</v>
      </c>
      <c r="D172" s="49"/>
      <c r="E172" s="156"/>
      <c r="F172" s="1398"/>
      <c r="G172" s="120"/>
      <c r="H172" s="121" t="str">
        <f>IFERROR(VLOOKUP(F172,#REF!,10,FALSE),"")</f>
        <v/>
      </c>
      <c r="I172" s="122"/>
      <c r="J172" s="123"/>
      <c r="K172" s="1757"/>
      <c r="L172" s="1563"/>
      <c r="M172" s="1585"/>
      <c r="N172" s="158" t="str">
        <f t="shared" si="29"/>
        <v/>
      </c>
      <c r="O172" s="159"/>
      <c r="P172" s="93" t="str">
        <f>IFERROR(VLOOKUP(F172,#REF!,12,FALSE),"")</f>
        <v/>
      </c>
      <c r="Q172" s="94" t="s">
        <v>8</v>
      </c>
      <c r="R172" s="46" t="str">
        <f>IFERROR(VLOOKUP(F172,#REF!,14,FALSE),"")</f>
        <v/>
      </c>
      <c r="S172" s="47" t="str">
        <f t="shared" si="30"/>
        <v/>
      </c>
      <c r="U172" s="1728"/>
      <c r="V172" s="206">
        <f t="shared" si="27"/>
        <v>0</v>
      </c>
      <c r="W172" s="1767"/>
      <c r="X172" s="206"/>
    </row>
    <row r="173" spans="2:24" ht="16" thickBot="1" x14ac:dyDescent="0.25">
      <c r="B173" s="1658" t="e">
        <f>AVERAGE(#REF!)</f>
        <v>#REF!</v>
      </c>
      <c r="C173" s="207">
        <v>43261</v>
      </c>
      <c r="D173" s="67" t="s">
        <v>106</v>
      </c>
      <c r="E173" s="208"/>
      <c r="F173" s="1411" t="s">
        <v>150</v>
      </c>
      <c r="G173" s="167">
        <v>5.4039351851851852E-2</v>
      </c>
      <c r="H173" s="307">
        <v>13.26</v>
      </c>
      <c r="I173" s="304">
        <f t="shared" ref="I173" si="35">G173/H173</f>
        <v>4.0753659013462937E-3</v>
      </c>
      <c r="J173" s="308">
        <v>132</v>
      </c>
      <c r="K173" s="1757"/>
      <c r="L173" s="1564">
        <v>205</v>
      </c>
      <c r="M173" s="1586"/>
      <c r="N173" s="172">
        <f t="shared" si="29"/>
        <v>1.0615129535977286</v>
      </c>
      <c r="O173" s="173" t="s">
        <v>176</v>
      </c>
      <c r="P173" s="174" t="str">
        <f>IFERROR(VLOOKUP(F173,#REF!,12,FALSE),"")</f>
        <v/>
      </c>
      <c r="Q173" s="175" t="s">
        <v>8</v>
      </c>
      <c r="R173" s="64" t="str">
        <f>IFERROR(VLOOKUP(F173,#REF!,14,FALSE),"")</f>
        <v/>
      </c>
      <c r="S173" s="65">
        <f t="shared" si="30"/>
        <v>1.553030303030303</v>
      </c>
      <c r="U173" s="1728"/>
      <c r="V173" s="68">
        <f t="shared" si="27"/>
        <v>0</v>
      </c>
      <c r="W173" s="1768"/>
      <c r="X173" s="68"/>
    </row>
    <row r="174" spans="2:24" ht="16" thickBot="1" x14ac:dyDescent="0.25">
      <c r="B174" s="1652">
        <f>B167+1</f>
        <v>24</v>
      </c>
      <c r="C174" s="69">
        <v>43262</v>
      </c>
      <c r="D174" s="70"/>
      <c r="E174" s="71"/>
      <c r="F174" s="1394"/>
      <c r="G174" s="72"/>
      <c r="H174" s="178" t="str">
        <f>IFERROR(VLOOKUP(F174,#REF!,10,FALSE),"")</f>
        <v/>
      </c>
      <c r="I174" s="179"/>
      <c r="J174" s="180"/>
      <c r="K174" s="1757"/>
      <c r="L174" s="76"/>
      <c r="M174" s="1587"/>
      <c r="N174" s="77" t="str">
        <f t="shared" si="29"/>
        <v/>
      </c>
      <c r="O174" s="78"/>
      <c r="P174" s="224" t="str">
        <f>IFERROR(VLOOKUP(F174,#REF!,12,FALSE),"")</f>
        <v/>
      </c>
      <c r="Q174" s="80" t="s">
        <v>8</v>
      </c>
      <c r="R174" s="80" t="str">
        <f>IFERROR(VLOOKUP(F174,#REF!,14,FALSE),"")</f>
        <v/>
      </c>
      <c r="S174" s="33" t="str">
        <f t="shared" si="30"/>
        <v/>
      </c>
      <c r="U174" s="1728"/>
      <c r="V174" s="243">
        <f t="shared" si="27"/>
        <v>0</v>
      </c>
      <c r="W174" s="1766"/>
      <c r="X174" s="243"/>
    </row>
    <row r="175" spans="2:24" x14ac:dyDescent="0.2">
      <c r="B175" s="1653" t="s">
        <v>142</v>
      </c>
      <c r="C175" s="84">
        <v>43263</v>
      </c>
      <c r="D175" s="162" t="s">
        <v>107</v>
      </c>
      <c r="E175" s="163"/>
      <c r="F175" s="1408" t="s">
        <v>264</v>
      </c>
      <c r="G175" s="226">
        <v>2.4594907407407409E-2</v>
      </c>
      <c r="H175" s="227">
        <v>5.86</v>
      </c>
      <c r="I175" s="244">
        <f t="shared" ref="I175:I196" si="36">G175/H175</f>
        <v>4.1970831753254962E-3</v>
      </c>
      <c r="J175" s="90">
        <v>146</v>
      </c>
      <c r="K175" s="1757"/>
      <c r="L175" s="1563">
        <v>196</v>
      </c>
      <c r="M175" s="1585"/>
      <c r="N175" s="140">
        <f t="shared" si="29"/>
        <v>1.045221843003413</v>
      </c>
      <c r="O175" s="92" t="s">
        <v>16</v>
      </c>
      <c r="P175" s="229" t="str">
        <f>IFERROR(VLOOKUP(F175,#REF!,12,FALSE),"")</f>
        <v/>
      </c>
      <c r="Q175" s="230" t="s">
        <v>8</v>
      </c>
      <c r="R175" s="46" t="str">
        <f>IFERROR(VLOOKUP(F175,#REF!,14,FALSE),"")</f>
        <v/>
      </c>
      <c r="S175" s="47">
        <f t="shared" si="30"/>
        <v>1.3424657534246576</v>
      </c>
      <c r="U175" s="1728"/>
      <c r="V175" s="50">
        <f t="shared" si="27"/>
        <v>0</v>
      </c>
      <c r="W175" s="1767"/>
      <c r="X175" s="50"/>
    </row>
    <row r="176" spans="2:24" ht="16" thickBot="1" x14ac:dyDescent="0.25">
      <c r="B176" s="1654">
        <f>SUM(H174:H180)</f>
        <v>55.89</v>
      </c>
      <c r="C176" s="84">
        <v>43264</v>
      </c>
      <c r="D176" s="162" t="s">
        <v>108</v>
      </c>
      <c r="E176" s="163"/>
      <c r="F176" s="1408" t="s">
        <v>173</v>
      </c>
      <c r="G176" s="226">
        <v>3.5868055555555556E-2</v>
      </c>
      <c r="H176" s="227">
        <v>9.83</v>
      </c>
      <c r="I176" s="244">
        <f t="shared" si="36"/>
        <v>3.6488357635356618E-3</v>
      </c>
      <c r="J176" s="90">
        <v>141</v>
      </c>
      <c r="K176" s="1757"/>
      <c r="L176" s="1563">
        <v>228</v>
      </c>
      <c r="M176" s="1585"/>
      <c r="N176" s="140">
        <f t="shared" si="29"/>
        <v>1.0570462569564958</v>
      </c>
      <c r="O176" s="92"/>
      <c r="P176" s="229" t="str">
        <f>IFERROR(VLOOKUP(F176,#REF!,12,FALSE),"")</f>
        <v/>
      </c>
      <c r="Q176" s="230" t="s">
        <v>8</v>
      </c>
      <c r="R176" s="46" t="str">
        <f>IFERROR(VLOOKUP(F176,#REF!,14,FALSE),"")</f>
        <v/>
      </c>
      <c r="S176" s="47">
        <f t="shared" si="30"/>
        <v>1.6170212765957446</v>
      </c>
      <c r="U176" s="1728"/>
      <c r="V176" s="50">
        <f t="shared" si="27"/>
        <v>0</v>
      </c>
      <c r="W176" s="1767"/>
      <c r="X176" s="50"/>
    </row>
    <row r="177" spans="2:24" x14ac:dyDescent="0.2">
      <c r="B177" s="1655" t="s">
        <v>144</v>
      </c>
      <c r="C177" s="84">
        <v>43265</v>
      </c>
      <c r="D177" s="162"/>
      <c r="E177" s="163"/>
      <c r="F177" s="1408"/>
      <c r="G177" s="226"/>
      <c r="H177" s="227" t="str">
        <f>IFERROR(VLOOKUP(F177,#REF!,10,FALSE),"")</f>
        <v/>
      </c>
      <c r="I177" s="231"/>
      <c r="J177" s="90"/>
      <c r="K177" s="1757"/>
      <c r="L177" s="1563"/>
      <c r="M177" s="1585"/>
      <c r="N177" s="140" t="str">
        <f t="shared" si="29"/>
        <v/>
      </c>
      <c r="O177" s="92"/>
      <c r="P177" s="229" t="str">
        <f>IFERROR(VLOOKUP(F177,#REF!,12,FALSE),"")</f>
        <v/>
      </c>
      <c r="Q177" s="230" t="s">
        <v>8</v>
      </c>
      <c r="R177" s="46" t="str">
        <f>IFERROR(VLOOKUP(F177,#REF!,14,FALSE),"")</f>
        <v/>
      </c>
      <c r="S177" s="47" t="str">
        <f t="shared" si="30"/>
        <v/>
      </c>
      <c r="U177" s="1728"/>
      <c r="V177" s="50">
        <f t="shared" si="27"/>
        <v>0</v>
      </c>
      <c r="W177" s="1767"/>
      <c r="X177" s="50"/>
    </row>
    <row r="178" spans="2:24" ht="16" thickBot="1" x14ac:dyDescent="0.25">
      <c r="B178" s="1656" t="e">
        <f>SUM(#REF!)</f>
        <v>#REF!</v>
      </c>
      <c r="C178" s="84">
        <v>43266</v>
      </c>
      <c r="D178" s="162" t="s">
        <v>109</v>
      </c>
      <c r="E178" s="163"/>
      <c r="F178" s="1408" t="s">
        <v>149</v>
      </c>
      <c r="G178" s="226">
        <v>4.8125000000000001E-2</v>
      </c>
      <c r="H178" s="227">
        <v>12.1</v>
      </c>
      <c r="I178" s="244">
        <f t="shared" si="36"/>
        <v>3.9772727272727277E-3</v>
      </c>
      <c r="J178" s="90">
        <v>127</v>
      </c>
      <c r="K178" s="1757"/>
      <c r="L178" s="1563">
        <v>212</v>
      </c>
      <c r="M178" s="1585"/>
      <c r="N178" s="140">
        <f t="shared" si="29"/>
        <v>1.0713368983957219</v>
      </c>
      <c r="O178" s="92" t="s">
        <v>176</v>
      </c>
      <c r="P178" s="229" t="str">
        <f>IFERROR(VLOOKUP(F178,#REF!,12,FALSE),"")</f>
        <v/>
      </c>
      <c r="Q178" s="230" t="s">
        <v>8</v>
      </c>
      <c r="R178" s="46" t="str">
        <f>IFERROR(VLOOKUP(F178,#REF!,14,FALSE),"")</f>
        <v/>
      </c>
      <c r="S178" s="47">
        <f t="shared" si="30"/>
        <v>1.6692913385826771</v>
      </c>
      <c r="U178" s="1728"/>
      <c r="V178" s="50">
        <f t="shared" si="27"/>
        <v>0</v>
      </c>
      <c r="W178" s="1767"/>
      <c r="X178" s="50"/>
    </row>
    <row r="179" spans="2:24" x14ac:dyDescent="0.2">
      <c r="B179" s="1657" t="s">
        <v>256</v>
      </c>
      <c r="C179" s="84">
        <v>43267</v>
      </c>
      <c r="D179" s="162" t="s">
        <v>110</v>
      </c>
      <c r="E179" s="163"/>
      <c r="F179" s="1408" t="s">
        <v>173</v>
      </c>
      <c r="G179" s="226">
        <v>4.7002314814814816E-2</v>
      </c>
      <c r="H179" s="227">
        <v>11.5</v>
      </c>
      <c r="I179" s="244">
        <f t="shared" si="36"/>
        <v>4.0871578099838969E-3</v>
      </c>
      <c r="J179" s="90">
        <v>146</v>
      </c>
      <c r="K179" s="1757"/>
      <c r="L179" s="1563">
        <v>206</v>
      </c>
      <c r="M179" s="1585"/>
      <c r="N179" s="140">
        <f t="shared" si="29"/>
        <v>1.0697774936061382</v>
      </c>
      <c r="O179" s="92" t="s">
        <v>176</v>
      </c>
      <c r="P179" s="229" t="str">
        <f>IFERROR(VLOOKUP(F179,#REF!,12,FALSE),"")</f>
        <v/>
      </c>
      <c r="Q179" s="230" t="s">
        <v>8</v>
      </c>
      <c r="R179" s="46" t="str">
        <f>IFERROR(VLOOKUP(F179,#REF!,14,FALSE),"")</f>
        <v/>
      </c>
      <c r="S179" s="47">
        <f t="shared" si="30"/>
        <v>1.4109589041095891</v>
      </c>
      <c r="U179" s="1728"/>
      <c r="V179" s="50">
        <f t="shared" si="27"/>
        <v>0</v>
      </c>
      <c r="W179" s="1767"/>
      <c r="X179" s="50"/>
    </row>
    <row r="180" spans="2:24" ht="16" thickBot="1" x14ac:dyDescent="0.25">
      <c r="B180" s="1658" t="e">
        <f>AVERAGE(#REF!)</f>
        <v>#REF!</v>
      </c>
      <c r="C180" s="141">
        <v>43268</v>
      </c>
      <c r="D180" s="205" t="s">
        <v>111</v>
      </c>
      <c r="E180" s="306"/>
      <c r="F180" s="1396" t="s">
        <v>151</v>
      </c>
      <c r="G180" s="98">
        <v>6.5104166666666671E-2</v>
      </c>
      <c r="H180" s="183">
        <v>16.600000000000001</v>
      </c>
      <c r="I180" s="184">
        <f t="shared" si="36"/>
        <v>3.9219377510040163E-3</v>
      </c>
      <c r="J180" s="185">
        <v>147</v>
      </c>
      <c r="K180" s="1757"/>
      <c r="L180" s="1565">
        <v>207</v>
      </c>
      <c r="M180" s="1588"/>
      <c r="N180" s="186">
        <f t="shared" si="29"/>
        <v>1.0315157689581858</v>
      </c>
      <c r="O180" s="104" t="s">
        <v>17</v>
      </c>
      <c r="P180" s="105" t="str">
        <f>IFERROR(VLOOKUP(F180,#REF!,12,FALSE),"")</f>
        <v/>
      </c>
      <c r="Q180" s="107" t="s">
        <v>8</v>
      </c>
      <c r="R180" s="107" t="str">
        <f>IFERROR(VLOOKUP(F180,#REF!,14,FALSE),"")</f>
        <v/>
      </c>
      <c r="S180" s="65">
        <f t="shared" si="30"/>
        <v>1.4081632653061225</v>
      </c>
      <c r="U180" s="1728"/>
      <c r="V180" s="109">
        <f t="shared" si="27"/>
        <v>0</v>
      </c>
      <c r="W180" s="1768"/>
      <c r="X180" s="109"/>
    </row>
    <row r="181" spans="2:24" ht="16" thickBot="1" x14ac:dyDescent="0.25">
      <c r="B181" s="1652">
        <f>B174+1</f>
        <v>25</v>
      </c>
      <c r="C181" s="142">
        <v>43269</v>
      </c>
      <c r="D181" s="143"/>
      <c r="E181" s="144"/>
      <c r="F181" s="1410"/>
      <c r="G181" s="145"/>
      <c r="H181" s="234" t="str">
        <f>IFERROR(VLOOKUP(F181,#REF!,10,FALSE),"")</f>
        <v/>
      </c>
      <c r="I181" s="235"/>
      <c r="J181" s="236"/>
      <c r="K181" s="1757"/>
      <c r="L181" s="1562"/>
      <c r="M181" s="1584"/>
      <c r="N181" s="150" t="str">
        <f t="shared" ref="N181:N200" si="37">IFERROR((L181/68)/(1/(I181*24)/3.6),"")</f>
        <v/>
      </c>
      <c r="O181" s="151"/>
      <c r="P181" s="214" t="str">
        <f>IFERROR(VLOOKUP(F181,#REF!,12,FALSE),"")</f>
        <v/>
      </c>
      <c r="Q181" s="153" t="s">
        <v>8</v>
      </c>
      <c r="R181" s="32" t="str">
        <f>IFERROR(VLOOKUP(F181,#REF!,14,FALSE),"")</f>
        <v/>
      </c>
      <c r="S181" s="33" t="str">
        <f t="shared" ref="S181:S200" si="38">IFERROR(L181/J181,"")</f>
        <v/>
      </c>
      <c r="U181" s="1728"/>
      <c r="V181" s="192">
        <f t="shared" si="27"/>
        <v>0</v>
      </c>
      <c r="W181" s="1766"/>
      <c r="X181" s="192"/>
    </row>
    <row r="182" spans="2:24" x14ac:dyDescent="0.2">
      <c r="B182" s="1653" t="s">
        <v>142</v>
      </c>
      <c r="C182" s="155">
        <v>43270</v>
      </c>
      <c r="D182" s="49" t="s">
        <v>171</v>
      </c>
      <c r="E182" s="156"/>
      <c r="F182" s="1398" t="s">
        <v>262</v>
      </c>
      <c r="G182" s="120">
        <v>2.7650462962962963E-2</v>
      </c>
      <c r="H182" s="121">
        <v>6.85</v>
      </c>
      <c r="I182" s="245">
        <f t="shared" si="36"/>
        <v>4.0365639361989733E-3</v>
      </c>
      <c r="J182" s="123">
        <v>143</v>
      </c>
      <c r="K182" s="1757"/>
      <c r="L182" s="1563">
        <v>199</v>
      </c>
      <c r="M182" s="1585"/>
      <c r="N182" s="158">
        <f t="shared" si="37"/>
        <v>1.0206333190210393</v>
      </c>
      <c r="O182" s="159" t="s">
        <v>16</v>
      </c>
      <c r="P182" s="93" t="str">
        <f>IFERROR(VLOOKUP(F182,#REF!,12,FALSE),"")</f>
        <v/>
      </c>
      <c r="Q182" s="94" t="s">
        <v>8</v>
      </c>
      <c r="R182" s="46" t="str">
        <f>IFERROR(VLOOKUP(F182,#REF!,14,FALSE),"")</f>
        <v/>
      </c>
      <c r="S182" s="47">
        <f t="shared" si="38"/>
        <v>1.3916083916083917</v>
      </c>
      <c r="U182" s="1728"/>
      <c r="V182" s="206">
        <f t="shared" si="27"/>
        <v>0</v>
      </c>
      <c r="W182" s="1767"/>
      <c r="X182" s="206"/>
    </row>
    <row r="183" spans="2:24" ht="16" thickBot="1" x14ac:dyDescent="0.25">
      <c r="B183" s="1654">
        <f>SUM(H181:H187)</f>
        <v>55.33</v>
      </c>
      <c r="C183" s="161">
        <v>43271</v>
      </c>
      <c r="D183" s="49" t="s">
        <v>112</v>
      </c>
      <c r="E183" s="156"/>
      <c r="F183" s="1398" t="s">
        <v>173</v>
      </c>
      <c r="G183" s="120">
        <v>4.4513888888888888E-2</v>
      </c>
      <c r="H183" s="121">
        <v>11.3</v>
      </c>
      <c r="I183" s="245">
        <f t="shared" si="36"/>
        <v>3.9392822025565381E-3</v>
      </c>
      <c r="J183" s="123">
        <v>130</v>
      </c>
      <c r="K183" s="1757"/>
      <c r="L183" s="1563">
        <v>211</v>
      </c>
      <c r="M183" s="1585"/>
      <c r="N183" s="158">
        <f t="shared" si="37"/>
        <v>1.0560983862571576</v>
      </c>
      <c r="O183" s="159" t="s">
        <v>176</v>
      </c>
      <c r="P183" s="93" t="str">
        <f>IFERROR(VLOOKUP(F183,#REF!,12,FALSE),"")</f>
        <v/>
      </c>
      <c r="Q183" s="94" t="s">
        <v>8</v>
      </c>
      <c r="R183" s="46" t="str">
        <f>IFERROR(VLOOKUP(F183,#REF!,14,FALSE),"")</f>
        <v/>
      </c>
      <c r="S183" s="47">
        <f t="shared" si="38"/>
        <v>1.6230769230769231</v>
      </c>
      <c r="U183" s="1728"/>
      <c r="V183" s="206">
        <f t="shared" si="27"/>
        <v>0</v>
      </c>
      <c r="W183" s="1767"/>
      <c r="X183" s="206"/>
    </row>
    <row r="184" spans="2:24" x14ac:dyDescent="0.2">
      <c r="B184" s="1655" t="s">
        <v>144</v>
      </c>
      <c r="C184" s="161">
        <v>43272</v>
      </c>
      <c r="D184" s="49" t="s">
        <v>113</v>
      </c>
      <c r="E184" s="156"/>
      <c r="F184" s="1398" t="s">
        <v>169</v>
      </c>
      <c r="G184" s="120">
        <v>2.8252314814814813E-2</v>
      </c>
      <c r="H184" s="121">
        <v>7.81</v>
      </c>
      <c r="I184" s="122">
        <f t="shared" si="36"/>
        <v>3.6174538815383888E-3</v>
      </c>
      <c r="J184" s="123">
        <v>149</v>
      </c>
      <c r="K184" s="1757"/>
      <c r="L184" s="1563">
        <v>221</v>
      </c>
      <c r="M184" s="1585"/>
      <c r="N184" s="158">
        <f t="shared" si="37"/>
        <v>1.0157810499359796</v>
      </c>
      <c r="O184" s="159" t="s">
        <v>16</v>
      </c>
      <c r="P184" s="93" t="str">
        <f>IFERROR(VLOOKUP(F184,#REF!,12,FALSE),"")</f>
        <v/>
      </c>
      <c r="Q184" s="94" t="s">
        <v>8</v>
      </c>
      <c r="R184" s="46" t="str">
        <f>IFERROR(VLOOKUP(F184,#REF!,14,FALSE),"")</f>
        <v/>
      </c>
      <c r="S184" s="47">
        <f t="shared" si="38"/>
        <v>1.4832214765100671</v>
      </c>
      <c r="U184" s="1728"/>
      <c r="V184" s="206">
        <f t="shared" si="27"/>
        <v>0</v>
      </c>
      <c r="W184" s="1767"/>
      <c r="X184" s="206"/>
    </row>
    <row r="185" spans="2:24" ht="16" thickBot="1" x14ac:dyDescent="0.25">
      <c r="B185" s="1656" t="e">
        <f>SUM(#REF!)</f>
        <v>#REF!</v>
      </c>
      <c r="C185" s="161">
        <v>43273</v>
      </c>
      <c r="D185" s="49" t="s">
        <v>114</v>
      </c>
      <c r="E185" s="156"/>
      <c r="F185" s="1398" t="s">
        <v>173</v>
      </c>
      <c r="G185" s="120">
        <v>4.4108796296296299E-2</v>
      </c>
      <c r="H185" s="121">
        <v>11.3</v>
      </c>
      <c r="I185" s="122">
        <f t="shared" si="36"/>
        <v>3.9034333005571941E-3</v>
      </c>
      <c r="J185" s="123">
        <v>127</v>
      </c>
      <c r="K185" s="1757"/>
      <c r="L185" s="1563">
        <v>214</v>
      </c>
      <c r="M185" s="1585"/>
      <c r="N185" s="158">
        <f t="shared" si="37"/>
        <v>1.0613664757938572</v>
      </c>
      <c r="O185" s="159" t="s">
        <v>176</v>
      </c>
      <c r="P185" s="93" t="str">
        <f>IFERROR(VLOOKUP(F185,#REF!,12,FALSE),"")</f>
        <v/>
      </c>
      <c r="Q185" s="94" t="s">
        <v>8</v>
      </c>
      <c r="R185" s="46" t="str">
        <f>IFERROR(VLOOKUP(F185,#REF!,14,FALSE),"")</f>
        <v/>
      </c>
      <c r="S185" s="47">
        <f t="shared" si="38"/>
        <v>1.6850393700787401</v>
      </c>
      <c r="U185" s="1728"/>
      <c r="V185" s="206">
        <f t="shared" si="27"/>
        <v>0</v>
      </c>
      <c r="W185" s="1767"/>
      <c r="X185" s="206"/>
    </row>
    <row r="186" spans="2:24" x14ac:dyDescent="0.2">
      <c r="B186" s="1657" t="s">
        <v>256</v>
      </c>
      <c r="C186" s="161">
        <v>43274</v>
      </c>
      <c r="D186" s="49"/>
      <c r="E186" s="156"/>
      <c r="F186" s="1398"/>
      <c r="G186" s="120"/>
      <c r="H186" s="121" t="str">
        <f>IFERROR(VLOOKUP(F186,#REF!,10,FALSE),"")</f>
        <v/>
      </c>
      <c r="I186" s="122"/>
      <c r="J186" s="123"/>
      <c r="K186" s="1757"/>
      <c r="L186" s="1563"/>
      <c r="M186" s="1585"/>
      <c r="N186" s="158" t="str">
        <f t="shared" si="37"/>
        <v/>
      </c>
      <c r="O186" s="159"/>
      <c r="P186" s="93" t="str">
        <f>IFERROR(VLOOKUP(F186,#REF!,12,FALSE),"")</f>
        <v/>
      </c>
      <c r="Q186" s="94" t="s">
        <v>8</v>
      </c>
      <c r="R186" s="46" t="str">
        <f>IFERROR(VLOOKUP(F186,#REF!,14,FALSE),"")</f>
        <v/>
      </c>
      <c r="S186" s="47" t="str">
        <f t="shared" si="38"/>
        <v/>
      </c>
      <c r="U186" s="1728"/>
      <c r="V186" s="206">
        <f t="shared" si="27"/>
        <v>0</v>
      </c>
      <c r="W186" s="1767"/>
      <c r="X186" s="206"/>
    </row>
    <row r="187" spans="2:24" ht="16" thickBot="1" x14ac:dyDescent="0.25">
      <c r="B187" s="1658" t="e">
        <f>AVERAGE(#REF!)</f>
        <v>#REF!</v>
      </c>
      <c r="C187" s="207">
        <v>43275</v>
      </c>
      <c r="D187" s="67" t="s">
        <v>115</v>
      </c>
      <c r="E187" s="208"/>
      <c r="F187" s="1411" t="s">
        <v>152</v>
      </c>
      <c r="G187" s="167">
        <v>7.075231481481481E-2</v>
      </c>
      <c r="H187" s="307">
        <v>18.07</v>
      </c>
      <c r="I187" s="304">
        <f t="shared" si="36"/>
        <v>3.9154573776875928E-3</v>
      </c>
      <c r="J187" s="308">
        <v>136</v>
      </c>
      <c r="K187" s="1757"/>
      <c r="L187" s="1564">
        <v>212</v>
      </c>
      <c r="M187" s="1586"/>
      <c r="N187" s="172">
        <f t="shared" si="37"/>
        <v>1.0546860249357073</v>
      </c>
      <c r="O187" s="173" t="s">
        <v>17</v>
      </c>
      <c r="P187" s="174" t="str">
        <f>IFERROR(VLOOKUP(F187,#REF!,12,FALSE),"")</f>
        <v/>
      </c>
      <c r="Q187" s="175" t="s">
        <v>8</v>
      </c>
      <c r="R187" s="64" t="str">
        <f>IFERROR(VLOOKUP(F187,#REF!,14,FALSE),"")</f>
        <v/>
      </c>
      <c r="S187" s="65">
        <f t="shared" si="38"/>
        <v>1.5588235294117647</v>
      </c>
      <c r="U187" s="1728"/>
      <c r="V187" s="68">
        <f t="shared" si="27"/>
        <v>0</v>
      </c>
      <c r="W187" s="1768"/>
      <c r="X187" s="68"/>
    </row>
    <row r="188" spans="2:24" ht="16" thickBot="1" x14ac:dyDescent="0.25">
      <c r="B188" s="1652">
        <f>B181+1</f>
        <v>26</v>
      </c>
      <c r="C188" s="193">
        <v>43276</v>
      </c>
      <c r="D188" s="70"/>
      <c r="E188" s="71"/>
      <c r="F188" s="1406"/>
      <c r="G188" s="72"/>
      <c r="H188" s="178" t="str">
        <f>IFERROR(VLOOKUP(F188,#REF!,10,FALSE),"")</f>
        <v/>
      </c>
      <c r="I188" s="179"/>
      <c r="J188" s="180"/>
      <c r="K188" s="1757"/>
      <c r="L188" s="76"/>
      <c r="M188" s="1587"/>
      <c r="N188" s="77" t="str">
        <f t="shared" si="37"/>
        <v/>
      </c>
      <c r="O188" s="78"/>
      <c r="P188" s="224" t="str">
        <f>IFERROR(VLOOKUP(F188,#REF!,12,FALSE),"")</f>
        <v/>
      </c>
      <c r="Q188" s="80" t="s">
        <v>8</v>
      </c>
      <c r="R188" s="80" t="str">
        <f>IFERROR(VLOOKUP(F188,#REF!,14,FALSE),"")</f>
        <v/>
      </c>
      <c r="S188" s="33" t="str">
        <f t="shared" si="38"/>
        <v/>
      </c>
      <c r="U188" s="1728"/>
      <c r="V188" s="82">
        <f t="shared" si="27"/>
        <v>0</v>
      </c>
      <c r="W188" s="1766"/>
      <c r="X188" s="82"/>
    </row>
    <row r="189" spans="2:24" x14ac:dyDescent="0.2">
      <c r="B189" s="1653" t="s">
        <v>142</v>
      </c>
      <c r="C189" s="84">
        <v>43277</v>
      </c>
      <c r="D189" s="162" t="s">
        <v>116</v>
      </c>
      <c r="E189" s="163"/>
      <c r="F189" s="1413" t="s">
        <v>263</v>
      </c>
      <c r="G189" s="226">
        <v>3.577546296296296E-2</v>
      </c>
      <c r="H189" s="227">
        <v>9.1199999999999992</v>
      </c>
      <c r="I189" s="89">
        <f t="shared" si="36"/>
        <v>3.9227481319038335E-3</v>
      </c>
      <c r="J189" s="90">
        <v>147</v>
      </c>
      <c r="K189" s="1757"/>
      <c r="L189" s="1563">
        <v>202</v>
      </c>
      <c r="M189" s="1585"/>
      <c r="N189" s="140">
        <f t="shared" si="37"/>
        <v>1.0068079205366356</v>
      </c>
      <c r="O189" s="92" t="s">
        <v>16</v>
      </c>
      <c r="P189" s="229" t="str">
        <f>IFERROR(VLOOKUP(F189,#REF!,12,FALSE),"")</f>
        <v/>
      </c>
      <c r="Q189" s="230" t="s">
        <v>8</v>
      </c>
      <c r="R189" s="46" t="str">
        <f>IFERROR(VLOOKUP(F189,#REF!,14,FALSE),"")</f>
        <v/>
      </c>
      <c r="S189" s="47">
        <f t="shared" si="38"/>
        <v>1.3741496598639455</v>
      </c>
      <c r="U189" s="1728"/>
      <c r="V189" s="50">
        <f t="shared" si="27"/>
        <v>0</v>
      </c>
      <c r="W189" s="1767"/>
      <c r="X189" s="50"/>
    </row>
    <row r="190" spans="2:24" ht="16" thickBot="1" x14ac:dyDescent="0.25">
      <c r="B190" s="1654">
        <f>SUM(H188:H194)</f>
        <v>60.89</v>
      </c>
      <c r="C190" s="84">
        <v>43278</v>
      </c>
      <c r="D190" s="162" t="s">
        <v>117</v>
      </c>
      <c r="E190" s="163"/>
      <c r="F190" s="1413" t="s">
        <v>173</v>
      </c>
      <c r="G190" s="226">
        <v>4.5185185185185189E-2</v>
      </c>
      <c r="H190" s="227">
        <v>11.4</v>
      </c>
      <c r="I190" s="89">
        <f t="shared" si="36"/>
        <v>3.9636127355425601E-3</v>
      </c>
      <c r="J190" s="90">
        <v>131</v>
      </c>
      <c r="K190" s="1757"/>
      <c r="L190" s="1563">
        <v>209</v>
      </c>
      <c r="M190" s="1585"/>
      <c r="N190" s="140">
        <f t="shared" si="37"/>
        <v>1.0525490196078433</v>
      </c>
      <c r="O190" s="92" t="s">
        <v>176</v>
      </c>
      <c r="P190" s="229" t="str">
        <f>IFERROR(VLOOKUP(F190,#REF!,12,FALSE),"")</f>
        <v/>
      </c>
      <c r="Q190" s="230" t="s">
        <v>8</v>
      </c>
      <c r="R190" s="46" t="str">
        <f>IFERROR(VLOOKUP(F190,#REF!,14,FALSE),"")</f>
        <v/>
      </c>
      <c r="S190" s="47">
        <f t="shared" si="38"/>
        <v>1.5954198473282444</v>
      </c>
      <c r="U190" s="1728"/>
      <c r="V190" s="50">
        <f t="shared" si="27"/>
        <v>0</v>
      </c>
      <c r="W190" s="1767"/>
      <c r="X190" s="50"/>
    </row>
    <row r="191" spans="2:24" x14ac:dyDescent="0.2">
      <c r="B191" s="1655" t="s">
        <v>144</v>
      </c>
      <c r="C191" s="84">
        <v>43279</v>
      </c>
      <c r="D191" s="162"/>
      <c r="E191" s="163"/>
      <c r="F191" s="1413"/>
      <c r="G191" s="226"/>
      <c r="H191" s="227" t="str">
        <f>IFERROR(VLOOKUP(F191,#REF!,10,FALSE),"")</f>
        <v/>
      </c>
      <c r="I191" s="231"/>
      <c r="J191" s="90"/>
      <c r="K191" s="1757"/>
      <c r="L191" s="1563"/>
      <c r="M191" s="1585"/>
      <c r="N191" s="140" t="str">
        <f t="shared" si="37"/>
        <v/>
      </c>
      <c r="O191" s="92"/>
      <c r="P191" s="229" t="str">
        <f>IFERROR(VLOOKUP(F191,#REF!,12,FALSE),"")</f>
        <v/>
      </c>
      <c r="Q191" s="230" t="s">
        <v>8</v>
      </c>
      <c r="R191" s="46" t="str">
        <f>IFERROR(VLOOKUP(F191,#REF!,14,FALSE),"")</f>
        <v/>
      </c>
      <c r="S191" s="47" t="str">
        <f t="shared" si="38"/>
        <v/>
      </c>
      <c r="U191" s="1728"/>
      <c r="V191" s="50">
        <f t="shared" si="27"/>
        <v>0</v>
      </c>
      <c r="W191" s="1767"/>
      <c r="X191" s="50"/>
    </row>
    <row r="192" spans="2:24" ht="16" thickBot="1" x14ac:dyDescent="0.25">
      <c r="B192" s="1656" t="e">
        <f>SUM(#REF!)</f>
        <v>#REF!</v>
      </c>
      <c r="C192" s="84">
        <v>43280</v>
      </c>
      <c r="D192" s="162" t="s">
        <v>118</v>
      </c>
      <c r="E192" s="163"/>
      <c r="F192" s="1413" t="s">
        <v>170</v>
      </c>
      <c r="G192" s="226">
        <v>3.4606481481481481E-2</v>
      </c>
      <c r="H192" s="227">
        <v>9.02</v>
      </c>
      <c r="I192" s="89">
        <f t="shared" si="36"/>
        <v>3.8366387451753306E-3</v>
      </c>
      <c r="J192" s="90">
        <v>151</v>
      </c>
      <c r="K192" s="1757"/>
      <c r="L192" s="1563">
        <v>213</v>
      </c>
      <c r="M192" s="1585"/>
      <c r="N192" s="140">
        <f t="shared" si="37"/>
        <v>1.0383298552236859</v>
      </c>
      <c r="O192" s="92" t="s">
        <v>16</v>
      </c>
      <c r="P192" s="229" t="str">
        <f>IFERROR(VLOOKUP(F192,#REF!,12,FALSE),"")</f>
        <v/>
      </c>
      <c r="Q192" s="230" t="s">
        <v>8</v>
      </c>
      <c r="R192" s="46" t="str">
        <f>IFERROR(VLOOKUP(F192,#REF!,14,FALSE),"")</f>
        <v/>
      </c>
      <c r="S192" s="47">
        <f t="shared" si="38"/>
        <v>1.4105960264900663</v>
      </c>
      <c r="U192" s="1728"/>
      <c r="V192" s="50">
        <f t="shared" si="27"/>
        <v>0</v>
      </c>
      <c r="W192" s="1767"/>
      <c r="X192" s="50"/>
    </row>
    <row r="193" spans="2:24" x14ac:dyDescent="0.2">
      <c r="B193" s="1657" t="s">
        <v>256</v>
      </c>
      <c r="C193" s="84">
        <v>43281</v>
      </c>
      <c r="D193" s="162" t="s">
        <v>119</v>
      </c>
      <c r="E193" s="163"/>
      <c r="F193" s="1413" t="s">
        <v>173</v>
      </c>
      <c r="G193" s="226">
        <v>4.4930555555555557E-2</v>
      </c>
      <c r="H193" s="227">
        <v>11.4</v>
      </c>
      <c r="I193" s="89">
        <f t="shared" si="36"/>
        <v>3.9412768031189087E-3</v>
      </c>
      <c r="J193" s="90">
        <v>134</v>
      </c>
      <c r="K193" s="1757"/>
      <c r="L193" s="1563">
        <v>213</v>
      </c>
      <c r="M193" s="1585"/>
      <c r="N193" s="140">
        <f t="shared" si="37"/>
        <v>1.0666486068111456</v>
      </c>
      <c r="O193" s="92" t="s">
        <v>176</v>
      </c>
      <c r="P193" s="229" t="str">
        <f>IFERROR(VLOOKUP(F193,#REF!,12,FALSE),"")</f>
        <v/>
      </c>
      <c r="Q193" s="230" t="s">
        <v>8</v>
      </c>
      <c r="R193" s="46" t="str">
        <f>IFERROR(VLOOKUP(F193,#REF!,14,FALSE),"")</f>
        <v/>
      </c>
      <c r="S193" s="47">
        <f t="shared" si="38"/>
        <v>1.5895522388059702</v>
      </c>
      <c r="U193" s="1728"/>
      <c r="V193" s="50">
        <f t="shared" si="27"/>
        <v>0</v>
      </c>
      <c r="W193" s="1767"/>
      <c r="X193" s="50"/>
    </row>
    <row r="194" spans="2:24" ht="16" thickBot="1" x14ac:dyDescent="0.25">
      <c r="B194" s="1658" t="e">
        <f>AVERAGE(#REF!)</f>
        <v>#REF!</v>
      </c>
      <c r="C194" s="280">
        <v>43282</v>
      </c>
      <c r="D194" s="181" t="s">
        <v>120</v>
      </c>
      <c r="E194" s="182"/>
      <c r="F194" s="1402" t="s">
        <v>153</v>
      </c>
      <c r="G194" s="98">
        <v>7.8634259259259265E-2</v>
      </c>
      <c r="H194" s="183">
        <v>19.95</v>
      </c>
      <c r="I194" s="184">
        <f t="shared" si="36"/>
        <v>3.9415668801633715E-3</v>
      </c>
      <c r="J194" s="185">
        <v>136</v>
      </c>
      <c r="K194" s="1757"/>
      <c r="L194" s="1565">
        <v>214</v>
      </c>
      <c r="M194" s="1588"/>
      <c r="N194" s="186">
        <f t="shared" si="37"/>
        <v>1.0717352204039512</v>
      </c>
      <c r="O194" s="104" t="s">
        <v>17</v>
      </c>
      <c r="P194" s="105" t="str">
        <f>IFERROR(VLOOKUP(F194,#REF!,12,FALSE),"")</f>
        <v/>
      </c>
      <c r="Q194" s="107" t="s">
        <v>8</v>
      </c>
      <c r="R194" s="107" t="str">
        <f>IFERROR(VLOOKUP(F194,#REF!,14,FALSE),"")</f>
        <v/>
      </c>
      <c r="S194" s="65">
        <f t="shared" si="38"/>
        <v>1.5735294117647058</v>
      </c>
      <c r="U194" s="1728"/>
      <c r="V194" s="109">
        <f t="shared" si="27"/>
        <v>0</v>
      </c>
      <c r="W194" s="1768"/>
      <c r="X194" s="109"/>
    </row>
    <row r="195" spans="2:24" ht="16" thickBot="1" x14ac:dyDescent="0.25">
      <c r="B195" s="1652">
        <f>B188+1</f>
        <v>27</v>
      </c>
      <c r="C195" s="189">
        <v>43283</v>
      </c>
      <c r="D195" s="143"/>
      <c r="E195" s="144"/>
      <c r="F195" s="1421"/>
      <c r="G195" s="145"/>
      <c r="H195" s="234" t="str">
        <f>IFERROR(VLOOKUP(F195,#REF!,10,FALSE),"")</f>
        <v/>
      </c>
      <c r="I195" s="309"/>
      <c r="J195" s="149"/>
      <c r="K195" s="1757"/>
      <c r="L195" s="1562"/>
      <c r="M195" s="1584"/>
      <c r="N195" s="150" t="str">
        <f t="shared" si="37"/>
        <v/>
      </c>
      <c r="O195" s="151"/>
      <c r="P195" s="214" t="str">
        <f>IFERROR(VLOOKUP(F195,#REF!,12,FALSE),"")</f>
        <v/>
      </c>
      <c r="Q195" s="153" t="s">
        <v>8</v>
      </c>
      <c r="R195" s="32" t="str">
        <f>IFERROR(VLOOKUP(F195,#REF!,14,FALSE),"")</f>
        <v/>
      </c>
      <c r="S195" s="33" t="str">
        <f t="shared" si="38"/>
        <v/>
      </c>
      <c r="U195" s="1728"/>
      <c r="V195" s="34">
        <f t="shared" si="27"/>
        <v>0</v>
      </c>
      <c r="W195" s="1766"/>
      <c r="X195" s="34"/>
    </row>
    <row r="196" spans="2:24" x14ac:dyDescent="0.2">
      <c r="B196" s="1653" t="s">
        <v>142</v>
      </c>
      <c r="C196" s="155">
        <v>43284</v>
      </c>
      <c r="D196" s="49" t="s">
        <v>121</v>
      </c>
      <c r="E196" s="156"/>
      <c r="F196" s="1404" t="s">
        <v>260</v>
      </c>
      <c r="G196" s="120">
        <v>4.1400462962962965E-2</v>
      </c>
      <c r="H196" s="121">
        <v>10.8</v>
      </c>
      <c r="I196" s="310">
        <f t="shared" si="36"/>
        <v>3.8333762002743482E-3</v>
      </c>
      <c r="J196" s="157">
        <v>149</v>
      </c>
      <c r="K196" s="1757"/>
      <c r="L196" s="1563">
        <v>210</v>
      </c>
      <c r="M196" s="1585"/>
      <c r="N196" s="158">
        <f t="shared" si="37"/>
        <v>1.0228349673202615</v>
      </c>
      <c r="O196" s="159" t="s">
        <v>176</v>
      </c>
      <c r="P196" s="93" t="str">
        <f>IFERROR(VLOOKUP(F196,#REF!,12,FALSE),"")</f>
        <v/>
      </c>
      <c r="Q196" s="94" t="s">
        <v>8</v>
      </c>
      <c r="R196" s="46" t="str">
        <f>IFERROR(VLOOKUP(F196,#REF!,14,FALSE),"")</f>
        <v/>
      </c>
      <c r="S196" s="47">
        <f t="shared" si="38"/>
        <v>1.4093959731543624</v>
      </c>
      <c r="U196" s="1728"/>
      <c r="V196" s="206">
        <f t="shared" si="27"/>
        <v>0</v>
      </c>
      <c r="W196" s="1767"/>
      <c r="X196" s="206"/>
    </row>
    <row r="197" spans="2:24" ht="16" thickBot="1" x14ac:dyDescent="0.25">
      <c r="B197" s="1654">
        <f>SUM(H195:H201)</f>
        <v>65.819999999999993</v>
      </c>
      <c r="C197" s="161">
        <v>43285</v>
      </c>
      <c r="D197" s="49" t="s">
        <v>122</v>
      </c>
      <c r="E197" s="156"/>
      <c r="F197" s="1404" t="s">
        <v>173</v>
      </c>
      <c r="G197" s="120">
        <v>4.4108796296296299E-2</v>
      </c>
      <c r="H197" s="121">
        <v>11.4</v>
      </c>
      <c r="I197" s="310">
        <f>IFERROR(G197/H197,"")</f>
        <v>3.8691926575698506E-3</v>
      </c>
      <c r="J197" s="157">
        <v>129</v>
      </c>
      <c r="K197" s="1757"/>
      <c r="L197" s="1563">
        <v>216</v>
      </c>
      <c r="M197" s="1585"/>
      <c r="N197" s="158">
        <f t="shared" si="37"/>
        <v>1.0618885448916409</v>
      </c>
      <c r="O197" s="159" t="s">
        <v>176</v>
      </c>
      <c r="P197" s="93" t="str">
        <f>IFERROR(VLOOKUP(F197,#REF!,12,FALSE),"")</f>
        <v/>
      </c>
      <c r="Q197" s="94" t="s">
        <v>8</v>
      </c>
      <c r="R197" s="46" t="str">
        <f>IFERROR(VLOOKUP(F197,#REF!,14,FALSE),"")</f>
        <v/>
      </c>
      <c r="S197" s="47">
        <f t="shared" si="38"/>
        <v>1.6744186046511629</v>
      </c>
      <c r="U197" s="1728"/>
      <c r="V197" s="206">
        <f t="shared" si="27"/>
        <v>0</v>
      </c>
      <c r="W197" s="1767"/>
      <c r="X197" s="206"/>
    </row>
    <row r="198" spans="2:24" x14ac:dyDescent="0.2">
      <c r="B198" s="1655" t="s">
        <v>144</v>
      </c>
      <c r="C198" s="161">
        <v>43286</v>
      </c>
      <c r="D198" s="49"/>
      <c r="E198" s="156"/>
      <c r="F198" s="1404"/>
      <c r="G198" s="120"/>
      <c r="H198" s="121" t="str">
        <f>IFERROR(VLOOKUP(F198,#REF!,10,FALSE),"")</f>
        <v/>
      </c>
      <c r="I198" s="310" t="str">
        <f t="shared" ref="I198:I261" si="39">IFERROR(G198/H198,"")</f>
        <v/>
      </c>
      <c r="J198" s="157"/>
      <c r="K198" s="1757"/>
      <c r="L198" s="1563"/>
      <c r="M198" s="1585"/>
      <c r="N198" s="158" t="str">
        <f t="shared" si="37"/>
        <v/>
      </c>
      <c r="O198" s="159"/>
      <c r="P198" s="93" t="str">
        <f>IFERROR(VLOOKUP(F198,#REF!,12,FALSE),"")</f>
        <v/>
      </c>
      <c r="Q198" s="94" t="s">
        <v>8</v>
      </c>
      <c r="R198" s="46" t="str">
        <f>IFERROR(VLOOKUP(F198,#REF!,14,FALSE),"")</f>
        <v/>
      </c>
      <c r="S198" s="47" t="str">
        <f t="shared" si="38"/>
        <v/>
      </c>
      <c r="U198" s="1728"/>
      <c r="V198" s="206">
        <f t="shared" si="27"/>
        <v>0</v>
      </c>
      <c r="W198" s="1767"/>
      <c r="X198" s="206"/>
    </row>
    <row r="199" spans="2:24" ht="16" thickBot="1" x14ac:dyDescent="0.25">
      <c r="B199" s="1656" t="e">
        <f>SUM(#REF!)</f>
        <v>#REF!</v>
      </c>
      <c r="C199" s="161">
        <v>43287</v>
      </c>
      <c r="D199" s="49" t="s">
        <v>123</v>
      </c>
      <c r="E199" s="156"/>
      <c r="F199" s="1404" t="s">
        <v>164</v>
      </c>
      <c r="G199" s="120">
        <v>3.9849537037037037E-2</v>
      </c>
      <c r="H199" s="121">
        <v>10.8</v>
      </c>
      <c r="I199" s="310">
        <f t="shared" si="39"/>
        <v>3.6897719478737995E-3</v>
      </c>
      <c r="J199" s="157">
        <v>146</v>
      </c>
      <c r="K199" s="1757"/>
      <c r="L199" s="1563">
        <v>218</v>
      </c>
      <c r="M199" s="1585"/>
      <c r="N199" s="158">
        <f t="shared" si="37"/>
        <v>1.0220234204793028</v>
      </c>
      <c r="O199" s="159" t="s">
        <v>16</v>
      </c>
      <c r="P199" s="93" t="str">
        <f>IFERROR(VLOOKUP(F199,#REF!,12,FALSE),"")</f>
        <v/>
      </c>
      <c r="Q199" s="94" t="s">
        <v>8</v>
      </c>
      <c r="R199" s="46" t="str">
        <f>IFERROR(VLOOKUP(F199,#REF!,14,FALSE),"")</f>
        <v/>
      </c>
      <c r="S199" s="47">
        <f t="shared" si="38"/>
        <v>1.4931506849315068</v>
      </c>
      <c r="U199" s="1728"/>
      <c r="V199" s="206">
        <f t="shared" si="27"/>
        <v>0</v>
      </c>
      <c r="W199" s="1767"/>
      <c r="X199" s="206"/>
    </row>
    <row r="200" spans="2:24" x14ac:dyDescent="0.2">
      <c r="B200" s="1657" t="s">
        <v>256</v>
      </c>
      <c r="C200" s="161">
        <v>43288</v>
      </c>
      <c r="D200" s="49" t="s">
        <v>124</v>
      </c>
      <c r="E200" s="156"/>
      <c r="F200" s="1404" t="s">
        <v>173</v>
      </c>
      <c r="G200" s="120">
        <v>4.4583333333333336E-2</v>
      </c>
      <c r="H200" s="121">
        <v>11.42</v>
      </c>
      <c r="I200" s="310">
        <f t="shared" si="39"/>
        <v>3.9039696438995918E-3</v>
      </c>
      <c r="J200" s="157">
        <v>132</v>
      </c>
      <c r="K200" s="1757"/>
      <c r="L200" s="1563">
        <v>215</v>
      </c>
      <c r="M200" s="1585"/>
      <c r="N200" s="158">
        <f t="shared" si="37"/>
        <v>1.0664726486041001</v>
      </c>
      <c r="O200" s="159" t="s">
        <v>176</v>
      </c>
      <c r="P200" s="93" t="str">
        <f>IFERROR(VLOOKUP(F200,#REF!,12,FALSE),"")</f>
        <v/>
      </c>
      <c r="Q200" s="94" t="s">
        <v>8</v>
      </c>
      <c r="R200" s="46" t="str">
        <f>IFERROR(VLOOKUP(F200,#REF!,14,FALSE),"")</f>
        <v/>
      </c>
      <c r="S200" s="47">
        <f t="shared" si="38"/>
        <v>1.6287878787878789</v>
      </c>
      <c r="U200" s="1728"/>
      <c r="V200" s="206">
        <f t="shared" si="27"/>
        <v>0</v>
      </c>
      <c r="W200" s="1767"/>
      <c r="X200" s="206"/>
    </row>
    <row r="201" spans="2:24" ht="16" thickBot="1" x14ac:dyDescent="0.25">
      <c r="B201" s="1658" t="e">
        <f>AVERAGE(#REF!)</f>
        <v>#REF!</v>
      </c>
      <c r="C201" s="207">
        <v>43289</v>
      </c>
      <c r="D201" s="67" t="s">
        <v>125</v>
      </c>
      <c r="E201" s="208"/>
      <c r="F201" s="1422" t="s">
        <v>154</v>
      </c>
      <c r="G201" s="167">
        <v>8.054398148148148E-2</v>
      </c>
      <c r="H201" s="307">
        <v>21.4</v>
      </c>
      <c r="I201" s="311">
        <f t="shared" si="39"/>
        <v>3.7637374524056768E-3</v>
      </c>
      <c r="J201" s="171">
        <v>139</v>
      </c>
      <c r="K201" s="1757"/>
      <c r="L201" s="1564"/>
      <c r="M201" s="1586"/>
      <c r="N201" s="172"/>
      <c r="O201" s="173" t="s">
        <v>17</v>
      </c>
      <c r="P201" s="174" t="str">
        <f>IFERROR(VLOOKUP(F201,#REF!,12,FALSE),"")</f>
        <v/>
      </c>
      <c r="Q201" s="175" t="s">
        <v>8</v>
      </c>
      <c r="R201" s="64" t="str">
        <f>IFERROR(VLOOKUP(F201,#REF!,14,FALSE),"")</f>
        <v/>
      </c>
      <c r="S201" s="65"/>
      <c r="U201" s="1728"/>
      <c r="V201" s="68">
        <f t="shared" si="27"/>
        <v>0</v>
      </c>
      <c r="W201" s="1768"/>
      <c r="X201" s="68"/>
    </row>
    <row r="202" spans="2:24" ht="16" thickBot="1" x14ac:dyDescent="0.25">
      <c r="B202" s="1652">
        <f>B195+1</f>
        <v>28</v>
      </c>
      <c r="C202" s="264">
        <v>43290</v>
      </c>
      <c r="D202" s="265"/>
      <c r="E202" s="266"/>
      <c r="F202" s="1416"/>
      <c r="G202" s="267"/>
      <c r="H202" s="268" t="str">
        <f>IFERROR(VLOOKUP(F202,#REF!,10,FALSE),"")</f>
        <v/>
      </c>
      <c r="I202" s="312" t="str">
        <f t="shared" si="39"/>
        <v/>
      </c>
      <c r="J202" s="269"/>
      <c r="K202" s="1757"/>
      <c r="L202" s="270"/>
      <c r="M202" s="1593"/>
      <c r="N202" s="77" t="str">
        <f t="shared" ref="N202:N212" si="40">IFERROR((L202/68)/(1/(I202*24)/3.6),"")</f>
        <v/>
      </c>
      <c r="O202" s="271"/>
      <c r="P202" s="224" t="str">
        <f>IFERROR(VLOOKUP(F202,#REF!,12,FALSE),"")</f>
        <v/>
      </c>
      <c r="Q202" s="80" t="s">
        <v>8</v>
      </c>
      <c r="R202" s="80" t="str">
        <f>IFERROR(VLOOKUP(F202,#REF!,14,FALSE),"")</f>
        <v/>
      </c>
      <c r="S202" s="33" t="str">
        <f t="shared" ref="S202:S212" si="41">IFERROR(L202/J202,"")</f>
        <v/>
      </c>
      <c r="U202" s="1728"/>
      <c r="V202" s="243">
        <f t="shared" si="27"/>
        <v>0</v>
      </c>
      <c r="W202" s="1766"/>
      <c r="X202" s="243"/>
    </row>
    <row r="203" spans="2:24" x14ac:dyDescent="0.2">
      <c r="B203" s="1653" t="s">
        <v>142</v>
      </c>
      <c r="C203" s="272">
        <v>43291</v>
      </c>
      <c r="D203" s="273" t="s">
        <v>126</v>
      </c>
      <c r="E203" s="274"/>
      <c r="F203" s="1417" t="s">
        <v>173</v>
      </c>
      <c r="G203" s="275">
        <v>4.5648148148148153E-2</v>
      </c>
      <c r="H203" s="276">
        <v>11.38</v>
      </c>
      <c r="I203" s="313">
        <f t="shared" si="39"/>
        <v>4.0112608214541434E-3</v>
      </c>
      <c r="J203" s="278">
        <v>120</v>
      </c>
      <c r="K203" s="1757"/>
      <c r="L203" s="1568">
        <v>210</v>
      </c>
      <c r="M203" s="1591"/>
      <c r="N203" s="140">
        <f t="shared" si="40"/>
        <v>1.0702987697715292</v>
      </c>
      <c r="O203" s="279" t="s">
        <v>176</v>
      </c>
      <c r="P203" s="229" t="str">
        <f>IFERROR(VLOOKUP(F203,#REF!,12,FALSE),"")</f>
        <v/>
      </c>
      <c r="Q203" s="230" t="s">
        <v>8</v>
      </c>
      <c r="R203" s="46" t="str">
        <f>IFERROR(VLOOKUP(F203,#REF!,14,FALSE),"")</f>
        <v/>
      </c>
      <c r="S203" s="47">
        <f t="shared" si="41"/>
        <v>1.75</v>
      </c>
      <c r="U203" s="1728"/>
      <c r="V203" s="50">
        <f t="shared" si="27"/>
        <v>0</v>
      </c>
      <c r="W203" s="1767"/>
      <c r="X203" s="50"/>
    </row>
    <row r="204" spans="2:24" ht="16" thickBot="1" x14ac:dyDescent="0.25">
      <c r="B204" s="1654">
        <f>SUM(H202:H208)</f>
        <v>49.330000000000005</v>
      </c>
      <c r="C204" s="272">
        <v>43292</v>
      </c>
      <c r="D204" s="273" t="s">
        <v>127</v>
      </c>
      <c r="E204" s="274"/>
      <c r="F204" s="1417" t="s">
        <v>173</v>
      </c>
      <c r="G204" s="275">
        <v>4.5266203703703704E-2</v>
      </c>
      <c r="H204" s="276">
        <v>11.36</v>
      </c>
      <c r="I204" s="313">
        <f t="shared" si="39"/>
        <v>3.9847010302556081E-3</v>
      </c>
      <c r="J204" s="278">
        <v>118</v>
      </c>
      <c r="K204" s="1757"/>
      <c r="L204" s="1568">
        <v>211</v>
      </c>
      <c r="M204" s="1591"/>
      <c r="N204" s="140">
        <f t="shared" si="40"/>
        <v>1.0682749067937036</v>
      </c>
      <c r="O204" s="279" t="s">
        <v>176</v>
      </c>
      <c r="P204" s="229" t="str">
        <f>IFERROR(VLOOKUP(F204,#REF!,12,FALSE),"")</f>
        <v/>
      </c>
      <c r="Q204" s="230" t="s">
        <v>8</v>
      </c>
      <c r="R204" s="46" t="str">
        <f>IFERROR(VLOOKUP(F204,#REF!,14,FALSE),"")</f>
        <v/>
      </c>
      <c r="S204" s="47">
        <f t="shared" si="41"/>
        <v>1.7881355932203389</v>
      </c>
      <c r="U204" s="1728"/>
      <c r="V204" s="50">
        <f t="shared" si="27"/>
        <v>0</v>
      </c>
      <c r="W204" s="1767"/>
      <c r="X204" s="50"/>
    </row>
    <row r="205" spans="2:24" x14ac:dyDescent="0.2">
      <c r="B205" s="1655" t="s">
        <v>144</v>
      </c>
      <c r="C205" s="272">
        <v>43293</v>
      </c>
      <c r="D205" s="273"/>
      <c r="E205" s="274"/>
      <c r="F205" s="1417"/>
      <c r="G205" s="275"/>
      <c r="H205" s="276" t="str">
        <f>IFERROR(VLOOKUP(F205,#REF!,10,FALSE),"")</f>
        <v/>
      </c>
      <c r="I205" s="313" t="str">
        <f t="shared" si="39"/>
        <v/>
      </c>
      <c r="J205" s="278"/>
      <c r="K205" s="1757"/>
      <c r="L205" s="1568"/>
      <c r="M205" s="1591"/>
      <c r="N205" s="140" t="str">
        <f t="shared" si="40"/>
        <v/>
      </c>
      <c r="O205" s="279"/>
      <c r="P205" s="229" t="str">
        <f>IFERROR(VLOOKUP(F205,#REF!,12,FALSE),"")</f>
        <v/>
      </c>
      <c r="Q205" s="230" t="s">
        <v>8</v>
      </c>
      <c r="R205" s="46" t="str">
        <f>IFERROR(VLOOKUP(F205,#REF!,14,FALSE),"")</f>
        <v/>
      </c>
      <c r="S205" s="47" t="str">
        <f t="shared" si="41"/>
        <v/>
      </c>
      <c r="U205" s="1728"/>
      <c r="V205" s="50">
        <f t="shared" si="27"/>
        <v>0</v>
      </c>
      <c r="W205" s="1767"/>
      <c r="X205" s="50"/>
    </row>
    <row r="206" spans="2:24" ht="16" thickBot="1" x14ac:dyDescent="0.25">
      <c r="B206" s="1656" t="e">
        <f>SUM(#REF!)</f>
        <v>#REF!</v>
      </c>
      <c r="C206" s="272">
        <v>43294</v>
      </c>
      <c r="D206" s="273" t="s">
        <v>128</v>
      </c>
      <c r="E206" s="274"/>
      <c r="F206" s="1417" t="s">
        <v>173</v>
      </c>
      <c r="G206" s="275">
        <v>4.5648148148148153E-2</v>
      </c>
      <c r="H206" s="276">
        <v>11.49</v>
      </c>
      <c r="I206" s="313">
        <f t="shared" si="39"/>
        <v>3.9728588466621546E-3</v>
      </c>
      <c r="J206" s="278">
        <v>133</v>
      </c>
      <c r="K206" s="1757"/>
      <c r="L206" s="1568">
        <v>211</v>
      </c>
      <c r="M206" s="1591"/>
      <c r="N206" s="140">
        <f t="shared" si="40"/>
        <v>1.065100087032202</v>
      </c>
      <c r="O206" s="279" t="s">
        <v>176</v>
      </c>
      <c r="P206" s="229" t="str">
        <f>IFERROR(VLOOKUP(F206,#REF!,12,FALSE),"")</f>
        <v/>
      </c>
      <c r="Q206" s="230" t="s">
        <v>8</v>
      </c>
      <c r="R206" s="46" t="str">
        <f>IFERROR(VLOOKUP(F206,#REF!,14,FALSE),"")</f>
        <v/>
      </c>
      <c r="S206" s="47">
        <f t="shared" si="41"/>
        <v>1.5864661654135339</v>
      </c>
      <c r="U206" s="1728"/>
      <c r="V206" s="50">
        <f t="shared" ref="V206:V269" si="42">U205-T205</f>
        <v>0</v>
      </c>
      <c r="W206" s="1767"/>
      <c r="X206" s="50"/>
    </row>
    <row r="207" spans="2:24" x14ac:dyDescent="0.2">
      <c r="B207" s="1657" t="s">
        <v>256</v>
      </c>
      <c r="C207" s="272">
        <v>43295</v>
      </c>
      <c r="D207" s="273"/>
      <c r="E207" s="274"/>
      <c r="F207" s="1417"/>
      <c r="G207" s="275"/>
      <c r="H207" s="276" t="str">
        <f>IFERROR(VLOOKUP(F207,#REF!,10,FALSE),"")</f>
        <v/>
      </c>
      <c r="I207" s="313" t="str">
        <f t="shared" si="39"/>
        <v/>
      </c>
      <c r="J207" s="278"/>
      <c r="K207" s="1757"/>
      <c r="L207" s="1568"/>
      <c r="M207" s="1591"/>
      <c r="N207" s="140" t="str">
        <f t="shared" si="40"/>
        <v/>
      </c>
      <c r="O207" s="279"/>
      <c r="P207" s="229" t="str">
        <f>IFERROR(VLOOKUP(F207,#REF!,12,FALSE),"")</f>
        <v/>
      </c>
      <c r="Q207" s="230" t="s">
        <v>8</v>
      </c>
      <c r="R207" s="46" t="str">
        <f>IFERROR(VLOOKUP(F207,#REF!,14,FALSE),"")</f>
        <v/>
      </c>
      <c r="S207" s="47" t="str">
        <f t="shared" si="41"/>
        <v/>
      </c>
      <c r="U207" s="1728"/>
      <c r="V207" s="50">
        <f t="shared" si="42"/>
        <v>0</v>
      </c>
      <c r="W207" s="1767"/>
      <c r="X207" s="50"/>
    </row>
    <row r="208" spans="2:24" ht="16" thickBot="1" x14ac:dyDescent="0.25">
      <c r="B208" s="1658" t="e">
        <f>AVERAGE(#REF!)</f>
        <v>#REF!</v>
      </c>
      <c r="C208" s="280">
        <v>43296</v>
      </c>
      <c r="D208" s="281" t="s">
        <v>129</v>
      </c>
      <c r="E208" s="282"/>
      <c r="F208" s="1418" t="s">
        <v>150</v>
      </c>
      <c r="G208" s="283">
        <v>5.8703703703703702E-2</v>
      </c>
      <c r="H208" s="284">
        <v>15.1</v>
      </c>
      <c r="I208" s="285">
        <f t="shared" si="39"/>
        <v>3.88766249693402E-3</v>
      </c>
      <c r="J208" s="286">
        <v>131</v>
      </c>
      <c r="K208" s="1757"/>
      <c r="L208" s="1570">
        <v>214</v>
      </c>
      <c r="M208" s="1594"/>
      <c r="N208" s="186">
        <f t="shared" si="40"/>
        <v>1.0570783015192833</v>
      </c>
      <c r="O208" s="287" t="s">
        <v>175</v>
      </c>
      <c r="P208" s="105" t="str">
        <f>IFERROR(VLOOKUP(F208,#REF!,12,FALSE),"")</f>
        <v/>
      </c>
      <c r="Q208" s="107" t="s">
        <v>8</v>
      </c>
      <c r="R208" s="107" t="str">
        <f>IFERROR(VLOOKUP(F208,#REF!,14,FALSE),"")</f>
        <v/>
      </c>
      <c r="S208" s="65">
        <f t="shared" si="41"/>
        <v>1.633587786259542</v>
      </c>
      <c r="U208" s="1728"/>
      <c r="V208" s="209">
        <f t="shared" si="42"/>
        <v>0</v>
      </c>
      <c r="W208" s="1768"/>
      <c r="X208" s="209"/>
    </row>
    <row r="209" spans="2:24" ht="16" thickBot="1" x14ac:dyDescent="0.25">
      <c r="B209" s="1652">
        <f>B202+1</f>
        <v>29</v>
      </c>
      <c r="C209" s="142">
        <v>43297</v>
      </c>
      <c r="D209" s="143"/>
      <c r="E209" s="144"/>
      <c r="F209" s="1421"/>
      <c r="G209" s="145"/>
      <c r="H209" s="234" t="str">
        <f>IFERROR(VLOOKUP(F209,#REF!,10,FALSE),"")</f>
        <v/>
      </c>
      <c r="I209" s="309" t="str">
        <f t="shared" si="39"/>
        <v/>
      </c>
      <c r="J209" s="149"/>
      <c r="K209" s="1757"/>
      <c r="L209" s="1562"/>
      <c r="M209" s="1584"/>
      <c r="N209" s="150" t="str">
        <f t="shared" si="40"/>
        <v/>
      </c>
      <c r="O209" s="151"/>
      <c r="P209" s="214" t="str">
        <f>IFERROR(VLOOKUP(F209,#REF!,12,FALSE),"")</f>
        <v/>
      </c>
      <c r="Q209" s="153" t="s">
        <v>8</v>
      </c>
      <c r="R209" s="32" t="str">
        <f>IFERROR(VLOOKUP(F209,#REF!,14,FALSE),"")</f>
        <v/>
      </c>
      <c r="S209" s="33" t="str">
        <f t="shared" si="41"/>
        <v/>
      </c>
      <c r="U209" s="1728"/>
      <c r="V209" s="192">
        <f t="shared" si="42"/>
        <v>0</v>
      </c>
      <c r="W209" s="1766"/>
      <c r="X209" s="192"/>
    </row>
    <row r="210" spans="2:24" x14ac:dyDescent="0.2">
      <c r="B210" s="1653" t="s">
        <v>142</v>
      </c>
      <c r="C210" s="161">
        <v>43298</v>
      </c>
      <c r="D210" s="49" t="s">
        <v>130</v>
      </c>
      <c r="E210" s="156"/>
      <c r="F210" s="1404" t="s">
        <v>161</v>
      </c>
      <c r="G210" s="120">
        <v>4.3692129629629629E-2</v>
      </c>
      <c r="H210" s="121">
        <v>12.2</v>
      </c>
      <c r="I210" s="310">
        <f t="shared" si="39"/>
        <v>3.581322100789314E-3</v>
      </c>
      <c r="J210" s="157">
        <v>148</v>
      </c>
      <c r="K210" s="1757"/>
      <c r="L210" s="1563">
        <v>225</v>
      </c>
      <c r="M210" s="1585"/>
      <c r="N210" s="158">
        <f t="shared" si="40"/>
        <v>1.0238367888138862</v>
      </c>
      <c r="O210" s="159" t="s">
        <v>175</v>
      </c>
      <c r="P210" s="93" t="str">
        <f>IFERROR(VLOOKUP(F210,#REF!,12,FALSE),"")</f>
        <v/>
      </c>
      <c r="Q210" s="94" t="s">
        <v>8</v>
      </c>
      <c r="R210" s="46" t="str">
        <f>IFERROR(VLOOKUP(F210,#REF!,14,FALSE),"")</f>
        <v/>
      </c>
      <c r="S210" s="47">
        <f t="shared" si="41"/>
        <v>1.5202702702702702</v>
      </c>
      <c r="U210" s="1728"/>
      <c r="V210" s="50">
        <f t="shared" si="42"/>
        <v>0</v>
      </c>
      <c r="W210" s="1767"/>
      <c r="X210" s="50"/>
    </row>
    <row r="211" spans="2:24" ht="16" thickBot="1" x14ac:dyDescent="0.25">
      <c r="B211" s="1654">
        <f>SUM(H209:H215)</f>
        <v>67.040000000000006</v>
      </c>
      <c r="C211" s="155">
        <v>43299</v>
      </c>
      <c r="D211" s="49" t="s">
        <v>131</v>
      </c>
      <c r="E211" s="156"/>
      <c r="F211" s="1404" t="s">
        <v>173</v>
      </c>
      <c r="G211" s="120">
        <v>4.4884259259259263E-2</v>
      </c>
      <c r="H211" s="121">
        <v>11.37</v>
      </c>
      <c r="I211" s="310">
        <f t="shared" si="39"/>
        <v>3.947604156487183E-3</v>
      </c>
      <c r="J211" s="157">
        <v>129</v>
      </c>
      <c r="K211" s="1757"/>
      <c r="L211" s="1563">
        <v>212</v>
      </c>
      <c r="M211" s="1585"/>
      <c r="N211" s="158">
        <f t="shared" si="40"/>
        <v>1.0633452325521242</v>
      </c>
      <c r="O211" s="159" t="s">
        <v>176</v>
      </c>
      <c r="P211" s="93" t="str">
        <f>IFERROR(VLOOKUP(F211,#REF!,12,FALSE),"")</f>
        <v/>
      </c>
      <c r="Q211" s="94" t="s">
        <v>8</v>
      </c>
      <c r="R211" s="46" t="str">
        <f>IFERROR(VLOOKUP(F211,#REF!,14,FALSE),"")</f>
        <v/>
      </c>
      <c r="S211" s="47">
        <f t="shared" si="41"/>
        <v>1.6434108527131783</v>
      </c>
      <c r="U211" s="1728"/>
      <c r="V211" s="50">
        <f t="shared" si="42"/>
        <v>0</v>
      </c>
      <c r="W211" s="1767"/>
      <c r="X211" s="50"/>
    </row>
    <row r="212" spans="2:24" x14ac:dyDescent="0.2">
      <c r="B212" s="1655" t="s">
        <v>144</v>
      </c>
      <c r="C212" s="161">
        <v>43300</v>
      </c>
      <c r="D212" s="49"/>
      <c r="E212" s="156"/>
      <c r="F212" s="1404"/>
      <c r="G212" s="120"/>
      <c r="H212" s="121" t="str">
        <f>IFERROR(VLOOKUP(F212,#REF!,10,FALSE),"")</f>
        <v/>
      </c>
      <c r="I212" s="310" t="str">
        <f t="shared" si="39"/>
        <v/>
      </c>
      <c r="J212" s="157"/>
      <c r="K212" s="1757"/>
      <c r="L212" s="1563"/>
      <c r="M212" s="1585"/>
      <c r="N212" s="158" t="str">
        <f t="shared" si="40"/>
        <v/>
      </c>
      <c r="O212" s="159"/>
      <c r="P212" s="93" t="str">
        <f>IFERROR(VLOOKUP(F212,#REF!,12,FALSE),"")</f>
        <v/>
      </c>
      <c r="Q212" s="94" t="s">
        <v>8</v>
      </c>
      <c r="R212" s="46" t="str">
        <f>IFERROR(VLOOKUP(F212,#REF!,14,FALSE),"")</f>
        <v/>
      </c>
      <c r="S212" s="47" t="str">
        <f t="shared" si="41"/>
        <v/>
      </c>
      <c r="U212" s="1728"/>
      <c r="V212" s="50">
        <f t="shared" si="42"/>
        <v>0</v>
      </c>
      <c r="W212" s="1767"/>
      <c r="X212" s="50"/>
    </row>
    <row r="213" spans="2:24" ht="16" thickBot="1" x14ac:dyDescent="0.25">
      <c r="B213" s="1656" t="e">
        <f>SUM(#REF!)</f>
        <v>#REF!</v>
      </c>
      <c r="C213" s="161">
        <v>43301</v>
      </c>
      <c r="D213" s="49" t="s">
        <v>132</v>
      </c>
      <c r="E213" s="156"/>
      <c r="F213" s="1404" t="s">
        <v>174</v>
      </c>
      <c r="G213" s="120">
        <v>4.7754629629629626E-2</v>
      </c>
      <c r="H213" s="121">
        <v>13.46</v>
      </c>
      <c r="I213" s="310">
        <f t="shared" si="39"/>
        <v>3.5478922458863017E-3</v>
      </c>
      <c r="J213" s="157">
        <v>149</v>
      </c>
      <c r="K213" s="1757"/>
      <c r="L213" s="1563"/>
      <c r="M213" s="1585"/>
      <c r="N213" s="158"/>
      <c r="O213" s="159" t="s">
        <v>175</v>
      </c>
      <c r="P213" s="93" t="str">
        <f>IFERROR(VLOOKUP(F213,#REF!,12,FALSE),"")</f>
        <v/>
      </c>
      <c r="Q213" s="94" t="s">
        <v>8</v>
      </c>
      <c r="R213" s="46" t="str">
        <f>IFERROR(VLOOKUP(F213,#REF!,14,FALSE),"")</f>
        <v/>
      </c>
      <c r="S213" s="47"/>
      <c r="U213" s="1728"/>
      <c r="V213" s="50">
        <f t="shared" si="42"/>
        <v>0</v>
      </c>
      <c r="W213" s="1767"/>
      <c r="X213" s="50"/>
    </row>
    <row r="214" spans="2:24" x14ac:dyDescent="0.2">
      <c r="B214" s="1657" t="s">
        <v>256</v>
      </c>
      <c r="C214" s="161">
        <v>43302</v>
      </c>
      <c r="D214" s="49" t="s">
        <v>133</v>
      </c>
      <c r="E214" s="156"/>
      <c r="F214" s="1404" t="s">
        <v>173</v>
      </c>
      <c r="G214" s="120">
        <v>4.3946759259259255E-2</v>
      </c>
      <c r="H214" s="121">
        <v>11.21</v>
      </c>
      <c r="I214" s="310">
        <f t="shared" si="39"/>
        <v>3.9203175075164364E-3</v>
      </c>
      <c r="J214" s="157">
        <v>130</v>
      </c>
      <c r="K214" s="1757"/>
      <c r="L214" s="1563">
        <v>212</v>
      </c>
      <c r="M214" s="1585"/>
      <c r="N214" s="158">
        <f t="shared" ref="N214:N235" si="43">IFERROR((L214/68)/(1/(I214*24)/3.6),"")</f>
        <v>1.0559951723776038</v>
      </c>
      <c r="O214" s="159" t="s">
        <v>176</v>
      </c>
      <c r="P214" s="93" t="str">
        <f>IFERROR(VLOOKUP(F214,#REF!,12,FALSE),"")</f>
        <v/>
      </c>
      <c r="Q214" s="94" t="s">
        <v>8</v>
      </c>
      <c r="R214" s="46" t="str">
        <f>IFERROR(VLOOKUP(F214,#REF!,14,FALSE),"")</f>
        <v/>
      </c>
      <c r="S214" s="47">
        <f t="shared" ref="S214:S245" si="44">IFERROR(L214/J214,"")</f>
        <v>1.6307692307692307</v>
      </c>
      <c r="U214" s="1728"/>
      <c r="V214" s="50">
        <f t="shared" si="42"/>
        <v>0</v>
      </c>
      <c r="W214" s="1767"/>
      <c r="X214" s="50"/>
    </row>
    <row r="215" spans="2:24" ht="16" thickBot="1" x14ac:dyDescent="0.25">
      <c r="B215" s="1658" t="e">
        <f>AVERAGE(#REF!)</f>
        <v>#REF!</v>
      </c>
      <c r="C215" s="207">
        <v>43303</v>
      </c>
      <c r="D215" s="67" t="s">
        <v>134</v>
      </c>
      <c r="E215" s="208"/>
      <c r="F215" s="1422" t="s">
        <v>152</v>
      </c>
      <c r="G215" s="167">
        <v>7.2696759259259267E-2</v>
      </c>
      <c r="H215" s="307">
        <v>18.8</v>
      </c>
      <c r="I215" s="311">
        <f t="shared" si="39"/>
        <v>3.8668488967691099E-3</v>
      </c>
      <c r="J215" s="171">
        <v>134</v>
      </c>
      <c r="K215" s="1757"/>
      <c r="L215" s="1564">
        <v>215</v>
      </c>
      <c r="M215" s="1586"/>
      <c r="N215" s="172">
        <f t="shared" si="43"/>
        <v>1.0563321339173968</v>
      </c>
      <c r="O215" s="173" t="s">
        <v>17</v>
      </c>
      <c r="P215" s="174" t="str">
        <f>IFERROR(VLOOKUP(F215,#REF!,12,FALSE),"")</f>
        <v/>
      </c>
      <c r="Q215" s="175" t="s">
        <v>8</v>
      </c>
      <c r="R215" s="64" t="str">
        <f>IFERROR(VLOOKUP(F215,#REF!,14,FALSE),"")</f>
        <v/>
      </c>
      <c r="S215" s="65">
        <f t="shared" si="44"/>
        <v>1.6044776119402986</v>
      </c>
      <c r="U215" s="1728"/>
      <c r="V215" s="177">
        <f t="shared" si="42"/>
        <v>0</v>
      </c>
      <c r="W215" s="1768"/>
      <c r="X215" s="177"/>
    </row>
    <row r="216" spans="2:24" ht="16" thickBot="1" x14ac:dyDescent="0.25">
      <c r="B216" s="1652">
        <f>B209+1</f>
        <v>30</v>
      </c>
      <c r="C216" s="193">
        <v>43304</v>
      </c>
      <c r="D216" s="70"/>
      <c r="E216" s="71"/>
      <c r="F216" s="1406"/>
      <c r="G216" s="72"/>
      <c r="H216" s="178" t="str">
        <f>IFERROR(VLOOKUP(F216,#REF!,10,FALSE),"")</f>
        <v/>
      </c>
      <c r="I216" s="179" t="str">
        <f t="shared" si="39"/>
        <v/>
      </c>
      <c r="J216" s="180"/>
      <c r="K216" s="1757"/>
      <c r="L216" s="76"/>
      <c r="M216" s="1587"/>
      <c r="N216" s="77" t="str">
        <f t="shared" si="43"/>
        <v/>
      </c>
      <c r="O216" s="78"/>
      <c r="P216" s="224" t="str">
        <f>IFERROR(VLOOKUP(F216,#REF!,12,FALSE),"")</f>
        <v/>
      </c>
      <c r="Q216" s="80" t="s">
        <v>8</v>
      </c>
      <c r="R216" s="80" t="str">
        <f>IFERROR(VLOOKUP(F216,#REF!,14,FALSE),"")</f>
        <v/>
      </c>
      <c r="S216" s="33" t="str">
        <f t="shared" si="44"/>
        <v/>
      </c>
      <c r="U216" s="1728"/>
      <c r="V216" s="82">
        <f t="shared" si="42"/>
        <v>0</v>
      </c>
      <c r="W216" s="1766"/>
      <c r="X216" s="82"/>
    </row>
    <row r="217" spans="2:24" x14ac:dyDescent="0.2">
      <c r="B217" s="1653" t="s">
        <v>142</v>
      </c>
      <c r="C217" s="84">
        <v>43305</v>
      </c>
      <c r="D217" s="162" t="s">
        <v>135</v>
      </c>
      <c r="E217" s="163"/>
      <c r="F217" s="1413" t="s">
        <v>162</v>
      </c>
      <c r="G217" s="226">
        <v>5.1018518518518519E-2</v>
      </c>
      <c r="H217" s="227">
        <v>14.47</v>
      </c>
      <c r="I217" s="89">
        <f t="shared" si="39"/>
        <v>3.5258133046661036E-3</v>
      </c>
      <c r="J217" s="90">
        <v>155</v>
      </c>
      <c r="K217" s="1757"/>
      <c r="L217" s="1563">
        <v>227</v>
      </c>
      <c r="M217" s="1585"/>
      <c r="N217" s="140">
        <f t="shared" si="43"/>
        <v>1.0169275173787553</v>
      </c>
      <c r="O217" s="92" t="s">
        <v>175</v>
      </c>
      <c r="P217" s="229" t="str">
        <f>IFERROR(VLOOKUP(F217,#REF!,12,FALSE),"")</f>
        <v/>
      </c>
      <c r="Q217" s="230" t="s">
        <v>8</v>
      </c>
      <c r="R217" s="46" t="str">
        <f>IFERROR(VLOOKUP(F217,#REF!,14,FALSE),"")</f>
        <v/>
      </c>
      <c r="S217" s="47">
        <f t="shared" si="44"/>
        <v>1.4645161290322581</v>
      </c>
      <c r="U217" s="1728"/>
      <c r="V217" s="50">
        <f t="shared" si="42"/>
        <v>0</v>
      </c>
      <c r="W217" s="1767"/>
      <c r="X217" s="50"/>
    </row>
    <row r="218" spans="2:24" ht="16" thickBot="1" x14ac:dyDescent="0.25">
      <c r="B218" s="1654">
        <f>SUM(H216:H222)</f>
        <v>71.990000000000009</v>
      </c>
      <c r="C218" s="84">
        <v>43306</v>
      </c>
      <c r="D218" s="162" t="s">
        <v>136</v>
      </c>
      <c r="E218" s="163"/>
      <c r="F218" s="1413" t="s">
        <v>173</v>
      </c>
      <c r="G218" s="226">
        <v>4.4583333333333336E-2</v>
      </c>
      <c r="H218" s="227">
        <v>11.48</v>
      </c>
      <c r="I218" s="89">
        <f t="shared" si="39"/>
        <v>3.8835656213704996E-3</v>
      </c>
      <c r="J218" s="90">
        <v>127</v>
      </c>
      <c r="K218" s="1757"/>
      <c r="L218" s="1563">
        <v>214</v>
      </c>
      <c r="M218" s="1585"/>
      <c r="N218" s="140">
        <f t="shared" si="43"/>
        <v>1.0559643369542939</v>
      </c>
      <c r="O218" s="92" t="s">
        <v>176</v>
      </c>
      <c r="P218" s="229" t="str">
        <f>IFERROR(VLOOKUP(F218,#REF!,12,FALSE),"")</f>
        <v/>
      </c>
      <c r="Q218" s="230" t="s">
        <v>8</v>
      </c>
      <c r="R218" s="46" t="str">
        <f>IFERROR(VLOOKUP(F218,#REF!,14,FALSE),"")</f>
        <v/>
      </c>
      <c r="S218" s="47">
        <f t="shared" si="44"/>
        <v>1.6850393700787401</v>
      </c>
      <c r="U218" s="1728"/>
      <c r="V218" s="50">
        <f t="shared" si="42"/>
        <v>0</v>
      </c>
      <c r="W218" s="1767"/>
      <c r="X218" s="50"/>
    </row>
    <row r="219" spans="2:24" x14ac:dyDescent="0.2">
      <c r="B219" s="1655" t="s">
        <v>144</v>
      </c>
      <c r="C219" s="84">
        <v>43307</v>
      </c>
      <c r="D219" s="162" t="s">
        <v>137</v>
      </c>
      <c r="E219" s="163"/>
      <c r="F219" s="1413" t="s">
        <v>11</v>
      </c>
      <c r="G219" s="226">
        <v>4.6944444444444448E-2</v>
      </c>
      <c r="H219" s="227">
        <v>13.73</v>
      </c>
      <c r="I219" s="89">
        <f t="shared" si="39"/>
        <v>3.4191146718459174E-3</v>
      </c>
      <c r="J219" s="90">
        <v>150</v>
      </c>
      <c r="K219" s="1757"/>
      <c r="L219" s="1563">
        <v>239</v>
      </c>
      <c r="M219" s="1585"/>
      <c r="N219" s="140">
        <f t="shared" si="43"/>
        <v>1.0382845636433744</v>
      </c>
      <c r="O219" s="92" t="s">
        <v>175</v>
      </c>
      <c r="P219" s="229" t="str">
        <f>IFERROR(VLOOKUP(F219,#REF!,12,FALSE),"")</f>
        <v/>
      </c>
      <c r="Q219" s="230" t="s">
        <v>8</v>
      </c>
      <c r="R219" s="46" t="str">
        <f>IFERROR(VLOOKUP(F219,#REF!,14,FALSE),"")</f>
        <v/>
      </c>
      <c r="S219" s="47">
        <f t="shared" si="44"/>
        <v>1.5933333333333333</v>
      </c>
      <c r="U219" s="1728"/>
      <c r="V219" s="50">
        <f t="shared" si="42"/>
        <v>0</v>
      </c>
      <c r="W219" s="1767"/>
      <c r="X219" s="50"/>
    </row>
    <row r="220" spans="2:24" ht="16" thickBot="1" x14ac:dyDescent="0.25">
      <c r="B220" s="1656" t="e">
        <f>SUM(#REF!)</f>
        <v>#REF!</v>
      </c>
      <c r="C220" s="84">
        <v>43308</v>
      </c>
      <c r="D220" s="162" t="s">
        <v>138</v>
      </c>
      <c r="E220" s="163"/>
      <c r="F220" s="1413" t="s">
        <v>173</v>
      </c>
      <c r="G220" s="226">
        <v>4.3738425925925924E-2</v>
      </c>
      <c r="H220" s="227">
        <v>11.47</v>
      </c>
      <c r="I220" s="89">
        <f t="shared" si="39"/>
        <v>3.8132890955471597E-3</v>
      </c>
      <c r="J220" s="90">
        <v>129</v>
      </c>
      <c r="K220" s="1757"/>
      <c r="L220" s="1563">
        <v>218</v>
      </c>
      <c r="M220" s="1585"/>
      <c r="N220" s="140">
        <f t="shared" si="43"/>
        <v>1.05623621724191</v>
      </c>
      <c r="O220" s="92" t="s">
        <v>176</v>
      </c>
      <c r="P220" s="229" t="str">
        <f>IFERROR(VLOOKUP(F220,#REF!,12,FALSE),"")</f>
        <v/>
      </c>
      <c r="Q220" s="230" t="s">
        <v>8</v>
      </c>
      <c r="R220" s="46" t="str">
        <f>IFERROR(VLOOKUP(F220,#REF!,14,FALSE),"")</f>
        <v/>
      </c>
      <c r="S220" s="47">
        <f t="shared" si="44"/>
        <v>1.6899224806201549</v>
      </c>
      <c r="U220" s="1728"/>
      <c r="V220" s="50">
        <f t="shared" si="42"/>
        <v>0</v>
      </c>
      <c r="W220" s="1767"/>
      <c r="X220" s="50"/>
    </row>
    <row r="221" spans="2:24" x14ac:dyDescent="0.2">
      <c r="B221" s="1657" t="s">
        <v>256</v>
      </c>
      <c r="C221" s="84">
        <v>43309</v>
      </c>
      <c r="D221" s="162"/>
      <c r="E221" s="163"/>
      <c r="F221" s="1413"/>
      <c r="G221" s="226"/>
      <c r="H221" s="227" t="str">
        <f>IFERROR(VLOOKUP(F221,#REF!,10,FALSE),"")</f>
        <v/>
      </c>
      <c r="I221" s="89" t="str">
        <f t="shared" si="39"/>
        <v/>
      </c>
      <c r="J221" s="90"/>
      <c r="K221" s="1757"/>
      <c r="L221" s="1563"/>
      <c r="M221" s="1585"/>
      <c r="N221" s="140" t="str">
        <f t="shared" si="43"/>
        <v/>
      </c>
      <c r="O221" s="92"/>
      <c r="P221" s="229" t="str">
        <f>IFERROR(VLOOKUP(F221,#REF!,12,FALSE),"")</f>
        <v/>
      </c>
      <c r="Q221" s="230" t="s">
        <v>8</v>
      </c>
      <c r="R221" s="46" t="str">
        <f>IFERROR(VLOOKUP(F221,#REF!,14,FALSE),"")</f>
        <v/>
      </c>
      <c r="S221" s="47" t="str">
        <f t="shared" si="44"/>
        <v/>
      </c>
      <c r="U221" s="1728"/>
      <c r="V221" s="50">
        <f t="shared" si="42"/>
        <v>0</v>
      </c>
      <c r="W221" s="1767"/>
      <c r="X221" s="50"/>
    </row>
    <row r="222" spans="2:24" ht="16" thickBot="1" x14ac:dyDescent="0.25">
      <c r="B222" s="1658" t="e">
        <f>AVERAGE(#REF!)</f>
        <v>#REF!</v>
      </c>
      <c r="C222" s="314">
        <v>43310</v>
      </c>
      <c r="D222" s="315" t="s">
        <v>139</v>
      </c>
      <c r="E222" s="316"/>
      <c r="F222" s="1423" t="s">
        <v>153</v>
      </c>
      <c r="G222" s="317">
        <v>8.1087962962962959E-2</v>
      </c>
      <c r="H222" s="99">
        <v>20.84</v>
      </c>
      <c r="I222" s="100">
        <f t="shared" si="39"/>
        <v>3.8909771095471668E-3</v>
      </c>
      <c r="J222" s="101">
        <v>141</v>
      </c>
      <c r="K222" s="1758"/>
      <c r="L222" s="1565">
        <v>214</v>
      </c>
      <c r="M222" s="1588"/>
      <c r="N222" s="318">
        <f t="shared" si="43"/>
        <v>1.0579795641865191</v>
      </c>
      <c r="O222" s="319" t="s">
        <v>17</v>
      </c>
      <c r="P222" s="320" t="str">
        <f>IFERROR(VLOOKUP(F222,#REF!,12,FALSE),"")</f>
        <v/>
      </c>
      <c r="Q222" s="321" t="s">
        <v>8</v>
      </c>
      <c r="R222" s="107" t="str">
        <f>IFERROR(VLOOKUP(F222,#REF!,14,FALSE),"")</f>
        <v/>
      </c>
      <c r="S222" s="65">
        <f t="shared" si="44"/>
        <v>1.5177304964539007</v>
      </c>
      <c r="U222" s="1728"/>
      <c r="V222" s="109">
        <f t="shared" si="42"/>
        <v>0</v>
      </c>
      <c r="W222" s="1768"/>
      <c r="X222" s="109"/>
    </row>
    <row r="223" spans="2:24" ht="16" thickBot="1" x14ac:dyDescent="0.25">
      <c r="B223" s="1652">
        <f>B216+1</f>
        <v>31</v>
      </c>
      <c r="C223" s="189">
        <v>43311</v>
      </c>
      <c r="D223" s="143"/>
      <c r="E223" s="144"/>
      <c r="F223" s="1421"/>
      <c r="G223" s="145"/>
      <c r="H223" s="234" t="str">
        <f>IFERROR(VLOOKUP(F223,#REF!,10,FALSE),"")</f>
        <v/>
      </c>
      <c r="I223" s="309" t="str">
        <f t="shared" si="39"/>
        <v/>
      </c>
      <c r="J223" s="149"/>
      <c r="K223" s="1757"/>
      <c r="L223" s="1562"/>
      <c r="M223" s="1584"/>
      <c r="N223" s="150" t="str">
        <f t="shared" si="43"/>
        <v/>
      </c>
      <c r="O223" s="151"/>
      <c r="P223" s="214" t="str">
        <f>IFERROR(VLOOKUP(F223,#REF!,12,FALSE),"")</f>
        <v/>
      </c>
      <c r="Q223" s="153" t="s">
        <v>8</v>
      </c>
      <c r="R223" s="32" t="str">
        <f>IFERROR(VLOOKUP(F223,#REF!,14,FALSE),"")</f>
        <v/>
      </c>
      <c r="S223" s="33" t="str">
        <f t="shared" si="44"/>
        <v/>
      </c>
      <c r="U223" s="1728"/>
      <c r="V223" s="192">
        <f t="shared" si="42"/>
        <v>0</v>
      </c>
      <c r="W223" s="1766"/>
      <c r="X223" s="192"/>
    </row>
    <row r="224" spans="2:24" x14ac:dyDescent="0.2">
      <c r="B224" s="1653" t="s">
        <v>142</v>
      </c>
      <c r="C224" s="161">
        <v>43312</v>
      </c>
      <c r="D224" s="162" t="s">
        <v>140</v>
      </c>
      <c r="E224" s="163"/>
      <c r="F224" s="1404" t="s">
        <v>158</v>
      </c>
      <c r="G224" s="120">
        <v>4.9351851851851848E-2</v>
      </c>
      <c r="H224" s="121">
        <v>13.87</v>
      </c>
      <c r="I224" s="310">
        <f t="shared" si="39"/>
        <v>3.558172447862426E-3</v>
      </c>
      <c r="J224" s="157">
        <v>143</v>
      </c>
      <c r="K224" s="1757"/>
      <c r="L224" s="1563">
        <v>225</v>
      </c>
      <c r="M224" s="1585"/>
      <c r="N224" s="158">
        <f t="shared" si="43"/>
        <v>1.0172187115653759</v>
      </c>
      <c r="O224" s="159" t="s">
        <v>175</v>
      </c>
      <c r="P224" s="93" t="str">
        <f>IFERROR(VLOOKUP(F224,#REF!,12,FALSE),"")</f>
        <v/>
      </c>
      <c r="Q224" s="94" t="s">
        <v>8</v>
      </c>
      <c r="R224" s="46" t="str">
        <f>IFERROR(VLOOKUP(F224,#REF!,14,FALSE),"")</f>
        <v/>
      </c>
      <c r="S224" s="47">
        <f t="shared" si="44"/>
        <v>1.5734265734265733</v>
      </c>
      <c r="U224" s="1728"/>
      <c r="V224" s="206">
        <f t="shared" si="42"/>
        <v>0</v>
      </c>
      <c r="W224" s="1767"/>
      <c r="X224" s="206"/>
    </row>
    <row r="225" spans="2:24" ht="16" thickBot="1" x14ac:dyDescent="0.25">
      <c r="B225" s="1654">
        <f>SUM(H223:H229)</f>
        <v>62.9</v>
      </c>
      <c r="C225" s="161">
        <v>43313</v>
      </c>
      <c r="D225" s="49"/>
      <c r="E225" s="156"/>
      <c r="F225" s="1404"/>
      <c r="G225" s="120"/>
      <c r="H225" s="121" t="str">
        <f>IFERROR(VLOOKUP(F225,#REF!,10,FALSE),"")</f>
        <v/>
      </c>
      <c r="I225" s="310" t="str">
        <f t="shared" si="39"/>
        <v/>
      </c>
      <c r="J225" s="157"/>
      <c r="K225" s="1757"/>
      <c r="L225" s="1563"/>
      <c r="M225" s="1585"/>
      <c r="N225" s="158" t="str">
        <f t="shared" si="43"/>
        <v/>
      </c>
      <c r="O225" s="159"/>
      <c r="P225" s="93" t="str">
        <f>IFERROR(VLOOKUP(F225,#REF!,12,FALSE),"")</f>
        <v/>
      </c>
      <c r="Q225" s="94" t="s">
        <v>8</v>
      </c>
      <c r="R225" s="46" t="str">
        <f>IFERROR(VLOOKUP(F225,#REF!,14,FALSE),"")</f>
        <v/>
      </c>
      <c r="S225" s="47" t="str">
        <f t="shared" si="44"/>
        <v/>
      </c>
      <c r="U225" s="1728"/>
      <c r="V225" s="206">
        <f t="shared" si="42"/>
        <v>0</v>
      </c>
      <c r="W225" s="1767"/>
      <c r="X225" s="206"/>
    </row>
    <row r="226" spans="2:24" x14ac:dyDescent="0.2">
      <c r="B226" s="1655" t="s">
        <v>144</v>
      </c>
      <c r="C226" s="161">
        <v>43314</v>
      </c>
      <c r="D226" s="49" t="s">
        <v>141</v>
      </c>
      <c r="E226" s="156"/>
      <c r="F226" s="1404" t="s">
        <v>163</v>
      </c>
      <c r="G226" s="120">
        <v>6.6249999999999989E-2</v>
      </c>
      <c r="H226" s="121">
        <v>18.84</v>
      </c>
      <c r="I226" s="310">
        <f t="shared" si="39"/>
        <v>3.5164543524416132E-3</v>
      </c>
      <c r="J226" s="157">
        <v>146</v>
      </c>
      <c r="K226" s="1757"/>
      <c r="L226" s="1563">
        <v>229</v>
      </c>
      <c r="M226" s="1585"/>
      <c r="N226" s="158">
        <f t="shared" si="43"/>
        <v>1.0231641064068939</v>
      </c>
      <c r="O226" s="159" t="s">
        <v>175</v>
      </c>
      <c r="P226" s="93" t="str">
        <f>IFERROR(VLOOKUP(F226,#REF!,12,FALSE),"")</f>
        <v/>
      </c>
      <c r="Q226" s="94" t="s">
        <v>8</v>
      </c>
      <c r="R226" s="46" t="str">
        <f>IFERROR(VLOOKUP(F226,#REF!,14,FALSE),"")</f>
        <v/>
      </c>
      <c r="S226" s="47">
        <f t="shared" si="44"/>
        <v>1.5684931506849316</v>
      </c>
      <c r="U226" s="1728"/>
      <c r="V226" s="206">
        <f t="shared" si="42"/>
        <v>0</v>
      </c>
      <c r="W226" s="1767"/>
      <c r="X226" s="206"/>
    </row>
    <row r="227" spans="2:24" ht="16" thickBot="1" x14ac:dyDescent="0.25">
      <c r="B227" s="1656" t="e">
        <f>SUM(#REF!)</f>
        <v>#REF!</v>
      </c>
      <c r="C227" s="161">
        <v>43315</v>
      </c>
      <c r="D227" s="49" t="s">
        <v>177</v>
      </c>
      <c r="E227" s="156"/>
      <c r="F227" s="1404" t="s">
        <v>173</v>
      </c>
      <c r="G227" s="120">
        <v>4.3321759259259261E-2</v>
      </c>
      <c r="H227" s="121">
        <v>11.4</v>
      </c>
      <c r="I227" s="310">
        <f t="shared" si="39"/>
        <v>3.8001543209876545E-3</v>
      </c>
      <c r="J227" s="157">
        <v>129</v>
      </c>
      <c r="K227" s="1757"/>
      <c r="L227" s="1563">
        <v>220</v>
      </c>
      <c r="M227" s="1585"/>
      <c r="N227" s="158">
        <f t="shared" si="43"/>
        <v>1.0622549019607843</v>
      </c>
      <c r="O227" s="159" t="s">
        <v>176</v>
      </c>
      <c r="P227" s="93" t="str">
        <f>IFERROR(VLOOKUP(F227,#REF!,12,FALSE),"")</f>
        <v/>
      </c>
      <c r="Q227" s="94" t="s">
        <v>8</v>
      </c>
      <c r="R227" s="46" t="str">
        <f>IFERROR(VLOOKUP(F227,#REF!,14,FALSE),"")</f>
        <v/>
      </c>
      <c r="S227" s="47">
        <f t="shared" si="44"/>
        <v>1.7054263565891472</v>
      </c>
      <c r="U227" s="1728"/>
      <c r="V227" s="206">
        <f t="shared" si="42"/>
        <v>0</v>
      </c>
      <c r="W227" s="1767"/>
      <c r="X227" s="206"/>
    </row>
    <row r="228" spans="2:24" x14ac:dyDescent="0.2">
      <c r="B228" s="1657" t="s">
        <v>256</v>
      </c>
      <c r="C228" s="161">
        <v>43316</v>
      </c>
      <c r="D228" s="49"/>
      <c r="E228" s="156"/>
      <c r="F228" s="1404"/>
      <c r="G228" s="120"/>
      <c r="H228" s="121" t="str">
        <f>IFERROR(VLOOKUP(F228,#REF!,10,FALSE),"")</f>
        <v/>
      </c>
      <c r="I228" s="310" t="str">
        <f t="shared" si="39"/>
        <v/>
      </c>
      <c r="J228" s="157"/>
      <c r="K228" s="1757"/>
      <c r="L228" s="1563"/>
      <c r="M228" s="1585"/>
      <c r="N228" s="158" t="str">
        <f t="shared" si="43"/>
        <v/>
      </c>
      <c r="O228" s="159"/>
      <c r="P228" s="93" t="str">
        <f>IFERROR(VLOOKUP(F228,#REF!,12,FALSE),"")</f>
        <v/>
      </c>
      <c r="Q228" s="94" t="s">
        <v>8</v>
      </c>
      <c r="R228" s="46" t="str">
        <f>IFERROR(VLOOKUP(F228,#REF!,14,FALSE),"")</f>
        <v/>
      </c>
      <c r="S228" s="47" t="str">
        <f t="shared" si="44"/>
        <v/>
      </c>
      <c r="U228" s="1728"/>
      <c r="V228" s="206">
        <f t="shared" si="42"/>
        <v>0</v>
      </c>
      <c r="W228" s="1767"/>
      <c r="X228" s="206"/>
    </row>
    <row r="229" spans="2:24" ht="16" thickBot="1" x14ac:dyDescent="0.25">
      <c r="B229" s="1658" t="e">
        <f>AVERAGE(#REF!)</f>
        <v>#REF!</v>
      </c>
      <c r="C229" s="207">
        <v>43317</v>
      </c>
      <c r="D229" s="67" t="s">
        <v>178</v>
      </c>
      <c r="E229" s="208"/>
      <c r="F229" s="1422" t="s">
        <v>154</v>
      </c>
      <c r="G229" s="167">
        <v>7.1111111111111111E-2</v>
      </c>
      <c r="H229" s="307">
        <v>18.79</v>
      </c>
      <c r="I229" s="311">
        <f t="shared" si="39"/>
        <v>3.7845189521613152E-3</v>
      </c>
      <c r="J229" s="171">
        <v>142</v>
      </c>
      <c r="K229" s="1757"/>
      <c r="L229" s="1564">
        <v>221</v>
      </c>
      <c r="M229" s="1586"/>
      <c r="N229" s="172">
        <f t="shared" si="43"/>
        <v>1.0626929217668974</v>
      </c>
      <c r="O229" s="173" t="s">
        <v>17</v>
      </c>
      <c r="P229" s="174" t="str">
        <f>IFERROR(VLOOKUP(F229,#REF!,12,FALSE),"")</f>
        <v/>
      </c>
      <c r="Q229" s="175" t="s">
        <v>8</v>
      </c>
      <c r="R229" s="64" t="str">
        <f>IFERROR(VLOOKUP(F229,#REF!,14,FALSE),"")</f>
        <v/>
      </c>
      <c r="S229" s="65">
        <f t="shared" si="44"/>
        <v>1.556338028169014</v>
      </c>
      <c r="U229" s="1728"/>
      <c r="V229" s="68">
        <f t="shared" si="42"/>
        <v>0</v>
      </c>
      <c r="W229" s="1768"/>
      <c r="X229" s="68"/>
    </row>
    <row r="230" spans="2:24" ht="16" thickBot="1" x14ac:dyDescent="0.25">
      <c r="B230" s="1652">
        <f>B223+1</f>
        <v>32</v>
      </c>
      <c r="C230" s="264">
        <v>43318</v>
      </c>
      <c r="D230" s="265"/>
      <c r="E230" s="266"/>
      <c r="F230" s="1416"/>
      <c r="G230" s="267"/>
      <c r="H230" s="268" t="str">
        <f>IFERROR(VLOOKUP(F230,#REF!,10,FALSE),"")</f>
        <v/>
      </c>
      <c r="I230" s="312" t="str">
        <f t="shared" si="39"/>
        <v/>
      </c>
      <c r="J230" s="269"/>
      <c r="K230" s="1757"/>
      <c r="L230" s="270"/>
      <c r="M230" s="1593"/>
      <c r="N230" s="322" t="str">
        <f t="shared" si="43"/>
        <v/>
      </c>
      <c r="O230" s="271"/>
      <c r="P230" s="224" t="str">
        <f>IFERROR(VLOOKUP(F230,#REF!,12,FALSE),"")</f>
        <v/>
      </c>
      <c r="Q230" s="80" t="s">
        <v>8</v>
      </c>
      <c r="R230" s="80" t="str">
        <f>IFERROR(VLOOKUP(F230,#REF!,14,FALSE),"")</f>
        <v/>
      </c>
      <c r="S230" s="33" t="str">
        <f t="shared" si="44"/>
        <v/>
      </c>
      <c r="U230" s="1728"/>
      <c r="V230" s="243">
        <f t="shared" si="42"/>
        <v>0</v>
      </c>
      <c r="W230" s="1766"/>
      <c r="X230" s="243"/>
    </row>
    <row r="231" spans="2:24" x14ac:dyDescent="0.2">
      <c r="B231" s="1653" t="s">
        <v>142</v>
      </c>
      <c r="C231" s="272">
        <v>43319</v>
      </c>
      <c r="D231" s="273" t="s">
        <v>179</v>
      </c>
      <c r="E231" s="274"/>
      <c r="F231" s="1417" t="s">
        <v>173</v>
      </c>
      <c r="G231" s="275">
        <v>3.7187499999999998E-2</v>
      </c>
      <c r="H231" s="276">
        <v>9.51</v>
      </c>
      <c r="I231" s="313">
        <f t="shared" si="39"/>
        <v>3.9103575184016824E-3</v>
      </c>
      <c r="J231" s="278">
        <v>124</v>
      </c>
      <c r="K231" s="1757"/>
      <c r="L231" s="1568">
        <v>215</v>
      </c>
      <c r="M231" s="1591"/>
      <c r="N231" s="323">
        <f t="shared" si="43"/>
        <v>1.0682176656151421</v>
      </c>
      <c r="O231" s="279" t="s">
        <v>176</v>
      </c>
      <c r="P231" s="229" t="str">
        <f>IFERROR(VLOOKUP(F231,#REF!,12,FALSE),"")</f>
        <v/>
      </c>
      <c r="Q231" s="230" t="s">
        <v>8</v>
      </c>
      <c r="R231" s="46" t="str">
        <f>IFERROR(VLOOKUP(F231,#REF!,14,FALSE),"")</f>
        <v/>
      </c>
      <c r="S231" s="47">
        <f t="shared" si="44"/>
        <v>1.7338709677419355</v>
      </c>
      <c r="U231" s="1728"/>
      <c r="V231" s="50">
        <f t="shared" si="42"/>
        <v>0</v>
      </c>
      <c r="W231" s="1767"/>
      <c r="X231" s="50"/>
    </row>
    <row r="232" spans="2:24" ht="16" thickBot="1" x14ac:dyDescent="0.25">
      <c r="B232" s="1654">
        <f>SUM(H230:H236)</f>
        <v>46.65</v>
      </c>
      <c r="C232" s="272">
        <v>43320</v>
      </c>
      <c r="D232" s="273" t="s">
        <v>180</v>
      </c>
      <c r="E232" s="274"/>
      <c r="F232" s="1417" t="s">
        <v>173</v>
      </c>
      <c r="G232" s="275">
        <v>3.7384259259259263E-2</v>
      </c>
      <c r="H232" s="276">
        <v>9.5399999999999991</v>
      </c>
      <c r="I232" s="313">
        <f t="shared" si="39"/>
        <v>3.9186854569454154E-3</v>
      </c>
      <c r="J232" s="278">
        <v>122</v>
      </c>
      <c r="K232" s="1757"/>
      <c r="L232" s="1568">
        <v>214</v>
      </c>
      <c r="M232" s="1591"/>
      <c r="N232" s="323">
        <f t="shared" si="43"/>
        <v>1.0655136268343817</v>
      </c>
      <c r="O232" s="279" t="s">
        <v>176</v>
      </c>
      <c r="P232" s="229" t="str">
        <f>IFERROR(VLOOKUP(F232,#REF!,12,FALSE),"")</f>
        <v/>
      </c>
      <c r="Q232" s="230" t="s">
        <v>8</v>
      </c>
      <c r="R232" s="46" t="str">
        <f>IFERROR(VLOOKUP(F232,#REF!,14,FALSE),"")</f>
        <v/>
      </c>
      <c r="S232" s="47">
        <f t="shared" si="44"/>
        <v>1.7540983606557377</v>
      </c>
      <c r="U232" s="1728"/>
      <c r="V232" s="50">
        <f t="shared" si="42"/>
        <v>0</v>
      </c>
      <c r="W232" s="1767"/>
      <c r="X232" s="50"/>
    </row>
    <row r="233" spans="2:24" x14ac:dyDescent="0.2">
      <c r="B233" s="1655" t="s">
        <v>144</v>
      </c>
      <c r="C233" s="272">
        <v>43321</v>
      </c>
      <c r="D233" s="273"/>
      <c r="E233" s="274"/>
      <c r="F233" s="1417"/>
      <c r="G233" s="275"/>
      <c r="H233" s="276" t="str">
        <f>IFERROR(VLOOKUP(F233,#REF!,10,FALSE),"")</f>
        <v/>
      </c>
      <c r="I233" s="313" t="str">
        <f t="shared" si="39"/>
        <v/>
      </c>
      <c r="J233" s="278"/>
      <c r="K233" s="1757"/>
      <c r="L233" s="1568"/>
      <c r="M233" s="1591"/>
      <c r="N233" s="323" t="str">
        <f t="shared" si="43"/>
        <v/>
      </c>
      <c r="O233" s="279"/>
      <c r="P233" s="229" t="str">
        <f>IFERROR(VLOOKUP(F233,#REF!,12,FALSE),"")</f>
        <v/>
      </c>
      <c r="Q233" s="230" t="s">
        <v>8</v>
      </c>
      <c r="R233" s="46" t="str">
        <f>IFERROR(VLOOKUP(F233,#REF!,14,FALSE),"")</f>
        <v/>
      </c>
      <c r="S233" s="47" t="str">
        <f t="shared" si="44"/>
        <v/>
      </c>
      <c r="U233" s="1728"/>
      <c r="V233" s="50">
        <f t="shared" si="42"/>
        <v>0</v>
      </c>
      <c r="W233" s="1767"/>
      <c r="X233" s="50"/>
    </row>
    <row r="234" spans="2:24" ht="16" thickBot="1" x14ac:dyDescent="0.25">
      <c r="B234" s="1656" t="e">
        <f>SUM(#REF!)</f>
        <v>#REF!</v>
      </c>
      <c r="C234" s="272">
        <v>43322</v>
      </c>
      <c r="D234" s="273" t="s">
        <v>181</v>
      </c>
      <c r="E234" s="274"/>
      <c r="F234" s="1417" t="s">
        <v>13</v>
      </c>
      <c r="G234" s="275">
        <v>4.4988425925925925E-2</v>
      </c>
      <c r="H234" s="276">
        <v>13.2</v>
      </c>
      <c r="I234" s="313">
        <f t="shared" si="39"/>
        <v>3.4082140852974186E-3</v>
      </c>
      <c r="J234" s="278">
        <v>140</v>
      </c>
      <c r="K234" s="1757"/>
      <c r="L234" s="1568">
        <v>243</v>
      </c>
      <c r="M234" s="1591"/>
      <c r="N234" s="323">
        <f t="shared" si="43"/>
        <v>1.0522961229946526</v>
      </c>
      <c r="O234" s="279" t="s">
        <v>176</v>
      </c>
      <c r="P234" s="229" t="str">
        <f>IFERROR(VLOOKUP(F234,#REF!,12,FALSE),"")</f>
        <v/>
      </c>
      <c r="Q234" s="230" t="s">
        <v>8</v>
      </c>
      <c r="R234" s="46" t="str">
        <f>IFERROR(VLOOKUP(F234,#REF!,14,FALSE),"")</f>
        <v/>
      </c>
      <c r="S234" s="47">
        <f t="shared" si="44"/>
        <v>1.7357142857142858</v>
      </c>
      <c r="U234" s="1728"/>
      <c r="V234" s="50">
        <f t="shared" si="42"/>
        <v>0</v>
      </c>
      <c r="W234" s="1767"/>
      <c r="X234" s="50"/>
    </row>
    <row r="235" spans="2:24" x14ac:dyDescent="0.2">
      <c r="B235" s="1657" t="s">
        <v>256</v>
      </c>
      <c r="C235" s="272">
        <v>43323</v>
      </c>
      <c r="D235" s="273" t="s">
        <v>182</v>
      </c>
      <c r="E235" s="274"/>
      <c r="F235" s="1417" t="s">
        <v>150</v>
      </c>
      <c r="G235" s="275">
        <v>5.6041666666666663E-2</v>
      </c>
      <c r="H235" s="276">
        <v>14.4</v>
      </c>
      <c r="I235" s="313">
        <f t="shared" si="39"/>
        <v>3.8917824074074072E-3</v>
      </c>
      <c r="J235" s="278">
        <v>129</v>
      </c>
      <c r="K235" s="1757"/>
      <c r="L235" s="1568">
        <v>215</v>
      </c>
      <c r="M235" s="1591"/>
      <c r="N235" s="323">
        <f t="shared" si="43"/>
        <v>1.063143382352941</v>
      </c>
      <c r="O235" s="279" t="s">
        <v>176</v>
      </c>
      <c r="P235" s="229" t="str">
        <f>IFERROR(VLOOKUP(F235,#REF!,12,FALSE),"")</f>
        <v/>
      </c>
      <c r="Q235" s="230" t="s">
        <v>8</v>
      </c>
      <c r="R235" s="46" t="str">
        <f>IFERROR(VLOOKUP(F235,#REF!,14,FALSE),"")</f>
        <v/>
      </c>
      <c r="S235" s="47">
        <f t="shared" si="44"/>
        <v>1.6666666666666667</v>
      </c>
      <c r="U235" s="1728"/>
      <c r="V235" s="50">
        <f t="shared" si="42"/>
        <v>0</v>
      </c>
      <c r="W235" s="1767"/>
      <c r="X235" s="50"/>
    </row>
    <row r="236" spans="2:24" ht="16" thickBot="1" x14ac:dyDescent="0.25">
      <c r="B236" s="1658" t="e">
        <f>AVERAGE(#REF!)</f>
        <v>#REF!</v>
      </c>
      <c r="C236" s="324">
        <v>43324</v>
      </c>
      <c r="D236" s="325"/>
      <c r="E236" s="326"/>
      <c r="F236" s="1424"/>
      <c r="G236" s="327"/>
      <c r="H236" s="328"/>
      <c r="I236" s="329"/>
      <c r="J236" s="330"/>
      <c r="K236" s="1757"/>
      <c r="L236" s="1570"/>
      <c r="M236" s="1594"/>
      <c r="N236" s="331"/>
      <c r="O236" s="332"/>
      <c r="P236" s="320" t="str">
        <f>IFERROR(VLOOKUP(F236,#REF!,12,FALSE),"")</f>
        <v/>
      </c>
      <c r="Q236" s="321" t="s">
        <v>8</v>
      </c>
      <c r="R236" s="107" t="str">
        <f>IFERROR(VLOOKUP(F236,#REF!,14,FALSE),"")</f>
        <v/>
      </c>
      <c r="S236" s="65" t="str">
        <f t="shared" si="44"/>
        <v/>
      </c>
      <c r="U236" s="1728"/>
      <c r="V236" s="109">
        <f t="shared" si="42"/>
        <v>0</v>
      </c>
      <c r="W236" s="1768"/>
      <c r="X236" s="109"/>
    </row>
    <row r="237" spans="2:24" ht="16" thickBot="1" x14ac:dyDescent="0.25">
      <c r="B237" s="1652">
        <f>B230+1</f>
        <v>33</v>
      </c>
      <c r="C237" s="189">
        <v>43325</v>
      </c>
      <c r="D237" s="143"/>
      <c r="E237" s="144"/>
      <c r="F237" s="1421"/>
      <c r="G237" s="145"/>
      <c r="H237" s="234" t="str">
        <f>IFERROR(VLOOKUP(F237,#REF!,10,FALSE),"")</f>
        <v/>
      </c>
      <c r="I237" s="309" t="str">
        <f t="shared" si="39"/>
        <v/>
      </c>
      <c r="J237" s="149"/>
      <c r="K237" s="1757"/>
      <c r="L237" s="1562"/>
      <c r="M237" s="1584"/>
      <c r="N237" s="150" t="str">
        <f>IFERROR((L237/68)/(1/(I237*24)/3.6),"")</f>
        <v/>
      </c>
      <c r="O237" s="151"/>
      <c r="P237" s="214" t="str">
        <f>IFERROR(VLOOKUP(F237,#REF!,12,FALSE),"")</f>
        <v/>
      </c>
      <c r="Q237" s="153" t="s">
        <v>8</v>
      </c>
      <c r="R237" s="32" t="str">
        <f>IFERROR(VLOOKUP(F237,#REF!,14,FALSE),"")</f>
        <v/>
      </c>
      <c r="S237" s="33" t="str">
        <f t="shared" si="44"/>
        <v/>
      </c>
      <c r="U237" s="1728"/>
      <c r="V237" s="192">
        <f t="shared" si="42"/>
        <v>0</v>
      </c>
      <c r="W237" s="1766"/>
      <c r="X237" s="192"/>
    </row>
    <row r="238" spans="2:24" x14ac:dyDescent="0.2">
      <c r="B238" s="1653" t="s">
        <v>142</v>
      </c>
      <c r="C238" s="161">
        <v>43326</v>
      </c>
      <c r="D238" s="162" t="s">
        <v>183</v>
      </c>
      <c r="E238" s="163"/>
      <c r="F238" s="1404" t="s">
        <v>158</v>
      </c>
      <c r="G238" s="120">
        <v>3.363425925925926E-2</v>
      </c>
      <c r="H238" s="121">
        <v>10.199999999999999</v>
      </c>
      <c r="I238" s="310">
        <f t="shared" si="39"/>
        <v>3.2974763979665943E-3</v>
      </c>
      <c r="J238" s="157">
        <v>154</v>
      </c>
      <c r="K238" s="1757"/>
      <c r="L238" s="1563">
        <v>243</v>
      </c>
      <c r="M238" s="1585"/>
      <c r="N238" s="158">
        <f t="shared" ref="N238:N280" si="45">IFERROR((L238/67)/(1/(I238*24)/3.6),"")</f>
        <v>1.0333011413520634</v>
      </c>
      <c r="O238" s="159" t="s">
        <v>175</v>
      </c>
      <c r="P238" s="93" t="str">
        <f>IFERROR(VLOOKUP(F238,#REF!,12,FALSE),"")</f>
        <v/>
      </c>
      <c r="Q238" s="94" t="s">
        <v>8</v>
      </c>
      <c r="R238" s="46" t="str">
        <f>IFERROR(VLOOKUP(F238,#REF!,14,FALSE),"")</f>
        <v/>
      </c>
      <c r="S238" s="47">
        <f t="shared" si="44"/>
        <v>1.5779220779220779</v>
      </c>
      <c r="U238" s="1728"/>
      <c r="V238" s="206">
        <f t="shared" si="42"/>
        <v>0</v>
      </c>
      <c r="W238" s="1767"/>
      <c r="X238" s="206"/>
    </row>
    <row r="239" spans="2:24" ht="16" thickBot="1" x14ac:dyDescent="0.25">
      <c r="B239" s="1654">
        <f>SUM(H237:H243)</f>
        <v>64.05</v>
      </c>
      <c r="C239" s="161">
        <v>43327</v>
      </c>
      <c r="D239" s="49" t="s">
        <v>184</v>
      </c>
      <c r="E239" s="156"/>
      <c r="F239" s="1404" t="s">
        <v>173</v>
      </c>
      <c r="G239" s="120">
        <v>4.65625E-2</v>
      </c>
      <c r="H239" s="121">
        <v>11.64</v>
      </c>
      <c r="I239" s="310">
        <f t="shared" si="39"/>
        <v>4.0002147766323021E-3</v>
      </c>
      <c r="J239" s="157">
        <v>131</v>
      </c>
      <c r="K239" s="1757"/>
      <c r="L239" s="1563">
        <v>207</v>
      </c>
      <c r="M239" s="1585"/>
      <c r="N239" s="158">
        <f t="shared" si="45"/>
        <v>1.0678065856285581</v>
      </c>
      <c r="O239" s="159" t="s">
        <v>176</v>
      </c>
      <c r="P239" s="93" t="str">
        <f>IFERROR(VLOOKUP(F239,#REF!,12,FALSE),"")</f>
        <v/>
      </c>
      <c r="Q239" s="94" t="s">
        <v>8</v>
      </c>
      <c r="R239" s="46" t="str">
        <f>IFERROR(VLOOKUP(F239,#REF!,14,FALSE),"")</f>
        <v/>
      </c>
      <c r="S239" s="47">
        <f t="shared" si="44"/>
        <v>1.5801526717557253</v>
      </c>
      <c r="U239" s="1728"/>
      <c r="V239" s="206">
        <f t="shared" si="42"/>
        <v>0</v>
      </c>
      <c r="W239" s="1767"/>
      <c r="X239" s="206"/>
    </row>
    <row r="240" spans="2:24" x14ac:dyDescent="0.2">
      <c r="B240" s="1655" t="s">
        <v>144</v>
      </c>
      <c r="C240" s="161">
        <v>43328</v>
      </c>
      <c r="D240" s="49" t="s">
        <v>185</v>
      </c>
      <c r="E240" s="156"/>
      <c r="F240" s="1404" t="s">
        <v>174</v>
      </c>
      <c r="G240" s="120">
        <v>3.8333333333333337E-2</v>
      </c>
      <c r="H240" s="121">
        <v>11.91</v>
      </c>
      <c r="I240" s="310">
        <f t="shared" si="39"/>
        <v>3.2185838231178284E-3</v>
      </c>
      <c r="J240" s="157">
        <v>150</v>
      </c>
      <c r="K240" s="1757"/>
      <c r="L240" s="1563">
        <v>246</v>
      </c>
      <c r="M240" s="1585"/>
      <c r="N240" s="158">
        <f t="shared" si="45"/>
        <v>1.0210308658220235</v>
      </c>
      <c r="O240" s="159" t="s">
        <v>175</v>
      </c>
      <c r="P240" s="93" t="str">
        <f>IFERROR(VLOOKUP(F240,#REF!,12,FALSE),"")</f>
        <v/>
      </c>
      <c r="Q240" s="94" t="s">
        <v>8</v>
      </c>
      <c r="R240" s="46" t="str">
        <f>IFERROR(VLOOKUP(F240,#REF!,14,FALSE),"")</f>
        <v/>
      </c>
      <c r="S240" s="47">
        <f t="shared" si="44"/>
        <v>1.64</v>
      </c>
      <c r="U240" s="1728"/>
      <c r="V240" s="206">
        <f t="shared" si="42"/>
        <v>0</v>
      </c>
      <c r="W240" s="1767"/>
      <c r="X240" s="206"/>
    </row>
    <row r="241" spans="2:24" ht="16" thickBot="1" x14ac:dyDescent="0.25">
      <c r="B241" s="1656" t="e">
        <f>SUM(#REF!)</f>
        <v>#REF!</v>
      </c>
      <c r="C241" s="161">
        <v>43329</v>
      </c>
      <c r="D241" s="49" t="s">
        <v>186</v>
      </c>
      <c r="E241" s="156"/>
      <c r="F241" s="1404" t="s">
        <v>173</v>
      </c>
      <c r="G241" s="120">
        <v>3.9409722222222221E-2</v>
      </c>
      <c r="H241" s="121">
        <v>10.4</v>
      </c>
      <c r="I241" s="310">
        <f t="shared" si="39"/>
        <v>3.7893963675213671E-3</v>
      </c>
      <c r="J241" s="157">
        <v>122</v>
      </c>
      <c r="K241" s="1757"/>
      <c r="L241" s="1563">
        <v>215</v>
      </c>
      <c r="M241" s="1585"/>
      <c r="N241" s="158">
        <f t="shared" si="45"/>
        <v>1.0506242824339838</v>
      </c>
      <c r="O241" s="159" t="s">
        <v>176</v>
      </c>
      <c r="P241" s="93" t="str">
        <f>IFERROR(VLOOKUP(F241,#REF!,12,FALSE),"")</f>
        <v/>
      </c>
      <c r="Q241" s="94" t="s">
        <v>8</v>
      </c>
      <c r="R241" s="46" t="str">
        <f>IFERROR(VLOOKUP(F241,#REF!,14,FALSE),"")</f>
        <v/>
      </c>
      <c r="S241" s="47">
        <f t="shared" si="44"/>
        <v>1.7622950819672132</v>
      </c>
      <c r="U241" s="1728"/>
      <c r="V241" s="206">
        <f t="shared" si="42"/>
        <v>0</v>
      </c>
      <c r="W241" s="1767"/>
      <c r="X241" s="206"/>
    </row>
    <row r="242" spans="2:24" x14ac:dyDescent="0.2">
      <c r="B242" s="1657" t="s">
        <v>256</v>
      </c>
      <c r="C242" s="161">
        <v>43330</v>
      </c>
      <c r="D242" s="49"/>
      <c r="E242" s="156"/>
      <c r="F242" s="1404"/>
      <c r="G242" s="120"/>
      <c r="H242" s="121" t="str">
        <f>IFERROR(VLOOKUP(F242,#REF!,10,FALSE),"")</f>
        <v/>
      </c>
      <c r="I242" s="310" t="str">
        <f t="shared" si="39"/>
        <v/>
      </c>
      <c r="J242" s="157"/>
      <c r="K242" s="1757"/>
      <c r="L242" s="1563"/>
      <c r="M242" s="1585"/>
      <c r="N242" s="158" t="str">
        <f t="shared" si="45"/>
        <v/>
      </c>
      <c r="O242" s="159"/>
      <c r="P242" s="93" t="str">
        <f>IFERROR(VLOOKUP(F242,#REF!,12,FALSE),"")</f>
        <v/>
      </c>
      <c r="Q242" s="94" t="s">
        <v>8</v>
      </c>
      <c r="R242" s="46" t="str">
        <f>IFERROR(VLOOKUP(F242,#REF!,14,FALSE),"")</f>
        <v/>
      </c>
      <c r="S242" s="47" t="str">
        <f t="shared" si="44"/>
        <v/>
      </c>
      <c r="U242" s="1728"/>
      <c r="V242" s="206">
        <f t="shared" si="42"/>
        <v>0</v>
      </c>
      <c r="W242" s="1767"/>
      <c r="X242" s="206"/>
    </row>
    <row r="243" spans="2:24" ht="16" thickBot="1" x14ac:dyDescent="0.25">
      <c r="B243" s="1658" t="e">
        <f>AVERAGE(#REF!)</f>
        <v>#REF!</v>
      </c>
      <c r="C243" s="207">
        <v>43331</v>
      </c>
      <c r="D243" s="67" t="s">
        <v>187</v>
      </c>
      <c r="E243" s="208"/>
      <c r="F243" s="1422" t="s">
        <v>152</v>
      </c>
      <c r="G243" s="167">
        <v>7.6655092592592594E-2</v>
      </c>
      <c r="H243" s="307">
        <v>19.899999999999999</v>
      </c>
      <c r="I243" s="311">
        <f t="shared" si="39"/>
        <v>3.8520147031453566E-3</v>
      </c>
      <c r="J243" s="171">
        <v>141</v>
      </c>
      <c r="K243" s="1757"/>
      <c r="L243" s="1564">
        <v>213</v>
      </c>
      <c r="M243" s="1586"/>
      <c r="N243" s="172">
        <f t="shared" si="45"/>
        <v>1.0580507012675318</v>
      </c>
      <c r="O243" s="173" t="s">
        <v>17</v>
      </c>
      <c r="P243" s="174" t="str">
        <f>IFERROR(VLOOKUP(F243,#REF!,12,FALSE),"")</f>
        <v/>
      </c>
      <c r="Q243" s="175" t="s">
        <v>8</v>
      </c>
      <c r="R243" s="64" t="str">
        <f>IFERROR(VLOOKUP(F243,#REF!,14,FALSE),"")</f>
        <v/>
      </c>
      <c r="S243" s="65">
        <f t="shared" si="44"/>
        <v>1.5106382978723405</v>
      </c>
      <c r="U243" s="1728"/>
      <c r="V243" s="68">
        <f t="shared" si="42"/>
        <v>0</v>
      </c>
      <c r="W243" s="1768"/>
      <c r="X243" s="68"/>
    </row>
    <row r="244" spans="2:24" ht="16" thickBot="1" x14ac:dyDescent="0.25">
      <c r="B244" s="1652">
        <f>B237+1</f>
        <v>34</v>
      </c>
      <c r="C244" s="189">
        <v>43332</v>
      </c>
      <c r="D244" s="215"/>
      <c r="E244" s="333"/>
      <c r="F244" s="1425"/>
      <c r="G244" s="145"/>
      <c r="H244" s="234" t="str">
        <f>IFERROR(VLOOKUP(F244,#REF!,10,FALSE),"")</f>
        <v/>
      </c>
      <c r="I244" s="235" t="str">
        <f t="shared" si="39"/>
        <v/>
      </c>
      <c r="J244" s="236"/>
      <c r="K244" s="1757"/>
      <c r="L244" s="1562"/>
      <c r="M244" s="1584"/>
      <c r="N244" s="150" t="str">
        <f t="shared" si="45"/>
        <v/>
      </c>
      <c r="O244" s="151"/>
      <c r="P244" s="214" t="str">
        <f>IFERROR(VLOOKUP(F244,#REF!,12,FALSE),"")</f>
        <v/>
      </c>
      <c r="Q244" s="153" t="s">
        <v>8</v>
      </c>
      <c r="R244" s="32" t="str">
        <f>IFERROR(VLOOKUP(F244,#REF!,14,FALSE),"")</f>
        <v/>
      </c>
      <c r="S244" s="33" t="str">
        <f t="shared" si="44"/>
        <v/>
      </c>
      <c r="U244" s="1728"/>
      <c r="V244" s="192">
        <f t="shared" si="42"/>
        <v>0</v>
      </c>
      <c r="W244" s="1766"/>
      <c r="X244" s="192"/>
    </row>
    <row r="245" spans="2:24" x14ac:dyDescent="0.2">
      <c r="B245" s="1653" t="s">
        <v>142</v>
      </c>
      <c r="C245" s="161">
        <v>43333</v>
      </c>
      <c r="D245" s="160" t="s">
        <v>188</v>
      </c>
      <c r="E245" s="334"/>
      <c r="F245" s="1426" t="s">
        <v>11</v>
      </c>
      <c r="G245" s="120">
        <v>4.8969907407407413E-2</v>
      </c>
      <c r="H245" s="121">
        <v>14.3</v>
      </c>
      <c r="I245" s="122">
        <f t="shared" si="39"/>
        <v>3.4244690494690498E-3</v>
      </c>
      <c r="J245" s="123">
        <v>141</v>
      </c>
      <c r="K245" s="1757"/>
      <c r="L245" s="1563">
        <v>234</v>
      </c>
      <c r="M245" s="1585"/>
      <c r="N245" s="158">
        <f t="shared" si="45"/>
        <v>1.0333514246947084</v>
      </c>
      <c r="O245" s="159" t="s">
        <v>175</v>
      </c>
      <c r="P245" s="93" t="str">
        <f>IFERROR(VLOOKUP(F245,#REF!,12,FALSE),"")</f>
        <v/>
      </c>
      <c r="Q245" s="94" t="s">
        <v>8</v>
      </c>
      <c r="R245" s="46" t="str">
        <f>IFERROR(VLOOKUP(F245,#REF!,14,FALSE),"")</f>
        <v/>
      </c>
      <c r="S245" s="47">
        <f t="shared" si="44"/>
        <v>1.6595744680851063</v>
      </c>
      <c r="U245" s="1728"/>
      <c r="V245" s="206">
        <f t="shared" si="42"/>
        <v>0</v>
      </c>
      <c r="W245" s="1767"/>
      <c r="X245" s="206"/>
    </row>
    <row r="246" spans="2:24" ht="16" thickBot="1" x14ac:dyDescent="0.25">
      <c r="B246" s="1654">
        <f>SUM(H244:H250)</f>
        <v>70.36</v>
      </c>
      <c r="C246" s="161">
        <v>43334</v>
      </c>
      <c r="D246" s="160" t="s">
        <v>189</v>
      </c>
      <c r="E246" s="334"/>
      <c r="F246" s="1427" t="s">
        <v>173</v>
      </c>
      <c r="G246" s="120">
        <v>4.5312499999999999E-2</v>
      </c>
      <c r="H246" s="121">
        <v>11.6</v>
      </c>
      <c r="I246" s="122">
        <f t="shared" si="39"/>
        <v>3.90625E-3</v>
      </c>
      <c r="J246" s="123">
        <v>123</v>
      </c>
      <c r="K246" s="1757"/>
      <c r="L246" s="1563">
        <v>210</v>
      </c>
      <c r="M246" s="1585"/>
      <c r="N246" s="158">
        <f t="shared" si="45"/>
        <v>1.0578358208955225</v>
      </c>
      <c r="O246" s="159" t="s">
        <v>176</v>
      </c>
      <c r="P246" s="93" t="str">
        <f>IFERROR(VLOOKUP(F246,#REF!,12,FALSE),"")</f>
        <v/>
      </c>
      <c r="Q246" s="94" t="s">
        <v>8</v>
      </c>
      <c r="R246" s="46" t="str">
        <f>IFERROR(VLOOKUP(F246,#REF!,14,FALSE),"")</f>
        <v/>
      </c>
      <c r="S246" s="47">
        <f t="shared" ref="S246:S280" si="46">IFERROR(L246/J246,"")</f>
        <v>1.7073170731707317</v>
      </c>
      <c r="U246" s="1728"/>
      <c r="V246" s="50">
        <f t="shared" si="42"/>
        <v>0</v>
      </c>
      <c r="W246" s="1767"/>
      <c r="X246" s="50"/>
    </row>
    <row r="247" spans="2:24" x14ac:dyDescent="0.2">
      <c r="B247" s="1655" t="s">
        <v>144</v>
      </c>
      <c r="C247" s="155">
        <v>43335</v>
      </c>
      <c r="D247" s="48" t="s">
        <v>190</v>
      </c>
      <c r="E247" s="335"/>
      <c r="F247" s="1428" t="s">
        <v>159</v>
      </c>
      <c r="G247" s="120">
        <v>3.8819444444444441E-2</v>
      </c>
      <c r="H247" s="121">
        <v>12.86</v>
      </c>
      <c r="I247" s="122">
        <f t="shared" si="39"/>
        <v>3.0186193191636427E-3</v>
      </c>
      <c r="J247" s="123">
        <v>155</v>
      </c>
      <c r="K247" s="1757"/>
      <c r="L247" s="1563">
        <v>262</v>
      </c>
      <c r="M247" s="1585"/>
      <c r="N247" s="158">
        <f t="shared" si="45"/>
        <v>1.0198788328961723</v>
      </c>
      <c r="O247" s="159" t="s">
        <v>175</v>
      </c>
      <c r="P247" s="93" t="str">
        <f>IFERROR(VLOOKUP(F247,#REF!,12,FALSE),"")</f>
        <v/>
      </c>
      <c r="Q247" s="94" t="s">
        <v>8</v>
      </c>
      <c r="R247" s="46" t="str">
        <f>IFERROR(VLOOKUP(F247,#REF!,14,FALSE),"")</f>
        <v/>
      </c>
      <c r="S247" s="47">
        <f t="shared" si="46"/>
        <v>1.6903225806451614</v>
      </c>
      <c r="U247" s="1728"/>
      <c r="V247" s="50">
        <f t="shared" si="42"/>
        <v>0</v>
      </c>
      <c r="W247" s="1767"/>
      <c r="X247" s="50"/>
    </row>
    <row r="248" spans="2:24" ht="16" thickBot="1" x14ac:dyDescent="0.25">
      <c r="B248" s="1656" t="e">
        <f>SUM(#REF!)</f>
        <v>#REF!</v>
      </c>
      <c r="C248" s="161">
        <v>43336</v>
      </c>
      <c r="D248" s="160" t="s">
        <v>191</v>
      </c>
      <c r="E248" s="334"/>
      <c r="F248" s="1428" t="s">
        <v>173</v>
      </c>
      <c r="G248" s="120">
        <v>4.4849537037037035E-2</v>
      </c>
      <c r="H248" s="121">
        <v>11.6</v>
      </c>
      <c r="I248" s="122">
        <f t="shared" si="39"/>
        <v>3.866339399744572E-3</v>
      </c>
      <c r="J248" s="123">
        <v>128</v>
      </c>
      <c r="K248" s="1757"/>
      <c r="L248" s="1563">
        <v>214</v>
      </c>
      <c r="M248" s="1585"/>
      <c r="N248" s="158">
        <f t="shared" si="45"/>
        <v>1.0669711785898095</v>
      </c>
      <c r="O248" s="159" t="s">
        <v>176</v>
      </c>
      <c r="P248" s="93" t="str">
        <f>IFERROR(VLOOKUP(F248,#REF!,12,FALSE),"")</f>
        <v/>
      </c>
      <c r="Q248" s="94" t="s">
        <v>8</v>
      </c>
      <c r="R248" s="46" t="str">
        <f>IFERROR(VLOOKUP(F248,#REF!,14,FALSE),"")</f>
        <v/>
      </c>
      <c r="S248" s="47">
        <f t="shared" si="46"/>
        <v>1.671875</v>
      </c>
      <c r="U248" s="1728"/>
      <c r="V248" s="50">
        <f t="shared" si="42"/>
        <v>0</v>
      </c>
      <c r="W248" s="1767"/>
      <c r="X248" s="50"/>
    </row>
    <row r="249" spans="2:24" x14ac:dyDescent="0.2">
      <c r="B249" s="1657" t="s">
        <v>256</v>
      </c>
      <c r="C249" s="161">
        <v>43337</v>
      </c>
      <c r="D249" s="160" t="s">
        <v>192</v>
      </c>
      <c r="E249" s="334"/>
      <c r="F249" s="1428" t="s">
        <v>153</v>
      </c>
      <c r="G249" s="120">
        <v>7.2268518518518524E-2</v>
      </c>
      <c r="H249" s="121">
        <v>20</v>
      </c>
      <c r="I249" s="122">
        <f t="shared" si="39"/>
        <v>3.6134259259259262E-3</v>
      </c>
      <c r="J249" s="123">
        <v>135</v>
      </c>
      <c r="K249" s="1757"/>
      <c r="L249" s="1563">
        <v>225</v>
      </c>
      <c r="M249" s="1585"/>
      <c r="N249" s="158">
        <f t="shared" si="45"/>
        <v>1.0484328358208956</v>
      </c>
      <c r="O249" s="159" t="s">
        <v>17</v>
      </c>
      <c r="P249" s="93" t="str">
        <f>IFERROR(VLOOKUP(F249,#REF!,12,FALSE),"")</f>
        <v/>
      </c>
      <c r="Q249" s="94" t="s">
        <v>8</v>
      </c>
      <c r="R249" s="46" t="str">
        <f>IFERROR(VLOOKUP(F249,#REF!,14,FALSE),"")</f>
        <v/>
      </c>
      <c r="S249" s="47">
        <f t="shared" si="46"/>
        <v>1.6666666666666667</v>
      </c>
      <c r="U249" s="1728"/>
      <c r="V249" s="50">
        <f t="shared" si="42"/>
        <v>0</v>
      </c>
      <c r="W249" s="1767"/>
      <c r="X249" s="50"/>
    </row>
    <row r="250" spans="2:24" ht="16" thickBot="1" x14ac:dyDescent="0.25">
      <c r="B250" s="1658" t="e">
        <f>AVERAGE(#REF!)</f>
        <v>#REF!</v>
      </c>
      <c r="C250" s="207">
        <v>43338</v>
      </c>
      <c r="D250" s="66"/>
      <c r="E250" s="336"/>
      <c r="F250" s="1429"/>
      <c r="G250" s="167"/>
      <c r="H250" s="307" t="str">
        <f>IFERROR(VLOOKUP(F250,#REF!,10,FALSE),"")</f>
        <v/>
      </c>
      <c r="I250" s="304" t="str">
        <f t="shared" si="39"/>
        <v/>
      </c>
      <c r="J250" s="308"/>
      <c r="K250" s="1757"/>
      <c r="L250" s="1564"/>
      <c r="M250" s="1586"/>
      <c r="N250" s="172" t="str">
        <f t="shared" si="45"/>
        <v/>
      </c>
      <c r="O250" s="173"/>
      <c r="P250" s="174" t="str">
        <f>IFERROR(VLOOKUP(F250,#REF!,12,FALSE),"")</f>
        <v/>
      </c>
      <c r="Q250" s="175" t="s">
        <v>8</v>
      </c>
      <c r="R250" s="64" t="str">
        <f>IFERROR(VLOOKUP(F250,#REF!,14,FALSE),"")</f>
        <v/>
      </c>
      <c r="S250" s="65" t="str">
        <f t="shared" si="46"/>
        <v/>
      </c>
      <c r="U250" s="1728"/>
      <c r="V250" s="177">
        <f t="shared" si="42"/>
        <v>0</v>
      </c>
      <c r="W250" s="1768"/>
      <c r="X250" s="177"/>
    </row>
    <row r="251" spans="2:24" ht="16" thickBot="1" x14ac:dyDescent="0.25">
      <c r="B251" s="1652">
        <f>B244+1</f>
        <v>35</v>
      </c>
      <c r="C251" s="193">
        <v>43339</v>
      </c>
      <c r="D251" s="225" t="s">
        <v>193</v>
      </c>
      <c r="E251" s="337"/>
      <c r="F251" s="1430" t="s">
        <v>168</v>
      </c>
      <c r="G251" s="72">
        <v>5.0474537037037033E-2</v>
      </c>
      <c r="H251" s="178">
        <v>15</v>
      </c>
      <c r="I251" s="338">
        <f t="shared" si="39"/>
        <v>3.3649691358024689E-3</v>
      </c>
      <c r="J251" s="76">
        <v>149</v>
      </c>
      <c r="K251" s="1757"/>
      <c r="L251" s="76">
        <v>236</v>
      </c>
      <c r="M251" s="1587"/>
      <c r="N251" s="77">
        <f t="shared" si="45"/>
        <v>1.0240756218905471</v>
      </c>
      <c r="O251" s="78" t="s">
        <v>175</v>
      </c>
      <c r="P251" s="224" t="str">
        <f>IFERROR(VLOOKUP(F251,#REF!,12,FALSE),"")</f>
        <v/>
      </c>
      <c r="Q251" s="80" t="s">
        <v>8</v>
      </c>
      <c r="R251" s="80" t="str">
        <f>IFERROR(VLOOKUP(F251,#REF!,14,FALSE),"")</f>
        <v/>
      </c>
      <c r="S251" s="33">
        <f t="shared" si="46"/>
        <v>1.5838926174496644</v>
      </c>
      <c r="U251" s="1728"/>
      <c r="V251" s="82">
        <f t="shared" si="42"/>
        <v>0</v>
      </c>
      <c r="W251" s="1766"/>
      <c r="X251" s="82"/>
    </row>
    <row r="252" spans="2:24" x14ac:dyDescent="0.2">
      <c r="B252" s="1653" t="s">
        <v>142</v>
      </c>
      <c r="C252" s="339">
        <v>43340</v>
      </c>
      <c r="D252" s="340"/>
      <c r="E252" s="341"/>
      <c r="F252" s="1431"/>
      <c r="G252" s="342"/>
      <c r="H252" s="343" t="str">
        <f>IFERROR(VLOOKUP(F252,#REF!,10,FALSE),"")</f>
        <v/>
      </c>
      <c r="I252" s="344" t="str">
        <f t="shared" si="39"/>
        <v/>
      </c>
      <c r="J252" s="345"/>
      <c r="K252" s="1757"/>
      <c r="L252" s="1563"/>
      <c r="M252" s="1585"/>
      <c r="N252" s="346" t="str">
        <f t="shared" si="45"/>
        <v/>
      </c>
      <c r="O252" s="347"/>
      <c r="P252" s="348" t="str">
        <f>IFERROR(VLOOKUP(F252,#REF!,12,FALSE),"")</f>
        <v/>
      </c>
      <c r="Q252" s="349" t="s">
        <v>8</v>
      </c>
      <c r="R252" s="46" t="str">
        <f>IFERROR(VLOOKUP(F252,#REF!,14,FALSE),"")</f>
        <v/>
      </c>
      <c r="S252" s="47" t="str">
        <f t="shared" si="46"/>
        <v/>
      </c>
      <c r="U252" s="1728"/>
      <c r="V252" s="50">
        <f t="shared" si="42"/>
        <v>0</v>
      </c>
      <c r="W252" s="1767"/>
      <c r="X252" s="50"/>
    </row>
    <row r="253" spans="2:24" ht="16" thickBot="1" x14ac:dyDescent="0.25">
      <c r="B253" s="1654">
        <f>SUM(H251:H257)</f>
        <v>79.3</v>
      </c>
      <c r="C253" s="350">
        <v>43341</v>
      </c>
      <c r="D253" s="351" t="s">
        <v>194</v>
      </c>
      <c r="E253" s="352"/>
      <c r="F253" s="1431" t="s">
        <v>173</v>
      </c>
      <c r="G253" s="353">
        <v>4.5567129629629631E-2</v>
      </c>
      <c r="H253" s="354">
        <v>11.6</v>
      </c>
      <c r="I253" s="355">
        <f t="shared" si="39"/>
        <v>3.9282008301404856E-3</v>
      </c>
      <c r="J253" s="356">
        <v>127</v>
      </c>
      <c r="K253" s="1757"/>
      <c r="L253" s="1563">
        <v>210</v>
      </c>
      <c r="M253" s="1585"/>
      <c r="N253" s="346">
        <f t="shared" si="45"/>
        <v>1.0637802367472982</v>
      </c>
      <c r="O253" s="357" t="s">
        <v>176</v>
      </c>
      <c r="P253" s="358" t="str">
        <f>IFERROR(VLOOKUP(F253,#REF!,12,FALSE),"")</f>
        <v/>
      </c>
      <c r="Q253" s="359" t="s">
        <v>8</v>
      </c>
      <c r="R253" s="46" t="str">
        <f>IFERROR(VLOOKUP(F253,#REF!,14,FALSE),"")</f>
        <v/>
      </c>
      <c r="S253" s="47">
        <f t="shared" si="46"/>
        <v>1.6535433070866141</v>
      </c>
      <c r="U253" s="1728"/>
      <c r="V253" s="50">
        <f t="shared" si="42"/>
        <v>0</v>
      </c>
      <c r="W253" s="1767"/>
      <c r="X253" s="50"/>
    </row>
    <row r="254" spans="2:24" x14ac:dyDescent="0.2">
      <c r="B254" s="1655" t="s">
        <v>144</v>
      </c>
      <c r="C254" s="350">
        <v>43342</v>
      </c>
      <c r="D254" s="351"/>
      <c r="E254" s="352"/>
      <c r="F254" s="1431"/>
      <c r="G254" s="353"/>
      <c r="H254" s="354" t="str">
        <f>IFERROR(VLOOKUP(F254,#REF!,10,FALSE),"")</f>
        <v/>
      </c>
      <c r="I254" s="355" t="str">
        <f t="shared" si="39"/>
        <v/>
      </c>
      <c r="J254" s="356"/>
      <c r="K254" s="1757"/>
      <c r="L254" s="1563"/>
      <c r="M254" s="1585"/>
      <c r="N254" s="346" t="str">
        <f t="shared" si="45"/>
        <v/>
      </c>
      <c r="O254" s="357"/>
      <c r="P254" s="358" t="str">
        <f>IFERROR(VLOOKUP(F254,#REF!,12,FALSE),"")</f>
        <v/>
      </c>
      <c r="Q254" s="359" t="s">
        <v>8</v>
      </c>
      <c r="R254" s="46" t="str">
        <f>IFERROR(VLOOKUP(F254,#REF!,14,FALSE),"")</f>
        <v/>
      </c>
      <c r="S254" s="47" t="str">
        <f t="shared" si="46"/>
        <v/>
      </c>
      <c r="U254" s="1728"/>
      <c r="V254" s="50">
        <f t="shared" si="42"/>
        <v>0</v>
      </c>
      <c r="W254" s="1767"/>
      <c r="X254" s="50"/>
    </row>
    <row r="255" spans="2:24" ht="16" thickBot="1" x14ac:dyDescent="0.25">
      <c r="B255" s="1656" t="e">
        <f>SUM(#REF!)</f>
        <v>#REF!</v>
      </c>
      <c r="C255" s="360">
        <v>43343</v>
      </c>
      <c r="D255" s="361" t="s">
        <v>195</v>
      </c>
      <c r="E255" s="362"/>
      <c r="F255" s="1431" t="s">
        <v>160</v>
      </c>
      <c r="G255" s="363">
        <v>6.2210648148148147E-2</v>
      </c>
      <c r="H255" s="364">
        <v>19.2</v>
      </c>
      <c r="I255" s="365">
        <f t="shared" si="39"/>
        <v>3.2401379243827159E-3</v>
      </c>
      <c r="J255" s="366">
        <v>151</v>
      </c>
      <c r="K255" s="1757"/>
      <c r="L255" s="1563">
        <v>246</v>
      </c>
      <c r="M255" s="1585"/>
      <c r="N255" s="346">
        <f t="shared" si="45"/>
        <v>1.0278684701492538</v>
      </c>
      <c r="O255" s="367" t="s">
        <v>175</v>
      </c>
      <c r="P255" s="368" t="str">
        <f>IFERROR(VLOOKUP(F255,#REF!,12,FALSE),"")</f>
        <v/>
      </c>
      <c r="Q255" s="359" t="s">
        <v>8</v>
      </c>
      <c r="R255" s="46" t="str">
        <f>IFERROR(VLOOKUP(F255,#REF!,14,FALSE),"")</f>
        <v/>
      </c>
      <c r="S255" s="47">
        <f t="shared" si="46"/>
        <v>1.6291390728476822</v>
      </c>
      <c r="U255" s="1728"/>
      <c r="V255" s="50">
        <f t="shared" si="42"/>
        <v>0</v>
      </c>
      <c r="W255" s="1767"/>
      <c r="X255" s="50"/>
    </row>
    <row r="256" spans="2:24" x14ac:dyDescent="0.2">
      <c r="B256" s="1657" t="s">
        <v>256</v>
      </c>
      <c r="C256" s="360">
        <v>43344</v>
      </c>
      <c r="D256" s="361" t="s">
        <v>196</v>
      </c>
      <c r="E256" s="362"/>
      <c r="F256" s="1432" t="s">
        <v>173</v>
      </c>
      <c r="G256" s="363">
        <v>3.8240740740740742E-2</v>
      </c>
      <c r="H256" s="364">
        <v>10.1</v>
      </c>
      <c r="I256" s="365">
        <f t="shared" si="39"/>
        <v>3.7862119545287866E-3</v>
      </c>
      <c r="J256" s="366">
        <v>132</v>
      </c>
      <c r="K256" s="1757"/>
      <c r="L256" s="1563">
        <v>216</v>
      </c>
      <c r="M256" s="1585"/>
      <c r="N256" s="346">
        <f t="shared" si="45"/>
        <v>1.0546239101522095</v>
      </c>
      <c r="O256" s="367" t="s">
        <v>176</v>
      </c>
      <c r="P256" s="368" t="str">
        <f>IFERROR(VLOOKUP(F256,#REF!,12,FALSE),"")</f>
        <v/>
      </c>
      <c r="Q256" s="359" t="s">
        <v>8</v>
      </c>
      <c r="R256" s="46" t="str">
        <f>IFERROR(VLOOKUP(F256,#REF!,14,FALSE),"")</f>
        <v/>
      </c>
      <c r="S256" s="47">
        <f t="shared" si="46"/>
        <v>1.6363636363636365</v>
      </c>
      <c r="U256" s="1728"/>
      <c r="V256" s="50">
        <f t="shared" si="42"/>
        <v>0</v>
      </c>
      <c r="W256" s="1767"/>
      <c r="X256" s="50"/>
    </row>
    <row r="257" spans="2:24" ht="16" thickBot="1" x14ac:dyDescent="0.25">
      <c r="B257" s="1658" t="e">
        <f>AVERAGE(#REF!)</f>
        <v>#REF!</v>
      </c>
      <c r="C257" s="141">
        <v>43345</v>
      </c>
      <c r="D257" s="187" t="s">
        <v>197</v>
      </c>
      <c r="E257" s="369"/>
      <c r="F257" s="1427" t="s">
        <v>154</v>
      </c>
      <c r="G257" s="98">
        <v>8.8159722222222223E-2</v>
      </c>
      <c r="H257" s="183">
        <v>23.4</v>
      </c>
      <c r="I257" s="370">
        <f t="shared" si="39"/>
        <v>3.7675094966761638E-3</v>
      </c>
      <c r="J257" s="102">
        <v>134</v>
      </c>
      <c r="K257" s="1757"/>
      <c r="L257" s="1565">
        <v>216</v>
      </c>
      <c r="M257" s="1588"/>
      <c r="N257" s="186">
        <f t="shared" si="45"/>
        <v>1.049414466130884</v>
      </c>
      <c r="O257" s="104" t="s">
        <v>176</v>
      </c>
      <c r="P257" s="105" t="str">
        <f>IFERROR(VLOOKUP(F257,#REF!,12,FALSE),"")</f>
        <v/>
      </c>
      <c r="Q257" s="107" t="s">
        <v>8</v>
      </c>
      <c r="R257" s="107" t="str">
        <f>IFERROR(VLOOKUP(F257,#REF!,14,FALSE),"")</f>
        <v/>
      </c>
      <c r="S257" s="65">
        <f t="shared" si="46"/>
        <v>1.6119402985074627</v>
      </c>
      <c r="U257" s="1728"/>
      <c r="V257" s="109">
        <f t="shared" si="42"/>
        <v>0</v>
      </c>
      <c r="W257" s="1768"/>
      <c r="X257" s="109"/>
    </row>
    <row r="258" spans="2:24" ht="16" thickBot="1" x14ac:dyDescent="0.25">
      <c r="B258" s="1652">
        <f>B251+1</f>
        <v>36</v>
      </c>
      <c r="C258" s="288">
        <v>43346</v>
      </c>
      <c r="D258" s="289"/>
      <c r="E258" s="290"/>
      <c r="F258" s="1433"/>
      <c r="G258" s="371"/>
      <c r="H258" s="372" t="str">
        <f>IFERROR(VLOOKUP(F258,#REF!,10,FALSE),"")</f>
        <v/>
      </c>
      <c r="I258" s="293" t="str">
        <f t="shared" si="39"/>
        <v/>
      </c>
      <c r="J258" s="294"/>
      <c r="K258" s="1757"/>
      <c r="L258" s="792"/>
      <c r="M258" s="1595"/>
      <c r="N258" s="373" t="str">
        <f t="shared" si="45"/>
        <v/>
      </c>
      <c r="O258" s="296"/>
      <c r="P258" s="214" t="str">
        <f>IFERROR(VLOOKUP(F258,#REF!,12,FALSE),"")</f>
        <v/>
      </c>
      <c r="Q258" s="153" t="s">
        <v>8</v>
      </c>
      <c r="R258" s="32" t="str">
        <f>IFERROR(VLOOKUP(F258,#REF!,14,FALSE),"")</f>
        <v/>
      </c>
      <c r="S258" s="33" t="str">
        <f t="shared" si="46"/>
        <v/>
      </c>
      <c r="U258" s="1728"/>
      <c r="V258" s="192">
        <f t="shared" si="42"/>
        <v>0</v>
      </c>
      <c r="W258" s="1766"/>
      <c r="X258" s="192"/>
    </row>
    <row r="259" spans="2:24" x14ac:dyDescent="0.2">
      <c r="B259" s="1653" t="s">
        <v>142</v>
      </c>
      <c r="C259" s="297">
        <v>43347</v>
      </c>
      <c r="D259" s="247"/>
      <c r="E259" s="248"/>
      <c r="F259" s="1434"/>
      <c r="G259" s="249"/>
      <c r="H259" s="374" t="str">
        <f>IFERROR(VLOOKUP(F259,#REF!,10,FALSE),"")</f>
        <v/>
      </c>
      <c r="I259" s="300" t="str">
        <f t="shared" si="39"/>
        <v/>
      </c>
      <c r="J259" s="301"/>
      <c r="K259" s="1757"/>
      <c r="L259" s="1568"/>
      <c r="M259" s="1591"/>
      <c r="N259" s="375" t="str">
        <f t="shared" si="45"/>
        <v/>
      </c>
      <c r="O259" s="253"/>
      <c r="P259" s="93" t="str">
        <f>IFERROR(VLOOKUP(F259,#REF!,12,FALSE),"")</f>
        <v/>
      </c>
      <c r="Q259" s="94" t="s">
        <v>8</v>
      </c>
      <c r="R259" s="46" t="str">
        <f>IFERROR(VLOOKUP(F259,#REF!,14,FALSE),"")</f>
        <v/>
      </c>
      <c r="S259" s="47" t="str">
        <f t="shared" si="46"/>
        <v/>
      </c>
      <c r="U259" s="1728"/>
      <c r="V259" s="50">
        <f t="shared" si="42"/>
        <v>0</v>
      </c>
      <c r="W259" s="1767"/>
      <c r="X259" s="50"/>
    </row>
    <row r="260" spans="2:24" ht="16" thickBot="1" x14ac:dyDescent="0.25">
      <c r="B260" s="1654">
        <f>SUM(H258:H264)</f>
        <v>33.200000000000003</v>
      </c>
      <c r="C260" s="297">
        <v>43348</v>
      </c>
      <c r="D260" s="247" t="s">
        <v>199</v>
      </c>
      <c r="E260" s="248"/>
      <c r="F260" s="1434" t="s">
        <v>173</v>
      </c>
      <c r="G260" s="249">
        <v>4.462962962962963E-2</v>
      </c>
      <c r="H260" s="374">
        <v>11.6</v>
      </c>
      <c r="I260" s="300">
        <f t="shared" si="39"/>
        <v>3.8473818646232441E-3</v>
      </c>
      <c r="J260" s="301">
        <v>126</v>
      </c>
      <c r="K260" s="1757"/>
      <c r="L260" s="1568">
        <v>213</v>
      </c>
      <c r="M260" s="1591"/>
      <c r="N260" s="375">
        <f t="shared" si="45"/>
        <v>1.0567781780751415</v>
      </c>
      <c r="O260" s="253" t="s">
        <v>176</v>
      </c>
      <c r="P260" s="93" t="str">
        <f>IFERROR(VLOOKUP(F260,#REF!,12,FALSE),"")</f>
        <v/>
      </c>
      <c r="Q260" s="94" t="s">
        <v>8</v>
      </c>
      <c r="R260" s="46" t="str">
        <f>IFERROR(VLOOKUP(F260,#REF!,14,FALSE),"")</f>
        <v/>
      </c>
      <c r="S260" s="47">
        <f t="shared" si="46"/>
        <v>1.6904761904761905</v>
      </c>
      <c r="U260" s="1728"/>
      <c r="V260" s="50">
        <f t="shared" si="42"/>
        <v>0</v>
      </c>
      <c r="W260" s="1767"/>
      <c r="X260" s="50"/>
    </row>
    <row r="261" spans="2:24" x14ac:dyDescent="0.2">
      <c r="B261" s="1655" t="s">
        <v>144</v>
      </c>
      <c r="C261" s="246">
        <v>43349</v>
      </c>
      <c r="D261" s="247"/>
      <c r="E261" s="248"/>
      <c r="F261" s="1434"/>
      <c r="G261" s="249"/>
      <c r="H261" s="374" t="str">
        <f>IFERROR(VLOOKUP(F261,#REF!,10,FALSE),"")</f>
        <v/>
      </c>
      <c r="I261" s="300" t="str">
        <f t="shared" si="39"/>
        <v/>
      </c>
      <c r="J261" s="301"/>
      <c r="K261" s="1757"/>
      <c r="L261" s="1568"/>
      <c r="M261" s="1591"/>
      <c r="N261" s="375" t="str">
        <f t="shared" si="45"/>
        <v/>
      </c>
      <c r="O261" s="253"/>
      <c r="P261" s="93" t="str">
        <f>IFERROR(VLOOKUP(F261,#REF!,12,FALSE),"")</f>
        <v/>
      </c>
      <c r="Q261" s="94" t="s">
        <v>8</v>
      </c>
      <c r="R261" s="46" t="str">
        <f>IFERROR(VLOOKUP(F261,#REF!,14,FALSE),"")</f>
        <v/>
      </c>
      <c r="S261" s="47" t="str">
        <f t="shared" si="46"/>
        <v/>
      </c>
      <c r="U261" s="1728"/>
      <c r="V261" s="50">
        <f t="shared" si="42"/>
        <v>0</v>
      </c>
      <c r="W261" s="1767"/>
      <c r="X261" s="50"/>
    </row>
    <row r="262" spans="2:24" ht="16" thickBot="1" x14ac:dyDescent="0.25">
      <c r="B262" s="1656" t="e">
        <f>SUM(#REF!)</f>
        <v>#REF!</v>
      </c>
      <c r="C262" s="246">
        <v>43350</v>
      </c>
      <c r="D262" s="273" t="s">
        <v>200</v>
      </c>
      <c r="E262" s="274"/>
      <c r="F262" s="1434" t="s">
        <v>165</v>
      </c>
      <c r="G262" s="249">
        <v>3.5613425925925923E-2</v>
      </c>
      <c r="H262" s="374">
        <v>10</v>
      </c>
      <c r="I262" s="300">
        <f t="shared" ref="I262:I325" si="47">IFERROR(G262/H262,"")</f>
        <v>3.5613425925925925E-3</v>
      </c>
      <c r="J262" s="301">
        <v>140</v>
      </c>
      <c r="K262" s="1757"/>
      <c r="L262" s="1568">
        <v>227</v>
      </c>
      <c r="M262" s="1591"/>
      <c r="N262" s="375">
        <f t="shared" si="45"/>
        <v>1.0425059701492536</v>
      </c>
      <c r="O262" s="253" t="s">
        <v>175</v>
      </c>
      <c r="P262" s="93" t="str">
        <f>IFERROR(VLOOKUP(F262,#REF!,12,FALSE),"")</f>
        <v/>
      </c>
      <c r="Q262" s="94" t="s">
        <v>8</v>
      </c>
      <c r="R262" s="46" t="str">
        <f>IFERROR(VLOOKUP(F262,#REF!,14,FALSE),"")</f>
        <v/>
      </c>
      <c r="S262" s="47">
        <f t="shared" si="46"/>
        <v>1.6214285714285714</v>
      </c>
      <c r="U262" s="1728"/>
      <c r="V262" s="50">
        <f t="shared" si="42"/>
        <v>0</v>
      </c>
      <c r="W262" s="1767"/>
      <c r="X262" s="50"/>
    </row>
    <row r="263" spans="2:24" x14ac:dyDescent="0.2">
      <c r="B263" s="1657" t="s">
        <v>256</v>
      </c>
      <c r="C263" s="246">
        <v>43351</v>
      </c>
      <c r="D263" s="273" t="s">
        <v>201</v>
      </c>
      <c r="E263" s="274"/>
      <c r="F263" s="1434" t="s">
        <v>150</v>
      </c>
      <c r="G263" s="249">
        <v>4.520833333333333E-2</v>
      </c>
      <c r="H263" s="374">
        <v>11.6</v>
      </c>
      <c r="I263" s="300">
        <f t="shared" si="47"/>
        <v>3.8972701149425286E-3</v>
      </c>
      <c r="J263" s="301">
        <v>132</v>
      </c>
      <c r="K263" s="1757"/>
      <c r="L263" s="1568">
        <v>211</v>
      </c>
      <c r="M263" s="1591"/>
      <c r="N263" s="375">
        <f t="shared" si="45"/>
        <v>1.0604297478126608</v>
      </c>
      <c r="O263" s="253" t="s">
        <v>176</v>
      </c>
      <c r="P263" s="93" t="str">
        <f>IFERROR(VLOOKUP(F263,#REF!,12,FALSE),"")</f>
        <v/>
      </c>
      <c r="Q263" s="94" t="s">
        <v>8</v>
      </c>
      <c r="R263" s="46" t="str">
        <f>IFERROR(VLOOKUP(F263,#REF!,14,FALSE),"")</f>
        <v/>
      </c>
      <c r="S263" s="47">
        <f t="shared" si="46"/>
        <v>1.5984848484848484</v>
      </c>
      <c r="U263" s="1728"/>
      <c r="V263" s="50">
        <f t="shared" si="42"/>
        <v>0</v>
      </c>
      <c r="W263" s="1767"/>
      <c r="X263" s="50"/>
    </row>
    <row r="264" spans="2:24" ht="16" thickBot="1" x14ac:dyDescent="0.25">
      <c r="B264" s="1658" t="e">
        <f>AVERAGE(#REF!)</f>
        <v>#REF!</v>
      </c>
      <c r="C264" s="255">
        <v>43352</v>
      </c>
      <c r="D264" s="256"/>
      <c r="E264" s="257"/>
      <c r="F264" s="1435"/>
      <c r="G264" s="258"/>
      <c r="H264" s="376" t="str">
        <f>IFERROR(VLOOKUP(F264,#REF!,10,FALSE),"")</f>
        <v/>
      </c>
      <c r="I264" s="377" t="str">
        <f t="shared" si="47"/>
        <v/>
      </c>
      <c r="J264" s="305"/>
      <c r="K264" s="1757"/>
      <c r="L264" s="1569"/>
      <c r="M264" s="1592"/>
      <c r="N264" s="378" t="str">
        <f t="shared" si="45"/>
        <v/>
      </c>
      <c r="O264" s="263"/>
      <c r="P264" s="174" t="str">
        <f>IFERROR(VLOOKUP(F264,#REF!,12,FALSE),"")</f>
        <v/>
      </c>
      <c r="Q264" s="175" t="s">
        <v>8</v>
      </c>
      <c r="R264" s="64" t="str">
        <f>IFERROR(VLOOKUP(F264,#REF!,14,FALSE),"")</f>
        <v/>
      </c>
      <c r="S264" s="65" t="str">
        <f t="shared" si="46"/>
        <v/>
      </c>
      <c r="U264" s="1728"/>
      <c r="V264" s="177">
        <f t="shared" si="42"/>
        <v>0</v>
      </c>
      <c r="W264" s="1768"/>
      <c r="X264" s="177"/>
    </row>
    <row r="265" spans="2:24" ht="16" thickBot="1" x14ac:dyDescent="0.25">
      <c r="B265" s="1652">
        <f>B258+1</f>
        <v>37</v>
      </c>
      <c r="C265" s="264">
        <v>43353</v>
      </c>
      <c r="D265" s="265" t="s">
        <v>202</v>
      </c>
      <c r="E265" s="266"/>
      <c r="F265" s="1416" t="s">
        <v>262</v>
      </c>
      <c r="G265" s="267">
        <v>2.0555555555555556E-2</v>
      </c>
      <c r="H265" s="268">
        <v>5.4</v>
      </c>
      <c r="I265" s="379">
        <f t="shared" si="47"/>
        <v>3.8065843621399175E-3</v>
      </c>
      <c r="J265" s="270">
        <v>139</v>
      </c>
      <c r="K265" s="1757"/>
      <c r="L265" s="270">
        <v>211</v>
      </c>
      <c r="M265" s="1593"/>
      <c r="N265" s="322">
        <f t="shared" si="45"/>
        <v>1.0357545605306799</v>
      </c>
      <c r="O265" s="271" t="s">
        <v>175</v>
      </c>
      <c r="P265" s="224" t="str">
        <f>IFERROR(VLOOKUP(F265,#REF!,12,FALSE),"")</f>
        <v/>
      </c>
      <c r="Q265" s="80" t="s">
        <v>8</v>
      </c>
      <c r="R265" s="80" t="str">
        <f>IFERROR(VLOOKUP(F265,#REF!,14,FALSE),"")</f>
        <v/>
      </c>
      <c r="S265" s="33">
        <f t="shared" si="46"/>
        <v>1.5179856115107915</v>
      </c>
      <c r="U265" s="1728"/>
      <c r="V265" s="243">
        <f t="shared" si="42"/>
        <v>0</v>
      </c>
      <c r="W265" s="1766"/>
      <c r="X265" s="243"/>
    </row>
    <row r="266" spans="2:24" x14ac:dyDescent="0.2">
      <c r="B266" s="1653" t="s">
        <v>142</v>
      </c>
      <c r="C266" s="272">
        <v>43354</v>
      </c>
      <c r="D266" s="380"/>
      <c r="E266" s="381"/>
      <c r="F266" s="1436"/>
      <c r="G266" s="382"/>
      <c r="H266" s="383" t="str">
        <f>IFERROR(VLOOKUP(F266,#REF!,10,FALSE),"")</f>
        <v/>
      </c>
      <c r="I266" s="384" t="str">
        <f t="shared" si="47"/>
        <v/>
      </c>
      <c r="J266" s="385"/>
      <c r="K266" s="1757"/>
      <c r="L266" s="1568"/>
      <c r="M266" s="1591"/>
      <c r="N266" s="386" t="str">
        <f t="shared" si="45"/>
        <v/>
      </c>
      <c r="O266" s="387"/>
      <c r="P266" s="388" t="str">
        <f>IFERROR(VLOOKUP(F266,#REF!,12,FALSE),"")</f>
        <v/>
      </c>
      <c r="Q266" s="389" t="s">
        <v>8</v>
      </c>
      <c r="R266" s="46" t="str">
        <f>IFERROR(VLOOKUP(F266,#REF!,14,FALSE),"")</f>
        <v/>
      </c>
      <c r="S266" s="47" t="str">
        <f t="shared" si="46"/>
        <v/>
      </c>
      <c r="U266" s="1728"/>
      <c r="V266" s="50">
        <f t="shared" si="42"/>
        <v>0</v>
      </c>
      <c r="W266" s="1767"/>
      <c r="X266" s="50"/>
    </row>
    <row r="267" spans="2:24" ht="16" thickBot="1" x14ac:dyDescent="0.25">
      <c r="B267" s="1654">
        <f>SUM(H265:H271)</f>
        <v>33.394999999999996</v>
      </c>
      <c r="C267" s="272">
        <v>43355</v>
      </c>
      <c r="D267" s="380" t="s">
        <v>203</v>
      </c>
      <c r="E267" s="381"/>
      <c r="F267" s="1437" t="s">
        <v>146</v>
      </c>
      <c r="G267" s="390">
        <v>2.8009259259259262E-2</v>
      </c>
      <c r="H267" s="391">
        <v>6.9</v>
      </c>
      <c r="I267" s="392">
        <f t="shared" si="47"/>
        <v>4.0593129361245301E-3</v>
      </c>
      <c r="J267" s="393">
        <v>131</v>
      </c>
      <c r="K267" s="1757"/>
      <c r="L267" s="1568">
        <v>203</v>
      </c>
      <c r="M267" s="1591"/>
      <c r="N267" s="386">
        <f t="shared" si="45"/>
        <v>1.062643305213065</v>
      </c>
      <c r="O267" s="394" t="s">
        <v>175</v>
      </c>
      <c r="P267" s="395" t="str">
        <f>IFERROR(VLOOKUP(F267,#REF!,12,FALSE),"")</f>
        <v/>
      </c>
      <c r="Q267" s="389" t="s">
        <v>8</v>
      </c>
      <c r="R267" s="46" t="str">
        <f>IFERROR(VLOOKUP(F267,#REF!,14,FALSE),"")</f>
        <v/>
      </c>
      <c r="S267" s="47">
        <f t="shared" si="46"/>
        <v>1.5496183206106871</v>
      </c>
      <c r="U267" s="1728"/>
      <c r="V267" s="50">
        <f t="shared" si="42"/>
        <v>0</v>
      </c>
      <c r="W267" s="1767"/>
      <c r="X267" s="50"/>
    </row>
    <row r="268" spans="2:24" x14ac:dyDescent="0.2">
      <c r="B268" s="1655" t="s">
        <v>144</v>
      </c>
      <c r="C268" s="272">
        <v>43356</v>
      </c>
      <c r="D268" s="380"/>
      <c r="E268" s="381"/>
      <c r="F268" s="1438"/>
      <c r="G268" s="396"/>
      <c r="H268" s="397" t="str">
        <f>IFERROR(VLOOKUP(F268,#REF!,10,FALSE),"")</f>
        <v/>
      </c>
      <c r="I268" s="398" t="str">
        <f t="shared" si="47"/>
        <v/>
      </c>
      <c r="J268" s="399"/>
      <c r="K268" s="1757"/>
      <c r="L268" s="1568"/>
      <c r="M268" s="1591"/>
      <c r="N268" s="386" t="str">
        <f t="shared" si="45"/>
        <v/>
      </c>
      <c r="O268" s="400"/>
      <c r="P268" s="401" t="str">
        <f>IFERROR(VLOOKUP(F268,#REF!,12,FALSE),"")</f>
        <v/>
      </c>
      <c r="Q268" s="389" t="s">
        <v>8</v>
      </c>
      <c r="R268" s="46" t="str">
        <f>IFERROR(VLOOKUP(F268,#REF!,14,FALSE),"")</f>
        <v/>
      </c>
      <c r="S268" s="47" t="str">
        <f t="shared" si="46"/>
        <v/>
      </c>
      <c r="U268" s="1728"/>
      <c r="V268" s="50">
        <f t="shared" si="42"/>
        <v>0</v>
      </c>
      <c r="W268" s="1767"/>
      <c r="X268" s="50"/>
    </row>
    <row r="269" spans="2:24" ht="16" thickBot="1" x14ac:dyDescent="0.25">
      <c r="B269" s="1656" t="e">
        <f>SUM(#REF!)</f>
        <v>#REF!</v>
      </c>
      <c r="C269" s="272">
        <v>43357</v>
      </c>
      <c r="D269" s="380"/>
      <c r="E269" s="381"/>
      <c r="F269" s="1439"/>
      <c r="G269" s="402"/>
      <c r="H269" s="403" t="str">
        <f>IFERROR(VLOOKUP(F269,#REF!,10,FALSE),"")</f>
        <v/>
      </c>
      <c r="I269" s="404" t="str">
        <f t="shared" si="47"/>
        <v/>
      </c>
      <c r="J269" s="405"/>
      <c r="K269" s="1757"/>
      <c r="L269" s="1568"/>
      <c r="M269" s="1591"/>
      <c r="N269" s="386" t="str">
        <f t="shared" si="45"/>
        <v/>
      </c>
      <c r="O269" s="406"/>
      <c r="P269" s="407" t="str">
        <f>IFERROR(VLOOKUP(F269,#REF!,12,FALSE),"")</f>
        <v/>
      </c>
      <c r="Q269" s="389" t="s">
        <v>8</v>
      </c>
      <c r="R269" s="46" t="str">
        <f>IFERROR(VLOOKUP(F269,#REF!,14,FALSE),"")</f>
        <v/>
      </c>
      <c r="S269" s="47" t="str">
        <f t="shared" si="46"/>
        <v/>
      </c>
      <c r="U269" s="1728"/>
      <c r="V269" s="50">
        <f t="shared" si="42"/>
        <v>0</v>
      </c>
      <c r="W269" s="1767"/>
      <c r="X269" s="50"/>
    </row>
    <row r="270" spans="2:24" x14ac:dyDescent="0.2">
      <c r="B270" s="1657" t="s">
        <v>256</v>
      </c>
      <c r="C270" s="408">
        <v>43358</v>
      </c>
      <c r="D270" s="409" t="s">
        <v>204</v>
      </c>
      <c r="E270" s="410" t="s">
        <v>293</v>
      </c>
      <c r="F270" s="1440" t="s">
        <v>4</v>
      </c>
      <c r="G270" s="411">
        <v>6.4201388888888891E-2</v>
      </c>
      <c r="H270" s="412">
        <v>21.094999999999999</v>
      </c>
      <c r="I270" s="413">
        <f>IFERROR(G270/H270,"")</f>
        <v>3.0434410471149036E-3</v>
      </c>
      <c r="J270" s="414">
        <v>164</v>
      </c>
      <c r="K270" s="1757"/>
      <c r="L270" s="1571">
        <v>266</v>
      </c>
      <c r="M270" s="1596"/>
      <c r="N270" s="415">
        <f t="shared" si="45"/>
        <v>1.0439638734509487</v>
      </c>
      <c r="O270" s="416" t="s">
        <v>175</v>
      </c>
      <c r="P270" s="417" t="str">
        <f>IFERROR(VLOOKUP(F270,#REF!,12,FALSE),"")</f>
        <v/>
      </c>
      <c r="Q270" s="418" t="s">
        <v>8</v>
      </c>
      <c r="R270" s="419" t="str">
        <f>IFERROR(VLOOKUP(F270,#REF!,14,FALSE),"")</f>
        <v/>
      </c>
      <c r="S270" s="47">
        <f t="shared" si="46"/>
        <v>1.6219512195121952</v>
      </c>
      <c r="U270" s="1728"/>
      <c r="V270" s="50">
        <f t="shared" ref="V270:V333" si="48">U269-T269</f>
        <v>0</v>
      </c>
      <c r="W270" s="1767"/>
      <c r="X270" s="50"/>
    </row>
    <row r="271" spans="2:24" ht="16" thickBot="1" x14ac:dyDescent="0.25">
      <c r="B271" s="1658" t="e">
        <f>AVERAGE(#REF!)</f>
        <v>#REF!</v>
      </c>
      <c r="C271" s="141">
        <v>43359</v>
      </c>
      <c r="D271" s="181"/>
      <c r="E271" s="182"/>
      <c r="F271" s="1402"/>
      <c r="G271" s="98"/>
      <c r="H271" s="183"/>
      <c r="I271" s="370" t="str">
        <f t="shared" si="47"/>
        <v/>
      </c>
      <c r="J271" s="102"/>
      <c r="K271" s="1757"/>
      <c r="L271" s="1565"/>
      <c r="M271" s="1588"/>
      <c r="N271" s="186" t="str">
        <f t="shared" si="45"/>
        <v/>
      </c>
      <c r="O271" s="104"/>
      <c r="P271" s="105" t="str">
        <f>IFERROR(VLOOKUP(F271,#REF!,12,FALSE),"")</f>
        <v/>
      </c>
      <c r="Q271" s="107" t="s">
        <v>8</v>
      </c>
      <c r="R271" s="107" t="str">
        <f>IFERROR(VLOOKUP(F271,#REF!,14,FALSE),"")</f>
        <v/>
      </c>
      <c r="S271" s="65" t="str">
        <f t="shared" si="46"/>
        <v/>
      </c>
      <c r="U271" s="1728"/>
      <c r="V271" s="209">
        <f t="shared" si="48"/>
        <v>0</v>
      </c>
      <c r="W271" s="1768"/>
      <c r="X271" s="209"/>
    </row>
    <row r="272" spans="2:24" ht="16" thickBot="1" x14ac:dyDescent="0.25">
      <c r="B272" s="1652">
        <f>B265+1</f>
        <v>38</v>
      </c>
      <c r="C272" s="189">
        <v>43360</v>
      </c>
      <c r="D272" s="143"/>
      <c r="E272" s="144"/>
      <c r="F272" s="1410"/>
      <c r="G272" s="145"/>
      <c r="H272" s="234" t="str">
        <f>IFERROR(VLOOKUP(F272,#REF!,10,FALSE),"")</f>
        <v/>
      </c>
      <c r="I272" s="235" t="str">
        <f t="shared" si="47"/>
        <v/>
      </c>
      <c r="J272" s="236"/>
      <c r="K272" s="1757"/>
      <c r="L272" s="1562"/>
      <c r="M272" s="1584"/>
      <c r="N272" s="150" t="str">
        <f t="shared" si="45"/>
        <v/>
      </c>
      <c r="O272" s="151"/>
      <c r="P272" s="214" t="str">
        <f>IFERROR(VLOOKUP(F272,#REF!,12,FALSE),"")</f>
        <v/>
      </c>
      <c r="Q272" s="153" t="s">
        <v>8</v>
      </c>
      <c r="R272" s="32" t="str">
        <f>IFERROR(VLOOKUP(F272,#REF!,14,FALSE),"")</f>
        <v/>
      </c>
      <c r="S272" s="33" t="str">
        <f t="shared" si="46"/>
        <v/>
      </c>
      <c r="U272" s="1728"/>
      <c r="V272" s="34">
        <f t="shared" si="48"/>
        <v>0</v>
      </c>
      <c r="W272" s="1766"/>
      <c r="X272" s="34"/>
    </row>
    <row r="273" spans="1:24" x14ac:dyDescent="0.2">
      <c r="B273" s="1653" t="s">
        <v>142</v>
      </c>
      <c r="C273" s="155">
        <v>43361</v>
      </c>
      <c r="D273" s="49"/>
      <c r="E273" s="156"/>
      <c r="F273" s="1398"/>
      <c r="G273" s="120"/>
      <c r="H273" s="121" t="str">
        <f>IFERROR(VLOOKUP(F273,#REF!,10,FALSE),"")</f>
        <v/>
      </c>
      <c r="I273" s="122" t="str">
        <f t="shared" si="47"/>
        <v/>
      </c>
      <c r="J273" s="123"/>
      <c r="K273" s="1757"/>
      <c r="L273" s="1563"/>
      <c r="M273" s="1585"/>
      <c r="N273" s="158" t="str">
        <f t="shared" si="45"/>
        <v/>
      </c>
      <c r="O273" s="159"/>
      <c r="P273" s="93" t="str">
        <f>IFERROR(VLOOKUP(F273,#REF!,12,FALSE),"")</f>
        <v/>
      </c>
      <c r="Q273" s="94" t="s">
        <v>8</v>
      </c>
      <c r="R273" s="46" t="str">
        <f>IFERROR(VLOOKUP(F273,#REF!,14,FALSE),"")</f>
        <v/>
      </c>
      <c r="S273" s="47" t="str">
        <f t="shared" si="46"/>
        <v/>
      </c>
      <c r="U273" s="1728"/>
      <c r="V273" s="206">
        <f t="shared" si="48"/>
        <v>0</v>
      </c>
      <c r="W273" s="1767"/>
      <c r="X273" s="206"/>
    </row>
    <row r="274" spans="1:24" ht="16" thickBot="1" x14ac:dyDescent="0.25">
      <c r="B274" s="1654">
        <f>SUM(H272:H278)</f>
        <v>21.48</v>
      </c>
      <c r="C274" s="161">
        <v>43362</v>
      </c>
      <c r="D274" s="49"/>
      <c r="E274" s="156"/>
      <c r="F274" s="1398"/>
      <c r="G274" s="120"/>
      <c r="H274" s="121" t="str">
        <f>IFERROR(VLOOKUP(F274,#REF!,10,FALSE),"")</f>
        <v/>
      </c>
      <c r="I274" s="122" t="str">
        <f t="shared" si="47"/>
        <v/>
      </c>
      <c r="J274" s="123"/>
      <c r="K274" s="1757"/>
      <c r="L274" s="1563"/>
      <c r="M274" s="1585"/>
      <c r="N274" s="158" t="str">
        <f t="shared" si="45"/>
        <v/>
      </c>
      <c r="O274" s="159"/>
      <c r="P274" s="93" t="str">
        <f>IFERROR(VLOOKUP(F274,#REF!,12,FALSE),"")</f>
        <v/>
      </c>
      <c r="Q274" s="94" t="s">
        <v>8</v>
      </c>
      <c r="R274" s="46" t="str">
        <f>IFERROR(VLOOKUP(F274,#REF!,14,FALSE),"")</f>
        <v/>
      </c>
      <c r="S274" s="47" t="str">
        <f t="shared" si="46"/>
        <v/>
      </c>
      <c r="U274" s="1728"/>
      <c r="V274" s="206">
        <f t="shared" si="48"/>
        <v>0</v>
      </c>
      <c r="W274" s="1767"/>
      <c r="X274" s="206"/>
    </row>
    <row r="275" spans="1:24" x14ac:dyDescent="0.2">
      <c r="B275" s="1655" t="s">
        <v>144</v>
      </c>
      <c r="C275" s="161">
        <v>43363</v>
      </c>
      <c r="D275" s="49" t="s">
        <v>205</v>
      </c>
      <c r="E275" s="156"/>
      <c r="F275" s="1398" t="s">
        <v>173</v>
      </c>
      <c r="G275" s="120">
        <v>4.4444444444444446E-2</v>
      </c>
      <c r="H275" s="121">
        <v>11.51</v>
      </c>
      <c r="I275" s="122">
        <f t="shared" si="47"/>
        <v>3.8613765807510381E-3</v>
      </c>
      <c r="J275" s="123">
        <v>138</v>
      </c>
      <c r="K275" s="1757"/>
      <c r="L275" s="1563">
        <v>215</v>
      </c>
      <c r="M275" s="1585"/>
      <c r="N275" s="158">
        <f t="shared" si="45"/>
        <v>1.0705810651347953</v>
      </c>
      <c r="O275" s="159" t="s">
        <v>176</v>
      </c>
      <c r="P275" s="93" t="str">
        <f>IFERROR(VLOOKUP(F275,#REF!,12,FALSE),"")</f>
        <v/>
      </c>
      <c r="Q275" s="94" t="s">
        <v>8</v>
      </c>
      <c r="R275" s="46" t="str">
        <f>IFERROR(VLOOKUP(F275,#REF!,14,FALSE),"")</f>
        <v/>
      </c>
      <c r="S275" s="47">
        <f t="shared" si="46"/>
        <v>1.5579710144927537</v>
      </c>
      <c r="U275" s="1728"/>
      <c r="V275" s="206">
        <f t="shared" si="48"/>
        <v>0</v>
      </c>
      <c r="W275" s="1767"/>
      <c r="X275" s="206"/>
    </row>
    <row r="276" spans="1:24" ht="16" thickBot="1" x14ac:dyDescent="0.25">
      <c r="B276" s="1656" t="e">
        <f>SUM(#REF!)</f>
        <v>#REF!</v>
      </c>
      <c r="C276" s="161">
        <v>43364</v>
      </c>
      <c r="D276" s="49"/>
      <c r="E276" s="156"/>
      <c r="F276" s="1398"/>
      <c r="G276" s="120"/>
      <c r="H276" s="121"/>
      <c r="I276" s="122"/>
      <c r="J276" s="123"/>
      <c r="K276" s="1757"/>
      <c r="L276" s="1563"/>
      <c r="M276" s="1585"/>
      <c r="N276" s="158" t="str">
        <f t="shared" si="45"/>
        <v/>
      </c>
      <c r="O276" s="159"/>
      <c r="P276" s="93" t="str">
        <f>IFERROR(VLOOKUP(F276,#REF!,12,FALSE),"")</f>
        <v/>
      </c>
      <c r="Q276" s="94" t="s">
        <v>8</v>
      </c>
      <c r="R276" s="46" t="str">
        <f>IFERROR(VLOOKUP(F276,#REF!,14,FALSE),"")</f>
        <v/>
      </c>
      <c r="S276" s="47" t="str">
        <f t="shared" si="46"/>
        <v/>
      </c>
      <c r="U276" s="1728"/>
      <c r="V276" s="206">
        <f t="shared" si="48"/>
        <v>0</v>
      </c>
      <c r="W276" s="1767"/>
      <c r="X276" s="206"/>
    </row>
    <row r="277" spans="1:24" x14ac:dyDescent="0.2">
      <c r="B277" s="1657" t="s">
        <v>256</v>
      </c>
      <c r="C277" s="161">
        <v>43365</v>
      </c>
      <c r="D277" s="49" t="s">
        <v>206</v>
      </c>
      <c r="E277" s="156"/>
      <c r="F277" s="1398" t="s">
        <v>155</v>
      </c>
      <c r="G277" s="120">
        <v>3.770833333333333E-2</v>
      </c>
      <c r="H277" s="121">
        <v>9.9700000000000006</v>
      </c>
      <c r="I277" s="122">
        <f t="shared" si="47"/>
        <v>3.7821798729521894E-3</v>
      </c>
      <c r="J277" s="123">
        <v>135</v>
      </c>
      <c r="K277" s="1757"/>
      <c r="L277" s="1563">
        <v>221</v>
      </c>
      <c r="M277" s="1585"/>
      <c r="N277" s="158">
        <f t="shared" si="45"/>
        <v>1.0778873935238549</v>
      </c>
      <c r="O277" s="159" t="s">
        <v>176</v>
      </c>
      <c r="P277" s="93" t="str">
        <f>IFERROR(VLOOKUP(F277,#REF!,12,FALSE),"")</f>
        <v/>
      </c>
      <c r="Q277" s="94" t="s">
        <v>8</v>
      </c>
      <c r="R277" s="46" t="str">
        <f>IFERROR(VLOOKUP(F277,#REF!,14,FALSE),"")</f>
        <v/>
      </c>
      <c r="S277" s="47">
        <f t="shared" si="46"/>
        <v>1.6370370370370371</v>
      </c>
      <c r="U277" s="1728"/>
      <c r="V277" s="206">
        <f t="shared" si="48"/>
        <v>0</v>
      </c>
      <c r="W277" s="1767"/>
      <c r="X277" s="206"/>
    </row>
    <row r="278" spans="1:24" ht="16" thickBot="1" x14ac:dyDescent="0.25">
      <c r="B278" s="1658" t="e">
        <f>AVERAGE(#REF!)</f>
        <v>#REF!</v>
      </c>
      <c r="C278" s="207">
        <v>43366</v>
      </c>
      <c r="D278" s="67"/>
      <c r="E278" s="208"/>
      <c r="F278" s="1411"/>
      <c r="G278" s="167"/>
      <c r="H278" s="307" t="str">
        <f>IFERROR(VLOOKUP(F278,#REF!,10,FALSE),"")</f>
        <v/>
      </c>
      <c r="I278" s="304" t="str">
        <f t="shared" si="47"/>
        <v/>
      </c>
      <c r="J278" s="308"/>
      <c r="K278" s="1757"/>
      <c r="L278" s="1564"/>
      <c r="M278" s="1586"/>
      <c r="N278" s="172" t="str">
        <f t="shared" si="45"/>
        <v/>
      </c>
      <c r="O278" s="173"/>
      <c r="P278" s="174" t="str">
        <f>IFERROR(VLOOKUP(F278,#REF!,12,FALSE),"")</f>
        <v/>
      </c>
      <c r="Q278" s="175" t="s">
        <v>8</v>
      </c>
      <c r="R278" s="64" t="str">
        <f>IFERROR(VLOOKUP(F278,#REF!,14,FALSE),"")</f>
        <v/>
      </c>
      <c r="S278" s="65" t="str">
        <f t="shared" si="46"/>
        <v/>
      </c>
      <c r="U278" s="1728"/>
      <c r="V278" s="177">
        <f t="shared" si="48"/>
        <v>0</v>
      </c>
      <c r="W278" s="1768"/>
      <c r="X278" s="177"/>
    </row>
    <row r="279" spans="1:24" ht="16" thickBot="1" x14ac:dyDescent="0.25">
      <c r="B279" s="1652">
        <f>B272+1</f>
        <v>39</v>
      </c>
      <c r="C279" s="193">
        <v>43367</v>
      </c>
      <c r="D279" s="70"/>
      <c r="E279" s="71"/>
      <c r="F279" s="1394"/>
      <c r="G279" s="420"/>
      <c r="H279" s="421" t="str">
        <f>IFERROR(VLOOKUP(F279,#REF!,10,FALSE),"")</f>
        <v/>
      </c>
      <c r="I279" s="338" t="str">
        <f t="shared" si="47"/>
        <v/>
      </c>
      <c r="J279" s="76"/>
      <c r="K279" s="1757"/>
      <c r="L279" s="76"/>
      <c r="M279" s="1587"/>
      <c r="N279" s="77" t="str">
        <f t="shared" si="45"/>
        <v/>
      </c>
      <c r="O279" s="78"/>
      <c r="P279" s="224" t="str">
        <f>IFERROR(VLOOKUP(F279,#REF!,12,FALSE),"")</f>
        <v/>
      </c>
      <c r="Q279" s="80" t="s">
        <v>8</v>
      </c>
      <c r="R279" s="80" t="str">
        <f>IFERROR(VLOOKUP(F279,#REF!,14,FALSE),"")</f>
        <v/>
      </c>
      <c r="S279" s="33" t="str">
        <f t="shared" si="46"/>
        <v/>
      </c>
      <c r="U279" s="1728"/>
      <c r="V279" s="243">
        <f t="shared" si="48"/>
        <v>0</v>
      </c>
      <c r="W279" s="1766"/>
      <c r="X279" s="243"/>
    </row>
    <row r="280" spans="1:24" x14ac:dyDescent="0.2">
      <c r="B280" s="1653" t="s">
        <v>142</v>
      </c>
      <c r="C280" s="84">
        <v>43368</v>
      </c>
      <c r="D280" s="422"/>
      <c r="E280" s="423"/>
      <c r="F280" s="1441"/>
      <c r="G280" s="424"/>
      <c r="H280" s="425" t="str">
        <f>IFERROR(VLOOKUP(F280,#REF!,10,FALSE),"")</f>
        <v/>
      </c>
      <c r="I280" s="426" t="str">
        <f t="shared" si="47"/>
        <v/>
      </c>
      <c r="J280" s="427"/>
      <c r="K280" s="1757"/>
      <c r="L280" s="1563"/>
      <c r="M280" s="1585"/>
      <c r="N280" s="346" t="str">
        <f t="shared" si="45"/>
        <v/>
      </c>
      <c r="O280" s="428"/>
      <c r="P280" s="429" t="str">
        <f>IFERROR(VLOOKUP(F280,#REF!,12,FALSE),"")</f>
        <v/>
      </c>
      <c r="Q280" s="389" t="s">
        <v>8</v>
      </c>
      <c r="R280" s="46" t="str">
        <f>IFERROR(VLOOKUP(F280,#REF!,14,FALSE),"")</f>
        <v/>
      </c>
      <c r="S280" s="47" t="str">
        <f t="shared" si="46"/>
        <v/>
      </c>
      <c r="U280" s="1728"/>
      <c r="V280" s="50">
        <f t="shared" si="48"/>
        <v>0</v>
      </c>
      <c r="W280" s="1767"/>
      <c r="X280" s="50"/>
    </row>
    <row r="281" spans="1:24" ht="16" thickBot="1" x14ac:dyDescent="0.25">
      <c r="B281" s="1654">
        <f>SUM(H279:H285)</f>
        <v>20.259999999999998</v>
      </c>
      <c r="C281" s="84">
        <v>43369</v>
      </c>
      <c r="D281" s="422" t="s">
        <v>207</v>
      </c>
      <c r="E281" s="423"/>
      <c r="F281" s="1441" t="s">
        <v>173</v>
      </c>
      <c r="G281" s="424">
        <v>3.9305555555555559E-2</v>
      </c>
      <c r="H281" s="425">
        <v>10.7</v>
      </c>
      <c r="I281" s="426">
        <f t="shared" si="47"/>
        <v>3.6734164070612676E-3</v>
      </c>
      <c r="J281" s="427">
        <v>137</v>
      </c>
      <c r="K281" s="1757"/>
      <c r="L281" s="1563"/>
      <c r="M281" s="1585"/>
      <c r="N281" s="346"/>
      <c r="O281" s="428" t="s">
        <v>176</v>
      </c>
      <c r="P281" s="429" t="str">
        <f>IFERROR(VLOOKUP(F281,#REF!,12,FALSE),"")</f>
        <v/>
      </c>
      <c r="Q281" s="389" t="s">
        <v>8</v>
      </c>
      <c r="R281" s="46" t="str">
        <f>IFERROR(VLOOKUP(F281,#REF!,14,FALSE),"")</f>
        <v/>
      </c>
      <c r="S281" s="47"/>
      <c r="U281" s="1728"/>
      <c r="V281" s="50">
        <f t="shared" si="48"/>
        <v>0</v>
      </c>
      <c r="W281" s="1767"/>
      <c r="X281" s="50"/>
    </row>
    <row r="282" spans="1:24" x14ac:dyDescent="0.2">
      <c r="B282" s="1655" t="s">
        <v>144</v>
      </c>
      <c r="C282" s="84">
        <v>43370</v>
      </c>
      <c r="D282" s="422"/>
      <c r="E282" s="423"/>
      <c r="F282" s="1442"/>
      <c r="G282" s="430"/>
      <c r="H282" s="431" t="str">
        <f>IFERROR(VLOOKUP(F282,#REF!,10,FALSE),"")</f>
        <v/>
      </c>
      <c r="I282" s="432" t="str">
        <f t="shared" si="47"/>
        <v/>
      </c>
      <c r="J282" s="433"/>
      <c r="K282" s="1757"/>
      <c r="L282" s="1563"/>
      <c r="M282" s="1585"/>
      <c r="N282" s="346" t="str">
        <f t="shared" ref="N282:N318" si="49">IFERROR((L282/67)/(1/(I282*24)/3.6),"")</f>
        <v/>
      </c>
      <c r="O282" s="434"/>
      <c r="P282" s="435" t="str">
        <f>IFERROR(VLOOKUP(F282,#REF!,12,FALSE),"")</f>
        <v/>
      </c>
      <c r="Q282" s="389" t="s">
        <v>8</v>
      </c>
      <c r="R282" s="46" t="str">
        <f>IFERROR(VLOOKUP(F282,#REF!,14,FALSE),"")</f>
        <v/>
      </c>
      <c r="S282" s="47" t="str">
        <f t="shared" ref="S282:S313" si="50">IFERROR(L282/J282,"")</f>
        <v/>
      </c>
      <c r="U282" s="1728"/>
      <c r="V282" s="50">
        <f t="shared" si="48"/>
        <v>0</v>
      </c>
      <c r="W282" s="1767"/>
      <c r="X282" s="50"/>
    </row>
    <row r="283" spans="1:24" ht="16" thickBot="1" x14ac:dyDescent="0.25">
      <c r="B283" s="1656" t="e">
        <f>SUM(#REF!)</f>
        <v>#REF!</v>
      </c>
      <c r="C283" s="84">
        <v>43371</v>
      </c>
      <c r="D283" s="422" t="s">
        <v>208</v>
      </c>
      <c r="E283" s="423"/>
      <c r="F283" s="1442" t="s">
        <v>148</v>
      </c>
      <c r="G283" s="430">
        <v>3.7002314814814814E-2</v>
      </c>
      <c r="H283" s="431">
        <v>9.56</v>
      </c>
      <c r="I283" s="432">
        <f t="shared" si="47"/>
        <v>3.8705350224701686E-3</v>
      </c>
      <c r="J283" s="433">
        <v>137</v>
      </c>
      <c r="K283" s="1757"/>
      <c r="L283" s="1563">
        <v>213</v>
      </c>
      <c r="M283" s="1585"/>
      <c r="N283" s="346">
        <f t="shared" si="49"/>
        <v>1.0631377630675074</v>
      </c>
      <c r="O283" s="434" t="s">
        <v>176</v>
      </c>
      <c r="P283" s="435" t="str">
        <f>IFERROR(VLOOKUP(F283,#REF!,12,FALSE),"")</f>
        <v/>
      </c>
      <c r="Q283" s="389" t="s">
        <v>8</v>
      </c>
      <c r="R283" s="46" t="str">
        <f>IFERROR(VLOOKUP(F283,#REF!,14,FALSE),"")</f>
        <v/>
      </c>
      <c r="S283" s="47">
        <f t="shared" si="50"/>
        <v>1.5547445255474452</v>
      </c>
      <c r="U283" s="1728"/>
      <c r="V283" s="50">
        <f t="shared" si="48"/>
        <v>0</v>
      </c>
      <c r="W283" s="1767"/>
      <c r="X283" s="50"/>
    </row>
    <row r="284" spans="1:24" x14ac:dyDescent="0.2">
      <c r="B284" s="1657" t="s">
        <v>256</v>
      </c>
      <c r="C284" s="84">
        <v>43372</v>
      </c>
      <c r="D284" s="422"/>
      <c r="E284" s="423"/>
      <c r="F284" s="1442"/>
      <c r="G284" s="430"/>
      <c r="H284" s="431"/>
      <c r="I284" s="432"/>
      <c r="J284" s="433"/>
      <c r="K284" s="1757"/>
      <c r="L284" s="1563"/>
      <c r="M284" s="1585"/>
      <c r="N284" s="346" t="str">
        <f t="shared" si="49"/>
        <v/>
      </c>
      <c r="O284" s="434"/>
      <c r="P284" s="435" t="str">
        <f>IFERROR(VLOOKUP(F284,#REF!,12,FALSE),"")</f>
        <v/>
      </c>
      <c r="Q284" s="389" t="s">
        <v>8</v>
      </c>
      <c r="R284" s="46" t="str">
        <f>IFERROR(VLOOKUP(F284,#REF!,14,FALSE),"")</f>
        <v/>
      </c>
      <c r="S284" s="47" t="str">
        <f t="shared" si="50"/>
        <v/>
      </c>
      <c r="U284" s="1728"/>
      <c r="V284" s="50">
        <f t="shared" si="48"/>
        <v>0</v>
      </c>
      <c r="W284" s="1767"/>
      <c r="X284" s="50"/>
    </row>
    <row r="285" spans="1:24" customFormat="1" ht="16" thickBot="1" x14ac:dyDescent="0.25">
      <c r="A285" s="3"/>
      <c r="B285" s="1658" t="e">
        <f>AVERAGE(#REF!)</f>
        <v>#REF!</v>
      </c>
      <c r="C285" s="141">
        <v>43373</v>
      </c>
      <c r="D285" s="181"/>
      <c r="E285" s="182"/>
      <c r="F285" s="1396"/>
      <c r="G285" s="436"/>
      <c r="H285" s="437" t="str">
        <f>IFERROR(VLOOKUP(F285,#REF!,10,FALSE),"")</f>
        <v/>
      </c>
      <c r="I285" s="370" t="str">
        <f t="shared" si="47"/>
        <v/>
      </c>
      <c r="J285" s="102"/>
      <c r="K285" s="1757"/>
      <c r="L285" s="1565"/>
      <c r="M285" s="1588"/>
      <c r="N285" s="186" t="str">
        <f t="shared" si="49"/>
        <v/>
      </c>
      <c r="O285" s="104"/>
      <c r="P285" s="105" t="str">
        <f>IFERROR(VLOOKUP(F285,#REF!,12,FALSE),"")</f>
        <v/>
      </c>
      <c r="Q285" s="107" t="s">
        <v>8</v>
      </c>
      <c r="R285" s="107" t="str">
        <f>IFERROR(VLOOKUP(F285,#REF!,14,FALSE),"")</f>
        <v/>
      </c>
      <c r="S285" s="65" t="str">
        <f t="shared" si="50"/>
        <v/>
      </c>
      <c r="T285" s="1379"/>
      <c r="U285" s="1729"/>
      <c r="V285" s="109">
        <f t="shared" si="48"/>
        <v>0</v>
      </c>
      <c r="W285" s="1768"/>
      <c r="X285" s="109"/>
    </row>
    <row r="286" spans="1:24" ht="16" thickBot="1" x14ac:dyDescent="0.25">
      <c r="B286" s="1652">
        <f>B279+1</f>
        <v>40</v>
      </c>
      <c r="C286" s="142">
        <v>43374</v>
      </c>
      <c r="D286" s="143" t="s">
        <v>209</v>
      </c>
      <c r="E286" s="144"/>
      <c r="F286" s="1421" t="s">
        <v>148</v>
      </c>
      <c r="G286" s="145">
        <v>3.6932870370370366E-2</v>
      </c>
      <c r="H286" s="234">
        <v>9.5500000000000007</v>
      </c>
      <c r="I286" s="235">
        <f t="shared" si="47"/>
        <v>3.8673162691487293E-3</v>
      </c>
      <c r="J286" s="236">
        <v>132</v>
      </c>
      <c r="K286" s="1757"/>
      <c r="L286" s="1562">
        <v>213</v>
      </c>
      <c r="M286" s="1584"/>
      <c r="N286" s="150">
        <f t="shared" si="49"/>
        <v>1.0622536531999687</v>
      </c>
      <c r="O286" s="151" t="s">
        <v>176</v>
      </c>
      <c r="P286" s="214" t="str">
        <f>IFERROR(VLOOKUP(F286,#REF!,12,FALSE),"")</f>
        <v/>
      </c>
      <c r="Q286" s="153" t="s">
        <v>8</v>
      </c>
      <c r="R286" s="32" t="str">
        <f>IFERROR(VLOOKUP(F286,#REF!,14,FALSE),"")</f>
        <v/>
      </c>
      <c r="S286" s="33">
        <f t="shared" si="50"/>
        <v>1.6136363636363635</v>
      </c>
      <c r="U286" s="1728"/>
      <c r="V286" s="192">
        <f t="shared" si="48"/>
        <v>0</v>
      </c>
      <c r="W286" s="1766"/>
      <c r="X286" s="192"/>
    </row>
    <row r="287" spans="1:24" x14ac:dyDescent="0.2">
      <c r="B287" s="1653" t="s">
        <v>142</v>
      </c>
      <c r="C287" s="155">
        <v>43375</v>
      </c>
      <c r="D287" s="49"/>
      <c r="E287" s="156"/>
      <c r="F287" s="1404"/>
      <c r="G287" s="120"/>
      <c r="H287" s="121" t="str">
        <f>IFERROR(VLOOKUP(F287,#REF!,10,FALSE),"")</f>
        <v/>
      </c>
      <c r="I287" s="122" t="str">
        <f t="shared" si="47"/>
        <v/>
      </c>
      <c r="J287" s="123"/>
      <c r="K287" s="1757"/>
      <c r="L287" s="1563"/>
      <c r="M287" s="1585"/>
      <c r="N287" s="158" t="str">
        <f t="shared" si="49"/>
        <v/>
      </c>
      <c r="O287" s="159"/>
      <c r="P287" s="93" t="str">
        <f>IFERROR(VLOOKUP(F287,#REF!,12,FALSE),"")</f>
        <v/>
      </c>
      <c r="Q287" s="94" t="s">
        <v>8</v>
      </c>
      <c r="R287" s="46" t="str">
        <f>IFERROR(VLOOKUP(F287,#REF!,14,FALSE),"")</f>
        <v/>
      </c>
      <c r="S287" s="47" t="str">
        <f t="shared" si="50"/>
        <v/>
      </c>
      <c r="U287" s="1728"/>
      <c r="V287" s="206">
        <f t="shared" si="48"/>
        <v>0</v>
      </c>
      <c r="W287" s="1767"/>
      <c r="X287" s="206"/>
    </row>
    <row r="288" spans="1:24" ht="16" thickBot="1" x14ac:dyDescent="0.25">
      <c r="B288" s="1654">
        <f>SUM(H286:H292)</f>
        <v>37.230000000000004</v>
      </c>
      <c r="C288" s="161">
        <v>43376</v>
      </c>
      <c r="D288" s="49" t="s">
        <v>210</v>
      </c>
      <c r="E288" s="156"/>
      <c r="F288" s="1404" t="s">
        <v>3</v>
      </c>
      <c r="G288" s="120">
        <v>2.4548611111111115E-2</v>
      </c>
      <c r="H288" s="121">
        <f>5.05+1.18+1.54</f>
        <v>7.77</v>
      </c>
      <c r="I288" s="122">
        <v>2.7893518518518519E-3</v>
      </c>
      <c r="J288" s="123"/>
      <c r="K288" s="1757"/>
      <c r="L288" s="1563">
        <v>278</v>
      </c>
      <c r="M288" s="1585"/>
      <c r="N288" s="158">
        <f t="shared" si="49"/>
        <v>0.99997014925373129</v>
      </c>
      <c r="O288" s="159" t="s">
        <v>175</v>
      </c>
      <c r="P288" s="93" t="str">
        <f>IFERROR(VLOOKUP(F288,#REF!,12,FALSE),"")</f>
        <v/>
      </c>
      <c r="Q288" s="94" t="s">
        <v>8</v>
      </c>
      <c r="R288" s="46" t="str">
        <f>IFERROR(VLOOKUP(F288,#REF!,14,FALSE),"")</f>
        <v/>
      </c>
      <c r="S288" s="47" t="str">
        <f t="shared" si="50"/>
        <v/>
      </c>
      <c r="U288" s="1728"/>
      <c r="V288" s="206">
        <f t="shared" si="48"/>
        <v>0</v>
      </c>
      <c r="W288" s="1767"/>
      <c r="X288" s="206"/>
    </row>
    <row r="289" spans="1:24" x14ac:dyDescent="0.2">
      <c r="B289" s="1655" t="s">
        <v>144</v>
      </c>
      <c r="C289" s="161">
        <v>43377</v>
      </c>
      <c r="D289" s="49"/>
      <c r="E289" s="156"/>
      <c r="F289" s="1404"/>
      <c r="G289" s="120"/>
      <c r="H289" s="121" t="str">
        <f>IFERROR(VLOOKUP(F289,#REF!,10,FALSE),"")</f>
        <v/>
      </c>
      <c r="I289" s="122" t="str">
        <f t="shared" si="47"/>
        <v/>
      </c>
      <c r="J289" s="123"/>
      <c r="K289" s="1757"/>
      <c r="L289" s="1563"/>
      <c r="M289" s="1585"/>
      <c r="N289" s="158" t="str">
        <f t="shared" si="49"/>
        <v/>
      </c>
      <c r="O289" s="159"/>
      <c r="P289" s="93" t="str">
        <f>IFERROR(VLOOKUP(F289,#REF!,12,FALSE),"")</f>
        <v/>
      </c>
      <c r="Q289" s="94" t="s">
        <v>8</v>
      </c>
      <c r="R289" s="46" t="str">
        <f>IFERROR(VLOOKUP(F289,#REF!,14,FALSE),"")</f>
        <v/>
      </c>
      <c r="S289" s="47" t="str">
        <f t="shared" si="50"/>
        <v/>
      </c>
      <c r="U289" s="1728"/>
      <c r="V289" s="206">
        <f t="shared" si="48"/>
        <v>0</v>
      </c>
      <c r="W289" s="1767"/>
      <c r="X289" s="206"/>
    </row>
    <row r="290" spans="1:24" ht="16" thickBot="1" x14ac:dyDescent="0.25">
      <c r="B290" s="1656" t="e">
        <f>SUM(#REF!)</f>
        <v>#REF!</v>
      </c>
      <c r="C290" s="161">
        <v>43378</v>
      </c>
      <c r="D290" s="49" t="s">
        <v>211</v>
      </c>
      <c r="E290" s="156"/>
      <c r="F290" s="1404" t="s">
        <v>148</v>
      </c>
      <c r="G290" s="120">
        <v>3.8773148148148147E-2</v>
      </c>
      <c r="H290" s="121">
        <v>10</v>
      </c>
      <c r="I290" s="122">
        <f t="shared" si="47"/>
        <v>3.8773148148148148E-3</v>
      </c>
      <c r="J290" s="123">
        <v>134</v>
      </c>
      <c r="K290" s="1757"/>
      <c r="L290" s="1563">
        <v>213</v>
      </c>
      <c r="M290" s="1585"/>
      <c r="N290" s="158">
        <f t="shared" si="49"/>
        <v>1.0650000000000002</v>
      </c>
      <c r="O290" s="159" t="s">
        <v>176</v>
      </c>
      <c r="P290" s="93" t="str">
        <f>IFERROR(VLOOKUP(F290,#REF!,12,FALSE),"")</f>
        <v/>
      </c>
      <c r="Q290" s="94" t="s">
        <v>8</v>
      </c>
      <c r="R290" s="46" t="str">
        <f>IFERROR(VLOOKUP(F290,#REF!,14,FALSE),"")</f>
        <v/>
      </c>
      <c r="S290" s="47">
        <f t="shared" si="50"/>
        <v>1.5895522388059702</v>
      </c>
      <c r="U290" s="1728"/>
      <c r="V290" s="206">
        <f t="shared" si="48"/>
        <v>0</v>
      </c>
      <c r="W290" s="1767"/>
      <c r="X290" s="206"/>
    </row>
    <row r="291" spans="1:24" x14ac:dyDescent="0.2">
      <c r="B291" s="1657" t="s">
        <v>256</v>
      </c>
      <c r="C291" s="246">
        <v>43379</v>
      </c>
      <c r="D291" s="247"/>
      <c r="E291" s="248"/>
      <c r="F291" s="1443"/>
      <c r="G291" s="438"/>
      <c r="H291" s="439"/>
      <c r="I291" s="440" t="str">
        <f t="shared" ref="I291:I292" si="51">IFERROR(G291/H291,"")</f>
        <v/>
      </c>
      <c r="J291" s="441"/>
      <c r="K291" s="1757"/>
      <c r="L291" s="1572"/>
      <c r="M291" s="1597"/>
      <c r="N291" s="375" t="str">
        <f t="shared" si="49"/>
        <v/>
      </c>
      <c r="O291" s="442"/>
      <c r="P291" s="93" t="str">
        <f>IFERROR(VLOOKUP(F291,#REF!,12,FALSE),"")</f>
        <v/>
      </c>
      <c r="Q291" s="94" t="s">
        <v>8</v>
      </c>
      <c r="R291" s="46" t="str">
        <f>IFERROR(VLOOKUP(F291,#REF!,14,FALSE),"")</f>
        <v/>
      </c>
      <c r="S291" s="47" t="str">
        <f t="shared" si="50"/>
        <v/>
      </c>
      <c r="U291" s="1728"/>
      <c r="V291" s="206">
        <f t="shared" si="48"/>
        <v>0</v>
      </c>
      <c r="W291" s="1767"/>
      <c r="X291" s="206"/>
    </row>
    <row r="292" spans="1:24" ht="16" thickBot="1" x14ac:dyDescent="0.25">
      <c r="B292" s="1658" t="e">
        <f>AVERAGE(#REF!)</f>
        <v>#REF!</v>
      </c>
      <c r="C292" s="255">
        <v>43380</v>
      </c>
      <c r="D292" s="443" t="s">
        <v>212</v>
      </c>
      <c r="E292" s="444"/>
      <c r="F292" s="1444" t="s">
        <v>155</v>
      </c>
      <c r="G292" s="445">
        <v>3.7812500000000006E-2</v>
      </c>
      <c r="H292" s="307">
        <v>9.91</v>
      </c>
      <c r="I292" s="304">
        <f t="shared" si="51"/>
        <v>3.8155903128153385E-3</v>
      </c>
      <c r="J292" s="308">
        <v>138</v>
      </c>
      <c r="K292" s="1757"/>
      <c r="L292" s="1560">
        <v>221</v>
      </c>
      <c r="M292" s="1583"/>
      <c r="N292" s="172">
        <f t="shared" si="49"/>
        <v>1.0874090696868837</v>
      </c>
      <c r="O292" s="446" t="s">
        <v>176</v>
      </c>
      <c r="P292" s="447" t="str">
        <f>IFERROR(VLOOKUP(F292,#REF!,12,FALSE),"")</f>
        <v/>
      </c>
      <c r="Q292" s="448" t="s">
        <v>8</v>
      </c>
      <c r="R292" s="64" t="str">
        <f>IFERROR(VLOOKUP(F292,#REF!,14,FALSE),"")</f>
        <v/>
      </c>
      <c r="S292" s="65">
        <f t="shared" si="50"/>
        <v>1.6014492753623188</v>
      </c>
      <c r="U292" s="1728"/>
      <c r="V292" s="68">
        <f t="shared" si="48"/>
        <v>0</v>
      </c>
      <c r="W292" s="1768"/>
      <c r="X292" s="68"/>
    </row>
    <row r="293" spans="1:24" ht="16" thickBot="1" x14ac:dyDescent="0.25">
      <c r="B293" s="1652">
        <f>B286+1</f>
        <v>41</v>
      </c>
      <c r="C293" s="193">
        <v>43381</v>
      </c>
      <c r="D293" s="70"/>
      <c r="E293" s="71"/>
      <c r="F293" s="1394"/>
      <c r="G293" s="72"/>
      <c r="H293" s="178" t="str">
        <f>IFERROR(VLOOKUP(F293,#REF!,10,FALSE),"")</f>
        <v/>
      </c>
      <c r="I293" s="338" t="str">
        <f t="shared" si="47"/>
        <v/>
      </c>
      <c r="J293" s="76"/>
      <c r="K293" s="1757"/>
      <c r="L293" s="76"/>
      <c r="M293" s="1587"/>
      <c r="N293" s="77" t="str">
        <f t="shared" si="49"/>
        <v/>
      </c>
      <c r="O293" s="78"/>
      <c r="P293" s="224" t="str">
        <f>IFERROR(VLOOKUP(F293,#REF!,12,FALSE),"")</f>
        <v/>
      </c>
      <c r="Q293" s="80" t="s">
        <v>8</v>
      </c>
      <c r="R293" s="80" t="str">
        <f>IFERROR(VLOOKUP(F293,#REF!,14,FALSE),"")</f>
        <v/>
      </c>
      <c r="S293" s="33" t="str">
        <f t="shared" si="50"/>
        <v/>
      </c>
      <c r="U293" s="1728"/>
      <c r="V293" s="82">
        <f t="shared" si="48"/>
        <v>0</v>
      </c>
      <c r="W293" s="1766"/>
      <c r="X293" s="82"/>
    </row>
    <row r="294" spans="1:24" x14ac:dyDescent="0.2">
      <c r="B294" s="1653" t="s">
        <v>142</v>
      </c>
      <c r="C294" s="84">
        <v>43382</v>
      </c>
      <c r="D294" s="422" t="s">
        <v>213</v>
      </c>
      <c r="E294" s="423"/>
      <c r="F294" s="1445" t="s">
        <v>147</v>
      </c>
      <c r="G294" s="449">
        <v>3.2337962962962964E-2</v>
      </c>
      <c r="H294" s="450">
        <v>8.57</v>
      </c>
      <c r="I294" s="451">
        <f t="shared" si="47"/>
        <v>3.7733912442197157E-3</v>
      </c>
      <c r="J294" s="452">
        <v>137</v>
      </c>
      <c r="K294" s="1757"/>
      <c r="L294" s="1563">
        <v>220</v>
      </c>
      <c r="M294" s="1585"/>
      <c r="N294" s="346">
        <f t="shared" si="49"/>
        <v>1.0705167279123637</v>
      </c>
      <c r="O294" s="453" t="s">
        <v>176</v>
      </c>
      <c r="P294" s="454" t="str">
        <f>IFERROR(VLOOKUP(F294,#REF!,12,FALSE),"")</f>
        <v/>
      </c>
      <c r="Q294" s="389" t="s">
        <v>8</v>
      </c>
      <c r="R294" s="46" t="str">
        <f>IFERROR(VLOOKUP(F294,#REF!,14,FALSE),"")</f>
        <v/>
      </c>
      <c r="S294" s="47">
        <f t="shared" si="50"/>
        <v>1.6058394160583942</v>
      </c>
      <c r="U294" s="1728"/>
      <c r="V294" s="50">
        <f t="shared" si="48"/>
        <v>0</v>
      </c>
      <c r="W294" s="1767"/>
      <c r="X294" s="50"/>
    </row>
    <row r="295" spans="1:24" ht="16" thickBot="1" x14ac:dyDescent="0.25">
      <c r="B295" s="1654">
        <f>SUM(H293:H299)</f>
        <v>28.98</v>
      </c>
      <c r="C295" s="84">
        <v>43383</v>
      </c>
      <c r="D295" s="422"/>
      <c r="E295" s="423"/>
      <c r="F295" s="1446"/>
      <c r="G295" s="455"/>
      <c r="H295" s="456" t="str">
        <f>IFERROR(VLOOKUP(F295,#REF!,10,FALSE),"")</f>
        <v/>
      </c>
      <c r="I295" s="457" t="str">
        <f t="shared" si="47"/>
        <v/>
      </c>
      <c r="J295" s="458"/>
      <c r="K295" s="1757"/>
      <c r="L295" s="1563"/>
      <c r="M295" s="1585"/>
      <c r="N295" s="346" t="str">
        <f t="shared" si="49"/>
        <v/>
      </c>
      <c r="O295" s="459"/>
      <c r="P295" s="460" t="str">
        <f>IFERROR(VLOOKUP(F295,#REF!,12,FALSE),"")</f>
        <v/>
      </c>
      <c r="Q295" s="389" t="s">
        <v>8</v>
      </c>
      <c r="R295" s="46" t="str">
        <f>IFERROR(VLOOKUP(F295,#REF!,14,FALSE),"")</f>
        <v/>
      </c>
      <c r="S295" s="47" t="str">
        <f t="shared" si="50"/>
        <v/>
      </c>
      <c r="U295" s="1728"/>
      <c r="V295" s="50">
        <f t="shared" si="48"/>
        <v>0</v>
      </c>
      <c r="W295" s="1767"/>
      <c r="X295" s="50"/>
    </row>
    <row r="296" spans="1:24" x14ac:dyDescent="0.2">
      <c r="B296" s="1655" t="s">
        <v>144</v>
      </c>
      <c r="C296" s="84">
        <v>43384</v>
      </c>
      <c r="D296" s="422" t="s">
        <v>214</v>
      </c>
      <c r="E296" s="423"/>
      <c r="F296" s="1446" t="s">
        <v>173</v>
      </c>
      <c r="G296" s="455">
        <v>4.0659722222222222E-2</v>
      </c>
      <c r="H296" s="456">
        <v>10.7</v>
      </c>
      <c r="I296" s="457">
        <f t="shared" si="47"/>
        <v>3.799974039460021E-3</v>
      </c>
      <c r="J296" s="458">
        <v>140</v>
      </c>
      <c r="K296" s="1757"/>
      <c r="L296" s="1563">
        <v>217</v>
      </c>
      <c r="M296" s="1585"/>
      <c r="N296" s="346">
        <f t="shared" si="49"/>
        <v>1.063357511507881</v>
      </c>
      <c r="O296" s="459" t="s">
        <v>17</v>
      </c>
      <c r="P296" s="460" t="str">
        <f>IFERROR(VLOOKUP(F296,#REF!,12,FALSE),"")</f>
        <v/>
      </c>
      <c r="Q296" s="389" t="s">
        <v>8</v>
      </c>
      <c r="R296" s="46" t="str">
        <f>IFERROR(VLOOKUP(F296,#REF!,14,FALSE),"")</f>
        <v/>
      </c>
      <c r="S296" s="47">
        <f t="shared" si="50"/>
        <v>1.55</v>
      </c>
      <c r="U296" s="1728"/>
      <c r="V296" s="50">
        <f t="shared" si="48"/>
        <v>0</v>
      </c>
      <c r="W296" s="1767"/>
      <c r="X296" s="50"/>
    </row>
    <row r="297" spans="1:24" ht="16" thickBot="1" x14ac:dyDescent="0.25">
      <c r="B297" s="1656" t="e">
        <f>SUM(#REF!)</f>
        <v>#REF!</v>
      </c>
      <c r="C297" s="84">
        <v>43385</v>
      </c>
      <c r="D297" s="422"/>
      <c r="E297" s="423"/>
      <c r="F297" s="1447"/>
      <c r="G297" s="461"/>
      <c r="H297" s="462" t="str">
        <f>IFERROR(VLOOKUP(F297,#REF!,10,FALSE),"")</f>
        <v/>
      </c>
      <c r="I297" s="463" t="str">
        <f t="shared" si="47"/>
        <v/>
      </c>
      <c r="J297" s="464"/>
      <c r="K297" s="1757"/>
      <c r="L297" s="1563"/>
      <c r="M297" s="1585"/>
      <c r="N297" s="346" t="str">
        <f t="shared" si="49"/>
        <v/>
      </c>
      <c r="O297" s="465"/>
      <c r="P297" s="466" t="str">
        <f>IFERROR(VLOOKUP(F297,#REF!,12,FALSE),"")</f>
        <v/>
      </c>
      <c r="Q297" s="389" t="s">
        <v>8</v>
      </c>
      <c r="R297" s="46" t="str">
        <f>IFERROR(VLOOKUP(F297,#REF!,14,FALSE),"")</f>
        <v/>
      </c>
      <c r="S297" s="47" t="str">
        <f t="shared" si="50"/>
        <v/>
      </c>
      <c r="U297" s="1728"/>
      <c r="V297" s="50">
        <f t="shared" si="48"/>
        <v>0</v>
      </c>
      <c r="W297" s="1767"/>
      <c r="X297" s="50"/>
    </row>
    <row r="298" spans="1:24" x14ac:dyDescent="0.2">
      <c r="B298" s="1657" t="s">
        <v>256</v>
      </c>
      <c r="C298" s="84">
        <v>43386</v>
      </c>
      <c r="D298" s="422" t="s">
        <v>215</v>
      </c>
      <c r="E298" s="423"/>
      <c r="F298" s="1447" t="s">
        <v>155</v>
      </c>
      <c r="G298" s="461">
        <v>3.4733796296296297E-2</v>
      </c>
      <c r="H298" s="462">
        <v>9.7100000000000009</v>
      </c>
      <c r="I298" s="463">
        <f t="shared" si="47"/>
        <v>3.5771159934393712E-3</v>
      </c>
      <c r="J298" s="464">
        <v>141</v>
      </c>
      <c r="K298" s="1757"/>
      <c r="L298" s="1563">
        <v>233</v>
      </c>
      <c r="M298" s="1585"/>
      <c r="N298" s="346">
        <f t="shared" si="49"/>
        <v>1.0748005595093533</v>
      </c>
      <c r="O298" s="465" t="s">
        <v>176</v>
      </c>
      <c r="P298" s="466" t="str">
        <f>IFERROR(VLOOKUP(F298,#REF!,12,FALSE),"")</f>
        <v/>
      </c>
      <c r="Q298" s="389" t="s">
        <v>8</v>
      </c>
      <c r="R298" s="46" t="str">
        <f>IFERROR(VLOOKUP(F298,#REF!,14,FALSE),"")</f>
        <v/>
      </c>
      <c r="S298" s="47">
        <f t="shared" si="50"/>
        <v>1.6524822695035462</v>
      </c>
      <c r="U298" s="1728"/>
      <c r="V298" s="50">
        <f t="shared" si="48"/>
        <v>0</v>
      </c>
      <c r="W298" s="1767"/>
      <c r="X298" s="50"/>
    </row>
    <row r="299" spans="1:24" customFormat="1" ht="16" thickBot="1" x14ac:dyDescent="0.25">
      <c r="A299" s="3"/>
      <c r="B299" s="1658" t="e">
        <f>AVERAGE(#REF!)</f>
        <v>#REF!</v>
      </c>
      <c r="C299" s="467">
        <v>43387</v>
      </c>
      <c r="D299" s="205"/>
      <c r="E299" s="306"/>
      <c r="F299" s="1396"/>
      <c r="G299" s="98"/>
      <c r="H299" s="183" t="str">
        <f>IFERROR(VLOOKUP(F299,#REF!,10,FALSE),"")</f>
        <v/>
      </c>
      <c r="I299" s="370" t="str">
        <f t="shared" si="47"/>
        <v/>
      </c>
      <c r="J299" s="102"/>
      <c r="K299" s="1757"/>
      <c r="L299" s="1565"/>
      <c r="M299" s="1588"/>
      <c r="N299" s="186" t="str">
        <f t="shared" si="49"/>
        <v/>
      </c>
      <c r="O299" s="104"/>
      <c r="P299" s="105" t="str">
        <f>IFERROR(VLOOKUP(F299,#REF!,12,FALSE),"")</f>
        <v/>
      </c>
      <c r="Q299" s="107" t="s">
        <v>8</v>
      </c>
      <c r="R299" s="107" t="str">
        <f>IFERROR(VLOOKUP(F299,#REF!,14,FALSE),"")</f>
        <v/>
      </c>
      <c r="S299" s="65" t="str">
        <f t="shared" si="50"/>
        <v/>
      </c>
      <c r="T299" s="1379"/>
      <c r="U299" s="1729"/>
      <c r="V299" s="109">
        <f t="shared" si="48"/>
        <v>0</v>
      </c>
      <c r="W299" s="1768"/>
      <c r="X299" s="109"/>
    </row>
    <row r="300" spans="1:24" ht="16" thickBot="1" x14ac:dyDescent="0.25">
      <c r="B300" s="1652">
        <f>B293+1</f>
        <v>42</v>
      </c>
      <c r="C300" s="189">
        <v>43388</v>
      </c>
      <c r="D300" s="143" t="s">
        <v>216</v>
      </c>
      <c r="E300" s="144"/>
      <c r="F300" s="1421" t="s">
        <v>147</v>
      </c>
      <c r="G300" s="145">
        <v>3.2974537037037038E-2</v>
      </c>
      <c r="H300" s="234">
        <v>8.09</v>
      </c>
      <c r="I300" s="235">
        <f t="shared" si="47"/>
        <v>4.0759625509316491E-3</v>
      </c>
      <c r="J300" s="236">
        <v>124</v>
      </c>
      <c r="K300" s="1757"/>
      <c r="L300" s="1562">
        <v>202</v>
      </c>
      <c r="M300" s="1584"/>
      <c r="N300" s="150">
        <f t="shared" si="49"/>
        <v>1.0617456598343264</v>
      </c>
      <c r="O300" s="151" t="s">
        <v>176</v>
      </c>
      <c r="P300" s="214" t="str">
        <f>IFERROR(VLOOKUP(F300,#REF!,12,FALSE),"")</f>
        <v/>
      </c>
      <c r="Q300" s="153" t="s">
        <v>8</v>
      </c>
      <c r="R300" s="32" t="str">
        <f>IFERROR(VLOOKUP(F300,#REF!,14,FALSE),"")</f>
        <v/>
      </c>
      <c r="S300" s="33">
        <f t="shared" si="50"/>
        <v>1.6290322580645162</v>
      </c>
      <c r="U300" s="1728"/>
      <c r="V300" s="192">
        <f t="shared" si="48"/>
        <v>0</v>
      </c>
      <c r="W300" s="1766"/>
      <c r="X300" s="192"/>
    </row>
    <row r="301" spans="1:24" x14ac:dyDescent="0.2">
      <c r="B301" s="1653" t="s">
        <v>142</v>
      </c>
      <c r="C301" s="155">
        <v>43389</v>
      </c>
      <c r="D301" s="49"/>
      <c r="E301" s="156"/>
      <c r="F301" s="1404"/>
      <c r="G301" s="120"/>
      <c r="H301" s="121" t="str">
        <f>IFERROR(VLOOKUP(F301,#REF!,10,FALSE),"")</f>
        <v/>
      </c>
      <c r="I301" s="122" t="str">
        <f t="shared" si="47"/>
        <v/>
      </c>
      <c r="J301" s="123"/>
      <c r="K301" s="1757"/>
      <c r="L301" s="1563"/>
      <c r="M301" s="1585"/>
      <c r="N301" s="158" t="str">
        <f t="shared" si="49"/>
        <v/>
      </c>
      <c r="O301" s="159"/>
      <c r="P301" s="93" t="str">
        <f>IFERROR(VLOOKUP(F301,#REF!,12,FALSE),"")</f>
        <v/>
      </c>
      <c r="Q301" s="94" t="s">
        <v>8</v>
      </c>
      <c r="R301" s="46" t="str">
        <f>IFERROR(VLOOKUP(F301,#REF!,14,FALSE),"")</f>
        <v/>
      </c>
      <c r="S301" s="47" t="str">
        <f t="shared" si="50"/>
        <v/>
      </c>
      <c r="U301" s="1728"/>
      <c r="V301" s="206">
        <f t="shared" si="48"/>
        <v>0</v>
      </c>
      <c r="W301" s="1767"/>
      <c r="X301" s="206"/>
    </row>
    <row r="302" spans="1:24" ht="16" thickBot="1" x14ac:dyDescent="0.25">
      <c r="B302" s="1654">
        <f>SUM(H300:H306)</f>
        <v>42.379999999999995</v>
      </c>
      <c r="C302" s="161">
        <v>43390</v>
      </c>
      <c r="D302" s="49" t="s">
        <v>217</v>
      </c>
      <c r="E302" s="156"/>
      <c r="F302" s="1404" t="s">
        <v>173</v>
      </c>
      <c r="G302" s="120">
        <v>4.3564814814814813E-2</v>
      </c>
      <c r="H302" s="121">
        <v>11.5</v>
      </c>
      <c r="I302" s="122">
        <f t="shared" si="47"/>
        <v>3.7882447665056359E-3</v>
      </c>
      <c r="J302" s="123">
        <v>135</v>
      </c>
      <c r="K302" s="1757"/>
      <c r="L302" s="1563">
        <v>219</v>
      </c>
      <c r="M302" s="1585"/>
      <c r="N302" s="158">
        <f t="shared" si="49"/>
        <v>1.0698455548345231</v>
      </c>
      <c r="O302" s="159" t="s">
        <v>175</v>
      </c>
      <c r="P302" s="93" t="str">
        <f>IFERROR(VLOOKUP(F302,#REF!,12,FALSE),"")</f>
        <v/>
      </c>
      <c r="Q302" s="94" t="s">
        <v>8</v>
      </c>
      <c r="R302" s="46" t="str">
        <f>IFERROR(VLOOKUP(F302,#REF!,14,FALSE),"")</f>
        <v/>
      </c>
      <c r="S302" s="47">
        <f t="shared" si="50"/>
        <v>1.6222222222222222</v>
      </c>
      <c r="U302" s="1728"/>
      <c r="V302" s="206">
        <f t="shared" si="48"/>
        <v>0</v>
      </c>
      <c r="W302" s="1767"/>
      <c r="X302" s="206"/>
    </row>
    <row r="303" spans="1:24" x14ac:dyDescent="0.2">
      <c r="B303" s="1655" t="s">
        <v>144</v>
      </c>
      <c r="C303" s="161">
        <v>43391</v>
      </c>
      <c r="D303" s="49"/>
      <c r="E303" s="156"/>
      <c r="F303" s="1404"/>
      <c r="G303" s="120"/>
      <c r="H303" s="121" t="str">
        <f>IFERROR(VLOOKUP(F303,#REF!,10,FALSE),"")</f>
        <v/>
      </c>
      <c r="I303" s="122" t="str">
        <f t="shared" si="47"/>
        <v/>
      </c>
      <c r="J303" s="123"/>
      <c r="K303" s="1757"/>
      <c r="L303" s="1563"/>
      <c r="M303" s="1585"/>
      <c r="N303" s="158" t="str">
        <f t="shared" si="49"/>
        <v/>
      </c>
      <c r="O303" s="159"/>
      <c r="P303" s="93" t="str">
        <f>IFERROR(VLOOKUP(F303,#REF!,12,FALSE),"")</f>
        <v/>
      </c>
      <c r="Q303" s="94" t="s">
        <v>8</v>
      </c>
      <c r="R303" s="46" t="str">
        <f>IFERROR(VLOOKUP(F303,#REF!,14,FALSE),"")</f>
        <v/>
      </c>
      <c r="S303" s="47" t="str">
        <f t="shared" si="50"/>
        <v/>
      </c>
      <c r="U303" s="1728"/>
      <c r="V303" s="206">
        <f t="shared" si="48"/>
        <v>0</v>
      </c>
      <c r="W303" s="1767"/>
      <c r="X303" s="206"/>
    </row>
    <row r="304" spans="1:24" ht="16" thickBot="1" x14ac:dyDescent="0.25">
      <c r="B304" s="1656" t="e">
        <f>SUM(#REF!)</f>
        <v>#REF!</v>
      </c>
      <c r="C304" s="161">
        <v>43392</v>
      </c>
      <c r="D304" s="49" t="s">
        <v>218</v>
      </c>
      <c r="E304" s="156"/>
      <c r="F304" s="1404" t="s">
        <v>173</v>
      </c>
      <c r="G304" s="120">
        <v>4.449074074074074E-2</v>
      </c>
      <c r="H304" s="121">
        <v>11.49</v>
      </c>
      <c r="I304" s="122">
        <f t="shared" si="47"/>
        <v>3.872127131483093E-3</v>
      </c>
      <c r="J304" s="123">
        <v>133</v>
      </c>
      <c r="K304" s="1757"/>
      <c r="L304" s="1563">
        <v>215</v>
      </c>
      <c r="M304" s="1585"/>
      <c r="N304" s="158">
        <f t="shared" si="49"/>
        <v>1.0735616954392528</v>
      </c>
      <c r="O304" s="159" t="s">
        <v>176</v>
      </c>
      <c r="P304" s="93" t="str">
        <f>IFERROR(VLOOKUP(F304,#REF!,12,FALSE),"")</f>
        <v/>
      </c>
      <c r="Q304" s="94" t="s">
        <v>8</v>
      </c>
      <c r="R304" s="46" t="str">
        <f>IFERROR(VLOOKUP(F304,#REF!,14,FALSE),"")</f>
        <v/>
      </c>
      <c r="S304" s="47">
        <f t="shared" si="50"/>
        <v>1.6165413533834587</v>
      </c>
      <c r="U304" s="1728"/>
      <c r="V304" s="206">
        <f t="shared" si="48"/>
        <v>0</v>
      </c>
      <c r="W304" s="1767"/>
      <c r="X304" s="206"/>
    </row>
    <row r="305" spans="2:24" x14ac:dyDescent="0.2">
      <c r="B305" s="1657" t="s">
        <v>256</v>
      </c>
      <c r="C305" s="161">
        <v>43393</v>
      </c>
      <c r="D305" s="49"/>
      <c r="E305" s="156"/>
      <c r="F305" s="1404"/>
      <c r="G305" s="120"/>
      <c r="H305" s="121" t="str">
        <f>IFERROR(VLOOKUP(F305,#REF!,10,FALSE),"")</f>
        <v/>
      </c>
      <c r="I305" s="122" t="str">
        <f t="shared" si="47"/>
        <v/>
      </c>
      <c r="J305" s="123"/>
      <c r="K305" s="1757"/>
      <c r="L305" s="1563"/>
      <c r="M305" s="1585"/>
      <c r="N305" s="158" t="str">
        <f t="shared" si="49"/>
        <v/>
      </c>
      <c r="O305" s="159"/>
      <c r="P305" s="93" t="str">
        <f>IFERROR(VLOOKUP(F305,#REF!,12,FALSE),"")</f>
        <v/>
      </c>
      <c r="Q305" s="94" t="s">
        <v>8</v>
      </c>
      <c r="R305" s="46" t="str">
        <f>IFERROR(VLOOKUP(F305,#REF!,14,FALSE),"")</f>
        <v/>
      </c>
      <c r="S305" s="47" t="str">
        <f t="shared" si="50"/>
        <v/>
      </c>
      <c r="U305" s="1728"/>
      <c r="V305" s="206">
        <f t="shared" si="48"/>
        <v>0</v>
      </c>
      <c r="W305" s="1767"/>
      <c r="X305" s="206"/>
    </row>
    <row r="306" spans="2:24" ht="16" thickBot="1" x14ac:dyDescent="0.25">
      <c r="B306" s="1658" t="e">
        <f>AVERAGE(#REF!)</f>
        <v>#REF!</v>
      </c>
      <c r="C306" s="207">
        <v>43394</v>
      </c>
      <c r="D306" s="67" t="s">
        <v>219</v>
      </c>
      <c r="E306" s="208"/>
      <c r="F306" s="1422" t="s">
        <v>156</v>
      </c>
      <c r="G306" s="167">
        <v>4.1145833333333333E-2</v>
      </c>
      <c r="H306" s="307">
        <v>11.3</v>
      </c>
      <c r="I306" s="304">
        <f t="shared" si="47"/>
        <v>3.6412241887905602E-3</v>
      </c>
      <c r="J306" s="308">
        <v>138</v>
      </c>
      <c r="K306" s="1757"/>
      <c r="L306" s="1564">
        <v>228</v>
      </c>
      <c r="M306" s="1586"/>
      <c r="N306" s="172">
        <f t="shared" si="49"/>
        <v>1.0705851274600449</v>
      </c>
      <c r="O306" s="173" t="s">
        <v>176</v>
      </c>
      <c r="P306" s="174" t="str">
        <f>IFERROR(VLOOKUP(F306,#REF!,12,FALSE),"")</f>
        <v/>
      </c>
      <c r="Q306" s="175" t="s">
        <v>8</v>
      </c>
      <c r="R306" s="64" t="str">
        <f>IFERROR(VLOOKUP(F306,#REF!,14,FALSE),"")</f>
        <v/>
      </c>
      <c r="S306" s="65">
        <f t="shared" si="50"/>
        <v>1.6521739130434783</v>
      </c>
      <c r="U306" s="1728"/>
      <c r="V306" s="177">
        <f t="shared" si="48"/>
        <v>0</v>
      </c>
      <c r="W306" s="1768"/>
      <c r="X306" s="177"/>
    </row>
    <row r="307" spans="2:24" ht="16" thickBot="1" x14ac:dyDescent="0.25">
      <c r="B307" s="1652">
        <f>B300+1</f>
        <v>43</v>
      </c>
      <c r="C307" s="69">
        <v>43395</v>
      </c>
      <c r="D307" s="70"/>
      <c r="E307" s="71"/>
      <c r="F307" s="1394"/>
      <c r="G307" s="72"/>
      <c r="H307" s="178" t="str">
        <f>IFERROR(VLOOKUP(F307,#REF!,10,FALSE),"")</f>
        <v/>
      </c>
      <c r="I307" s="338" t="str">
        <f t="shared" si="47"/>
        <v/>
      </c>
      <c r="J307" s="76"/>
      <c r="K307" s="1757"/>
      <c r="L307" s="76"/>
      <c r="M307" s="1587"/>
      <c r="N307" s="77" t="str">
        <f t="shared" si="49"/>
        <v/>
      </c>
      <c r="O307" s="78"/>
      <c r="P307" s="224" t="str">
        <f>IFERROR(VLOOKUP(F307,#REF!,12,FALSE),"")</f>
        <v/>
      </c>
      <c r="Q307" s="80" t="s">
        <v>8</v>
      </c>
      <c r="R307" s="80" t="str">
        <f>IFERROR(VLOOKUP(F307,#REF!,14,FALSE),"")</f>
        <v/>
      </c>
      <c r="S307" s="33" t="str">
        <f t="shared" si="50"/>
        <v/>
      </c>
      <c r="U307" s="1728"/>
      <c r="V307" s="82">
        <f t="shared" si="48"/>
        <v>0</v>
      </c>
      <c r="W307" s="1766"/>
      <c r="X307" s="82"/>
    </row>
    <row r="308" spans="2:24" x14ac:dyDescent="0.2">
      <c r="B308" s="1653" t="s">
        <v>142</v>
      </c>
      <c r="C308" s="84">
        <v>43396</v>
      </c>
      <c r="D308" s="422" t="s">
        <v>220</v>
      </c>
      <c r="E308" s="423"/>
      <c r="F308" s="1448" t="s">
        <v>173</v>
      </c>
      <c r="G308" s="468">
        <v>4.0636574074074075E-2</v>
      </c>
      <c r="H308" s="469">
        <v>10.7</v>
      </c>
      <c r="I308" s="470">
        <f t="shared" si="47"/>
        <v>3.7978106611284185E-3</v>
      </c>
      <c r="J308" s="471">
        <v>131</v>
      </c>
      <c r="K308" s="1757"/>
      <c r="L308" s="1563">
        <v>218</v>
      </c>
      <c r="M308" s="1585"/>
      <c r="N308" s="346">
        <f t="shared" si="49"/>
        <v>1.0676496024550148</v>
      </c>
      <c r="O308" s="472" t="s">
        <v>176</v>
      </c>
      <c r="P308" s="473" t="str">
        <f>IFERROR(VLOOKUP(F308,#REF!,12,FALSE),"")</f>
        <v/>
      </c>
      <c r="Q308" s="389" t="s">
        <v>8</v>
      </c>
      <c r="R308" s="46" t="str">
        <f>IFERROR(VLOOKUP(F308,#REF!,14,FALSE),"")</f>
        <v/>
      </c>
      <c r="S308" s="47">
        <f t="shared" si="50"/>
        <v>1.6641221374045803</v>
      </c>
      <c r="U308" s="1728"/>
      <c r="V308" s="50">
        <f t="shared" si="48"/>
        <v>0</v>
      </c>
      <c r="W308" s="1767"/>
      <c r="X308" s="50"/>
    </row>
    <row r="309" spans="2:24" ht="16" thickBot="1" x14ac:dyDescent="0.25">
      <c r="B309" s="1654">
        <f>SUM(H307:H313)</f>
        <v>18.350000000000001</v>
      </c>
      <c r="C309" s="84">
        <v>43397</v>
      </c>
      <c r="D309" s="422"/>
      <c r="E309" s="423"/>
      <c r="F309" s="1449"/>
      <c r="G309" s="474"/>
      <c r="H309" s="475" t="str">
        <f>IFERROR(VLOOKUP(F309,#REF!,10,FALSE),"")</f>
        <v/>
      </c>
      <c r="I309" s="476" t="str">
        <f t="shared" si="47"/>
        <v/>
      </c>
      <c r="J309" s="477"/>
      <c r="K309" s="1757"/>
      <c r="L309" s="1563"/>
      <c r="M309" s="1585"/>
      <c r="N309" s="346" t="str">
        <f t="shared" si="49"/>
        <v/>
      </c>
      <c r="O309" s="478"/>
      <c r="P309" s="479" t="str">
        <f>IFERROR(VLOOKUP(F309,#REF!,12,FALSE),"")</f>
        <v/>
      </c>
      <c r="Q309" s="389" t="s">
        <v>8</v>
      </c>
      <c r="R309" s="46" t="str">
        <f>IFERROR(VLOOKUP(F309,#REF!,14,FALSE),"")</f>
        <v/>
      </c>
      <c r="S309" s="47" t="str">
        <f t="shared" si="50"/>
        <v/>
      </c>
      <c r="U309" s="1728"/>
      <c r="V309" s="50">
        <f t="shared" si="48"/>
        <v>0</v>
      </c>
      <c r="W309" s="1767"/>
      <c r="X309" s="50"/>
    </row>
    <row r="310" spans="2:24" x14ac:dyDescent="0.2">
      <c r="B310" s="1655" t="s">
        <v>144</v>
      </c>
      <c r="C310" s="84">
        <v>43398</v>
      </c>
      <c r="D310" s="422"/>
      <c r="E310" s="423"/>
      <c r="F310" s="1449"/>
      <c r="G310" s="474"/>
      <c r="H310" s="475" t="str">
        <f>IFERROR(VLOOKUP(F310,#REF!,10,FALSE),"")</f>
        <v/>
      </c>
      <c r="I310" s="476" t="str">
        <f t="shared" si="47"/>
        <v/>
      </c>
      <c r="J310" s="477"/>
      <c r="K310" s="1757"/>
      <c r="L310" s="1563"/>
      <c r="M310" s="1585"/>
      <c r="N310" s="346" t="str">
        <f t="shared" si="49"/>
        <v/>
      </c>
      <c r="O310" s="478"/>
      <c r="P310" s="479" t="str">
        <f>IFERROR(VLOOKUP(F310,#REF!,12,FALSE),"")</f>
        <v/>
      </c>
      <c r="Q310" s="389" t="s">
        <v>8</v>
      </c>
      <c r="R310" s="46" t="str">
        <f>IFERROR(VLOOKUP(F310,#REF!,14,FALSE),"")</f>
        <v/>
      </c>
      <c r="S310" s="47" t="str">
        <f t="shared" si="50"/>
        <v/>
      </c>
      <c r="U310" s="1728"/>
      <c r="V310" s="50">
        <f t="shared" si="48"/>
        <v>0</v>
      </c>
      <c r="W310" s="1767"/>
      <c r="X310" s="50"/>
    </row>
    <row r="311" spans="2:24" ht="16" thickBot="1" x14ac:dyDescent="0.25">
      <c r="B311" s="1656" t="e">
        <f>SUM(#REF!)</f>
        <v>#REF!</v>
      </c>
      <c r="C311" s="84">
        <v>43399</v>
      </c>
      <c r="D311" s="422"/>
      <c r="E311" s="423"/>
      <c r="F311" s="1450"/>
      <c r="G311" s="480"/>
      <c r="H311" s="481" t="str">
        <f>IFERROR(VLOOKUP(F311,#REF!,10,FALSE),"")</f>
        <v/>
      </c>
      <c r="I311" s="482" t="str">
        <f t="shared" si="47"/>
        <v/>
      </c>
      <c r="J311" s="483"/>
      <c r="K311" s="1757"/>
      <c r="L311" s="1563"/>
      <c r="M311" s="1585"/>
      <c r="N311" s="346" t="str">
        <f t="shared" si="49"/>
        <v/>
      </c>
      <c r="O311" s="484"/>
      <c r="P311" s="485" t="str">
        <f>IFERROR(VLOOKUP(F311,#REF!,12,FALSE),"")</f>
        <v/>
      </c>
      <c r="Q311" s="389" t="s">
        <v>8</v>
      </c>
      <c r="R311" s="46" t="str">
        <f>IFERROR(VLOOKUP(F311,#REF!,14,FALSE),"")</f>
        <v/>
      </c>
      <c r="S311" s="47" t="str">
        <f t="shared" si="50"/>
        <v/>
      </c>
      <c r="U311" s="1728"/>
      <c r="V311" s="50">
        <f t="shared" si="48"/>
        <v>0</v>
      </c>
      <c r="W311" s="1767"/>
      <c r="X311" s="50"/>
    </row>
    <row r="312" spans="2:24" x14ac:dyDescent="0.2">
      <c r="B312" s="1657" t="s">
        <v>256</v>
      </c>
      <c r="C312" s="84">
        <v>43400</v>
      </c>
      <c r="D312" s="422"/>
      <c r="E312" s="423"/>
      <c r="F312" s="1450"/>
      <c r="G312" s="480"/>
      <c r="H312" s="481" t="str">
        <f>IFERROR(VLOOKUP(F312,#REF!,10,FALSE),"")</f>
        <v/>
      </c>
      <c r="I312" s="482" t="str">
        <f t="shared" si="47"/>
        <v/>
      </c>
      <c r="J312" s="483"/>
      <c r="K312" s="1757"/>
      <c r="L312" s="1563"/>
      <c r="M312" s="1585"/>
      <c r="N312" s="346" t="str">
        <f t="shared" si="49"/>
        <v/>
      </c>
      <c r="O312" s="484"/>
      <c r="P312" s="485" t="str">
        <f>IFERROR(VLOOKUP(F312,#REF!,12,FALSE),"")</f>
        <v/>
      </c>
      <c r="Q312" s="389" t="s">
        <v>8</v>
      </c>
      <c r="R312" s="46" t="str">
        <f>IFERROR(VLOOKUP(F312,#REF!,14,FALSE),"")</f>
        <v/>
      </c>
      <c r="S312" s="47" t="str">
        <f t="shared" si="50"/>
        <v/>
      </c>
      <c r="U312" s="1728"/>
      <c r="V312" s="50">
        <f t="shared" si="48"/>
        <v>0</v>
      </c>
      <c r="W312" s="1767"/>
      <c r="X312" s="50"/>
    </row>
    <row r="313" spans="2:24" ht="16" thickBot="1" x14ac:dyDescent="0.25">
      <c r="B313" s="1658" t="e">
        <f>AVERAGE(#REF!)</f>
        <v>#REF!</v>
      </c>
      <c r="C313" s="141">
        <v>43401</v>
      </c>
      <c r="D313" s="181" t="s">
        <v>221</v>
      </c>
      <c r="E313" s="182"/>
      <c r="F313" s="1396" t="s">
        <v>173</v>
      </c>
      <c r="G313" s="98">
        <v>2.9849537037037036E-2</v>
      </c>
      <c r="H313" s="183">
        <v>7.65</v>
      </c>
      <c r="I313" s="370">
        <f t="shared" si="47"/>
        <v>3.9019002662793508E-3</v>
      </c>
      <c r="J313" s="102"/>
      <c r="K313" s="1757"/>
      <c r="L313" s="1565">
        <v>211</v>
      </c>
      <c r="M313" s="1588"/>
      <c r="N313" s="186">
        <f t="shared" si="49"/>
        <v>1.0616895912593891</v>
      </c>
      <c r="O313" s="104" t="s">
        <v>17</v>
      </c>
      <c r="P313" s="105" t="str">
        <f>IFERROR(VLOOKUP(F313,#REF!,12,FALSE),"")</f>
        <v/>
      </c>
      <c r="Q313" s="107" t="s">
        <v>8</v>
      </c>
      <c r="R313" s="107" t="str">
        <f>IFERROR(VLOOKUP(F313,#REF!,14,FALSE),"")</f>
        <v/>
      </c>
      <c r="S313" s="65" t="str">
        <f t="shared" si="50"/>
        <v/>
      </c>
      <c r="U313" s="1728"/>
      <c r="V313" s="209">
        <f t="shared" si="48"/>
        <v>0</v>
      </c>
      <c r="W313" s="1768"/>
      <c r="X313" s="209"/>
    </row>
    <row r="314" spans="2:24" ht="16" thickBot="1" x14ac:dyDescent="0.25">
      <c r="B314" s="1652">
        <f>B307+1</f>
        <v>44</v>
      </c>
      <c r="C314" s="189">
        <v>43402</v>
      </c>
      <c r="D314" s="143"/>
      <c r="E314" s="144"/>
      <c r="F314" s="1421"/>
      <c r="G314" s="145"/>
      <c r="H314" s="234" t="str">
        <f>IFERROR(VLOOKUP(F314,#REF!,10,FALSE),"")</f>
        <v/>
      </c>
      <c r="I314" s="235" t="str">
        <f t="shared" si="47"/>
        <v/>
      </c>
      <c r="J314" s="236"/>
      <c r="K314" s="1757"/>
      <c r="L314" s="1562"/>
      <c r="M314" s="1584"/>
      <c r="N314" s="150" t="str">
        <f t="shared" si="49"/>
        <v/>
      </c>
      <c r="O314" s="151"/>
      <c r="P314" s="214" t="str">
        <f>IFERROR(VLOOKUP(F314,#REF!,12,FALSE),"")</f>
        <v/>
      </c>
      <c r="Q314" s="153" t="s">
        <v>8</v>
      </c>
      <c r="R314" s="32" t="str">
        <f>IFERROR(VLOOKUP(F314,#REF!,14,FALSE),"")</f>
        <v/>
      </c>
      <c r="S314" s="33" t="str">
        <f t="shared" ref="S314:S339" si="52">IFERROR(L314/J314,"")</f>
        <v/>
      </c>
      <c r="U314" s="1728"/>
      <c r="V314" s="192">
        <f t="shared" si="48"/>
        <v>0</v>
      </c>
      <c r="W314" s="1766"/>
      <c r="X314" s="192"/>
    </row>
    <row r="315" spans="2:24" x14ac:dyDescent="0.2">
      <c r="B315" s="1653" t="s">
        <v>142</v>
      </c>
      <c r="C315" s="155">
        <v>43403</v>
      </c>
      <c r="D315" s="49" t="s">
        <v>222</v>
      </c>
      <c r="E315" s="156"/>
      <c r="F315" s="1404" t="s">
        <v>173</v>
      </c>
      <c r="G315" s="120">
        <v>4.4444444444444446E-2</v>
      </c>
      <c r="H315" s="121">
        <v>11.34</v>
      </c>
      <c r="I315" s="122">
        <f t="shared" si="47"/>
        <v>3.9192631785224382E-3</v>
      </c>
      <c r="J315" s="123">
        <v>134</v>
      </c>
      <c r="K315" s="1757"/>
      <c r="L315" s="1563">
        <v>211</v>
      </c>
      <c r="M315" s="1585"/>
      <c r="N315" s="158">
        <f t="shared" si="49"/>
        <v>1.06641396193635</v>
      </c>
      <c r="O315" s="159" t="s">
        <v>176</v>
      </c>
      <c r="P315" s="93" t="str">
        <f>IFERROR(VLOOKUP(F315,#REF!,12,FALSE),"")</f>
        <v/>
      </c>
      <c r="Q315" s="94" t="s">
        <v>8</v>
      </c>
      <c r="R315" s="46" t="str">
        <f>IFERROR(VLOOKUP(F315,#REF!,14,FALSE),"")</f>
        <v/>
      </c>
      <c r="S315" s="47">
        <f t="shared" si="52"/>
        <v>1.5746268656716418</v>
      </c>
      <c r="U315" s="1728"/>
      <c r="V315" s="50">
        <f t="shared" si="48"/>
        <v>0</v>
      </c>
      <c r="W315" s="1767"/>
      <c r="X315" s="50"/>
    </row>
    <row r="316" spans="2:24" ht="16" thickBot="1" x14ac:dyDescent="0.25">
      <c r="B316" s="1654">
        <f>SUM(H314:H320)</f>
        <v>29.749999999999996</v>
      </c>
      <c r="C316" s="155">
        <v>43404</v>
      </c>
      <c r="D316" s="49"/>
      <c r="E316" s="156"/>
      <c r="F316" s="1404"/>
      <c r="G316" s="120"/>
      <c r="H316" s="121" t="str">
        <f>IFERROR(VLOOKUP(F316,#REF!,10,FALSE),"")</f>
        <v/>
      </c>
      <c r="I316" s="122" t="str">
        <f t="shared" si="47"/>
        <v/>
      </c>
      <c r="J316" s="123"/>
      <c r="K316" s="1757"/>
      <c r="L316" s="1563"/>
      <c r="M316" s="1585"/>
      <c r="N316" s="158" t="str">
        <f t="shared" si="49"/>
        <v/>
      </c>
      <c r="O316" s="159"/>
      <c r="P316" s="93" t="str">
        <f>IFERROR(VLOOKUP(F316,#REF!,12,FALSE),"")</f>
        <v/>
      </c>
      <c r="Q316" s="94" t="s">
        <v>8</v>
      </c>
      <c r="R316" s="46" t="str">
        <f>IFERROR(VLOOKUP(F316,#REF!,14,FALSE),"")</f>
        <v/>
      </c>
      <c r="S316" s="47" t="str">
        <f t="shared" si="52"/>
        <v/>
      </c>
      <c r="U316" s="1728"/>
      <c r="V316" s="50">
        <f t="shared" si="48"/>
        <v>0</v>
      </c>
      <c r="W316" s="1767"/>
      <c r="X316" s="50"/>
    </row>
    <row r="317" spans="2:24" x14ac:dyDescent="0.2">
      <c r="B317" s="1655" t="s">
        <v>144</v>
      </c>
      <c r="C317" s="161">
        <v>43405</v>
      </c>
      <c r="D317" s="49" t="s">
        <v>223</v>
      </c>
      <c r="E317" s="156"/>
      <c r="F317" s="1404" t="s">
        <v>173</v>
      </c>
      <c r="G317" s="120">
        <v>4.1724537037037039E-2</v>
      </c>
      <c r="H317" s="121">
        <v>10.6</v>
      </c>
      <c r="I317" s="122">
        <f t="shared" si="47"/>
        <v>3.9362770789657586E-3</v>
      </c>
      <c r="J317" s="123">
        <v>134</v>
      </c>
      <c r="K317" s="1757"/>
      <c r="L317" s="1563">
        <v>212</v>
      </c>
      <c r="M317" s="1585"/>
      <c r="N317" s="158">
        <f t="shared" si="49"/>
        <v>1.0761194029850745</v>
      </c>
      <c r="O317" s="159" t="s">
        <v>176</v>
      </c>
      <c r="P317" s="93" t="str">
        <f>IFERROR(VLOOKUP(F317,#REF!,12,FALSE),"")</f>
        <v/>
      </c>
      <c r="Q317" s="94" t="s">
        <v>8</v>
      </c>
      <c r="R317" s="46" t="str">
        <f>IFERROR(VLOOKUP(F317,#REF!,14,FALSE),"")</f>
        <v/>
      </c>
      <c r="S317" s="47">
        <f t="shared" si="52"/>
        <v>1.5820895522388059</v>
      </c>
      <c r="U317" s="1728"/>
      <c r="V317" s="50">
        <f t="shared" si="48"/>
        <v>0</v>
      </c>
      <c r="W317" s="1767"/>
      <c r="X317" s="50"/>
    </row>
    <row r="318" spans="2:24" ht="16" thickBot="1" x14ac:dyDescent="0.25">
      <c r="B318" s="1656" t="e">
        <f>SUM(#REF!)</f>
        <v>#REF!</v>
      </c>
      <c r="C318" s="161">
        <v>43406</v>
      </c>
      <c r="D318" s="49"/>
      <c r="E318" s="156"/>
      <c r="F318" s="1404"/>
      <c r="G318" s="120"/>
      <c r="H318" s="121" t="str">
        <f>IFERROR(VLOOKUP(F318,#REF!,10,FALSE),"")</f>
        <v/>
      </c>
      <c r="I318" s="122" t="str">
        <f t="shared" si="47"/>
        <v/>
      </c>
      <c r="J318" s="123"/>
      <c r="K318" s="1757"/>
      <c r="L318" s="1563"/>
      <c r="M318" s="1585"/>
      <c r="N318" s="158" t="str">
        <f t="shared" si="49"/>
        <v/>
      </c>
      <c r="O318" s="159"/>
      <c r="P318" s="93" t="str">
        <f>IFERROR(VLOOKUP(F318,#REF!,12,FALSE),"")</f>
        <v/>
      </c>
      <c r="Q318" s="94" t="s">
        <v>8</v>
      </c>
      <c r="R318" s="46" t="str">
        <f>IFERROR(VLOOKUP(F318,#REF!,14,FALSE),"")</f>
        <v/>
      </c>
      <c r="S318" s="47" t="str">
        <f t="shared" si="52"/>
        <v/>
      </c>
      <c r="U318" s="1728"/>
      <c r="V318" s="50">
        <f t="shared" si="48"/>
        <v>0</v>
      </c>
      <c r="W318" s="1767"/>
      <c r="X318" s="50"/>
    </row>
    <row r="319" spans="2:24" x14ac:dyDescent="0.2">
      <c r="B319" s="1657" t="s">
        <v>256</v>
      </c>
      <c r="C319" s="161">
        <v>43407</v>
      </c>
      <c r="D319" s="49" t="s">
        <v>224</v>
      </c>
      <c r="E319" s="156"/>
      <c r="F319" s="1404" t="s">
        <v>155</v>
      </c>
      <c r="G319" s="120">
        <v>3.8634259259259257E-2</v>
      </c>
      <c r="H319" s="121">
        <v>7.81</v>
      </c>
      <c r="I319" s="122">
        <f t="shared" si="47"/>
        <v>4.9467681509935031E-3</v>
      </c>
      <c r="J319" s="123">
        <v>141</v>
      </c>
      <c r="K319" s="1757"/>
      <c r="L319" s="1563">
        <v>194</v>
      </c>
      <c r="M319" s="1585"/>
      <c r="N319" s="158"/>
      <c r="O319" s="159" t="s">
        <v>176</v>
      </c>
      <c r="P319" s="93" t="str">
        <f>IFERROR(VLOOKUP(F319,#REF!,12,FALSE),"")</f>
        <v/>
      </c>
      <c r="Q319" s="94" t="s">
        <v>8</v>
      </c>
      <c r="R319" s="46" t="str">
        <f>IFERROR(VLOOKUP(F319,#REF!,14,FALSE),"")</f>
        <v/>
      </c>
      <c r="S319" s="47">
        <f t="shared" si="52"/>
        <v>1.375886524822695</v>
      </c>
      <c r="U319" s="1728"/>
      <c r="V319" s="50">
        <f t="shared" si="48"/>
        <v>0</v>
      </c>
      <c r="W319" s="1767"/>
      <c r="X319" s="50"/>
    </row>
    <row r="320" spans="2:24" ht="16" thickBot="1" x14ac:dyDescent="0.25">
      <c r="B320" s="1658" t="e">
        <f>AVERAGE(#REF!)</f>
        <v>#REF!</v>
      </c>
      <c r="C320" s="207">
        <v>43408</v>
      </c>
      <c r="D320" s="67"/>
      <c r="E320" s="208"/>
      <c r="F320" s="1422"/>
      <c r="G320" s="167"/>
      <c r="H320" s="307" t="str">
        <f>IFERROR(VLOOKUP(F320,#REF!,10,FALSE),"")</f>
        <v/>
      </c>
      <c r="I320" s="304" t="str">
        <f t="shared" si="47"/>
        <v/>
      </c>
      <c r="J320" s="308"/>
      <c r="K320" s="1757"/>
      <c r="L320" s="1564"/>
      <c r="M320" s="1586"/>
      <c r="N320" s="172" t="str">
        <f>IFERROR((L320/67)/(1/(I320*24)/3.6),"")</f>
        <v/>
      </c>
      <c r="O320" s="173"/>
      <c r="P320" s="174" t="str">
        <f>IFERROR(VLOOKUP(F320,#REF!,12,FALSE),"")</f>
        <v/>
      </c>
      <c r="Q320" s="175" t="s">
        <v>8</v>
      </c>
      <c r="R320" s="64" t="str">
        <f>IFERROR(VLOOKUP(F320,#REF!,14,FALSE),"")</f>
        <v/>
      </c>
      <c r="S320" s="65" t="str">
        <f t="shared" si="52"/>
        <v/>
      </c>
      <c r="U320" s="1728"/>
      <c r="V320" s="177">
        <f t="shared" si="48"/>
        <v>0</v>
      </c>
      <c r="W320" s="1768"/>
      <c r="X320" s="177"/>
    </row>
    <row r="321" spans="2:24" ht="16" thickBot="1" x14ac:dyDescent="0.25">
      <c r="B321" s="1652">
        <f>B314+1</f>
        <v>45</v>
      </c>
      <c r="C321" s="69">
        <v>43409</v>
      </c>
      <c r="D321" s="70"/>
      <c r="E321" s="71"/>
      <c r="F321" s="1394"/>
      <c r="G321" s="72"/>
      <c r="H321" s="178" t="str">
        <f>IFERROR(VLOOKUP(F321,#REF!,10,FALSE),"")</f>
        <v/>
      </c>
      <c r="I321" s="338" t="str">
        <f t="shared" si="47"/>
        <v/>
      </c>
      <c r="J321" s="76"/>
      <c r="K321" s="1757"/>
      <c r="L321" s="76"/>
      <c r="M321" s="1587"/>
      <c r="N321" s="77" t="str">
        <f>IFERROR((L321/67)/(1/(I321*24)/3.6),"")</f>
        <v/>
      </c>
      <c r="O321" s="78"/>
      <c r="P321" s="224" t="str">
        <f>IFERROR(VLOOKUP(F321,#REF!,12,FALSE),"")</f>
        <v/>
      </c>
      <c r="Q321" s="80" t="s">
        <v>8</v>
      </c>
      <c r="R321" s="80" t="str">
        <f>IFERROR(VLOOKUP(F321,#REF!,14,FALSE),"")</f>
        <v/>
      </c>
      <c r="S321" s="33" t="str">
        <f t="shared" si="52"/>
        <v/>
      </c>
      <c r="U321" s="1728"/>
      <c r="V321" s="82">
        <f t="shared" si="48"/>
        <v>0</v>
      </c>
      <c r="W321" s="1766"/>
      <c r="X321" s="82"/>
    </row>
    <row r="322" spans="2:24" x14ac:dyDescent="0.2">
      <c r="B322" s="1653" t="s">
        <v>142</v>
      </c>
      <c r="C322" s="84">
        <v>43410</v>
      </c>
      <c r="D322" s="422" t="s">
        <v>225</v>
      </c>
      <c r="E322" s="423"/>
      <c r="F322" s="1451" t="s">
        <v>143</v>
      </c>
      <c r="G322" s="486">
        <v>4.071759259259259E-2</v>
      </c>
      <c r="H322" s="487">
        <v>10.6</v>
      </c>
      <c r="I322" s="488">
        <f t="shared" si="47"/>
        <v>3.8412823200559046E-3</v>
      </c>
      <c r="J322" s="489">
        <v>139</v>
      </c>
      <c r="K322" s="1757"/>
      <c r="L322" s="1563">
        <v>209</v>
      </c>
      <c r="M322" s="1585"/>
      <c r="N322" s="346">
        <f>IFERROR((L322/67)/(1/(I322*24)/3.6),"")</f>
        <v>1.0352886510842016</v>
      </c>
      <c r="O322" s="490" t="s">
        <v>175</v>
      </c>
      <c r="P322" s="491" t="str">
        <f>IFERROR(VLOOKUP(F322,#REF!,12,FALSE),"")</f>
        <v/>
      </c>
      <c r="Q322" s="389" t="s">
        <v>8</v>
      </c>
      <c r="R322" s="46" t="str">
        <f>IFERROR(VLOOKUP(F322,#REF!,14,FALSE),"")</f>
        <v/>
      </c>
      <c r="S322" s="47">
        <f t="shared" si="52"/>
        <v>1.5035971223021583</v>
      </c>
      <c r="U322" s="1728"/>
      <c r="V322" s="50">
        <f t="shared" si="48"/>
        <v>0</v>
      </c>
      <c r="W322" s="1767"/>
      <c r="X322" s="50"/>
    </row>
    <row r="323" spans="2:24" ht="16" thickBot="1" x14ac:dyDescent="0.25">
      <c r="B323" s="1654">
        <f>SUM(H321:H327)</f>
        <v>34.5</v>
      </c>
      <c r="C323" s="84">
        <v>43411</v>
      </c>
      <c r="D323" s="422"/>
      <c r="E323" s="423"/>
      <c r="F323" s="1452"/>
      <c r="G323" s="492"/>
      <c r="H323" s="493"/>
      <c r="I323" s="494"/>
      <c r="J323" s="495"/>
      <c r="K323" s="1757"/>
      <c r="L323" s="1563"/>
      <c r="M323" s="1585"/>
      <c r="N323" s="346"/>
      <c r="O323" s="496"/>
      <c r="P323" s="497" t="str">
        <f>IFERROR(VLOOKUP(F323,#REF!,12,FALSE),"")</f>
        <v/>
      </c>
      <c r="Q323" s="389" t="s">
        <v>8</v>
      </c>
      <c r="R323" s="46" t="str">
        <f>IFERROR(VLOOKUP(F323,#REF!,14,FALSE),"")</f>
        <v/>
      </c>
      <c r="S323" s="47" t="str">
        <f t="shared" si="52"/>
        <v/>
      </c>
      <c r="U323" s="1728"/>
      <c r="V323" s="50">
        <f t="shared" si="48"/>
        <v>0</v>
      </c>
      <c r="W323" s="1767"/>
      <c r="X323" s="50"/>
    </row>
    <row r="324" spans="2:24" x14ac:dyDescent="0.2">
      <c r="B324" s="1655" t="s">
        <v>144</v>
      </c>
      <c r="C324" s="84">
        <v>43412</v>
      </c>
      <c r="D324" s="422"/>
      <c r="E324" s="423"/>
      <c r="F324" s="1452"/>
      <c r="G324" s="492"/>
      <c r="H324" s="493"/>
      <c r="I324" s="494"/>
      <c r="J324" s="495"/>
      <c r="K324" s="1757"/>
      <c r="L324" s="1563"/>
      <c r="M324" s="1585"/>
      <c r="N324" s="346"/>
      <c r="O324" s="496"/>
      <c r="P324" s="497" t="str">
        <f>IFERROR(VLOOKUP(F324,#REF!,12,FALSE),"")</f>
        <v/>
      </c>
      <c r="Q324" s="389" t="s">
        <v>8</v>
      </c>
      <c r="R324" s="46" t="str">
        <f>IFERROR(VLOOKUP(F324,#REF!,14,FALSE),"")</f>
        <v/>
      </c>
      <c r="S324" s="47" t="str">
        <f t="shared" si="52"/>
        <v/>
      </c>
      <c r="U324" s="1728"/>
      <c r="V324" s="50">
        <f t="shared" si="48"/>
        <v>0</v>
      </c>
      <c r="W324" s="1767"/>
      <c r="X324" s="50"/>
    </row>
    <row r="325" spans="2:24" ht="16" thickBot="1" x14ac:dyDescent="0.25">
      <c r="B325" s="1656" t="e">
        <f>SUM(#REF!)</f>
        <v>#REF!</v>
      </c>
      <c r="C325" s="84">
        <v>43413</v>
      </c>
      <c r="D325" s="422" t="s">
        <v>226</v>
      </c>
      <c r="E325" s="423"/>
      <c r="F325" s="1453" t="s">
        <v>155</v>
      </c>
      <c r="G325" s="498">
        <v>3.7465277777777778E-2</v>
      </c>
      <c r="H325" s="499">
        <v>10.4</v>
      </c>
      <c r="I325" s="500">
        <f t="shared" si="47"/>
        <v>3.6024305555555553E-3</v>
      </c>
      <c r="J325" s="501">
        <v>143</v>
      </c>
      <c r="K325" s="1757"/>
      <c r="L325" s="1563">
        <v>230</v>
      </c>
      <c r="M325" s="1585"/>
      <c r="N325" s="346">
        <f t="shared" ref="N325:N339" si="53">IFERROR((L325/67)/(1/(I325*24)/3.6),"")</f>
        <v>1.0684701492537314</v>
      </c>
      <c r="O325" s="502" t="s">
        <v>176</v>
      </c>
      <c r="P325" s="503" t="str">
        <f>IFERROR(VLOOKUP(F325,#REF!,12,FALSE),"")</f>
        <v/>
      </c>
      <c r="Q325" s="389" t="s">
        <v>8</v>
      </c>
      <c r="R325" s="46" t="str">
        <f>IFERROR(VLOOKUP(F325,#REF!,14,FALSE),"")</f>
        <v/>
      </c>
      <c r="S325" s="47">
        <f t="shared" si="52"/>
        <v>1.6083916083916083</v>
      </c>
      <c r="U325" s="1728"/>
      <c r="V325" s="50">
        <f t="shared" si="48"/>
        <v>0</v>
      </c>
      <c r="W325" s="1767"/>
      <c r="X325" s="50"/>
    </row>
    <row r="326" spans="2:24" x14ac:dyDescent="0.2">
      <c r="B326" s="1657" t="s">
        <v>256</v>
      </c>
      <c r="C326" s="84">
        <v>43414</v>
      </c>
      <c r="D326" s="422"/>
      <c r="E326" s="423"/>
      <c r="F326" s="1453"/>
      <c r="G326" s="498"/>
      <c r="H326" s="499" t="str">
        <f>IFERROR(VLOOKUP(F326,#REF!,10,FALSE),"")</f>
        <v/>
      </c>
      <c r="I326" s="500" t="str">
        <f t="shared" ref="I326:I377" si="54">IFERROR(G326/H326,"")</f>
        <v/>
      </c>
      <c r="J326" s="501"/>
      <c r="K326" s="1757"/>
      <c r="L326" s="1563"/>
      <c r="M326" s="1585"/>
      <c r="N326" s="346" t="str">
        <f t="shared" si="53"/>
        <v/>
      </c>
      <c r="O326" s="502"/>
      <c r="P326" s="503" t="str">
        <f>IFERROR(VLOOKUP(F326,#REF!,12,FALSE),"")</f>
        <v/>
      </c>
      <c r="Q326" s="389" t="s">
        <v>8</v>
      </c>
      <c r="R326" s="46" t="str">
        <f>IFERROR(VLOOKUP(F326,#REF!,14,FALSE),"")</f>
        <v/>
      </c>
      <c r="S326" s="47" t="str">
        <f t="shared" si="52"/>
        <v/>
      </c>
      <c r="U326" s="1728"/>
      <c r="V326" s="50">
        <f t="shared" si="48"/>
        <v>0</v>
      </c>
      <c r="W326" s="1767"/>
      <c r="X326" s="50"/>
    </row>
    <row r="327" spans="2:24" ht="16" thickBot="1" x14ac:dyDescent="0.25">
      <c r="B327" s="1658" t="e">
        <f>AVERAGE(#REF!)</f>
        <v>#REF!</v>
      </c>
      <c r="C327" s="141">
        <v>43415</v>
      </c>
      <c r="D327" s="181" t="s">
        <v>227</v>
      </c>
      <c r="E327" s="182"/>
      <c r="F327" s="1396" t="s">
        <v>150</v>
      </c>
      <c r="G327" s="98">
        <v>5.0289351851851849E-2</v>
      </c>
      <c r="H327" s="183">
        <v>13.5</v>
      </c>
      <c r="I327" s="370">
        <f t="shared" si="54"/>
        <v>3.7251371742112482E-3</v>
      </c>
      <c r="J327" s="102">
        <v>139</v>
      </c>
      <c r="K327" s="1757"/>
      <c r="L327" s="1565">
        <v>221</v>
      </c>
      <c r="M327" s="1588"/>
      <c r="N327" s="186">
        <f t="shared" si="53"/>
        <v>1.0616307352128247</v>
      </c>
      <c r="O327" s="104" t="s">
        <v>17</v>
      </c>
      <c r="P327" s="105" t="str">
        <f>IFERROR(VLOOKUP(F327,#REF!,12,FALSE),"")</f>
        <v/>
      </c>
      <c r="Q327" s="107" t="s">
        <v>8</v>
      </c>
      <c r="R327" s="107" t="str">
        <f>IFERROR(VLOOKUP(F327,#REF!,14,FALSE),"")</f>
        <v/>
      </c>
      <c r="S327" s="65">
        <f t="shared" si="52"/>
        <v>1.5899280575539569</v>
      </c>
      <c r="U327" s="1728"/>
      <c r="V327" s="209">
        <f t="shared" si="48"/>
        <v>0</v>
      </c>
      <c r="W327" s="1768"/>
      <c r="X327" s="209"/>
    </row>
    <row r="328" spans="2:24" ht="16" thickBot="1" x14ac:dyDescent="0.25">
      <c r="B328" s="1652">
        <f>B321+1</f>
        <v>46</v>
      </c>
      <c r="C328" s="189">
        <v>43416</v>
      </c>
      <c r="D328" s="143"/>
      <c r="E328" s="144"/>
      <c r="F328" s="1421"/>
      <c r="G328" s="145"/>
      <c r="H328" s="234" t="str">
        <f>IFERROR(VLOOKUP(F328,#REF!,10,FALSE),"")</f>
        <v/>
      </c>
      <c r="I328" s="235" t="str">
        <f t="shared" si="54"/>
        <v/>
      </c>
      <c r="J328" s="236"/>
      <c r="K328" s="1757"/>
      <c r="L328" s="1562"/>
      <c r="M328" s="1584"/>
      <c r="N328" s="150" t="str">
        <f t="shared" si="53"/>
        <v/>
      </c>
      <c r="O328" s="151"/>
      <c r="P328" s="214" t="str">
        <f>IFERROR(VLOOKUP(F328,#REF!,12,FALSE),"")</f>
        <v/>
      </c>
      <c r="Q328" s="153" t="s">
        <v>8</v>
      </c>
      <c r="R328" s="32" t="str">
        <f>IFERROR(VLOOKUP(F328,#REF!,14,FALSE),"")</f>
        <v/>
      </c>
      <c r="S328" s="33" t="str">
        <f t="shared" si="52"/>
        <v/>
      </c>
      <c r="U328" s="1728"/>
      <c r="V328" s="192">
        <f t="shared" si="48"/>
        <v>0</v>
      </c>
      <c r="W328" s="1766"/>
      <c r="X328" s="192"/>
    </row>
    <row r="329" spans="2:24" x14ac:dyDescent="0.2">
      <c r="B329" s="1653" t="s">
        <v>142</v>
      </c>
      <c r="C329" s="155">
        <v>43417</v>
      </c>
      <c r="D329" s="49" t="s">
        <v>228</v>
      </c>
      <c r="E329" s="156"/>
      <c r="F329" s="1404" t="s">
        <v>262</v>
      </c>
      <c r="G329" s="120">
        <v>3.4699074074074077E-2</v>
      </c>
      <c r="H329" s="121">
        <v>8.98</v>
      </c>
      <c r="I329" s="122">
        <f t="shared" si="54"/>
        <v>3.8640394291841952E-3</v>
      </c>
      <c r="J329" s="123">
        <v>138</v>
      </c>
      <c r="K329" s="1757"/>
      <c r="L329" s="1563">
        <v>215</v>
      </c>
      <c r="M329" s="1585"/>
      <c r="N329" s="158">
        <f t="shared" si="53"/>
        <v>1.0713193497988898</v>
      </c>
      <c r="O329" s="159" t="s">
        <v>175</v>
      </c>
      <c r="P329" s="93" t="str">
        <f>IFERROR(VLOOKUP(F329,#REF!,12,FALSE),"")</f>
        <v/>
      </c>
      <c r="Q329" s="94" t="s">
        <v>8</v>
      </c>
      <c r="R329" s="46" t="str">
        <f>IFERROR(VLOOKUP(F329,#REF!,14,FALSE),"")</f>
        <v/>
      </c>
      <c r="S329" s="47">
        <f t="shared" si="52"/>
        <v>1.5579710144927537</v>
      </c>
      <c r="U329" s="1728"/>
      <c r="V329" s="50">
        <f t="shared" si="48"/>
        <v>0</v>
      </c>
      <c r="W329" s="1767"/>
      <c r="X329" s="50"/>
    </row>
    <row r="330" spans="2:24" ht="16" thickBot="1" x14ac:dyDescent="0.25">
      <c r="B330" s="1654">
        <f>SUM(H328:H334)</f>
        <v>45.589999999999996</v>
      </c>
      <c r="C330" s="155">
        <v>43418</v>
      </c>
      <c r="D330" s="49" t="s">
        <v>229</v>
      </c>
      <c r="E330" s="156"/>
      <c r="F330" s="1404" t="s">
        <v>173</v>
      </c>
      <c r="G330" s="120">
        <v>3.7326388888888888E-2</v>
      </c>
      <c r="H330" s="121">
        <v>9.74</v>
      </c>
      <c r="I330" s="122">
        <f t="shared" si="54"/>
        <v>3.8322781200091261E-3</v>
      </c>
      <c r="J330" s="123">
        <v>139</v>
      </c>
      <c r="K330" s="1757"/>
      <c r="L330" s="1563">
        <v>216</v>
      </c>
      <c r="M330" s="1585"/>
      <c r="N330" s="158">
        <f t="shared" si="53"/>
        <v>1.0674553311471391</v>
      </c>
      <c r="O330" s="159" t="s">
        <v>176</v>
      </c>
      <c r="P330" s="93" t="str">
        <f>IFERROR(VLOOKUP(F330,#REF!,12,FALSE),"")</f>
        <v/>
      </c>
      <c r="Q330" s="94" t="s">
        <v>8</v>
      </c>
      <c r="R330" s="46" t="str">
        <f>IFERROR(VLOOKUP(F330,#REF!,14,FALSE),"")</f>
        <v/>
      </c>
      <c r="S330" s="47">
        <f t="shared" si="52"/>
        <v>1.5539568345323742</v>
      </c>
      <c r="U330" s="1728"/>
      <c r="V330" s="50">
        <f t="shared" si="48"/>
        <v>0</v>
      </c>
      <c r="W330" s="1767"/>
      <c r="X330" s="50"/>
    </row>
    <row r="331" spans="2:24" x14ac:dyDescent="0.2">
      <c r="B331" s="1655" t="s">
        <v>144</v>
      </c>
      <c r="C331" s="161">
        <v>43419</v>
      </c>
      <c r="D331" s="162"/>
      <c r="E331" s="163"/>
      <c r="F331" s="1404"/>
      <c r="G331" s="120"/>
      <c r="H331" s="121" t="str">
        <f>IFERROR(VLOOKUP(F331,#REF!,10,FALSE),"")</f>
        <v/>
      </c>
      <c r="I331" s="122" t="str">
        <f t="shared" si="54"/>
        <v/>
      </c>
      <c r="J331" s="123"/>
      <c r="K331" s="1757"/>
      <c r="L331" s="1563"/>
      <c r="M331" s="1585"/>
      <c r="N331" s="158" t="str">
        <f t="shared" si="53"/>
        <v/>
      </c>
      <c r="O331" s="159"/>
      <c r="P331" s="93" t="str">
        <f>IFERROR(VLOOKUP(F331,#REF!,12,FALSE),"")</f>
        <v/>
      </c>
      <c r="Q331" s="94" t="s">
        <v>8</v>
      </c>
      <c r="R331" s="46" t="str">
        <f>IFERROR(VLOOKUP(F331,#REF!,14,FALSE),"")</f>
        <v/>
      </c>
      <c r="S331" s="47" t="str">
        <f t="shared" si="52"/>
        <v/>
      </c>
      <c r="U331" s="1728"/>
      <c r="V331" s="50">
        <f t="shared" si="48"/>
        <v>0</v>
      </c>
      <c r="W331" s="1767"/>
      <c r="X331" s="50"/>
    </row>
    <row r="332" spans="2:24" ht="16" thickBot="1" x14ac:dyDescent="0.25">
      <c r="B332" s="1656" t="e">
        <f>SUM(#REF!)</f>
        <v>#REF!</v>
      </c>
      <c r="C332" s="161">
        <v>43420</v>
      </c>
      <c r="D332" s="162" t="s">
        <v>230</v>
      </c>
      <c r="E332" s="163"/>
      <c r="F332" s="1404" t="s">
        <v>173</v>
      </c>
      <c r="G332" s="120">
        <v>3.9675925925925927E-2</v>
      </c>
      <c r="H332" s="121">
        <v>9.9700000000000006</v>
      </c>
      <c r="I332" s="122">
        <f t="shared" si="54"/>
        <v>3.9795311861510457E-3</v>
      </c>
      <c r="J332" s="123">
        <v>134</v>
      </c>
      <c r="K332" s="1757"/>
      <c r="L332" s="1563">
        <v>209</v>
      </c>
      <c r="M332" s="1585"/>
      <c r="N332" s="158">
        <f t="shared" si="53"/>
        <v>1.072548990254345</v>
      </c>
      <c r="O332" s="159" t="s">
        <v>176</v>
      </c>
      <c r="P332" s="93" t="str">
        <f>IFERROR(VLOOKUP(F332,#REF!,12,FALSE),"")</f>
        <v/>
      </c>
      <c r="Q332" s="94" t="s">
        <v>8</v>
      </c>
      <c r="R332" s="46" t="str">
        <f>IFERROR(VLOOKUP(F332,#REF!,14,FALSE),"")</f>
        <v/>
      </c>
      <c r="S332" s="47">
        <f t="shared" si="52"/>
        <v>1.5597014925373134</v>
      </c>
      <c r="U332" s="1728"/>
      <c r="V332" s="50">
        <f t="shared" si="48"/>
        <v>0</v>
      </c>
      <c r="W332" s="1767"/>
      <c r="X332" s="50"/>
    </row>
    <row r="333" spans="2:24" x14ac:dyDescent="0.2">
      <c r="B333" s="1657" t="s">
        <v>256</v>
      </c>
      <c r="C333" s="161">
        <v>43421</v>
      </c>
      <c r="D333" s="162"/>
      <c r="E333" s="163"/>
      <c r="F333" s="1404"/>
      <c r="G333" s="120"/>
      <c r="H333" s="121" t="str">
        <f>IFERROR(VLOOKUP(F333,#REF!,10,FALSE),"")</f>
        <v/>
      </c>
      <c r="I333" s="122" t="str">
        <f t="shared" si="54"/>
        <v/>
      </c>
      <c r="J333" s="123"/>
      <c r="K333" s="1757"/>
      <c r="L333" s="1563"/>
      <c r="M333" s="1585"/>
      <c r="N333" s="158" t="str">
        <f t="shared" si="53"/>
        <v/>
      </c>
      <c r="O333" s="159"/>
      <c r="P333" s="93" t="str">
        <f>IFERROR(VLOOKUP(F333,#REF!,12,FALSE),"")</f>
        <v/>
      </c>
      <c r="Q333" s="94" t="s">
        <v>8</v>
      </c>
      <c r="R333" s="46" t="str">
        <f>IFERROR(VLOOKUP(F333,#REF!,14,FALSE),"")</f>
        <v/>
      </c>
      <c r="S333" s="47" t="str">
        <f t="shared" si="52"/>
        <v/>
      </c>
      <c r="U333" s="1728"/>
      <c r="V333" s="50">
        <f t="shared" si="48"/>
        <v>0</v>
      </c>
      <c r="W333" s="1767"/>
      <c r="X333" s="50"/>
    </row>
    <row r="334" spans="2:24" ht="16" thickBot="1" x14ac:dyDescent="0.25">
      <c r="B334" s="1658" t="e">
        <f>AVERAGE(#REF!)</f>
        <v>#REF!</v>
      </c>
      <c r="C334" s="164">
        <v>43422</v>
      </c>
      <c r="D334" s="165" t="s">
        <v>231</v>
      </c>
      <c r="E334" s="166"/>
      <c r="F334" s="1422" t="s">
        <v>151</v>
      </c>
      <c r="G334" s="167">
        <v>6.277777777777778E-2</v>
      </c>
      <c r="H334" s="307">
        <v>16.899999999999999</v>
      </c>
      <c r="I334" s="304">
        <f t="shared" si="54"/>
        <v>3.7146614069690997E-3</v>
      </c>
      <c r="J334" s="308">
        <v>142</v>
      </c>
      <c r="K334" s="1757"/>
      <c r="L334" s="1564">
        <v>223</v>
      </c>
      <c r="M334" s="1586"/>
      <c r="N334" s="172">
        <f t="shared" si="53"/>
        <v>1.0682257352291795</v>
      </c>
      <c r="O334" s="173" t="s">
        <v>17</v>
      </c>
      <c r="P334" s="174" t="str">
        <f>IFERROR(VLOOKUP(F334,#REF!,12,FALSE),"")</f>
        <v/>
      </c>
      <c r="Q334" s="175" t="s">
        <v>8</v>
      </c>
      <c r="R334" s="64" t="str">
        <f>IFERROR(VLOOKUP(F334,#REF!,14,FALSE),"")</f>
        <v/>
      </c>
      <c r="S334" s="65">
        <f t="shared" si="52"/>
        <v>1.5704225352112675</v>
      </c>
      <c r="U334" s="1728"/>
      <c r="V334" s="68">
        <f t="shared" ref="V334:V376" si="55">U333-T333</f>
        <v>0</v>
      </c>
      <c r="W334" s="1768"/>
      <c r="X334" s="68"/>
    </row>
    <row r="335" spans="2:24" ht="16" thickBot="1" x14ac:dyDescent="0.25">
      <c r="B335" s="1652">
        <f>B328+1</f>
        <v>47</v>
      </c>
      <c r="C335" s="69">
        <v>43423</v>
      </c>
      <c r="D335" s="70"/>
      <c r="E335" s="71"/>
      <c r="F335" s="1394"/>
      <c r="G335" s="72"/>
      <c r="H335" s="178" t="str">
        <f>IFERROR(VLOOKUP(F335,#REF!,10,FALSE),"")</f>
        <v/>
      </c>
      <c r="I335" s="338" t="str">
        <f t="shared" si="54"/>
        <v/>
      </c>
      <c r="J335" s="76"/>
      <c r="K335" s="1757"/>
      <c r="L335" s="76"/>
      <c r="M335" s="1587"/>
      <c r="N335" s="77" t="str">
        <f t="shared" si="53"/>
        <v/>
      </c>
      <c r="O335" s="78"/>
      <c r="P335" s="224" t="str">
        <f>IFERROR(VLOOKUP(F335,#REF!,12,FALSE),"")</f>
        <v/>
      </c>
      <c r="Q335" s="80" t="s">
        <v>8</v>
      </c>
      <c r="R335" s="80" t="str">
        <f>IFERROR(VLOOKUP(F335,#REF!,14,FALSE),"")</f>
        <v/>
      </c>
      <c r="S335" s="33" t="str">
        <f t="shared" si="52"/>
        <v/>
      </c>
      <c r="U335" s="1728"/>
      <c r="V335" s="82">
        <f t="shared" si="55"/>
        <v>0</v>
      </c>
      <c r="W335" s="1766"/>
      <c r="X335" s="82"/>
    </row>
    <row r="336" spans="2:24" x14ac:dyDescent="0.2">
      <c r="B336" s="1653" t="s">
        <v>142</v>
      </c>
      <c r="C336" s="84">
        <v>43424</v>
      </c>
      <c r="D336" s="422"/>
      <c r="E336" s="423"/>
      <c r="F336" s="1454"/>
      <c r="G336" s="504"/>
      <c r="H336" s="505" t="str">
        <f>IFERROR(VLOOKUP(F336,#REF!,10,FALSE),"")</f>
        <v/>
      </c>
      <c r="I336" s="506" t="str">
        <f t="shared" si="54"/>
        <v/>
      </c>
      <c r="J336" s="507"/>
      <c r="K336" s="1757"/>
      <c r="L336" s="1563"/>
      <c r="M336" s="1585"/>
      <c r="N336" s="346" t="str">
        <f t="shared" si="53"/>
        <v/>
      </c>
      <c r="O336" s="508"/>
      <c r="P336" s="509" t="str">
        <f>IFERROR(VLOOKUP(F336,#REF!,12,FALSE),"")</f>
        <v/>
      </c>
      <c r="Q336" s="389" t="s">
        <v>8</v>
      </c>
      <c r="R336" s="46" t="str">
        <f>IFERROR(VLOOKUP(F336,#REF!,14,FALSE),"")</f>
        <v/>
      </c>
      <c r="S336" s="47" t="str">
        <f t="shared" si="52"/>
        <v/>
      </c>
      <c r="U336" s="1728"/>
      <c r="V336" s="50">
        <f t="shared" si="55"/>
        <v>0</v>
      </c>
      <c r="W336" s="1767"/>
      <c r="X336" s="50"/>
    </row>
    <row r="337" spans="1:24" ht="16" thickBot="1" x14ac:dyDescent="0.25">
      <c r="B337" s="1654">
        <f>SUM(H335:H341)</f>
        <v>22.5</v>
      </c>
      <c r="C337" s="84">
        <v>43425</v>
      </c>
      <c r="D337" s="422" t="s">
        <v>232</v>
      </c>
      <c r="E337" s="423"/>
      <c r="F337" s="1454" t="s">
        <v>173</v>
      </c>
      <c r="G337" s="504">
        <v>4.2557870370370371E-2</v>
      </c>
      <c r="H337" s="505">
        <v>11.3</v>
      </c>
      <c r="I337" s="506">
        <f t="shared" si="54"/>
        <v>3.7661832186168466E-3</v>
      </c>
      <c r="J337" s="507">
        <v>140</v>
      </c>
      <c r="K337" s="1757"/>
      <c r="L337" s="1563">
        <v>222</v>
      </c>
      <c r="M337" s="1585"/>
      <c r="N337" s="346">
        <f t="shared" si="53"/>
        <v>1.0781851802932241</v>
      </c>
      <c r="O337" s="508" t="s">
        <v>176</v>
      </c>
      <c r="P337" s="509" t="str">
        <f>IFERROR(VLOOKUP(F337,#REF!,12,FALSE),"")</f>
        <v/>
      </c>
      <c r="Q337" s="389" t="s">
        <v>8</v>
      </c>
      <c r="R337" s="46" t="str">
        <f>IFERROR(VLOOKUP(F337,#REF!,14,FALSE),"")</f>
        <v/>
      </c>
      <c r="S337" s="47">
        <f t="shared" si="52"/>
        <v>1.5857142857142856</v>
      </c>
      <c r="U337" s="1728"/>
      <c r="V337" s="50">
        <f t="shared" si="55"/>
        <v>0</v>
      </c>
      <c r="W337" s="1767"/>
      <c r="X337" s="50"/>
    </row>
    <row r="338" spans="1:24" x14ac:dyDescent="0.2">
      <c r="B338" s="1655" t="s">
        <v>144</v>
      </c>
      <c r="C338" s="84">
        <v>43426</v>
      </c>
      <c r="D338" s="422"/>
      <c r="E338" s="423"/>
      <c r="F338" s="1455"/>
      <c r="G338" s="510"/>
      <c r="H338" s="511" t="str">
        <f>IFERROR(VLOOKUP(F338,#REF!,10,FALSE),"")</f>
        <v/>
      </c>
      <c r="I338" s="512" t="str">
        <f t="shared" si="54"/>
        <v/>
      </c>
      <c r="J338" s="513"/>
      <c r="K338" s="1757"/>
      <c r="L338" s="1563"/>
      <c r="M338" s="1585"/>
      <c r="N338" s="346" t="str">
        <f t="shared" si="53"/>
        <v/>
      </c>
      <c r="O338" s="514"/>
      <c r="P338" s="515" t="str">
        <f>IFERROR(VLOOKUP(F338,#REF!,12,FALSE),"")</f>
        <v/>
      </c>
      <c r="Q338" s="389" t="s">
        <v>8</v>
      </c>
      <c r="R338" s="46" t="str">
        <f>IFERROR(VLOOKUP(F338,#REF!,14,FALSE),"")</f>
        <v/>
      </c>
      <c r="S338" s="47" t="str">
        <f t="shared" si="52"/>
        <v/>
      </c>
      <c r="U338" s="1728"/>
      <c r="V338" s="50">
        <f t="shared" si="55"/>
        <v>0</v>
      </c>
      <c r="W338" s="1767"/>
      <c r="X338" s="50"/>
    </row>
    <row r="339" spans="1:24" ht="16" thickBot="1" x14ac:dyDescent="0.25">
      <c r="B339" s="1656" t="e">
        <f>SUM(#REF!)</f>
        <v>#REF!</v>
      </c>
      <c r="C339" s="84">
        <v>43427</v>
      </c>
      <c r="D339" s="422"/>
      <c r="E339" s="423"/>
      <c r="F339" s="1455"/>
      <c r="G339" s="510"/>
      <c r="H339" s="511" t="str">
        <f>IFERROR(VLOOKUP(F339,#REF!,10,FALSE),"")</f>
        <v/>
      </c>
      <c r="I339" s="512" t="str">
        <f t="shared" si="54"/>
        <v/>
      </c>
      <c r="J339" s="513"/>
      <c r="K339" s="1757"/>
      <c r="L339" s="1563"/>
      <c r="M339" s="1585"/>
      <c r="N339" s="346" t="str">
        <f t="shared" si="53"/>
        <v/>
      </c>
      <c r="O339" s="514"/>
      <c r="P339" s="515" t="str">
        <f>IFERROR(VLOOKUP(F339,#REF!,12,FALSE),"")</f>
        <v/>
      </c>
      <c r="Q339" s="389" t="s">
        <v>8</v>
      </c>
      <c r="R339" s="46" t="str">
        <f>IFERROR(VLOOKUP(F339,#REF!,14,FALSE),"")</f>
        <v/>
      </c>
      <c r="S339" s="47" t="str">
        <f t="shared" si="52"/>
        <v/>
      </c>
      <c r="U339" s="1728"/>
      <c r="V339" s="50">
        <f t="shared" si="55"/>
        <v>0</v>
      </c>
      <c r="W339" s="1767"/>
      <c r="X339" s="50"/>
    </row>
    <row r="340" spans="1:24" x14ac:dyDescent="0.2">
      <c r="B340" s="1657" t="s">
        <v>256</v>
      </c>
      <c r="C340" s="84">
        <v>43428</v>
      </c>
      <c r="D340" s="422" t="s">
        <v>233</v>
      </c>
      <c r="E340" s="423"/>
      <c r="F340" s="1456" t="s">
        <v>173</v>
      </c>
      <c r="G340" s="516">
        <v>4.3032407407407408E-2</v>
      </c>
      <c r="H340" s="517">
        <v>11.2</v>
      </c>
      <c r="I340" s="518">
        <f t="shared" si="54"/>
        <v>3.8421792328042332E-3</v>
      </c>
      <c r="J340" s="519">
        <v>142</v>
      </c>
      <c r="K340" s="1757"/>
      <c r="L340" s="1563"/>
      <c r="M340" s="1585"/>
      <c r="N340" s="346"/>
      <c r="O340" s="520" t="s">
        <v>176</v>
      </c>
      <c r="P340" s="521" t="str">
        <f>IFERROR(VLOOKUP(F340,#REF!,12,FALSE),"")</f>
        <v/>
      </c>
      <c r="Q340" s="389" t="s">
        <v>8</v>
      </c>
      <c r="R340" s="46" t="str">
        <f>IFERROR(VLOOKUP(F340,#REF!,14,FALSE),"")</f>
        <v/>
      </c>
      <c r="S340" s="47"/>
      <c r="U340" s="1728"/>
      <c r="V340" s="50">
        <f t="shared" si="55"/>
        <v>0</v>
      </c>
      <c r="W340" s="1767"/>
      <c r="X340" s="50"/>
    </row>
    <row r="341" spans="1:24" customFormat="1" ht="16" thickBot="1" x14ac:dyDescent="0.25">
      <c r="A341" s="3"/>
      <c r="B341" s="1658" t="e">
        <f>AVERAGE(#REF!)</f>
        <v>#REF!</v>
      </c>
      <c r="C341" s="141">
        <v>43429</v>
      </c>
      <c r="D341" s="205"/>
      <c r="E341" s="306"/>
      <c r="F341" s="1396"/>
      <c r="G341" s="98"/>
      <c r="H341" s="183" t="str">
        <f>IFERROR(VLOOKUP(F341,#REF!,10,FALSE),"")</f>
        <v/>
      </c>
      <c r="I341" s="370" t="str">
        <f t="shared" si="54"/>
        <v/>
      </c>
      <c r="J341" s="102"/>
      <c r="K341" s="1757"/>
      <c r="L341" s="1565"/>
      <c r="M341" s="1588"/>
      <c r="N341" s="186" t="str">
        <f t="shared" ref="N341:N347" si="56">IFERROR((L341/67)/(1/(I341*24)/3.6),"")</f>
        <v/>
      </c>
      <c r="O341" s="104"/>
      <c r="P341" s="105" t="str">
        <f>IFERROR(VLOOKUP(F341,#REF!,12,FALSE),"")</f>
        <v/>
      </c>
      <c r="Q341" s="107" t="s">
        <v>8</v>
      </c>
      <c r="R341" s="107" t="str">
        <f>IFERROR(VLOOKUP(F341,#REF!,14,FALSE),"")</f>
        <v/>
      </c>
      <c r="S341" s="65" t="str">
        <f t="shared" ref="S341:S404" si="57">IFERROR(L341/J341,"")</f>
        <v/>
      </c>
      <c r="T341" s="1379"/>
      <c r="U341" s="1729"/>
      <c r="V341" s="209">
        <f t="shared" si="55"/>
        <v>0</v>
      </c>
      <c r="W341" s="1768"/>
      <c r="X341" s="209"/>
    </row>
    <row r="342" spans="1:24" ht="16" thickBot="1" x14ac:dyDescent="0.25">
      <c r="B342" s="1652">
        <f>B335+1</f>
        <v>48</v>
      </c>
      <c r="C342" s="189">
        <v>43430</v>
      </c>
      <c r="D342" s="143"/>
      <c r="E342" s="144"/>
      <c r="F342" s="1421"/>
      <c r="G342" s="145"/>
      <c r="H342" s="234" t="str">
        <f>IFERROR(VLOOKUP(F342,#REF!,10,FALSE),"")</f>
        <v/>
      </c>
      <c r="I342" s="235" t="str">
        <f t="shared" si="54"/>
        <v/>
      </c>
      <c r="J342" s="236"/>
      <c r="K342" s="1757"/>
      <c r="L342" s="1562"/>
      <c r="M342" s="1584"/>
      <c r="N342" s="150" t="str">
        <f t="shared" si="56"/>
        <v/>
      </c>
      <c r="O342" s="151"/>
      <c r="P342" s="214" t="str">
        <f>IFERROR(VLOOKUP(F342,#REF!,12,FALSE),"")</f>
        <v/>
      </c>
      <c r="Q342" s="153" t="s">
        <v>8</v>
      </c>
      <c r="R342" s="32" t="str">
        <f>IFERROR(VLOOKUP(F342,#REF!,14,FALSE),"")</f>
        <v/>
      </c>
      <c r="S342" s="33" t="str">
        <f t="shared" si="57"/>
        <v/>
      </c>
      <c r="U342" s="1728"/>
      <c r="V342" s="192">
        <f t="shared" si="55"/>
        <v>0</v>
      </c>
      <c r="W342" s="1766"/>
      <c r="X342" s="192"/>
    </row>
    <row r="343" spans="1:24" x14ac:dyDescent="0.2">
      <c r="B343" s="1653" t="s">
        <v>142</v>
      </c>
      <c r="C343" s="155">
        <v>43431</v>
      </c>
      <c r="D343" s="49" t="s">
        <v>234</v>
      </c>
      <c r="E343" s="156"/>
      <c r="F343" s="1404" t="s">
        <v>262</v>
      </c>
      <c r="G343" s="120">
        <v>3.3425925925925921E-2</v>
      </c>
      <c r="H343" s="121">
        <v>8.1999999999999993</v>
      </c>
      <c r="I343" s="122">
        <f t="shared" si="54"/>
        <v>4.0763324299909667E-3</v>
      </c>
      <c r="J343" s="123">
        <v>139</v>
      </c>
      <c r="K343" s="1757"/>
      <c r="L343" s="1563">
        <v>205</v>
      </c>
      <c r="M343" s="1585"/>
      <c r="N343" s="158">
        <f t="shared" si="56"/>
        <v>1.0776119402985076</v>
      </c>
      <c r="O343" s="159" t="s">
        <v>175</v>
      </c>
      <c r="P343" s="93" t="str">
        <f>IFERROR(VLOOKUP(F343,#REF!,12,FALSE),"")</f>
        <v/>
      </c>
      <c r="Q343" s="94" t="s">
        <v>8</v>
      </c>
      <c r="R343" s="46" t="str">
        <f>IFERROR(VLOOKUP(F343,#REF!,14,FALSE),"")</f>
        <v/>
      </c>
      <c r="S343" s="47">
        <f t="shared" si="57"/>
        <v>1.474820143884892</v>
      </c>
      <c r="U343" s="1728"/>
      <c r="V343" s="206">
        <f t="shared" si="55"/>
        <v>0</v>
      </c>
      <c r="W343" s="1767"/>
      <c r="X343" s="206"/>
    </row>
    <row r="344" spans="1:24" ht="16" thickBot="1" x14ac:dyDescent="0.25">
      <c r="B344" s="1654">
        <f>SUM(H342:H348)</f>
        <v>30.999999999999996</v>
      </c>
      <c r="C344" s="161">
        <v>43432</v>
      </c>
      <c r="D344" s="49" t="s">
        <v>235</v>
      </c>
      <c r="E344" s="156"/>
      <c r="F344" s="1404" t="s">
        <v>173</v>
      </c>
      <c r="G344" s="120">
        <v>4.1562500000000002E-2</v>
      </c>
      <c r="H344" s="121">
        <v>11.1</v>
      </c>
      <c r="I344" s="122">
        <f t="shared" si="54"/>
        <v>3.7443693693693697E-3</v>
      </c>
      <c r="J344" s="123">
        <v>138</v>
      </c>
      <c r="K344" s="1757"/>
      <c r="L344" s="1563">
        <v>222</v>
      </c>
      <c r="M344" s="1585"/>
      <c r="N344" s="158">
        <f t="shared" si="56"/>
        <v>1.0719402985074629</v>
      </c>
      <c r="O344" s="159" t="s">
        <v>176</v>
      </c>
      <c r="P344" s="93" t="str">
        <f>IFERROR(VLOOKUP(F344,#REF!,12,FALSE),"")</f>
        <v/>
      </c>
      <c r="Q344" s="94" t="s">
        <v>8</v>
      </c>
      <c r="R344" s="46" t="str">
        <f>IFERROR(VLOOKUP(F344,#REF!,14,FALSE),"")</f>
        <v/>
      </c>
      <c r="S344" s="47">
        <f t="shared" si="57"/>
        <v>1.6086956521739131</v>
      </c>
      <c r="U344" s="1728"/>
      <c r="V344" s="206">
        <f t="shared" si="55"/>
        <v>0</v>
      </c>
      <c r="W344" s="1767"/>
      <c r="X344" s="206"/>
    </row>
    <row r="345" spans="1:24" x14ac:dyDescent="0.2">
      <c r="B345" s="1655" t="s">
        <v>144</v>
      </c>
      <c r="C345" s="161">
        <v>43433</v>
      </c>
      <c r="D345" s="49"/>
      <c r="E345" s="156"/>
      <c r="F345" s="1404"/>
      <c r="G345" s="120"/>
      <c r="H345" s="121" t="str">
        <f>IFERROR(VLOOKUP(F345,#REF!,10,FALSE),"")</f>
        <v/>
      </c>
      <c r="I345" s="122" t="str">
        <f t="shared" si="54"/>
        <v/>
      </c>
      <c r="J345" s="123"/>
      <c r="K345" s="1757"/>
      <c r="L345" s="1563"/>
      <c r="M345" s="1585"/>
      <c r="N345" s="158" t="str">
        <f t="shared" si="56"/>
        <v/>
      </c>
      <c r="O345" s="159"/>
      <c r="P345" s="93" t="str">
        <f>IFERROR(VLOOKUP(F345,#REF!,12,FALSE),"")</f>
        <v/>
      </c>
      <c r="Q345" s="94" t="s">
        <v>8</v>
      </c>
      <c r="R345" s="46" t="str">
        <f>IFERROR(VLOOKUP(F345,#REF!,14,FALSE),"")</f>
        <v/>
      </c>
      <c r="S345" s="47" t="str">
        <f t="shared" si="57"/>
        <v/>
      </c>
      <c r="U345" s="1728"/>
      <c r="V345" s="206">
        <f t="shared" si="55"/>
        <v>0</v>
      </c>
      <c r="W345" s="1767"/>
      <c r="X345" s="206"/>
    </row>
    <row r="346" spans="1:24" ht="16" thickBot="1" x14ac:dyDescent="0.25">
      <c r="B346" s="1656" t="e">
        <f>SUM(#REF!)</f>
        <v>#REF!</v>
      </c>
      <c r="C346" s="161">
        <v>43434</v>
      </c>
      <c r="D346" s="49" t="s">
        <v>236</v>
      </c>
      <c r="E346" s="156"/>
      <c r="F346" s="1404" t="s">
        <v>156</v>
      </c>
      <c r="G346" s="120">
        <v>4.4988425925925925E-2</v>
      </c>
      <c r="H346" s="121">
        <v>11.7</v>
      </c>
      <c r="I346" s="122">
        <f t="shared" si="54"/>
        <v>3.845164609053498E-3</v>
      </c>
      <c r="J346" s="123">
        <v>139</v>
      </c>
      <c r="K346" s="1757"/>
      <c r="L346" s="1563">
        <v>218</v>
      </c>
      <c r="M346" s="1585"/>
      <c r="N346" s="158">
        <f t="shared" si="56"/>
        <v>1.0809618573797679</v>
      </c>
      <c r="O346" s="159" t="s">
        <v>176</v>
      </c>
      <c r="P346" s="93" t="str">
        <f>IFERROR(VLOOKUP(F346,#REF!,12,FALSE),"")</f>
        <v/>
      </c>
      <c r="Q346" s="94" t="s">
        <v>8</v>
      </c>
      <c r="R346" s="46" t="str">
        <f>IFERROR(VLOOKUP(F346,#REF!,14,FALSE),"")</f>
        <v/>
      </c>
      <c r="S346" s="47">
        <f t="shared" si="57"/>
        <v>1.5683453237410072</v>
      </c>
      <c r="U346" s="1728"/>
      <c r="V346" s="206">
        <f t="shared" si="55"/>
        <v>0</v>
      </c>
      <c r="W346" s="1767"/>
      <c r="X346" s="206"/>
    </row>
    <row r="347" spans="1:24" x14ac:dyDescent="0.2">
      <c r="B347" s="1657" t="s">
        <v>256</v>
      </c>
      <c r="C347" s="161">
        <v>43435</v>
      </c>
      <c r="D347" s="49"/>
      <c r="E347" s="156"/>
      <c r="F347" s="1404"/>
      <c r="G347" s="120"/>
      <c r="H347" s="121" t="str">
        <f>IFERROR(VLOOKUP(F347,#REF!,10,FALSE),"")</f>
        <v/>
      </c>
      <c r="I347" s="122" t="str">
        <f t="shared" si="54"/>
        <v/>
      </c>
      <c r="J347" s="123"/>
      <c r="K347" s="1757"/>
      <c r="L347" s="1563"/>
      <c r="M347" s="1585"/>
      <c r="N347" s="158" t="str">
        <f t="shared" si="56"/>
        <v/>
      </c>
      <c r="O347" s="159"/>
      <c r="P347" s="93" t="str">
        <f>IFERROR(VLOOKUP(F347,#REF!,12,FALSE),"")</f>
        <v/>
      </c>
      <c r="Q347" s="94" t="s">
        <v>8</v>
      </c>
      <c r="R347" s="46" t="str">
        <f>IFERROR(VLOOKUP(F347,#REF!,14,FALSE),"")</f>
        <v/>
      </c>
      <c r="S347" s="47" t="str">
        <f t="shared" si="57"/>
        <v/>
      </c>
      <c r="U347" s="1728"/>
      <c r="V347" s="206">
        <f t="shared" si="55"/>
        <v>0</v>
      </c>
      <c r="W347" s="1767"/>
      <c r="X347" s="206"/>
    </row>
    <row r="348" spans="1:24" ht="16" thickBot="1" x14ac:dyDescent="0.25">
      <c r="B348" s="1658" t="e">
        <f>AVERAGE(#REF!)</f>
        <v>#REF!</v>
      </c>
      <c r="C348" s="207">
        <v>43436</v>
      </c>
      <c r="D348" s="67"/>
      <c r="E348" s="208"/>
      <c r="F348" s="1422"/>
      <c r="G348" s="167"/>
      <c r="H348" s="307"/>
      <c r="I348" s="304"/>
      <c r="J348" s="308"/>
      <c r="K348" s="1757"/>
      <c r="L348" s="1564"/>
      <c r="M348" s="1586"/>
      <c r="N348" s="172"/>
      <c r="O348" s="173"/>
      <c r="P348" s="174" t="str">
        <f>IFERROR(VLOOKUP(F348,#REF!,12,FALSE),"")</f>
        <v/>
      </c>
      <c r="Q348" s="175" t="s">
        <v>8</v>
      </c>
      <c r="R348" s="64" t="str">
        <f>IFERROR(VLOOKUP(F348,#REF!,14,FALSE),"")</f>
        <v/>
      </c>
      <c r="S348" s="65" t="str">
        <f t="shared" si="57"/>
        <v/>
      </c>
      <c r="U348" s="1728"/>
      <c r="V348" s="68">
        <f t="shared" si="55"/>
        <v>0</v>
      </c>
      <c r="W348" s="1768"/>
      <c r="X348" s="68"/>
    </row>
    <row r="349" spans="1:24" ht="16" thickBot="1" x14ac:dyDescent="0.25">
      <c r="B349" s="1652">
        <f>B342+1</f>
        <v>49</v>
      </c>
      <c r="C349" s="69">
        <v>43437</v>
      </c>
      <c r="D349" s="70"/>
      <c r="E349" s="71"/>
      <c r="F349" s="1394"/>
      <c r="G349" s="72"/>
      <c r="H349" s="178" t="str">
        <f>IFERROR(VLOOKUP(F349,#REF!,10,FALSE),"")</f>
        <v/>
      </c>
      <c r="I349" s="338" t="str">
        <f t="shared" si="54"/>
        <v/>
      </c>
      <c r="J349" s="76"/>
      <c r="K349" s="1757"/>
      <c r="L349" s="76"/>
      <c r="M349" s="1587"/>
      <c r="N349" s="77" t="str">
        <f t="shared" ref="N349:N377" si="58">IFERROR((L349/67)/(1/(I349*24)/3.6),"")</f>
        <v/>
      </c>
      <c r="O349" s="78"/>
      <c r="P349" s="224" t="str">
        <f>IFERROR(VLOOKUP(F349,#REF!,12,FALSE),"")</f>
        <v/>
      </c>
      <c r="Q349" s="80" t="s">
        <v>8</v>
      </c>
      <c r="R349" s="80" t="str">
        <f>IFERROR(VLOOKUP(F349,#REF!,14,FALSE),"")</f>
        <v/>
      </c>
      <c r="S349" s="33" t="str">
        <f t="shared" si="57"/>
        <v/>
      </c>
      <c r="U349" s="1728"/>
      <c r="V349" s="82">
        <f t="shared" si="55"/>
        <v>0</v>
      </c>
      <c r="W349" s="1766"/>
      <c r="X349" s="82"/>
    </row>
    <row r="350" spans="1:24" x14ac:dyDescent="0.2">
      <c r="B350" s="1653" t="s">
        <v>142</v>
      </c>
      <c r="C350" s="84">
        <v>43438</v>
      </c>
      <c r="D350" s="422" t="s">
        <v>237</v>
      </c>
      <c r="E350" s="423"/>
      <c r="F350" s="1456" t="s">
        <v>262</v>
      </c>
      <c r="G350" s="516">
        <v>3.8333333333333337E-2</v>
      </c>
      <c r="H350" s="517">
        <v>9.56</v>
      </c>
      <c r="I350" s="518">
        <f t="shared" si="54"/>
        <v>4.0097629009762902E-3</v>
      </c>
      <c r="J350" s="519">
        <v>135</v>
      </c>
      <c r="K350" s="1757"/>
      <c r="L350" s="1563">
        <v>204</v>
      </c>
      <c r="M350" s="1585"/>
      <c r="N350" s="346">
        <f t="shared" si="58"/>
        <v>1.0548429401111599</v>
      </c>
      <c r="O350" s="520" t="s">
        <v>175</v>
      </c>
      <c r="P350" s="521" t="str">
        <f>IFERROR(VLOOKUP(F350,#REF!,12,FALSE),"")</f>
        <v/>
      </c>
      <c r="Q350" s="389" t="s">
        <v>8</v>
      </c>
      <c r="R350" s="46" t="str">
        <f>IFERROR(VLOOKUP(F350,#REF!,14,FALSE),"")</f>
        <v/>
      </c>
      <c r="S350" s="47">
        <f t="shared" si="57"/>
        <v>1.5111111111111111</v>
      </c>
      <c r="U350" s="1728"/>
      <c r="V350" s="50">
        <f t="shared" si="55"/>
        <v>0</v>
      </c>
      <c r="W350" s="1767"/>
      <c r="X350" s="50"/>
    </row>
    <row r="351" spans="1:24" ht="16" thickBot="1" x14ac:dyDescent="0.25">
      <c r="B351" s="1654">
        <f>SUM(H349:H355)</f>
        <v>32.260000000000005</v>
      </c>
      <c r="C351" s="84">
        <v>43439</v>
      </c>
      <c r="D351" s="422"/>
      <c r="E351" s="423"/>
      <c r="F351" s="1456"/>
      <c r="G351" s="516"/>
      <c r="H351" s="517" t="str">
        <f>IFERROR(VLOOKUP(F351,#REF!,10,FALSE),"")</f>
        <v/>
      </c>
      <c r="I351" s="518" t="str">
        <f t="shared" si="54"/>
        <v/>
      </c>
      <c r="J351" s="519"/>
      <c r="K351" s="1757"/>
      <c r="L351" s="1563"/>
      <c r="M351" s="1585"/>
      <c r="N351" s="346" t="str">
        <f t="shared" si="58"/>
        <v/>
      </c>
      <c r="O351" s="520"/>
      <c r="P351" s="521" t="str">
        <f>IFERROR(VLOOKUP(F351,#REF!,12,FALSE),"")</f>
        <v/>
      </c>
      <c r="Q351" s="389" t="s">
        <v>8</v>
      </c>
      <c r="R351" s="46" t="str">
        <f>IFERROR(VLOOKUP(F351,#REF!,14,FALSE),"")</f>
        <v/>
      </c>
      <c r="S351" s="47" t="str">
        <f t="shared" si="57"/>
        <v/>
      </c>
      <c r="U351" s="1728"/>
      <c r="V351" s="50">
        <f t="shared" si="55"/>
        <v>0</v>
      </c>
      <c r="W351" s="1767"/>
      <c r="X351" s="50"/>
    </row>
    <row r="352" spans="1:24" x14ac:dyDescent="0.2">
      <c r="B352" s="1655" t="s">
        <v>144</v>
      </c>
      <c r="C352" s="84">
        <v>43440</v>
      </c>
      <c r="D352" s="422" t="s">
        <v>238</v>
      </c>
      <c r="E352" s="423"/>
      <c r="F352" s="1457" t="s">
        <v>173</v>
      </c>
      <c r="G352" s="522">
        <v>4.1770833333333333E-2</v>
      </c>
      <c r="H352" s="523">
        <v>10.4</v>
      </c>
      <c r="I352" s="524">
        <f t="shared" si="54"/>
        <v>4.0164262820512817E-3</v>
      </c>
      <c r="J352" s="525">
        <v>141</v>
      </c>
      <c r="K352" s="1757"/>
      <c r="L352" s="1563">
        <v>209</v>
      </c>
      <c r="M352" s="1585"/>
      <c r="N352" s="346">
        <f t="shared" si="58"/>
        <v>1.0824928243398393</v>
      </c>
      <c r="O352" s="526" t="s">
        <v>176</v>
      </c>
      <c r="P352" s="527" t="str">
        <f>IFERROR(VLOOKUP(F352,#REF!,12,FALSE),"")</f>
        <v/>
      </c>
      <c r="Q352" s="389" t="s">
        <v>8</v>
      </c>
      <c r="R352" s="46" t="str">
        <f>IFERROR(VLOOKUP(F352,#REF!,14,FALSE),"")</f>
        <v/>
      </c>
      <c r="S352" s="47">
        <f t="shared" si="57"/>
        <v>1.4822695035460993</v>
      </c>
      <c r="U352" s="1728"/>
      <c r="V352" s="50">
        <f t="shared" si="55"/>
        <v>0</v>
      </c>
      <c r="W352" s="1767"/>
      <c r="X352" s="50"/>
    </row>
    <row r="353" spans="2:24" ht="16" thickBot="1" x14ac:dyDescent="0.25">
      <c r="B353" s="1656" t="e">
        <f>SUM(#REF!)</f>
        <v>#REF!</v>
      </c>
      <c r="C353" s="84">
        <v>43441</v>
      </c>
      <c r="D353" s="422"/>
      <c r="E353" s="423"/>
      <c r="F353" s="1457"/>
      <c r="G353" s="522"/>
      <c r="H353" s="523" t="str">
        <f>IFERROR(VLOOKUP(F353,#REF!,10,FALSE),"")</f>
        <v/>
      </c>
      <c r="I353" s="524" t="str">
        <f t="shared" si="54"/>
        <v/>
      </c>
      <c r="J353" s="525"/>
      <c r="K353" s="1757"/>
      <c r="L353" s="1563"/>
      <c r="M353" s="1585"/>
      <c r="N353" s="346" t="str">
        <f t="shared" si="58"/>
        <v/>
      </c>
      <c r="O353" s="526"/>
      <c r="P353" s="527" t="str">
        <f>IFERROR(VLOOKUP(F353,#REF!,12,FALSE),"")</f>
        <v/>
      </c>
      <c r="Q353" s="389" t="s">
        <v>8</v>
      </c>
      <c r="R353" s="46" t="str">
        <f>IFERROR(VLOOKUP(F353,#REF!,14,FALSE),"")</f>
        <v/>
      </c>
      <c r="S353" s="47" t="str">
        <f t="shared" si="57"/>
        <v/>
      </c>
      <c r="U353" s="1728"/>
      <c r="V353" s="50">
        <f t="shared" si="55"/>
        <v>0</v>
      </c>
      <c r="W353" s="1767"/>
      <c r="X353" s="50"/>
    </row>
    <row r="354" spans="2:24" x14ac:dyDescent="0.2">
      <c r="B354" s="1657" t="s">
        <v>256</v>
      </c>
      <c r="C354" s="84">
        <v>43442</v>
      </c>
      <c r="D354" s="422"/>
      <c r="E354" s="423"/>
      <c r="F354" s="1458"/>
      <c r="G354" s="528"/>
      <c r="H354" s="529" t="str">
        <f>IFERROR(VLOOKUP(F354,#REF!,10,FALSE),"")</f>
        <v/>
      </c>
      <c r="I354" s="530" t="str">
        <f t="shared" si="54"/>
        <v/>
      </c>
      <c r="J354" s="531"/>
      <c r="K354" s="1757"/>
      <c r="L354" s="1563"/>
      <c r="M354" s="1585"/>
      <c r="N354" s="346" t="str">
        <f t="shared" si="58"/>
        <v/>
      </c>
      <c r="O354" s="532"/>
      <c r="P354" s="533" t="str">
        <f>IFERROR(VLOOKUP(F354,#REF!,12,FALSE),"")</f>
        <v/>
      </c>
      <c r="Q354" s="389" t="s">
        <v>8</v>
      </c>
      <c r="R354" s="46" t="str">
        <f>IFERROR(VLOOKUP(F354,#REF!,14,FALSE),"")</f>
        <v/>
      </c>
      <c r="S354" s="47" t="str">
        <f t="shared" si="57"/>
        <v/>
      </c>
      <c r="U354" s="1728"/>
      <c r="V354" s="50">
        <f t="shared" si="55"/>
        <v>0</v>
      </c>
      <c r="W354" s="1767"/>
      <c r="X354" s="50"/>
    </row>
    <row r="355" spans="2:24" ht="16" thickBot="1" x14ac:dyDescent="0.25">
      <c r="B355" s="1658" t="e">
        <f>AVERAGE(#REF!)</f>
        <v>#REF!</v>
      </c>
      <c r="C355" s="141">
        <v>43443</v>
      </c>
      <c r="D355" s="205" t="s">
        <v>239</v>
      </c>
      <c r="E355" s="306"/>
      <c r="F355" s="1396" t="s">
        <v>149</v>
      </c>
      <c r="G355" s="98">
        <v>4.8969907407407413E-2</v>
      </c>
      <c r="H355" s="183">
        <v>12.3</v>
      </c>
      <c r="I355" s="370">
        <f t="shared" si="54"/>
        <v>3.9812932851550744E-3</v>
      </c>
      <c r="J355" s="102">
        <v>134</v>
      </c>
      <c r="K355" s="1757"/>
      <c r="L355" s="1565">
        <v>208</v>
      </c>
      <c r="M355" s="1588"/>
      <c r="N355" s="186">
        <f t="shared" si="58"/>
        <v>1.0678898191966997</v>
      </c>
      <c r="O355" s="104" t="s">
        <v>17</v>
      </c>
      <c r="P355" s="105" t="str">
        <f>IFERROR(VLOOKUP(F355,#REF!,12,FALSE),"")</f>
        <v/>
      </c>
      <c r="Q355" s="107" t="s">
        <v>8</v>
      </c>
      <c r="R355" s="107" t="str">
        <f>IFERROR(VLOOKUP(F355,#REF!,14,FALSE),"")</f>
        <v/>
      </c>
      <c r="S355" s="65">
        <f t="shared" si="57"/>
        <v>1.5522388059701493</v>
      </c>
      <c r="U355" s="1728"/>
      <c r="V355" s="209">
        <f t="shared" si="55"/>
        <v>0</v>
      </c>
      <c r="W355" s="1768"/>
      <c r="X355" s="209"/>
    </row>
    <row r="356" spans="2:24" ht="16" thickBot="1" x14ac:dyDescent="0.25">
      <c r="B356" s="1652">
        <f>B349+1</f>
        <v>50</v>
      </c>
      <c r="C356" s="189">
        <v>43444</v>
      </c>
      <c r="D356" s="143"/>
      <c r="E356" s="144"/>
      <c r="F356" s="1421"/>
      <c r="G356" s="145"/>
      <c r="H356" s="234" t="str">
        <f>IFERROR(VLOOKUP(F356,#REF!,10,FALSE),"")</f>
        <v/>
      </c>
      <c r="I356" s="235" t="str">
        <f t="shared" si="54"/>
        <v/>
      </c>
      <c r="J356" s="236"/>
      <c r="K356" s="1757"/>
      <c r="L356" s="1562"/>
      <c r="M356" s="1584"/>
      <c r="N356" s="150" t="str">
        <f t="shared" si="58"/>
        <v/>
      </c>
      <c r="O356" s="151"/>
      <c r="P356" s="214" t="str">
        <f>IFERROR(VLOOKUP(F356,#REF!,12,FALSE),"")</f>
        <v/>
      </c>
      <c r="Q356" s="153" t="s">
        <v>8</v>
      </c>
      <c r="R356" s="32" t="str">
        <f>IFERROR(VLOOKUP(F356,#REF!,14,FALSE),"")</f>
        <v/>
      </c>
      <c r="S356" s="33" t="str">
        <f t="shared" si="57"/>
        <v/>
      </c>
      <c r="U356" s="1728"/>
      <c r="V356" s="192">
        <f t="shared" si="55"/>
        <v>0</v>
      </c>
      <c r="W356" s="1766"/>
      <c r="X356" s="192"/>
    </row>
    <row r="357" spans="2:24" x14ac:dyDescent="0.2">
      <c r="B357" s="1653" t="s">
        <v>142</v>
      </c>
      <c r="C357" s="161">
        <v>43445</v>
      </c>
      <c r="D357" s="162"/>
      <c r="E357" s="163"/>
      <c r="F357" s="1404"/>
      <c r="G357" s="120"/>
      <c r="H357" s="121" t="str">
        <f>IFERROR(VLOOKUP(F357,#REF!,10,FALSE),"")</f>
        <v/>
      </c>
      <c r="I357" s="122" t="str">
        <f t="shared" si="54"/>
        <v/>
      </c>
      <c r="J357" s="123"/>
      <c r="K357" s="1757"/>
      <c r="L357" s="1563"/>
      <c r="M357" s="1585"/>
      <c r="N357" s="158" t="str">
        <f t="shared" si="58"/>
        <v/>
      </c>
      <c r="O357" s="159"/>
      <c r="P357" s="93" t="str">
        <f>IFERROR(VLOOKUP(F357,#REF!,12,FALSE),"")</f>
        <v/>
      </c>
      <c r="Q357" s="94" t="s">
        <v>8</v>
      </c>
      <c r="R357" s="46" t="str">
        <f>IFERROR(VLOOKUP(F357,#REF!,14,FALSE),"")</f>
        <v/>
      </c>
      <c r="S357" s="47" t="str">
        <f t="shared" si="57"/>
        <v/>
      </c>
      <c r="U357" s="1728"/>
      <c r="V357" s="206">
        <f t="shared" si="55"/>
        <v>0</v>
      </c>
      <c r="W357" s="1767"/>
      <c r="X357" s="206"/>
    </row>
    <row r="358" spans="2:24" ht="16" thickBot="1" x14ac:dyDescent="0.25">
      <c r="B358" s="1654">
        <f>SUM(H356:H362)</f>
        <v>37.900000000000006</v>
      </c>
      <c r="C358" s="161">
        <v>43446</v>
      </c>
      <c r="D358" s="49" t="s">
        <v>240</v>
      </c>
      <c r="E358" s="156"/>
      <c r="F358" s="1404" t="s">
        <v>173</v>
      </c>
      <c r="G358" s="120">
        <v>4.4189814814814814E-2</v>
      </c>
      <c r="H358" s="121">
        <v>11.4</v>
      </c>
      <c r="I358" s="122">
        <f t="shared" si="54"/>
        <v>3.876299545159194E-3</v>
      </c>
      <c r="J358" s="123">
        <v>138</v>
      </c>
      <c r="K358" s="1757"/>
      <c r="L358" s="1563">
        <v>213</v>
      </c>
      <c r="M358" s="1585"/>
      <c r="N358" s="158">
        <f t="shared" si="58"/>
        <v>1.0647211311861744</v>
      </c>
      <c r="O358" s="159" t="s">
        <v>176</v>
      </c>
      <c r="P358" s="93" t="str">
        <f>IFERROR(VLOOKUP(F358,#REF!,12,FALSE),"")</f>
        <v/>
      </c>
      <c r="Q358" s="94" t="s">
        <v>8</v>
      </c>
      <c r="R358" s="46" t="str">
        <f>IFERROR(VLOOKUP(F358,#REF!,14,FALSE),"")</f>
        <v/>
      </c>
      <c r="S358" s="47">
        <f t="shared" si="57"/>
        <v>1.5434782608695652</v>
      </c>
      <c r="U358" s="1728"/>
      <c r="V358" s="206">
        <f t="shared" si="55"/>
        <v>0</v>
      </c>
      <c r="W358" s="1767"/>
      <c r="X358" s="206"/>
    </row>
    <row r="359" spans="2:24" x14ac:dyDescent="0.2">
      <c r="B359" s="1655" t="s">
        <v>144</v>
      </c>
      <c r="C359" s="161">
        <v>43447</v>
      </c>
      <c r="D359" s="49"/>
      <c r="E359" s="156"/>
      <c r="F359" s="1404"/>
      <c r="G359" s="120"/>
      <c r="H359" s="121" t="str">
        <f>IFERROR(VLOOKUP(F359,#REF!,10,FALSE),"")</f>
        <v/>
      </c>
      <c r="I359" s="122" t="str">
        <f t="shared" si="54"/>
        <v/>
      </c>
      <c r="J359" s="123"/>
      <c r="K359" s="1757"/>
      <c r="L359" s="1563"/>
      <c r="M359" s="1585"/>
      <c r="N359" s="158" t="str">
        <f t="shared" si="58"/>
        <v/>
      </c>
      <c r="O359" s="159"/>
      <c r="P359" s="93" t="str">
        <f>IFERROR(VLOOKUP(F359,#REF!,12,FALSE),"")</f>
        <v/>
      </c>
      <c r="Q359" s="94" t="s">
        <v>8</v>
      </c>
      <c r="R359" s="46" t="str">
        <f>IFERROR(VLOOKUP(F359,#REF!,14,FALSE),"")</f>
        <v/>
      </c>
      <c r="S359" s="47" t="str">
        <f t="shared" si="57"/>
        <v/>
      </c>
      <c r="U359" s="1728"/>
      <c r="V359" s="206">
        <f t="shared" si="55"/>
        <v>0</v>
      </c>
      <c r="W359" s="1767"/>
      <c r="X359" s="206"/>
    </row>
    <row r="360" spans="2:24" ht="16" thickBot="1" x14ac:dyDescent="0.25">
      <c r="B360" s="1656" t="e">
        <f>SUM(#REF!)</f>
        <v>#REF!</v>
      </c>
      <c r="C360" s="161">
        <v>43448</v>
      </c>
      <c r="D360" s="49" t="s">
        <v>241</v>
      </c>
      <c r="E360" s="156"/>
      <c r="F360" s="1404" t="s">
        <v>156</v>
      </c>
      <c r="G360" s="120">
        <v>4.6412037037037036E-2</v>
      </c>
      <c r="H360" s="121">
        <v>12.3</v>
      </c>
      <c r="I360" s="122">
        <f t="shared" si="54"/>
        <v>3.7733363444745556E-3</v>
      </c>
      <c r="J360" s="123">
        <v>137</v>
      </c>
      <c r="K360" s="1757"/>
      <c r="L360" s="1563">
        <v>220</v>
      </c>
      <c r="M360" s="1585"/>
      <c r="N360" s="158">
        <f t="shared" si="58"/>
        <v>1.0705011527727217</v>
      </c>
      <c r="O360" s="159" t="s">
        <v>176</v>
      </c>
      <c r="P360" s="93" t="str">
        <f>IFERROR(VLOOKUP(F360,#REF!,12,FALSE),"")</f>
        <v/>
      </c>
      <c r="Q360" s="94" t="s">
        <v>8</v>
      </c>
      <c r="R360" s="46" t="str">
        <f>IFERROR(VLOOKUP(F360,#REF!,14,FALSE),"")</f>
        <v/>
      </c>
      <c r="S360" s="47">
        <f t="shared" si="57"/>
        <v>1.6058394160583942</v>
      </c>
      <c r="U360" s="1728"/>
      <c r="V360" s="206">
        <f t="shared" si="55"/>
        <v>0</v>
      </c>
      <c r="W360" s="1767"/>
      <c r="X360" s="206"/>
    </row>
    <row r="361" spans="2:24" x14ac:dyDescent="0.2">
      <c r="B361" s="1657" t="s">
        <v>256</v>
      </c>
      <c r="C361" s="161">
        <v>43449</v>
      </c>
      <c r="D361" s="49"/>
      <c r="E361" s="156"/>
      <c r="F361" s="1404"/>
      <c r="G361" s="120"/>
      <c r="H361" s="121" t="str">
        <f>IFERROR(VLOOKUP(F361,#REF!,10,FALSE),"")</f>
        <v/>
      </c>
      <c r="I361" s="122" t="str">
        <f t="shared" si="54"/>
        <v/>
      </c>
      <c r="J361" s="123"/>
      <c r="K361" s="1757"/>
      <c r="L361" s="1563"/>
      <c r="M361" s="1585"/>
      <c r="N361" s="158" t="str">
        <f t="shared" si="58"/>
        <v/>
      </c>
      <c r="O361" s="159"/>
      <c r="P361" s="93" t="str">
        <f>IFERROR(VLOOKUP(F361,#REF!,12,FALSE),"")</f>
        <v/>
      </c>
      <c r="Q361" s="94" t="s">
        <v>8</v>
      </c>
      <c r="R361" s="46" t="str">
        <f>IFERROR(VLOOKUP(F361,#REF!,14,FALSE),"")</f>
        <v/>
      </c>
      <c r="S361" s="47" t="str">
        <f t="shared" si="57"/>
        <v/>
      </c>
      <c r="U361" s="1728"/>
      <c r="V361" s="206">
        <f t="shared" si="55"/>
        <v>0</v>
      </c>
      <c r="W361" s="1767"/>
      <c r="X361" s="206"/>
    </row>
    <row r="362" spans="2:24" ht="16" thickBot="1" x14ac:dyDescent="0.25">
      <c r="B362" s="1658" t="e">
        <f>AVERAGE(#REF!)</f>
        <v>#REF!</v>
      </c>
      <c r="C362" s="207">
        <v>43450</v>
      </c>
      <c r="D362" s="67" t="s">
        <v>242</v>
      </c>
      <c r="E362" s="208"/>
      <c r="F362" s="1422" t="s">
        <v>157</v>
      </c>
      <c r="G362" s="167">
        <v>5.2731481481481483E-2</v>
      </c>
      <c r="H362" s="307">
        <v>14.2</v>
      </c>
      <c r="I362" s="304">
        <f t="shared" si="54"/>
        <v>3.7134846113719357E-3</v>
      </c>
      <c r="J362" s="308">
        <v>162</v>
      </c>
      <c r="K362" s="1757"/>
      <c r="L362" s="1564">
        <v>218</v>
      </c>
      <c r="M362" s="1586"/>
      <c r="N362" s="172">
        <f t="shared" si="58"/>
        <v>1.0439436619718312</v>
      </c>
      <c r="O362" s="173" t="s">
        <v>17</v>
      </c>
      <c r="P362" s="174" t="str">
        <f>IFERROR(VLOOKUP(F362,#REF!,12,FALSE),"")</f>
        <v/>
      </c>
      <c r="Q362" s="175" t="s">
        <v>8</v>
      </c>
      <c r="R362" s="64" t="str">
        <f>IFERROR(VLOOKUP(F362,#REF!,14,FALSE),"")</f>
        <v/>
      </c>
      <c r="S362" s="65">
        <f t="shared" si="57"/>
        <v>1.345679012345679</v>
      </c>
      <c r="U362" s="1728"/>
      <c r="V362" s="177">
        <f t="shared" si="55"/>
        <v>0</v>
      </c>
      <c r="W362" s="1768"/>
      <c r="X362" s="177"/>
    </row>
    <row r="363" spans="2:24" ht="16" thickBot="1" x14ac:dyDescent="0.25">
      <c r="B363" s="1652">
        <f>B356+1</f>
        <v>51</v>
      </c>
      <c r="C363" s="69">
        <v>43451</v>
      </c>
      <c r="D363" s="70"/>
      <c r="E363" s="71"/>
      <c r="F363" s="1394"/>
      <c r="G363" s="420"/>
      <c r="H363" s="421" t="str">
        <f>IFERROR(VLOOKUP(F363,#REF!,10,FALSE),"")</f>
        <v/>
      </c>
      <c r="I363" s="338" t="str">
        <f t="shared" si="54"/>
        <v/>
      </c>
      <c r="J363" s="76"/>
      <c r="K363" s="1757"/>
      <c r="L363" s="76"/>
      <c r="M363" s="1587"/>
      <c r="N363" s="77" t="str">
        <f t="shared" si="58"/>
        <v/>
      </c>
      <c r="O363" s="78"/>
      <c r="P363" s="224" t="str">
        <f>IFERROR(VLOOKUP(F363,#REF!,12,FALSE),"")</f>
        <v/>
      </c>
      <c r="Q363" s="80" t="s">
        <v>8</v>
      </c>
      <c r="R363" s="80" t="str">
        <f>IFERROR(VLOOKUP(F363,#REF!,14,FALSE),"")</f>
        <v/>
      </c>
      <c r="S363" s="33" t="str">
        <f t="shared" si="57"/>
        <v/>
      </c>
      <c r="U363" s="1728"/>
      <c r="V363" s="82">
        <f t="shared" si="55"/>
        <v>0</v>
      </c>
      <c r="W363" s="1766"/>
      <c r="X363" s="82"/>
    </row>
    <row r="364" spans="2:24" x14ac:dyDescent="0.2">
      <c r="B364" s="1653" t="s">
        <v>142</v>
      </c>
      <c r="C364" s="84">
        <v>43452</v>
      </c>
      <c r="D364" s="422" t="s">
        <v>243</v>
      </c>
      <c r="E364" s="423"/>
      <c r="F364" s="1458" t="s">
        <v>262</v>
      </c>
      <c r="G364" s="534">
        <v>3.5671296296296298E-2</v>
      </c>
      <c r="H364" s="535">
        <v>9.25</v>
      </c>
      <c r="I364" s="530">
        <f t="shared" si="54"/>
        <v>3.8563563563563568E-3</v>
      </c>
      <c r="J364" s="531">
        <v>136</v>
      </c>
      <c r="K364" s="1757"/>
      <c r="L364" s="1563">
        <v>214</v>
      </c>
      <c r="M364" s="1585"/>
      <c r="N364" s="346">
        <f t="shared" si="58"/>
        <v>1.0642162162162163</v>
      </c>
      <c r="O364" s="532" t="s">
        <v>175</v>
      </c>
      <c r="P364" s="533" t="str">
        <f>IFERROR(VLOOKUP(F364,#REF!,12,FALSE),"")</f>
        <v/>
      </c>
      <c r="Q364" s="389" t="s">
        <v>8</v>
      </c>
      <c r="R364" s="46" t="str">
        <f>IFERROR(VLOOKUP(F364,#REF!,14,FALSE),"")</f>
        <v/>
      </c>
      <c r="S364" s="47">
        <f t="shared" si="57"/>
        <v>1.5735294117647058</v>
      </c>
      <c r="U364" s="1728"/>
      <c r="V364" s="50">
        <f t="shared" si="55"/>
        <v>0</v>
      </c>
      <c r="W364" s="1767"/>
      <c r="X364" s="50"/>
    </row>
    <row r="365" spans="2:24" ht="16" thickBot="1" x14ac:dyDescent="0.25">
      <c r="B365" s="1654">
        <f>SUM(H363:H369)</f>
        <v>32.44</v>
      </c>
      <c r="C365" s="84">
        <v>43453</v>
      </c>
      <c r="D365" s="422" t="s">
        <v>244</v>
      </c>
      <c r="E365" s="423"/>
      <c r="F365" s="1458" t="s">
        <v>148</v>
      </c>
      <c r="G365" s="534">
        <v>3.6863425925925931E-2</v>
      </c>
      <c r="H365" s="535">
        <v>9.19</v>
      </c>
      <c r="I365" s="530">
        <f t="shared" si="54"/>
        <v>4.0112541812759445E-3</v>
      </c>
      <c r="J365" s="531">
        <v>134</v>
      </c>
      <c r="K365" s="1757"/>
      <c r="L365" s="1563">
        <v>204</v>
      </c>
      <c r="M365" s="1585"/>
      <c r="N365" s="346">
        <f t="shared" si="58"/>
        <v>1.0552352492163775</v>
      </c>
      <c r="O365" s="532" t="s">
        <v>176</v>
      </c>
      <c r="P365" s="533" t="str">
        <f>IFERROR(VLOOKUP(F365,#REF!,12,FALSE),"")</f>
        <v/>
      </c>
      <c r="Q365" s="389" t="s">
        <v>8</v>
      </c>
      <c r="R365" s="46" t="str">
        <f>IFERROR(VLOOKUP(F365,#REF!,14,FALSE),"")</f>
        <v/>
      </c>
      <c r="S365" s="47">
        <f t="shared" si="57"/>
        <v>1.5223880597014925</v>
      </c>
      <c r="U365" s="1728"/>
      <c r="V365" s="50">
        <f t="shared" si="55"/>
        <v>0</v>
      </c>
      <c r="W365" s="1767"/>
      <c r="X365" s="50"/>
    </row>
    <row r="366" spans="2:24" x14ac:dyDescent="0.2">
      <c r="B366" s="1655" t="s">
        <v>144</v>
      </c>
      <c r="C366" s="84">
        <v>43454</v>
      </c>
      <c r="D366" s="422"/>
      <c r="E366" s="423"/>
      <c r="F366" s="1458"/>
      <c r="G366" s="534"/>
      <c r="H366" s="535" t="str">
        <f>IFERROR(VLOOKUP(F366,#REF!,10,FALSE),"")</f>
        <v/>
      </c>
      <c r="I366" s="530" t="str">
        <f t="shared" si="54"/>
        <v/>
      </c>
      <c r="J366" s="531"/>
      <c r="K366" s="1757"/>
      <c r="L366" s="1563"/>
      <c r="M366" s="1585"/>
      <c r="N366" s="346" t="str">
        <f t="shared" si="58"/>
        <v/>
      </c>
      <c r="O366" s="532"/>
      <c r="P366" s="533" t="str">
        <f>IFERROR(VLOOKUP(F366,#REF!,12,FALSE),"")</f>
        <v/>
      </c>
      <c r="Q366" s="389" t="s">
        <v>8</v>
      </c>
      <c r="R366" s="46" t="str">
        <f>IFERROR(VLOOKUP(F366,#REF!,14,FALSE),"")</f>
        <v/>
      </c>
      <c r="S366" s="47" t="str">
        <f t="shared" si="57"/>
        <v/>
      </c>
      <c r="U366" s="1728"/>
      <c r="V366" s="50">
        <f t="shared" si="55"/>
        <v>0</v>
      </c>
      <c r="W366" s="1767"/>
      <c r="X366" s="50"/>
    </row>
    <row r="367" spans="2:24" ht="16" thickBot="1" x14ac:dyDescent="0.25">
      <c r="B367" s="1656" t="e">
        <f>SUM(#REF!)</f>
        <v>#REF!</v>
      </c>
      <c r="C367" s="84">
        <v>43455</v>
      </c>
      <c r="D367" s="422"/>
      <c r="E367" s="423"/>
      <c r="F367" s="1458"/>
      <c r="G367" s="534"/>
      <c r="H367" s="535" t="str">
        <f>IFERROR(VLOOKUP(F367,#REF!,10,FALSE),"")</f>
        <v/>
      </c>
      <c r="I367" s="530" t="str">
        <f t="shared" si="54"/>
        <v/>
      </c>
      <c r="J367" s="531"/>
      <c r="K367" s="1757"/>
      <c r="L367" s="1563"/>
      <c r="M367" s="1585"/>
      <c r="N367" s="346" t="str">
        <f t="shared" si="58"/>
        <v/>
      </c>
      <c r="O367" s="532"/>
      <c r="P367" s="533" t="str">
        <f>IFERROR(VLOOKUP(F367,#REF!,12,FALSE),"")</f>
        <v/>
      </c>
      <c r="Q367" s="389" t="s">
        <v>8</v>
      </c>
      <c r="R367" s="46" t="str">
        <f>IFERROR(VLOOKUP(F367,#REF!,14,FALSE),"")</f>
        <v/>
      </c>
      <c r="S367" s="47" t="str">
        <f t="shared" si="57"/>
        <v/>
      </c>
      <c r="U367" s="1728"/>
      <c r="V367" s="50">
        <f t="shared" si="55"/>
        <v>0</v>
      </c>
      <c r="W367" s="1767"/>
      <c r="X367" s="50"/>
    </row>
    <row r="368" spans="2:24" x14ac:dyDescent="0.2">
      <c r="B368" s="1657" t="s">
        <v>256</v>
      </c>
      <c r="C368" s="84">
        <v>43456</v>
      </c>
      <c r="D368" s="422" t="s">
        <v>245</v>
      </c>
      <c r="E368" s="423"/>
      <c r="F368" s="1459" t="s">
        <v>156</v>
      </c>
      <c r="G368" s="536">
        <v>5.3854166666666668E-2</v>
      </c>
      <c r="H368" s="537">
        <v>14</v>
      </c>
      <c r="I368" s="538">
        <f t="shared" si="54"/>
        <v>3.8467261904761908E-3</v>
      </c>
      <c r="J368" s="539">
        <v>136</v>
      </c>
      <c r="K368" s="1757"/>
      <c r="L368" s="1563">
        <v>215</v>
      </c>
      <c r="M368" s="1585"/>
      <c r="N368" s="346">
        <f t="shared" si="58"/>
        <v>1.0665191897654587</v>
      </c>
      <c r="O368" s="540" t="s">
        <v>176</v>
      </c>
      <c r="P368" s="541" t="str">
        <f>IFERROR(VLOOKUP(F368,#REF!,12,FALSE),"")</f>
        <v/>
      </c>
      <c r="Q368" s="389" t="s">
        <v>8</v>
      </c>
      <c r="R368" s="46" t="str">
        <f>IFERROR(VLOOKUP(F368,#REF!,14,FALSE),"")</f>
        <v/>
      </c>
      <c r="S368" s="47">
        <f t="shared" si="57"/>
        <v>1.5808823529411764</v>
      </c>
      <c r="U368" s="1728"/>
      <c r="V368" s="50">
        <f t="shared" si="55"/>
        <v>0</v>
      </c>
      <c r="W368" s="1767"/>
      <c r="X368" s="50"/>
    </row>
    <row r="369" spans="1:24" ht="16" thickBot="1" x14ac:dyDescent="0.25">
      <c r="B369" s="1658" t="e">
        <f>AVERAGE(#REF!)</f>
        <v>#REF!</v>
      </c>
      <c r="C369" s="141">
        <v>43457</v>
      </c>
      <c r="D369" s="181"/>
      <c r="E369" s="182"/>
      <c r="F369" s="1396"/>
      <c r="G369" s="436"/>
      <c r="H369" s="437" t="str">
        <f>IFERROR(VLOOKUP(F369,#REF!,10,FALSE),"")</f>
        <v/>
      </c>
      <c r="I369" s="370" t="str">
        <f t="shared" si="54"/>
        <v/>
      </c>
      <c r="J369" s="102"/>
      <c r="K369" s="1757"/>
      <c r="L369" s="1565"/>
      <c r="M369" s="1588"/>
      <c r="N369" s="186" t="str">
        <f t="shared" si="58"/>
        <v/>
      </c>
      <c r="O369" s="104"/>
      <c r="P369" s="105" t="str">
        <f>IFERROR(VLOOKUP(F369,#REF!,12,FALSE),"")</f>
        <v/>
      </c>
      <c r="Q369" s="107" t="s">
        <v>8</v>
      </c>
      <c r="R369" s="107" t="str">
        <f>IFERROR(VLOOKUP(F369,#REF!,14,FALSE),"")</f>
        <v/>
      </c>
      <c r="S369" s="65" t="str">
        <f t="shared" si="57"/>
        <v/>
      </c>
      <c r="U369" s="1728"/>
      <c r="V369" s="209">
        <f t="shared" si="55"/>
        <v>0</v>
      </c>
      <c r="W369" s="1768"/>
      <c r="X369" s="209"/>
    </row>
    <row r="370" spans="1:24" ht="16" thickBot="1" x14ac:dyDescent="0.25">
      <c r="B370" s="1652">
        <f>B363+1</f>
        <v>52</v>
      </c>
      <c r="C370" s="542">
        <v>43458</v>
      </c>
      <c r="D370" s="143"/>
      <c r="E370" s="144"/>
      <c r="F370" s="1410"/>
      <c r="G370" s="145"/>
      <c r="H370" s="234" t="str">
        <f>IFERROR(VLOOKUP(F370,#REF!,10,FALSE),"")</f>
        <v/>
      </c>
      <c r="I370" s="235" t="str">
        <f t="shared" si="54"/>
        <v/>
      </c>
      <c r="J370" s="236"/>
      <c r="K370" s="1757"/>
      <c r="L370" s="1562"/>
      <c r="M370" s="1584"/>
      <c r="N370" s="150" t="str">
        <f t="shared" si="58"/>
        <v/>
      </c>
      <c r="O370" s="151"/>
      <c r="P370" s="214" t="str">
        <f>IFERROR(VLOOKUP(F370,#REF!,12,FALSE),"")</f>
        <v/>
      </c>
      <c r="Q370" s="153" t="s">
        <v>8</v>
      </c>
      <c r="R370" s="32" t="str">
        <f>IFERROR(VLOOKUP(F370,#REF!,14,FALSE),"")</f>
        <v/>
      </c>
      <c r="S370" s="33" t="str">
        <f t="shared" si="57"/>
        <v/>
      </c>
      <c r="U370" s="1728"/>
      <c r="V370" s="34">
        <f t="shared" si="55"/>
        <v>0</v>
      </c>
      <c r="W370" s="1766"/>
      <c r="X370" s="34"/>
    </row>
    <row r="371" spans="1:24" x14ac:dyDescent="0.2">
      <c r="B371" s="1653" t="s">
        <v>142</v>
      </c>
      <c r="C371" s="543">
        <v>43459</v>
      </c>
      <c r="D371" s="49"/>
      <c r="E371" s="156"/>
      <c r="F371" s="1398"/>
      <c r="G371" s="120"/>
      <c r="H371" s="121" t="str">
        <f>IFERROR(VLOOKUP(F371,#REF!,10,FALSE),"")</f>
        <v/>
      </c>
      <c r="I371" s="122" t="str">
        <f t="shared" si="54"/>
        <v/>
      </c>
      <c r="J371" s="123"/>
      <c r="K371" s="1757"/>
      <c r="L371" s="1563"/>
      <c r="M371" s="1585"/>
      <c r="N371" s="158" t="str">
        <f t="shared" si="58"/>
        <v/>
      </c>
      <c r="O371" s="159"/>
      <c r="P371" s="93" t="str">
        <f>IFERROR(VLOOKUP(F371,#REF!,12,FALSE),"")</f>
        <v/>
      </c>
      <c r="Q371" s="94" t="s">
        <v>8</v>
      </c>
      <c r="R371" s="46" t="str">
        <f>IFERROR(VLOOKUP(F371,#REF!,14,FALSE),"")</f>
        <v/>
      </c>
      <c r="S371" s="47" t="str">
        <f t="shared" si="57"/>
        <v/>
      </c>
      <c r="U371" s="1728"/>
      <c r="V371" s="206">
        <f t="shared" si="55"/>
        <v>0</v>
      </c>
      <c r="W371" s="1767"/>
      <c r="X371" s="206"/>
    </row>
    <row r="372" spans="1:24" ht="16" thickBot="1" x14ac:dyDescent="0.25">
      <c r="B372" s="1654">
        <f>SUM(H370:H376)</f>
        <v>19.18</v>
      </c>
      <c r="C372" s="543">
        <v>43460</v>
      </c>
      <c r="D372" s="49"/>
      <c r="E372" s="156"/>
      <c r="F372" s="1398"/>
      <c r="G372" s="120"/>
      <c r="H372" s="121" t="str">
        <f>IFERROR(VLOOKUP(F372,#REF!,10,FALSE),"")</f>
        <v/>
      </c>
      <c r="I372" s="122" t="str">
        <f t="shared" si="54"/>
        <v/>
      </c>
      <c r="J372" s="123"/>
      <c r="K372" s="1757"/>
      <c r="L372" s="1563"/>
      <c r="M372" s="1585"/>
      <c r="N372" s="158" t="str">
        <f t="shared" si="58"/>
        <v/>
      </c>
      <c r="O372" s="159"/>
      <c r="P372" s="93" t="str">
        <f>IFERROR(VLOOKUP(F372,#REF!,12,FALSE),"")</f>
        <v/>
      </c>
      <c r="Q372" s="94" t="s">
        <v>8</v>
      </c>
      <c r="R372" s="46" t="str">
        <f>IFERROR(VLOOKUP(F372,#REF!,14,FALSE),"")</f>
        <v/>
      </c>
      <c r="S372" s="47" t="str">
        <f t="shared" si="57"/>
        <v/>
      </c>
      <c r="U372" s="1728"/>
      <c r="V372" s="206">
        <f t="shared" si="55"/>
        <v>0</v>
      </c>
      <c r="W372" s="1767"/>
      <c r="X372" s="206"/>
    </row>
    <row r="373" spans="1:24" x14ac:dyDescent="0.2">
      <c r="B373" s="1655" t="s">
        <v>144</v>
      </c>
      <c r="C373" s="543">
        <v>43461</v>
      </c>
      <c r="D373" s="49" t="s">
        <v>246</v>
      </c>
      <c r="E373" s="156"/>
      <c r="F373" s="1398" t="s">
        <v>173</v>
      </c>
      <c r="G373" s="120">
        <v>4.3888888888888887E-2</v>
      </c>
      <c r="H373" s="121">
        <v>11.1</v>
      </c>
      <c r="I373" s="122">
        <f t="shared" si="54"/>
        <v>3.9539539539539537E-3</v>
      </c>
      <c r="J373" s="123">
        <v>136</v>
      </c>
      <c r="K373" s="1757"/>
      <c r="L373" s="1563">
        <v>207</v>
      </c>
      <c r="M373" s="1585"/>
      <c r="N373" s="158">
        <f t="shared" si="58"/>
        <v>1.055457845905607</v>
      </c>
      <c r="O373" s="159" t="s">
        <v>176</v>
      </c>
      <c r="P373" s="93" t="str">
        <f>IFERROR(VLOOKUP(F373,#REF!,12,FALSE),"")</f>
        <v/>
      </c>
      <c r="Q373" s="94" t="s">
        <v>8</v>
      </c>
      <c r="R373" s="46" t="str">
        <f>IFERROR(VLOOKUP(F373,#REF!,14,FALSE),"")</f>
        <v/>
      </c>
      <c r="S373" s="47">
        <f t="shared" si="57"/>
        <v>1.5220588235294117</v>
      </c>
      <c r="U373" s="1728"/>
      <c r="V373" s="206">
        <f t="shared" si="55"/>
        <v>0</v>
      </c>
      <c r="W373" s="1767"/>
      <c r="X373" s="206"/>
    </row>
    <row r="374" spans="1:24" ht="16" thickBot="1" x14ac:dyDescent="0.25">
      <c r="B374" s="1656" t="e">
        <f>SUM(#REF!)</f>
        <v>#REF!</v>
      </c>
      <c r="C374" s="543">
        <v>43462</v>
      </c>
      <c r="D374" s="49"/>
      <c r="E374" s="156"/>
      <c r="F374" s="1398"/>
      <c r="G374" s="120"/>
      <c r="H374" s="121" t="str">
        <f>IFERROR(VLOOKUP(F374,#REF!,10,FALSE),"")</f>
        <v/>
      </c>
      <c r="I374" s="122" t="str">
        <f t="shared" si="54"/>
        <v/>
      </c>
      <c r="J374" s="123"/>
      <c r="K374" s="1757"/>
      <c r="L374" s="1563"/>
      <c r="M374" s="1585"/>
      <c r="N374" s="158" t="str">
        <f t="shared" si="58"/>
        <v/>
      </c>
      <c r="O374" s="159"/>
      <c r="P374" s="93" t="str">
        <f>IFERROR(VLOOKUP(F374,#REF!,12,FALSE),"")</f>
        <v/>
      </c>
      <c r="Q374" s="94" t="s">
        <v>8</v>
      </c>
      <c r="R374" s="46" t="str">
        <f>IFERROR(VLOOKUP(F374,#REF!,14,FALSE),"")</f>
        <v/>
      </c>
      <c r="S374" s="47" t="str">
        <f t="shared" si="57"/>
        <v/>
      </c>
      <c r="U374" s="1728"/>
      <c r="V374" s="206">
        <f t="shared" si="55"/>
        <v>0</v>
      </c>
      <c r="W374" s="1767"/>
      <c r="X374" s="206"/>
    </row>
    <row r="375" spans="1:24" x14ac:dyDescent="0.2">
      <c r="B375" s="1657" t="s">
        <v>256</v>
      </c>
      <c r="C375" s="543">
        <v>43463</v>
      </c>
      <c r="D375" s="49" t="s">
        <v>247</v>
      </c>
      <c r="E375" s="156"/>
      <c r="F375" s="1396" t="s">
        <v>173</v>
      </c>
      <c r="G375" s="120">
        <v>3.1689814814814816E-2</v>
      </c>
      <c r="H375" s="121">
        <v>8.08</v>
      </c>
      <c r="I375" s="122">
        <f t="shared" si="54"/>
        <v>3.9220067840117345E-3</v>
      </c>
      <c r="J375" s="123">
        <v>131</v>
      </c>
      <c r="K375" s="1757"/>
      <c r="L375" s="1563">
        <v>211</v>
      </c>
      <c r="M375" s="1585"/>
      <c r="N375" s="158">
        <f t="shared" si="58"/>
        <v>1.067160484705187</v>
      </c>
      <c r="O375" s="159" t="s">
        <v>176</v>
      </c>
      <c r="P375" s="93" t="str">
        <f>IFERROR(VLOOKUP(F375,#REF!,12,FALSE),"")</f>
        <v/>
      </c>
      <c r="Q375" s="94" t="s">
        <v>8</v>
      </c>
      <c r="R375" s="46" t="str">
        <f>IFERROR(VLOOKUP(F375,#REF!,14,FALSE),"")</f>
        <v/>
      </c>
      <c r="S375" s="47">
        <f t="shared" si="57"/>
        <v>1.6106870229007633</v>
      </c>
      <c r="U375" s="1728"/>
      <c r="V375" s="206">
        <f t="shared" si="55"/>
        <v>0</v>
      </c>
      <c r="W375" s="1767"/>
      <c r="X375" s="206"/>
    </row>
    <row r="376" spans="1:24" customFormat="1" ht="16" thickBot="1" x14ac:dyDescent="0.25">
      <c r="A376" s="3"/>
      <c r="B376" s="1658" t="e">
        <f>AVERAGE(#REF!)</f>
        <v>#REF!</v>
      </c>
      <c r="C376" s="544">
        <v>43464</v>
      </c>
      <c r="D376" s="67"/>
      <c r="E376" s="208"/>
      <c r="F376" s="1411"/>
      <c r="G376" s="167"/>
      <c r="H376" s="307" t="str">
        <f>IFERROR(VLOOKUP(F376,#REF!,10,FALSE),"")</f>
        <v/>
      </c>
      <c r="I376" s="304" t="str">
        <f t="shared" si="54"/>
        <v/>
      </c>
      <c r="J376" s="308"/>
      <c r="K376" s="1757"/>
      <c r="L376" s="1564"/>
      <c r="M376" s="1586"/>
      <c r="N376" s="172" t="str">
        <f t="shared" si="58"/>
        <v/>
      </c>
      <c r="O376" s="173"/>
      <c r="P376" s="174" t="str">
        <f>IFERROR(VLOOKUP(F376,#REF!,12,FALSE),"")</f>
        <v/>
      </c>
      <c r="Q376" s="175" t="s">
        <v>8</v>
      </c>
      <c r="R376" s="64" t="str">
        <f>IFERROR(VLOOKUP(F376,#REF!,14,FALSE),"")</f>
        <v/>
      </c>
      <c r="S376" s="65" t="str">
        <f t="shared" si="57"/>
        <v/>
      </c>
      <c r="T376" s="1379"/>
      <c r="U376" s="1729"/>
      <c r="V376" s="68">
        <f t="shared" si="55"/>
        <v>0</v>
      </c>
      <c r="W376" s="1768"/>
      <c r="X376" s="68"/>
    </row>
    <row r="377" spans="1:24" ht="16" thickBot="1" x14ac:dyDescent="0.25">
      <c r="B377" s="1652">
        <v>1</v>
      </c>
      <c r="C377" s="545">
        <v>43465</v>
      </c>
      <c r="D377" s="546">
        <v>193</v>
      </c>
      <c r="E377" s="547"/>
      <c r="F377" s="1460" t="s">
        <v>287</v>
      </c>
      <c r="G377" s="548">
        <v>3.1226851851851853E-2</v>
      </c>
      <c r="H377" s="549">
        <v>10</v>
      </c>
      <c r="I377" s="550">
        <f t="shared" si="54"/>
        <v>3.1226851851851854E-3</v>
      </c>
      <c r="J377" s="551">
        <v>163</v>
      </c>
      <c r="K377" s="1757"/>
      <c r="L377" s="552">
        <v>254</v>
      </c>
      <c r="M377" s="558"/>
      <c r="N377" s="553">
        <f t="shared" si="58"/>
        <v>1.0228238805970151</v>
      </c>
      <c r="O377" s="554" t="s">
        <v>175</v>
      </c>
      <c r="P377" s="555" t="str">
        <f>IFERROR(VLOOKUP(F377,#REF!,12,FALSE),"")</f>
        <v/>
      </c>
      <c r="Q377" s="556" t="s">
        <v>8</v>
      </c>
      <c r="R377" s="556" t="str">
        <f>IFERROR(VLOOKUP(F377,#REF!,14,FALSE),"")</f>
        <v/>
      </c>
      <c r="S377" s="557">
        <f t="shared" si="57"/>
        <v>1.5582822085889572</v>
      </c>
      <c r="U377" s="1728"/>
      <c r="V377" s="558">
        <v>0</v>
      </c>
      <c r="W377" s="1766"/>
      <c r="X377" s="558"/>
    </row>
    <row r="378" spans="1:24" x14ac:dyDescent="0.2">
      <c r="B378" s="1653" t="s">
        <v>142</v>
      </c>
      <c r="C378" s="193">
        <v>43466</v>
      </c>
      <c r="D378" s="70"/>
      <c r="E378" s="71"/>
      <c r="F378" s="1461"/>
      <c r="G378" s="559"/>
      <c r="H378" s="560" t="str">
        <f>IFERROR(VLOOKUP(F378,#REF!,10,FALSE),"")</f>
        <v/>
      </c>
      <c r="I378" s="312"/>
      <c r="J378" s="269"/>
      <c r="K378" s="1757"/>
      <c r="L378" s="270"/>
      <c r="M378" s="1593"/>
      <c r="N378" s="77" t="str">
        <f>IFERROR((L378/68)/(1/(I378*24)/3.6),"")</f>
        <v/>
      </c>
      <c r="O378" s="561"/>
      <c r="P378" s="224" t="str">
        <f>IFERROR(VLOOKUP(F378,#REF!,12,FALSE),"")</f>
        <v/>
      </c>
      <c r="Q378" s="80" t="s">
        <v>8</v>
      </c>
      <c r="R378" s="80" t="str">
        <f>IFERROR(VLOOKUP(F378,#REF!,14,FALSE),"")</f>
        <v/>
      </c>
      <c r="S378" s="83" t="str">
        <f t="shared" si="57"/>
        <v/>
      </c>
      <c r="U378" s="1728"/>
      <c r="V378" s="225">
        <f t="shared" ref="V378:V441" si="59">U377-T377</f>
        <v>0</v>
      </c>
      <c r="W378" s="1767"/>
      <c r="X378" s="225"/>
    </row>
    <row r="379" spans="1:24" ht="16" thickBot="1" x14ac:dyDescent="0.25">
      <c r="B379" s="1654">
        <f>SUM(H377:H383)</f>
        <v>47.5</v>
      </c>
      <c r="C379" s="563">
        <v>43467</v>
      </c>
      <c r="D379" s="422"/>
      <c r="E379" s="423"/>
      <c r="F379" s="1462"/>
      <c r="G379" s="564"/>
      <c r="H379" s="565" t="str">
        <f>IFERROR(VLOOKUP(F379,#REF!,10,FALSE),"")</f>
        <v/>
      </c>
      <c r="I379" s="566"/>
      <c r="J379" s="567"/>
      <c r="K379" s="1757"/>
      <c r="L379" s="1568"/>
      <c r="M379" s="1591"/>
      <c r="N379" s="346" t="str">
        <f>IFERROR((L379/68)/(1/(I379*24)/3.6),"")</f>
        <v/>
      </c>
      <c r="O379" s="568"/>
      <c r="P379" s="533" t="str">
        <f>IFERROR(VLOOKUP(F379,#REF!,12,FALSE),"")</f>
        <v/>
      </c>
      <c r="Q379" s="569" t="s">
        <v>8</v>
      </c>
      <c r="R379" s="46" t="str">
        <f>IFERROR(VLOOKUP(F379,#REF!,14,FALSE),"")</f>
        <v/>
      </c>
      <c r="S379" s="47" t="str">
        <f t="shared" si="57"/>
        <v/>
      </c>
      <c r="U379" s="1728"/>
      <c r="V379" s="48">
        <f t="shared" si="59"/>
        <v>0</v>
      </c>
      <c r="W379" s="1767"/>
      <c r="X379" s="48"/>
    </row>
    <row r="380" spans="1:24" x14ac:dyDescent="0.2">
      <c r="B380" s="1655" t="s">
        <v>144</v>
      </c>
      <c r="C380" s="563">
        <v>43468</v>
      </c>
      <c r="D380" s="422" t="s">
        <v>21</v>
      </c>
      <c r="E380" s="423"/>
      <c r="F380" s="1462" t="s">
        <v>173</v>
      </c>
      <c r="G380" s="564">
        <v>4.189814814814815E-2</v>
      </c>
      <c r="H380" s="565">
        <v>10.7</v>
      </c>
      <c r="I380" s="571">
        <f t="shared" ref="I380:I394" si="60">IFERROR(G380/H380,"")</f>
        <v>3.9157147802007623E-3</v>
      </c>
      <c r="J380" s="567">
        <v>139</v>
      </c>
      <c r="K380" s="1757"/>
      <c r="L380" s="1568">
        <v>208</v>
      </c>
      <c r="M380" s="1591"/>
      <c r="N380" s="346">
        <f t="shared" ref="N380:N411" si="61">IFERROR((L380/67)/(1/(I380*24)/3.6),"")</f>
        <v>1.0502999023573723</v>
      </c>
      <c r="O380" s="568" t="s">
        <v>176</v>
      </c>
      <c r="P380" s="533" t="str">
        <f>IFERROR(VLOOKUP(F380,#REF!,12,FALSE),"")</f>
        <v/>
      </c>
      <c r="Q380" s="569" t="s">
        <v>8</v>
      </c>
      <c r="R380" s="46" t="str">
        <f>IFERROR(VLOOKUP(F380,#REF!,14,FALSE),"")</f>
        <v/>
      </c>
      <c r="S380" s="47">
        <f t="shared" si="57"/>
        <v>1.4964028776978417</v>
      </c>
      <c r="U380" s="1728"/>
      <c r="V380" s="48">
        <f t="shared" si="59"/>
        <v>0</v>
      </c>
      <c r="W380" s="1767"/>
      <c r="X380" s="48"/>
    </row>
    <row r="381" spans="1:24" ht="16" thickBot="1" x14ac:dyDescent="0.25">
      <c r="B381" s="1656" t="e">
        <f>SUM(#REF!)</f>
        <v>#REF!</v>
      </c>
      <c r="C381" s="563">
        <v>43469</v>
      </c>
      <c r="D381" s="422"/>
      <c r="E381" s="423"/>
      <c r="F381" s="1462"/>
      <c r="G381" s="564"/>
      <c r="H381" s="565" t="str">
        <f>IFERROR(VLOOKUP(F381,#REF!,10,FALSE),"")</f>
        <v/>
      </c>
      <c r="I381" s="571" t="str">
        <f t="shared" si="60"/>
        <v/>
      </c>
      <c r="J381" s="567"/>
      <c r="K381" s="1757"/>
      <c r="L381" s="1568"/>
      <c r="M381" s="1591"/>
      <c r="N381" s="346" t="str">
        <f t="shared" si="61"/>
        <v/>
      </c>
      <c r="O381" s="568"/>
      <c r="P381" s="533" t="str">
        <f>IFERROR(VLOOKUP(F381,#REF!,12,FALSE),"")</f>
        <v/>
      </c>
      <c r="Q381" s="569" t="s">
        <v>8</v>
      </c>
      <c r="R381" s="46" t="str">
        <f>IFERROR(VLOOKUP(F381,#REF!,14,FALSE),"")</f>
        <v/>
      </c>
      <c r="S381" s="47" t="str">
        <f t="shared" si="57"/>
        <v/>
      </c>
      <c r="U381" s="1728"/>
      <c r="V381" s="48">
        <f t="shared" si="59"/>
        <v>0</v>
      </c>
      <c r="W381" s="1767"/>
      <c r="X381" s="48"/>
    </row>
    <row r="382" spans="1:24" x14ac:dyDescent="0.2">
      <c r="B382" s="1657" t="s">
        <v>256</v>
      </c>
      <c r="C382" s="563">
        <v>43470</v>
      </c>
      <c r="D382" s="422" t="s">
        <v>22</v>
      </c>
      <c r="E382" s="423"/>
      <c r="F382" s="1462" t="s">
        <v>156</v>
      </c>
      <c r="G382" s="564">
        <v>4.8194444444444449E-2</v>
      </c>
      <c r="H382" s="565">
        <v>12.5</v>
      </c>
      <c r="I382" s="571">
        <f t="shared" si="60"/>
        <v>3.8555555555555561E-3</v>
      </c>
      <c r="J382" s="567">
        <v>143</v>
      </c>
      <c r="K382" s="1757"/>
      <c r="L382" s="1568">
        <v>215</v>
      </c>
      <c r="M382" s="1591"/>
      <c r="N382" s="346">
        <f t="shared" si="61"/>
        <v>1.0689671641791048</v>
      </c>
      <c r="O382" s="568" t="s">
        <v>176</v>
      </c>
      <c r="P382" s="533" t="str">
        <f>IFERROR(VLOOKUP(F382,#REF!,12,FALSE),"")</f>
        <v/>
      </c>
      <c r="Q382" s="569" t="s">
        <v>8</v>
      </c>
      <c r="R382" s="46" t="str">
        <f>IFERROR(VLOOKUP(F382,#REF!,14,FALSE),"")</f>
        <v/>
      </c>
      <c r="S382" s="47">
        <f t="shared" si="57"/>
        <v>1.5034965034965035</v>
      </c>
      <c r="U382" s="1728"/>
      <c r="V382" s="48">
        <f t="shared" si="59"/>
        <v>0</v>
      </c>
      <c r="W382" s="1767"/>
      <c r="X382" s="48"/>
    </row>
    <row r="383" spans="1:24" ht="16" thickBot="1" x14ac:dyDescent="0.25">
      <c r="B383" s="1658" t="e">
        <f>AVERAGE(#REF!)</f>
        <v>#REF!</v>
      </c>
      <c r="C383" s="141">
        <v>43471</v>
      </c>
      <c r="D383" s="205" t="s">
        <v>23</v>
      </c>
      <c r="E383" s="306"/>
      <c r="F383" s="1427" t="s">
        <v>157</v>
      </c>
      <c r="G383" s="572">
        <v>5.1898148148148145E-2</v>
      </c>
      <c r="H383" s="573">
        <v>14.3</v>
      </c>
      <c r="I383" s="184">
        <f t="shared" si="60"/>
        <v>3.6292411292411287E-3</v>
      </c>
      <c r="J383" s="286">
        <v>142</v>
      </c>
      <c r="K383" s="1757"/>
      <c r="L383" s="1570">
        <v>224</v>
      </c>
      <c r="M383" s="1594"/>
      <c r="N383" s="186">
        <f t="shared" si="61"/>
        <v>1.0483415092370316</v>
      </c>
      <c r="O383" s="574" t="s">
        <v>175</v>
      </c>
      <c r="P383" s="575" t="str">
        <f>IFERROR(VLOOKUP(F383,#REF!,12,FALSE),"")</f>
        <v/>
      </c>
      <c r="Q383" s="107" t="s">
        <v>8</v>
      </c>
      <c r="R383" s="107" t="str">
        <f>IFERROR(VLOOKUP(F383,#REF!,14,FALSE),"")</f>
        <v/>
      </c>
      <c r="S383" s="65">
        <f t="shared" si="57"/>
        <v>1.5774647887323943</v>
      </c>
      <c r="U383" s="1728"/>
      <c r="V383" s="108">
        <f t="shared" si="59"/>
        <v>0</v>
      </c>
      <c r="W383" s="1768"/>
      <c r="X383" s="108"/>
    </row>
    <row r="384" spans="1:24" ht="16" thickBot="1" x14ac:dyDescent="0.25">
      <c r="B384" s="1652">
        <f>B377+1</f>
        <v>2</v>
      </c>
      <c r="C384" s="142">
        <v>43472</v>
      </c>
      <c r="D384" s="143"/>
      <c r="E384" s="144"/>
      <c r="F384" s="1463"/>
      <c r="G384" s="291"/>
      <c r="H384" s="292" t="str">
        <f>IFERROR(VLOOKUP(F384,#REF!,10,FALSE),"")</f>
        <v/>
      </c>
      <c r="I384" s="309" t="str">
        <f t="shared" si="60"/>
        <v/>
      </c>
      <c r="J384" s="295"/>
      <c r="K384" s="1757"/>
      <c r="L384" s="792"/>
      <c r="M384" s="1595"/>
      <c r="N384" s="150" t="str">
        <f t="shared" si="61"/>
        <v/>
      </c>
      <c r="O384" s="576"/>
      <c r="P384" s="214" t="str">
        <f>IFERROR(VLOOKUP(F384,#REF!,12,FALSE),"")</f>
        <v/>
      </c>
      <c r="Q384" s="153" t="s">
        <v>8</v>
      </c>
      <c r="R384" s="32" t="str">
        <f>IFERROR(VLOOKUP(F384,#REF!,14,FALSE),"")</f>
        <v/>
      </c>
      <c r="S384" s="33" t="str">
        <f t="shared" si="57"/>
        <v/>
      </c>
      <c r="U384" s="1728"/>
      <c r="V384" s="215">
        <f t="shared" si="59"/>
        <v>0</v>
      </c>
      <c r="W384" s="1766"/>
      <c r="X384" s="215"/>
    </row>
    <row r="385" spans="2:24" x14ac:dyDescent="0.2">
      <c r="B385" s="1653" t="s">
        <v>142</v>
      </c>
      <c r="C385" s="155">
        <v>43473</v>
      </c>
      <c r="D385" s="49" t="s">
        <v>24</v>
      </c>
      <c r="E385" s="156"/>
      <c r="F385" s="1464" t="s">
        <v>155</v>
      </c>
      <c r="G385" s="298">
        <v>3.3888888888888885E-2</v>
      </c>
      <c r="H385" s="299">
        <v>9.06</v>
      </c>
      <c r="I385" s="310">
        <f t="shared" si="60"/>
        <v>3.7404954623497665E-3</v>
      </c>
      <c r="J385" s="252">
        <v>143</v>
      </c>
      <c r="K385" s="1757"/>
      <c r="L385" s="1568">
        <v>220</v>
      </c>
      <c r="M385" s="1591"/>
      <c r="N385" s="158">
        <f t="shared" si="61"/>
        <v>1.0611841454976771</v>
      </c>
      <c r="O385" s="577" t="s">
        <v>17</v>
      </c>
      <c r="P385" s="93" t="str">
        <f>IFERROR(VLOOKUP(F385,#REF!,12,FALSE),"")</f>
        <v/>
      </c>
      <c r="Q385" s="94" t="s">
        <v>8</v>
      </c>
      <c r="R385" s="46" t="str">
        <f>IFERROR(VLOOKUP(F385,#REF!,14,FALSE),"")</f>
        <v/>
      </c>
      <c r="S385" s="47">
        <f t="shared" si="57"/>
        <v>1.5384615384615385</v>
      </c>
      <c r="U385" s="1728"/>
      <c r="V385" s="160">
        <f t="shared" si="59"/>
        <v>0</v>
      </c>
      <c r="W385" s="1767"/>
      <c r="X385" s="160"/>
    </row>
    <row r="386" spans="2:24" ht="16" thickBot="1" x14ac:dyDescent="0.25">
      <c r="B386" s="1654">
        <f>SUM(H384:H390)</f>
        <v>38.260000000000005</v>
      </c>
      <c r="C386" s="161">
        <v>43474</v>
      </c>
      <c r="D386" s="49" t="s">
        <v>25</v>
      </c>
      <c r="E386" s="156"/>
      <c r="F386" s="1464" t="s">
        <v>147</v>
      </c>
      <c r="G386" s="298">
        <v>3.1192129629629629E-2</v>
      </c>
      <c r="H386" s="299">
        <v>7.72</v>
      </c>
      <c r="I386" s="310">
        <f t="shared" si="60"/>
        <v>4.0404312991748226E-3</v>
      </c>
      <c r="J386" s="252">
        <v>136</v>
      </c>
      <c r="K386" s="1757"/>
      <c r="L386" s="1568">
        <v>205</v>
      </c>
      <c r="M386" s="1591"/>
      <c r="N386" s="158">
        <f t="shared" si="61"/>
        <v>1.0681211816564846</v>
      </c>
      <c r="O386" s="577" t="s">
        <v>17</v>
      </c>
      <c r="P386" s="93" t="str">
        <f>IFERROR(VLOOKUP(F386,#REF!,12,FALSE),"")</f>
        <v/>
      </c>
      <c r="Q386" s="94" t="s">
        <v>8</v>
      </c>
      <c r="R386" s="46" t="str">
        <f>IFERROR(VLOOKUP(F386,#REF!,14,FALSE),"")</f>
        <v/>
      </c>
      <c r="S386" s="47">
        <f t="shared" si="57"/>
        <v>1.5073529411764706</v>
      </c>
      <c r="U386" s="1728"/>
      <c r="V386" s="48">
        <f t="shared" si="59"/>
        <v>0</v>
      </c>
      <c r="W386" s="1767"/>
      <c r="X386" s="48"/>
    </row>
    <row r="387" spans="2:24" x14ac:dyDescent="0.2">
      <c r="B387" s="1655" t="s">
        <v>144</v>
      </c>
      <c r="C387" s="155">
        <v>43475</v>
      </c>
      <c r="D387" s="49"/>
      <c r="E387" s="156"/>
      <c r="F387" s="1464"/>
      <c r="G387" s="298"/>
      <c r="H387" s="299" t="str">
        <f>IFERROR(VLOOKUP(F387,#REF!,10,FALSE),"")</f>
        <v/>
      </c>
      <c r="I387" s="310" t="str">
        <f t="shared" si="60"/>
        <v/>
      </c>
      <c r="J387" s="252"/>
      <c r="K387" s="1757"/>
      <c r="L387" s="1568"/>
      <c r="M387" s="1591"/>
      <c r="N387" s="158" t="str">
        <f t="shared" si="61"/>
        <v/>
      </c>
      <c r="O387" s="577"/>
      <c r="P387" s="93" t="str">
        <f>IFERROR(VLOOKUP(F387,#REF!,12,FALSE),"")</f>
        <v/>
      </c>
      <c r="Q387" s="94" t="s">
        <v>8</v>
      </c>
      <c r="R387" s="46" t="str">
        <f>IFERROR(VLOOKUP(F387,#REF!,14,FALSE),"")</f>
        <v/>
      </c>
      <c r="S387" s="47" t="str">
        <f t="shared" si="57"/>
        <v/>
      </c>
      <c r="U387" s="1728"/>
      <c r="V387" s="48">
        <f t="shared" si="59"/>
        <v>0</v>
      </c>
      <c r="W387" s="1767"/>
      <c r="X387" s="48"/>
    </row>
    <row r="388" spans="2:24" ht="16" thickBot="1" x14ac:dyDescent="0.25">
      <c r="B388" s="1656" t="e">
        <f>SUM(#REF!)</f>
        <v>#REF!</v>
      </c>
      <c r="C388" s="161">
        <v>43476</v>
      </c>
      <c r="D388" s="49"/>
      <c r="E388" s="156"/>
      <c r="F388" s="1464"/>
      <c r="G388" s="298"/>
      <c r="H388" s="299" t="str">
        <f>IFERROR(VLOOKUP(F388,#REF!,10,FALSE),"")</f>
        <v/>
      </c>
      <c r="I388" s="310" t="str">
        <f t="shared" si="60"/>
        <v/>
      </c>
      <c r="J388" s="252"/>
      <c r="K388" s="1757"/>
      <c r="L388" s="1568"/>
      <c r="M388" s="1591"/>
      <c r="N388" s="158" t="str">
        <f t="shared" si="61"/>
        <v/>
      </c>
      <c r="O388" s="577"/>
      <c r="P388" s="93" t="str">
        <f>IFERROR(VLOOKUP(F388,#REF!,12,FALSE),"")</f>
        <v/>
      </c>
      <c r="Q388" s="94" t="s">
        <v>8</v>
      </c>
      <c r="R388" s="46" t="str">
        <f>IFERROR(VLOOKUP(F388,#REF!,14,FALSE),"")</f>
        <v/>
      </c>
      <c r="S388" s="47" t="str">
        <f t="shared" si="57"/>
        <v/>
      </c>
      <c r="U388" s="1728"/>
      <c r="V388" s="48">
        <f t="shared" si="59"/>
        <v>0</v>
      </c>
      <c r="W388" s="1767"/>
      <c r="X388" s="48"/>
    </row>
    <row r="389" spans="2:24" x14ac:dyDescent="0.2">
      <c r="B389" s="1657" t="s">
        <v>256</v>
      </c>
      <c r="C389" s="161">
        <v>43477</v>
      </c>
      <c r="D389" s="49" t="s">
        <v>26</v>
      </c>
      <c r="E389" s="156"/>
      <c r="F389" s="1464" t="s">
        <v>173</v>
      </c>
      <c r="G389" s="298">
        <v>3.5949074074074071E-2</v>
      </c>
      <c r="H389" s="299">
        <v>9.2799999999999994</v>
      </c>
      <c r="I389" s="310">
        <f t="shared" si="60"/>
        <v>3.8738226372924647E-3</v>
      </c>
      <c r="J389" s="252">
        <v>142</v>
      </c>
      <c r="K389" s="1757"/>
      <c r="L389" s="1568">
        <v>212</v>
      </c>
      <c r="M389" s="1591"/>
      <c r="N389" s="158">
        <f t="shared" si="61"/>
        <v>1.0590452907874421</v>
      </c>
      <c r="O389" s="577" t="s">
        <v>176</v>
      </c>
      <c r="P389" s="93" t="str">
        <f>IFERROR(VLOOKUP(F389,#REF!,12,FALSE),"")</f>
        <v/>
      </c>
      <c r="Q389" s="94" t="s">
        <v>8</v>
      </c>
      <c r="R389" s="46" t="str">
        <f>IFERROR(VLOOKUP(F389,#REF!,14,FALSE),"")</f>
        <v/>
      </c>
      <c r="S389" s="47">
        <f t="shared" si="57"/>
        <v>1.4929577464788732</v>
      </c>
      <c r="U389" s="1728"/>
      <c r="V389" s="48">
        <f t="shared" si="59"/>
        <v>0</v>
      </c>
      <c r="W389" s="1767"/>
      <c r="X389" s="48"/>
    </row>
    <row r="390" spans="2:24" ht="16" thickBot="1" x14ac:dyDescent="0.25">
      <c r="B390" s="1658" t="e">
        <f>AVERAGE(#REF!)</f>
        <v>#REF!</v>
      </c>
      <c r="C390" s="207">
        <v>43478</v>
      </c>
      <c r="D390" s="67" t="s">
        <v>27</v>
      </c>
      <c r="E390" s="208"/>
      <c r="F390" s="1465" t="s">
        <v>149</v>
      </c>
      <c r="G390" s="302">
        <v>4.9675925925925929E-2</v>
      </c>
      <c r="H390" s="303">
        <v>12.2</v>
      </c>
      <c r="I390" s="311">
        <f t="shared" si="60"/>
        <v>4.0717972070431095E-3</v>
      </c>
      <c r="J390" s="262">
        <v>135</v>
      </c>
      <c r="K390" s="1757"/>
      <c r="L390" s="1569">
        <v>203</v>
      </c>
      <c r="M390" s="1592"/>
      <c r="N390" s="172">
        <f t="shared" si="61"/>
        <v>1.0659114264741867</v>
      </c>
      <c r="O390" s="578" t="s">
        <v>17</v>
      </c>
      <c r="P390" s="174" t="str">
        <f>IFERROR(VLOOKUP(F390,#REF!,12,FALSE),"")</f>
        <v/>
      </c>
      <c r="Q390" s="175" t="s">
        <v>8</v>
      </c>
      <c r="R390" s="64" t="str">
        <f>IFERROR(VLOOKUP(F390,#REF!,14,FALSE),"")</f>
        <v/>
      </c>
      <c r="S390" s="65">
        <f t="shared" si="57"/>
        <v>1.5037037037037038</v>
      </c>
      <c r="U390" s="1728"/>
      <c r="V390" s="176">
        <f t="shared" si="59"/>
        <v>0</v>
      </c>
      <c r="W390" s="1768"/>
      <c r="X390" s="176"/>
    </row>
    <row r="391" spans="2:24" ht="16" thickBot="1" x14ac:dyDescent="0.25">
      <c r="B391" s="1652">
        <f>B384+1</f>
        <v>3</v>
      </c>
      <c r="C391" s="193">
        <v>43479</v>
      </c>
      <c r="D391" s="70"/>
      <c r="E391" s="71"/>
      <c r="F391" s="1466"/>
      <c r="G391" s="559"/>
      <c r="H391" s="560" t="str">
        <f>IFERROR(VLOOKUP(F391,#REF!,10,FALSE),"")</f>
        <v/>
      </c>
      <c r="I391" s="179" t="str">
        <f t="shared" si="60"/>
        <v/>
      </c>
      <c r="J391" s="269"/>
      <c r="K391" s="1757"/>
      <c r="L391" s="270"/>
      <c r="M391" s="1593"/>
      <c r="N391" s="77" t="str">
        <f t="shared" si="61"/>
        <v/>
      </c>
      <c r="O391" s="561"/>
      <c r="P391" s="224" t="str">
        <f>IFERROR(VLOOKUP(F391,#REF!,12,FALSE),"")</f>
        <v/>
      </c>
      <c r="Q391" s="80" t="s">
        <v>8</v>
      </c>
      <c r="R391" s="80" t="str">
        <f>IFERROR(VLOOKUP(F391,#REF!,14,FALSE),"")</f>
        <v/>
      </c>
      <c r="S391" s="33" t="str">
        <f t="shared" si="57"/>
        <v/>
      </c>
      <c r="U391" s="1728"/>
      <c r="V391" s="225">
        <f t="shared" si="59"/>
        <v>0</v>
      </c>
      <c r="W391" s="1766"/>
      <c r="X391" s="225"/>
    </row>
    <row r="392" spans="2:24" x14ac:dyDescent="0.2">
      <c r="B392" s="1653" t="s">
        <v>142</v>
      </c>
      <c r="C392" s="579">
        <v>43480</v>
      </c>
      <c r="D392" s="580" t="s">
        <v>28</v>
      </c>
      <c r="E392" s="581"/>
      <c r="F392" s="1467" t="s">
        <v>262</v>
      </c>
      <c r="G392" s="582">
        <v>2.3136574074074077E-2</v>
      </c>
      <c r="H392" s="583">
        <v>6.38</v>
      </c>
      <c r="I392" s="584">
        <f t="shared" si="60"/>
        <v>3.6264222686636484E-3</v>
      </c>
      <c r="J392" s="585">
        <v>144</v>
      </c>
      <c r="K392" s="1757"/>
      <c r="L392" s="1568">
        <v>219</v>
      </c>
      <c r="M392" s="1591"/>
      <c r="N392" s="586">
        <f t="shared" si="61"/>
        <v>1.0241449492350163</v>
      </c>
      <c r="O392" s="587" t="s">
        <v>175</v>
      </c>
      <c r="P392" s="588" t="str">
        <f>IFERROR(VLOOKUP(F392,#REF!,12,FALSE),"")</f>
        <v/>
      </c>
      <c r="Q392" s="569" t="s">
        <v>8</v>
      </c>
      <c r="R392" s="46" t="str">
        <f>IFERROR(VLOOKUP(F392,#REF!,14,FALSE),"")</f>
        <v/>
      </c>
      <c r="S392" s="47">
        <f t="shared" si="57"/>
        <v>1.5208333333333333</v>
      </c>
      <c r="U392" s="1728"/>
      <c r="V392" s="48">
        <f t="shared" si="59"/>
        <v>0</v>
      </c>
      <c r="W392" s="1767"/>
      <c r="X392" s="48"/>
    </row>
    <row r="393" spans="2:24" ht="16" thickBot="1" x14ac:dyDescent="0.25">
      <c r="B393" s="1654">
        <f>SUM(H391:H397)</f>
        <v>27.64</v>
      </c>
      <c r="C393" s="563">
        <v>43481</v>
      </c>
      <c r="D393" s="422" t="s">
        <v>29</v>
      </c>
      <c r="E393" s="423"/>
      <c r="F393" s="1468" t="s">
        <v>173</v>
      </c>
      <c r="G393" s="564">
        <v>4.4560185185185182E-2</v>
      </c>
      <c r="H393" s="565">
        <v>11.4</v>
      </c>
      <c r="I393" s="571">
        <f t="shared" si="60"/>
        <v>3.9087881741390511E-3</v>
      </c>
      <c r="J393" s="567">
        <v>136</v>
      </c>
      <c r="K393" s="1757"/>
      <c r="L393" s="1568">
        <v>209</v>
      </c>
      <c r="M393" s="1591"/>
      <c r="N393" s="346">
        <f t="shared" si="61"/>
        <v>1.0534825870646767</v>
      </c>
      <c r="O393" s="568" t="s">
        <v>176</v>
      </c>
      <c r="P393" s="533" t="str">
        <f>IFERROR(VLOOKUP(F393,#REF!,12,FALSE),"")</f>
        <v/>
      </c>
      <c r="Q393" s="569" t="s">
        <v>8</v>
      </c>
      <c r="R393" s="46" t="str">
        <f>IFERROR(VLOOKUP(F393,#REF!,14,FALSE),"")</f>
        <v/>
      </c>
      <c r="S393" s="47">
        <f t="shared" si="57"/>
        <v>1.536764705882353</v>
      </c>
      <c r="U393" s="1728"/>
      <c r="V393" s="48">
        <f t="shared" si="59"/>
        <v>0</v>
      </c>
      <c r="W393" s="1767"/>
      <c r="X393" s="48"/>
    </row>
    <row r="394" spans="2:24" x14ac:dyDescent="0.2">
      <c r="B394" s="1655" t="s">
        <v>144</v>
      </c>
      <c r="C394" s="563">
        <v>43482</v>
      </c>
      <c r="D394" s="422"/>
      <c r="E394" s="423"/>
      <c r="F394" s="1468"/>
      <c r="G394" s="564"/>
      <c r="H394" s="565" t="str">
        <f>IFERROR(VLOOKUP(F394,#REF!,10,FALSE),"")</f>
        <v/>
      </c>
      <c r="I394" s="571" t="str">
        <f t="shared" si="60"/>
        <v/>
      </c>
      <c r="J394" s="567"/>
      <c r="K394" s="1757"/>
      <c r="L394" s="1568"/>
      <c r="M394" s="1591"/>
      <c r="N394" s="346" t="str">
        <f t="shared" si="61"/>
        <v/>
      </c>
      <c r="O394" s="568"/>
      <c r="P394" s="533" t="str">
        <f>IFERROR(VLOOKUP(F394,#REF!,12,FALSE),"")</f>
        <v/>
      </c>
      <c r="Q394" s="569" t="s">
        <v>8</v>
      </c>
      <c r="R394" s="46" t="str">
        <f>IFERROR(VLOOKUP(F394,#REF!,14,FALSE),"")</f>
        <v/>
      </c>
      <c r="S394" s="47" t="str">
        <f t="shared" si="57"/>
        <v/>
      </c>
      <c r="U394" s="1728"/>
      <c r="V394" s="48">
        <f t="shared" si="59"/>
        <v>0</v>
      </c>
      <c r="W394" s="1767"/>
      <c r="X394" s="48"/>
    </row>
    <row r="395" spans="2:24" ht="16" thickBot="1" x14ac:dyDescent="0.25">
      <c r="B395" s="1656" t="e">
        <f>SUM(#REF!)</f>
        <v>#REF!</v>
      </c>
      <c r="C395" s="563">
        <v>43483</v>
      </c>
      <c r="D395" s="422"/>
      <c r="E395" s="423"/>
      <c r="F395" s="1468"/>
      <c r="G395" s="564"/>
      <c r="H395" s="565"/>
      <c r="I395" s="571"/>
      <c r="J395" s="567"/>
      <c r="K395" s="1757"/>
      <c r="L395" s="1568"/>
      <c r="M395" s="1591"/>
      <c r="N395" s="346" t="str">
        <f t="shared" si="61"/>
        <v/>
      </c>
      <c r="O395" s="568"/>
      <c r="P395" s="533" t="str">
        <f>IFERROR(VLOOKUP(F395,#REF!,12,FALSE),"")</f>
        <v/>
      </c>
      <c r="Q395" s="569" t="s">
        <v>8</v>
      </c>
      <c r="R395" s="46" t="str">
        <f>IFERROR(VLOOKUP(F395,#REF!,14,FALSE),"")</f>
        <v/>
      </c>
      <c r="S395" s="47" t="str">
        <f t="shared" si="57"/>
        <v/>
      </c>
      <c r="U395" s="1728"/>
      <c r="V395" s="48">
        <f t="shared" si="59"/>
        <v>0</v>
      </c>
      <c r="W395" s="1767"/>
      <c r="X395" s="48"/>
    </row>
    <row r="396" spans="2:24" x14ac:dyDescent="0.2">
      <c r="B396" s="1657" t="s">
        <v>256</v>
      </c>
      <c r="C396" s="563">
        <v>43484</v>
      </c>
      <c r="D396" s="422"/>
      <c r="E396" s="423"/>
      <c r="F396" s="1468"/>
      <c r="G396" s="564"/>
      <c r="H396" s="565" t="str">
        <f>IFERROR(VLOOKUP(F396,#REF!,10,FALSE),"")</f>
        <v/>
      </c>
      <c r="I396" s="571" t="str">
        <f t="shared" ref="I396:I459" si="62">IFERROR(G396/H396,"")</f>
        <v/>
      </c>
      <c r="J396" s="567"/>
      <c r="K396" s="1757"/>
      <c r="L396" s="1568"/>
      <c r="M396" s="1591"/>
      <c r="N396" s="346" t="str">
        <f t="shared" si="61"/>
        <v/>
      </c>
      <c r="O396" s="568"/>
      <c r="P396" s="533" t="str">
        <f>IFERROR(VLOOKUP(F396,#REF!,12,FALSE),"")</f>
        <v/>
      </c>
      <c r="Q396" s="569" t="s">
        <v>8</v>
      </c>
      <c r="R396" s="46" t="str">
        <f>IFERROR(VLOOKUP(F396,#REF!,14,FALSE),"")</f>
        <v/>
      </c>
      <c r="S396" s="47" t="str">
        <f t="shared" si="57"/>
        <v/>
      </c>
      <c r="U396" s="1728"/>
      <c r="V396" s="48">
        <f t="shared" si="59"/>
        <v>0</v>
      </c>
      <c r="W396" s="1767"/>
      <c r="X396" s="48"/>
    </row>
    <row r="397" spans="2:24" ht="16" thickBot="1" x14ac:dyDescent="0.25">
      <c r="B397" s="1658" t="e">
        <f>AVERAGE(#REF!)</f>
        <v>#REF!</v>
      </c>
      <c r="C397" s="590">
        <v>43485</v>
      </c>
      <c r="D397" s="591" t="s">
        <v>30</v>
      </c>
      <c r="E397" s="592" t="s">
        <v>293</v>
      </c>
      <c r="F397" s="1469" t="s">
        <v>4</v>
      </c>
      <c r="G397" s="593">
        <v>2.9317129629629634E-2</v>
      </c>
      <c r="H397" s="594">
        <v>9.86</v>
      </c>
      <c r="I397" s="595">
        <f t="shared" si="62"/>
        <v>2.9733397190293749E-3</v>
      </c>
      <c r="J397" s="596">
        <v>163</v>
      </c>
      <c r="K397" s="1757"/>
      <c r="L397" s="1573">
        <v>267</v>
      </c>
      <c r="M397" s="1598"/>
      <c r="N397" s="597">
        <f t="shared" si="61"/>
        <v>1.023751930005147</v>
      </c>
      <c r="O397" s="598" t="s">
        <v>176</v>
      </c>
      <c r="P397" s="599" t="str">
        <f>IFERROR(VLOOKUP(F397,#REF!,12,FALSE),"")</f>
        <v/>
      </c>
      <c r="Q397" s="600" t="s">
        <v>8</v>
      </c>
      <c r="R397" s="601" t="str">
        <f>IFERROR(VLOOKUP(F397,#REF!,14,FALSE),"")</f>
        <v/>
      </c>
      <c r="S397" s="65">
        <f t="shared" si="57"/>
        <v>1.638036809815951</v>
      </c>
      <c r="U397" s="1728"/>
      <c r="V397" s="108">
        <f t="shared" si="59"/>
        <v>0</v>
      </c>
      <c r="W397" s="1768"/>
      <c r="X397" s="108"/>
    </row>
    <row r="398" spans="2:24" ht="16" thickBot="1" x14ac:dyDescent="0.25">
      <c r="B398" s="1652">
        <f>B391+1</f>
        <v>4</v>
      </c>
      <c r="C398" s="189">
        <v>43486</v>
      </c>
      <c r="D398" s="143"/>
      <c r="E398" s="144"/>
      <c r="F398" s="1463"/>
      <c r="G398" s="291"/>
      <c r="H398" s="602" t="str">
        <f>IFERROR(VLOOKUP(F398,#REF!,10,FALSE),"")</f>
        <v/>
      </c>
      <c r="I398" s="309" t="str">
        <f t="shared" si="62"/>
        <v/>
      </c>
      <c r="J398" s="295"/>
      <c r="K398" s="1757"/>
      <c r="L398" s="792"/>
      <c r="M398" s="1595"/>
      <c r="N398" s="150" t="str">
        <f t="shared" si="61"/>
        <v/>
      </c>
      <c r="O398" s="576"/>
      <c r="P398" s="214" t="str">
        <f>IFERROR(VLOOKUP(F398,#REF!,12,FALSE),"")</f>
        <v/>
      </c>
      <c r="Q398" s="153" t="s">
        <v>8</v>
      </c>
      <c r="R398" s="32" t="str">
        <f>IFERROR(VLOOKUP(F398,#REF!,14,FALSE),"")</f>
        <v/>
      </c>
      <c r="S398" s="33" t="str">
        <f t="shared" si="57"/>
        <v/>
      </c>
      <c r="U398" s="1728"/>
      <c r="V398" s="215">
        <f t="shared" si="59"/>
        <v>0</v>
      </c>
      <c r="W398" s="1766"/>
      <c r="X398" s="215"/>
    </row>
    <row r="399" spans="2:24" x14ac:dyDescent="0.2">
      <c r="B399" s="1653" t="s">
        <v>142</v>
      </c>
      <c r="C399" s="155">
        <v>43487</v>
      </c>
      <c r="D399" s="49"/>
      <c r="E399" s="156"/>
      <c r="F399" s="1464"/>
      <c r="G399" s="298"/>
      <c r="H399" s="299" t="str">
        <f>IFERROR(VLOOKUP(F399,#REF!,10,FALSE),"")</f>
        <v/>
      </c>
      <c r="I399" s="310" t="str">
        <f t="shared" si="62"/>
        <v/>
      </c>
      <c r="J399" s="252"/>
      <c r="K399" s="1757"/>
      <c r="L399" s="1568"/>
      <c r="M399" s="1591"/>
      <c r="N399" s="158" t="str">
        <f t="shared" si="61"/>
        <v/>
      </c>
      <c r="O399" s="577"/>
      <c r="P399" s="93" t="str">
        <f>IFERROR(VLOOKUP(F399,#REF!,12,FALSE),"")</f>
        <v/>
      </c>
      <c r="Q399" s="94" t="s">
        <v>8</v>
      </c>
      <c r="R399" s="46" t="str">
        <f>IFERROR(VLOOKUP(F399,#REF!,14,FALSE),"")</f>
        <v/>
      </c>
      <c r="S399" s="47" t="str">
        <f t="shared" si="57"/>
        <v/>
      </c>
      <c r="U399" s="1728"/>
      <c r="V399" s="160">
        <f t="shared" si="59"/>
        <v>0</v>
      </c>
      <c r="W399" s="1767"/>
      <c r="X399" s="160"/>
    </row>
    <row r="400" spans="2:24" ht="16" thickBot="1" x14ac:dyDescent="0.25">
      <c r="B400" s="1654">
        <f>SUM(H398:H404)</f>
        <v>41</v>
      </c>
      <c r="C400" s="161">
        <v>43488</v>
      </c>
      <c r="D400" s="49" t="s">
        <v>31</v>
      </c>
      <c r="E400" s="156"/>
      <c r="F400" s="1464" t="s">
        <v>173</v>
      </c>
      <c r="G400" s="298">
        <v>4.4166666666666667E-2</v>
      </c>
      <c r="H400" s="299">
        <v>11.3</v>
      </c>
      <c r="I400" s="310">
        <f t="shared" si="62"/>
        <v>3.9085545722713864E-3</v>
      </c>
      <c r="J400" s="252">
        <v>135</v>
      </c>
      <c r="K400" s="1757"/>
      <c r="L400" s="1568">
        <v>211</v>
      </c>
      <c r="M400" s="1591"/>
      <c r="N400" s="158">
        <f t="shared" si="61"/>
        <v>1.0635001981244221</v>
      </c>
      <c r="O400" s="577" t="s">
        <v>176</v>
      </c>
      <c r="P400" s="93" t="str">
        <f>IFERROR(VLOOKUP(F400,#REF!,12,FALSE),"")</f>
        <v/>
      </c>
      <c r="Q400" s="94" t="s">
        <v>8</v>
      </c>
      <c r="R400" s="46" t="str">
        <f>IFERROR(VLOOKUP(F400,#REF!,14,FALSE),"")</f>
        <v/>
      </c>
      <c r="S400" s="47">
        <f t="shared" si="57"/>
        <v>1.5629629629629629</v>
      </c>
      <c r="U400" s="1728"/>
      <c r="V400" s="160">
        <f t="shared" si="59"/>
        <v>0</v>
      </c>
      <c r="W400" s="1767"/>
      <c r="X400" s="160"/>
    </row>
    <row r="401" spans="2:24" x14ac:dyDescent="0.2">
      <c r="B401" s="1655" t="s">
        <v>144</v>
      </c>
      <c r="C401" s="161">
        <v>43489</v>
      </c>
      <c r="D401" s="49"/>
      <c r="E401" s="156"/>
      <c r="F401" s="1464"/>
      <c r="G401" s="298"/>
      <c r="H401" s="299" t="str">
        <f>IFERROR(VLOOKUP(F401,#REF!,10,FALSE),"")</f>
        <v/>
      </c>
      <c r="I401" s="310" t="str">
        <f t="shared" si="62"/>
        <v/>
      </c>
      <c r="J401" s="252"/>
      <c r="K401" s="1757"/>
      <c r="L401" s="1568"/>
      <c r="M401" s="1591"/>
      <c r="N401" s="158" t="str">
        <f t="shared" si="61"/>
        <v/>
      </c>
      <c r="O401" s="577"/>
      <c r="P401" s="93" t="str">
        <f>IFERROR(VLOOKUP(F401,#REF!,12,FALSE),"")</f>
        <v/>
      </c>
      <c r="Q401" s="94" t="s">
        <v>8</v>
      </c>
      <c r="R401" s="46" t="str">
        <f>IFERROR(VLOOKUP(F401,#REF!,14,FALSE),"")</f>
        <v/>
      </c>
      <c r="S401" s="47" t="str">
        <f t="shared" si="57"/>
        <v/>
      </c>
      <c r="U401" s="1728"/>
      <c r="V401" s="160">
        <f t="shared" si="59"/>
        <v>0</v>
      </c>
      <c r="W401" s="1767"/>
      <c r="X401" s="160"/>
    </row>
    <row r="402" spans="2:24" ht="16" thickBot="1" x14ac:dyDescent="0.25">
      <c r="B402" s="1656" t="e">
        <f>SUM(#REF!)</f>
        <v>#REF!</v>
      </c>
      <c r="C402" s="161">
        <v>43490</v>
      </c>
      <c r="D402" s="49" t="s">
        <v>32</v>
      </c>
      <c r="E402" s="156"/>
      <c r="F402" s="1464" t="s">
        <v>156</v>
      </c>
      <c r="G402" s="298">
        <v>4.3518518518518519E-2</v>
      </c>
      <c r="H402" s="299">
        <v>12.5</v>
      </c>
      <c r="I402" s="310">
        <f t="shared" si="62"/>
        <v>3.4814814814814817E-3</v>
      </c>
      <c r="J402" s="252">
        <v>149</v>
      </c>
      <c r="K402" s="1757"/>
      <c r="L402" s="1568">
        <v>234</v>
      </c>
      <c r="M402" s="1591"/>
      <c r="N402" s="158">
        <f t="shared" si="61"/>
        <v>1.0505552238805971</v>
      </c>
      <c r="O402" s="577" t="s">
        <v>176</v>
      </c>
      <c r="P402" s="93" t="str">
        <f>IFERROR(VLOOKUP(F402,#REF!,12,FALSE),"")</f>
        <v/>
      </c>
      <c r="Q402" s="94" t="s">
        <v>8</v>
      </c>
      <c r="R402" s="46" t="str">
        <f>IFERROR(VLOOKUP(F402,#REF!,14,FALSE),"")</f>
        <v/>
      </c>
      <c r="S402" s="47">
        <f t="shared" si="57"/>
        <v>1.5704697986577181</v>
      </c>
      <c r="U402" s="1728"/>
      <c r="V402" s="160">
        <f t="shared" si="59"/>
        <v>0</v>
      </c>
      <c r="W402" s="1767"/>
      <c r="X402" s="160"/>
    </row>
    <row r="403" spans="2:24" x14ac:dyDescent="0.2">
      <c r="B403" s="1657" t="s">
        <v>256</v>
      </c>
      <c r="C403" s="161">
        <v>43491</v>
      </c>
      <c r="D403" s="49"/>
      <c r="E403" s="156"/>
      <c r="F403" s="1464"/>
      <c r="G403" s="298"/>
      <c r="H403" s="299" t="str">
        <f>IFERROR(VLOOKUP(F403,#REF!,10,FALSE),"")</f>
        <v/>
      </c>
      <c r="I403" s="310" t="str">
        <f t="shared" si="62"/>
        <v/>
      </c>
      <c r="J403" s="252"/>
      <c r="K403" s="1757"/>
      <c r="L403" s="1568"/>
      <c r="M403" s="1591"/>
      <c r="N403" s="158" t="str">
        <f t="shared" si="61"/>
        <v/>
      </c>
      <c r="O403" s="577"/>
      <c r="P403" s="93" t="str">
        <f>IFERROR(VLOOKUP(F403,#REF!,12,FALSE),"")</f>
        <v/>
      </c>
      <c r="Q403" s="94" t="s">
        <v>8</v>
      </c>
      <c r="R403" s="46" t="str">
        <f>IFERROR(VLOOKUP(F403,#REF!,14,FALSE),"")</f>
        <v/>
      </c>
      <c r="S403" s="47" t="str">
        <f t="shared" si="57"/>
        <v/>
      </c>
      <c r="U403" s="1728"/>
      <c r="V403" s="160">
        <f t="shared" si="59"/>
        <v>0</v>
      </c>
      <c r="W403" s="1767"/>
      <c r="X403" s="160"/>
    </row>
    <row r="404" spans="2:24" ht="16" thickBot="1" x14ac:dyDescent="0.25">
      <c r="B404" s="1658" t="e">
        <f>AVERAGE(#REF!)</f>
        <v>#REF!</v>
      </c>
      <c r="C404" s="207">
        <v>43492</v>
      </c>
      <c r="D404" s="67" t="s">
        <v>33</v>
      </c>
      <c r="E404" s="208"/>
      <c r="F404" s="1465" t="s">
        <v>249</v>
      </c>
      <c r="G404" s="302">
        <v>6.5335648148148143E-2</v>
      </c>
      <c r="H404" s="303">
        <v>17.2</v>
      </c>
      <c r="I404" s="311">
        <f t="shared" si="62"/>
        <v>3.798584194659776E-3</v>
      </c>
      <c r="J404" s="262">
        <v>134</v>
      </c>
      <c r="K404" s="1757"/>
      <c r="L404" s="1569">
        <v>214</v>
      </c>
      <c r="M404" s="1592"/>
      <c r="N404" s="172">
        <f t="shared" si="61"/>
        <v>1.0482731690385283</v>
      </c>
      <c r="O404" s="578" t="s">
        <v>176</v>
      </c>
      <c r="P404" s="174" t="str">
        <f>IFERROR(VLOOKUP(F404,#REF!,12,FALSE),"")</f>
        <v/>
      </c>
      <c r="Q404" s="175" t="s">
        <v>8</v>
      </c>
      <c r="R404" s="64" t="str">
        <f>IFERROR(VLOOKUP(F404,#REF!,14,FALSE),"")</f>
        <v/>
      </c>
      <c r="S404" s="65">
        <f t="shared" si="57"/>
        <v>1.5970149253731343</v>
      </c>
      <c r="U404" s="1728"/>
      <c r="V404" s="176">
        <f t="shared" si="59"/>
        <v>0</v>
      </c>
      <c r="W404" s="1768"/>
      <c r="X404" s="176"/>
    </row>
    <row r="405" spans="2:24" ht="16" thickBot="1" x14ac:dyDescent="0.25">
      <c r="B405" s="1652">
        <f>B398+1</f>
        <v>5</v>
      </c>
      <c r="C405" s="193">
        <v>43493</v>
      </c>
      <c r="D405" s="70"/>
      <c r="E405" s="71"/>
      <c r="F405" s="1466"/>
      <c r="G405" s="559"/>
      <c r="H405" s="560" t="str">
        <f>IFERROR(VLOOKUP(F405,#REF!,10,FALSE),"")</f>
        <v/>
      </c>
      <c r="I405" s="179" t="str">
        <f t="shared" si="62"/>
        <v/>
      </c>
      <c r="J405" s="269"/>
      <c r="K405" s="1757"/>
      <c r="L405" s="270"/>
      <c r="M405" s="1593"/>
      <c r="N405" s="77" t="str">
        <f t="shared" si="61"/>
        <v/>
      </c>
      <c r="O405" s="561"/>
      <c r="P405" s="224" t="str">
        <f>IFERROR(VLOOKUP(F405,#REF!,12,FALSE),"")</f>
        <v/>
      </c>
      <c r="Q405" s="80" t="s">
        <v>8</v>
      </c>
      <c r="R405" s="80" t="str">
        <f>IFERROR(VLOOKUP(F405,#REF!,14,FALSE),"")</f>
        <v/>
      </c>
      <c r="S405" s="33" t="str">
        <f t="shared" ref="S405:S468" si="63">IFERROR(L405/J405,"")</f>
        <v/>
      </c>
      <c r="U405" s="1728"/>
      <c r="V405" s="225">
        <f t="shared" si="59"/>
        <v>0</v>
      </c>
      <c r="W405" s="1766"/>
      <c r="X405" s="225"/>
    </row>
    <row r="406" spans="2:24" x14ac:dyDescent="0.2">
      <c r="B406" s="1653" t="s">
        <v>142</v>
      </c>
      <c r="C406" s="603">
        <v>43494</v>
      </c>
      <c r="D406" s="604" t="s">
        <v>34</v>
      </c>
      <c r="E406" s="605"/>
      <c r="F406" s="1470" t="s">
        <v>161</v>
      </c>
      <c r="G406" s="606">
        <v>3.9120370370370368E-2</v>
      </c>
      <c r="H406" s="607">
        <v>11.2</v>
      </c>
      <c r="I406" s="608">
        <f t="shared" si="62"/>
        <v>3.4928902116402117E-3</v>
      </c>
      <c r="J406" s="609">
        <v>152</v>
      </c>
      <c r="K406" s="1757"/>
      <c r="L406" s="1568">
        <v>227</v>
      </c>
      <c r="M406" s="1591"/>
      <c r="N406" s="610">
        <f t="shared" si="61"/>
        <v>1.0224680170575693</v>
      </c>
      <c r="O406" s="611" t="s">
        <v>175</v>
      </c>
      <c r="P406" s="612" t="str">
        <f>IFERROR(VLOOKUP(F406,#REF!,12,FALSE),"")</f>
        <v/>
      </c>
      <c r="Q406" s="230" t="s">
        <v>8</v>
      </c>
      <c r="R406" s="46" t="str">
        <f>IFERROR(VLOOKUP(F406,#REF!,14,FALSE),"")</f>
        <v/>
      </c>
      <c r="S406" s="47">
        <f t="shared" si="63"/>
        <v>1.493421052631579</v>
      </c>
      <c r="U406" s="1728"/>
      <c r="V406" s="48">
        <f t="shared" si="59"/>
        <v>0</v>
      </c>
      <c r="W406" s="1767"/>
      <c r="X406" s="48"/>
    </row>
    <row r="407" spans="2:24" ht="16" thickBot="1" x14ac:dyDescent="0.25">
      <c r="B407" s="1654">
        <f>SUM(H405:H411)</f>
        <v>45.949999999999996</v>
      </c>
      <c r="C407" s="161">
        <v>43495</v>
      </c>
      <c r="D407" s="604" t="s">
        <v>35</v>
      </c>
      <c r="E407" s="605"/>
      <c r="F407" s="1470" t="s">
        <v>173</v>
      </c>
      <c r="G407" s="606">
        <v>4.2534722222222217E-2</v>
      </c>
      <c r="H407" s="607">
        <v>10.7</v>
      </c>
      <c r="I407" s="608">
        <f t="shared" si="62"/>
        <v>3.975207684319834E-3</v>
      </c>
      <c r="J407" s="609">
        <v>137</v>
      </c>
      <c r="K407" s="1757"/>
      <c r="L407" s="1568">
        <v>208</v>
      </c>
      <c r="M407" s="1591"/>
      <c r="N407" s="610">
        <f t="shared" si="61"/>
        <v>1.0662574975589345</v>
      </c>
      <c r="O407" s="611" t="s">
        <v>17</v>
      </c>
      <c r="P407" s="612" t="str">
        <f>IFERROR(VLOOKUP(F407,#REF!,12,FALSE),"")</f>
        <v/>
      </c>
      <c r="Q407" s="230" t="s">
        <v>8</v>
      </c>
      <c r="R407" s="46" t="str">
        <f>IFERROR(VLOOKUP(F407,#REF!,14,FALSE),"")</f>
        <v/>
      </c>
      <c r="S407" s="47">
        <f t="shared" si="63"/>
        <v>1.5182481751824817</v>
      </c>
      <c r="U407" s="1728"/>
      <c r="V407" s="48">
        <f t="shared" si="59"/>
        <v>0</v>
      </c>
      <c r="W407" s="1767"/>
      <c r="X407" s="48"/>
    </row>
    <row r="408" spans="2:24" x14ac:dyDescent="0.2">
      <c r="B408" s="1655" t="s">
        <v>144</v>
      </c>
      <c r="C408" s="161">
        <v>43496</v>
      </c>
      <c r="D408" s="604"/>
      <c r="E408" s="605"/>
      <c r="F408" s="1470"/>
      <c r="G408" s="606"/>
      <c r="H408" s="607" t="str">
        <f>IFERROR(VLOOKUP(F408,#REF!,10,FALSE),"")</f>
        <v/>
      </c>
      <c r="I408" s="608" t="str">
        <f t="shared" si="62"/>
        <v/>
      </c>
      <c r="J408" s="609"/>
      <c r="K408" s="1757"/>
      <c r="L408" s="1568"/>
      <c r="M408" s="1591"/>
      <c r="N408" s="610" t="str">
        <f t="shared" si="61"/>
        <v/>
      </c>
      <c r="O408" s="611"/>
      <c r="P408" s="612" t="str">
        <f>IFERROR(VLOOKUP(F408,#REF!,12,FALSE),"")</f>
        <v/>
      </c>
      <c r="Q408" s="230" t="s">
        <v>8</v>
      </c>
      <c r="R408" s="46" t="str">
        <f>IFERROR(VLOOKUP(F408,#REF!,14,FALSE),"")</f>
        <v/>
      </c>
      <c r="S408" s="47" t="str">
        <f t="shared" si="63"/>
        <v/>
      </c>
      <c r="U408" s="1728"/>
      <c r="V408" s="48">
        <f t="shared" si="59"/>
        <v>0</v>
      </c>
      <c r="W408" s="1767"/>
      <c r="X408" s="48"/>
    </row>
    <row r="409" spans="2:24" ht="16" thickBot="1" x14ac:dyDescent="0.25">
      <c r="B409" s="1656" t="e">
        <f>SUM(#REF!)</f>
        <v>#REF!</v>
      </c>
      <c r="C409" s="161">
        <v>43497</v>
      </c>
      <c r="D409" s="604" t="s">
        <v>36</v>
      </c>
      <c r="E409" s="605"/>
      <c r="F409" s="1470" t="s">
        <v>156</v>
      </c>
      <c r="G409" s="606">
        <v>4.387731481481482E-2</v>
      </c>
      <c r="H409" s="607">
        <v>12.45</v>
      </c>
      <c r="I409" s="608">
        <f t="shared" si="62"/>
        <v>3.5242823144429575E-3</v>
      </c>
      <c r="J409" s="609">
        <v>145</v>
      </c>
      <c r="K409" s="1757"/>
      <c r="L409" s="1568">
        <v>235</v>
      </c>
      <c r="M409" s="1591"/>
      <c r="N409" s="610">
        <f t="shared" si="61"/>
        <v>1.0680153449619374</v>
      </c>
      <c r="O409" s="611" t="s">
        <v>175</v>
      </c>
      <c r="P409" s="612" t="str">
        <f>IFERROR(VLOOKUP(F409,#REF!,12,FALSE),"")</f>
        <v/>
      </c>
      <c r="Q409" s="230" t="s">
        <v>8</v>
      </c>
      <c r="R409" s="46" t="str">
        <f>IFERROR(VLOOKUP(F409,#REF!,14,FALSE),"")</f>
        <v/>
      </c>
      <c r="S409" s="47">
        <f t="shared" si="63"/>
        <v>1.6206896551724137</v>
      </c>
      <c r="U409" s="1728"/>
      <c r="V409" s="48">
        <f t="shared" si="59"/>
        <v>0</v>
      </c>
      <c r="W409" s="1767"/>
      <c r="X409" s="48"/>
    </row>
    <row r="410" spans="2:24" x14ac:dyDescent="0.2">
      <c r="B410" s="1657" t="s">
        <v>256</v>
      </c>
      <c r="C410" s="161">
        <v>43498</v>
      </c>
      <c r="D410" s="604" t="s">
        <v>37</v>
      </c>
      <c r="E410" s="605"/>
      <c r="F410" s="1470" t="s">
        <v>173</v>
      </c>
      <c r="G410" s="606">
        <v>4.6967592592592589E-2</v>
      </c>
      <c r="H410" s="607">
        <v>11.6</v>
      </c>
      <c r="I410" s="608">
        <f t="shared" si="62"/>
        <v>4.0489303959131539E-3</v>
      </c>
      <c r="J410" s="609">
        <v>134</v>
      </c>
      <c r="K410" s="1757"/>
      <c r="L410" s="1568">
        <v>202</v>
      </c>
      <c r="M410" s="1591"/>
      <c r="N410" s="610">
        <f t="shared" si="61"/>
        <v>1.0547040658775089</v>
      </c>
      <c r="O410" s="611" t="s">
        <v>176</v>
      </c>
      <c r="P410" s="612" t="str">
        <f>IFERROR(VLOOKUP(F410,#REF!,12,FALSE),"")</f>
        <v/>
      </c>
      <c r="Q410" s="230" t="s">
        <v>8</v>
      </c>
      <c r="R410" s="46" t="str">
        <f>IFERROR(VLOOKUP(F410,#REF!,14,FALSE),"")</f>
        <v/>
      </c>
      <c r="S410" s="47">
        <f t="shared" si="63"/>
        <v>1.5074626865671641</v>
      </c>
      <c r="U410" s="1728"/>
      <c r="V410" s="48">
        <f t="shared" si="59"/>
        <v>0</v>
      </c>
      <c r="W410" s="1767"/>
      <c r="X410" s="48"/>
    </row>
    <row r="411" spans="2:24" ht="16" thickBot="1" x14ac:dyDescent="0.25">
      <c r="B411" s="1658" t="e">
        <f>AVERAGE(#REF!)</f>
        <v>#REF!</v>
      </c>
      <c r="C411" s="613">
        <v>43499</v>
      </c>
      <c r="D411" s="589"/>
      <c r="E411" s="614"/>
      <c r="F411" s="1471"/>
      <c r="G411" s="615"/>
      <c r="H411" s="616" t="str">
        <f>IFERROR(VLOOKUP(F411,#REF!,10,FALSE),"")</f>
        <v/>
      </c>
      <c r="I411" s="617" t="str">
        <f t="shared" si="62"/>
        <v/>
      </c>
      <c r="J411" s="618"/>
      <c r="K411" s="1757"/>
      <c r="L411" s="1570"/>
      <c r="M411" s="1594"/>
      <c r="N411" s="619" t="str">
        <f t="shared" si="61"/>
        <v/>
      </c>
      <c r="O411" s="620"/>
      <c r="P411" s="621" t="str">
        <f>IFERROR(VLOOKUP(F411,#REF!,12,FALSE),"")</f>
        <v/>
      </c>
      <c r="Q411" s="622" t="s">
        <v>8</v>
      </c>
      <c r="R411" s="107" t="str">
        <f>IFERROR(VLOOKUP(F411,#REF!,14,FALSE),"")</f>
        <v/>
      </c>
      <c r="S411" s="65" t="str">
        <f t="shared" si="63"/>
        <v/>
      </c>
      <c r="U411" s="1728"/>
      <c r="V411" s="108">
        <f t="shared" si="59"/>
        <v>0</v>
      </c>
      <c r="W411" s="1768"/>
      <c r="X411" s="108"/>
    </row>
    <row r="412" spans="2:24" ht="16" thickBot="1" x14ac:dyDescent="0.25">
      <c r="B412" s="1652">
        <f>B405+1</f>
        <v>6</v>
      </c>
      <c r="C412" s="189">
        <v>43500</v>
      </c>
      <c r="D412" s="143" t="s">
        <v>38</v>
      </c>
      <c r="E412" s="144"/>
      <c r="F412" s="1463" t="s">
        <v>173</v>
      </c>
      <c r="G412" s="291">
        <v>4.673611111111111E-2</v>
      </c>
      <c r="H412" s="602">
        <v>11.6</v>
      </c>
      <c r="I412" s="309">
        <f t="shared" si="62"/>
        <v>4.028975095785441E-3</v>
      </c>
      <c r="J412" s="295">
        <v>132</v>
      </c>
      <c r="K412" s="1757"/>
      <c r="L412" s="792">
        <v>204</v>
      </c>
      <c r="M412" s="1595"/>
      <c r="N412" s="150">
        <f t="shared" ref="N412:N443" si="64">IFERROR((L412/67)/(1/(I412*24)/3.6),"")</f>
        <v>1.0598970663921772</v>
      </c>
      <c r="O412" s="576" t="s">
        <v>176</v>
      </c>
      <c r="P412" s="214" t="str">
        <f>IFERROR(VLOOKUP(F412,#REF!,12,FALSE),"")</f>
        <v/>
      </c>
      <c r="Q412" s="153" t="s">
        <v>8</v>
      </c>
      <c r="R412" s="32" t="str">
        <f>IFERROR(VLOOKUP(F412,#REF!,14,FALSE),"")</f>
        <v/>
      </c>
      <c r="S412" s="33">
        <f t="shared" si="63"/>
        <v>1.5454545454545454</v>
      </c>
      <c r="U412" s="1728"/>
      <c r="V412" s="215">
        <f t="shared" si="59"/>
        <v>0</v>
      </c>
      <c r="W412" s="1766"/>
      <c r="X412" s="215"/>
    </row>
    <row r="413" spans="2:24" x14ac:dyDescent="0.2">
      <c r="B413" s="1653" t="s">
        <v>142</v>
      </c>
      <c r="C413" s="161">
        <v>43501</v>
      </c>
      <c r="D413" s="162"/>
      <c r="E413" s="163"/>
      <c r="F413" s="1464"/>
      <c r="G413" s="298"/>
      <c r="H413" s="299" t="str">
        <f>IFERROR(VLOOKUP(F413,#REF!,10,FALSE),"")</f>
        <v/>
      </c>
      <c r="I413" s="310" t="str">
        <f t="shared" si="62"/>
        <v/>
      </c>
      <c r="J413" s="252"/>
      <c r="K413" s="1757"/>
      <c r="L413" s="1568"/>
      <c r="M413" s="1591"/>
      <c r="N413" s="158" t="str">
        <f t="shared" si="64"/>
        <v/>
      </c>
      <c r="O413" s="577"/>
      <c r="P413" s="93" t="str">
        <f>IFERROR(VLOOKUP(F413,#REF!,12,FALSE),"")</f>
        <v/>
      </c>
      <c r="Q413" s="94" t="s">
        <v>8</v>
      </c>
      <c r="R413" s="46" t="str">
        <f>IFERROR(VLOOKUP(F413,#REF!,14,FALSE),"")</f>
        <v/>
      </c>
      <c r="S413" s="47" t="str">
        <f t="shared" si="63"/>
        <v/>
      </c>
      <c r="U413" s="1728"/>
      <c r="V413" s="160">
        <f t="shared" si="59"/>
        <v>0</v>
      </c>
      <c r="W413" s="1767"/>
      <c r="X413" s="160"/>
    </row>
    <row r="414" spans="2:24" ht="16" thickBot="1" x14ac:dyDescent="0.25">
      <c r="B414" s="1654">
        <f>SUM(H412:H418)</f>
        <v>49.489999999999995</v>
      </c>
      <c r="C414" s="161">
        <v>43502</v>
      </c>
      <c r="D414" s="49" t="s">
        <v>39</v>
      </c>
      <c r="E414" s="156"/>
      <c r="F414" s="1464" t="s">
        <v>173</v>
      </c>
      <c r="G414" s="298">
        <v>4.3831018518518512E-2</v>
      </c>
      <c r="H414" s="299">
        <v>11.52</v>
      </c>
      <c r="I414" s="310">
        <f t="shared" si="62"/>
        <v>3.8047759130658432E-3</v>
      </c>
      <c r="J414" s="252">
        <v>136</v>
      </c>
      <c r="K414" s="1757"/>
      <c r="L414" s="1568">
        <v>216</v>
      </c>
      <c r="M414" s="1591"/>
      <c r="N414" s="158">
        <f t="shared" si="64"/>
        <v>1.0597947761194029</v>
      </c>
      <c r="O414" s="577" t="s">
        <v>176</v>
      </c>
      <c r="P414" s="93" t="str">
        <f>IFERROR(VLOOKUP(F414,#REF!,12,FALSE),"")</f>
        <v/>
      </c>
      <c r="Q414" s="94" t="s">
        <v>8</v>
      </c>
      <c r="R414" s="46" t="str">
        <f>IFERROR(VLOOKUP(F414,#REF!,14,FALSE),"")</f>
        <v/>
      </c>
      <c r="S414" s="47">
        <f t="shared" si="63"/>
        <v>1.588235294117647</v>
      </c>
      <c r="U414" s="1728"/>
      <c r="V414" s="160">
        <f t="shared" si="59"/>
        <v>0</v>
      </c>
      <c r="W414" s="1767"/>
      <c r="X414" s="160"/>
    </row>
    <row r="415" spans="2:24" x14ac:dyDescent="0.2">
      <c r="B415" s="1655" t="s">
        <v>144</v>
      </c>
      <c r="C415" s="161">
        <v>43503</v>
      </c>
      <c r="D415" s="49"/>
      <c r="E415" s="156"/>
      <c r="F415" s="1464"/>
      <c r="G415" s="298"/>
      <c r="H415" s="299" t="str">
        <f>IFERROR(VLOOKUP(F415,#REF!,10,FALSE),"")</f>
        <v/>
      </c>
      <c r="I415" s="310" t="str">
        <f t="shared" si="62"/>
        <v/>
      </c>
      <c r="J415" s="252"/>
      <c r="K415" s="1757"/>
      <c r="L415" s="1568"/>
      <c r="M415" s="1591"/>
      <c r="N415" s="158" t="str">
        <f t="shared" si="64"/>
        <v/>
      </c>
      <c r="O415" s="577"/>
      <c r="P415" s="93" t="str">
        <f>IFERROR(VLOOKUP(F415,#REF!,12,FALSE),"")</f>
        <v/>
      </c>
      <c r="Q415" s="94" t="s">
        <v>8</v>
      </c>
      <c r="R415" s="46" t="str">
        <f>IFERROR(VLOOKUP(F415,#REF!,14,FALSE),"")</f>
        <v/>
      </c>
      <c r="S415" s="47" t="str">
        <f t="shared" si="63"/>
        <v/>
      </c>
      <c r="U415" s="1728"/>
      <c r="V415" s="160">
        <f t="shared" si="59"/>
        <v>0</v>
      </c>
      <c r="W415" s="1767"/>
      <c r="X415" s="160"/>
    </row>
    <row r="416" spans="2:24" ht="16" thickBot="1" x14ac:dyDescent="0.25">
      <c r="B416" s="1656" t="e">
        <f>SUM(#REF!)</f>
        <v>#REF!</v>
      </c>
      <c r="C416" s="161">
        <v>43504</v>
      </c>
      <c r="D416" s="49" t="s">
        <v>40</v>
      </c>
      <c r="E416" s="156"/>
      <c r="F416" s="1464" t="s">
        <v>161</v>
      </c>
      <c r="G416" s="298">
        <v>4.5231481481481484E-2</v>
      </c>
      <c r="H416" s="299">
        <v>12.2</v>
      </c>
      <c r="I416" s="310">
        <f t="shared" si="62"/>
        <v>3.7074984820886464E-3</v>
      </c>
      <c r="J416" s="252">
        <v>144</v>
      </c>
      <c r="K416" s="1757"/>
      <c r="L416" s="1568">
        <v>216</v>
      </c>
      <c r="M416" s="1591"/>
      <c r="N416" s="158">
        <f t="shared" si="64"/>
        <v>1.0326988010765845</v>
      </c>
      <c r="O416" s="577" t="s">
        <v>175</v>
      </c>
      <c r="P416" s="93" t="str">
        <f>IFERROR(VLOOKUP(F416,#REF!,12,FALSE),"")</f>
        <v/>
      </c>
      <c r="Q416" s="94" t="s">
        <v>8</v>
      </c>
      <c r="R416" s="46" t="str">
        <f>IFERROR(VLOOKUP(F416,#REF!,14,FALSE),"")</f>
        <v/>
      </c>
      <c r="S416" s="47">
        <f t="shared" si="63"/>
        <v>1.5</v>
      </c>
      <c r="U416" s="1728"/>
      <c r="V416" s="160">
        <f t="shared" si="59"/>
        <v>0</v>
      </c>
      <c r="W416" s="1767"/>
      <c r="X416" s="160"/>
    </row>
    <row r="417" spans="2:24" x14ac:dyDescent="0.2">
      <c r="B417" s="1657" t="s">
        <v>256</v>
      </c>
      <c r="C417" s="161">
        <v>43505</v>
      </c>
      <c r="D417" s="49"/>
      <c r="E417" s="156"/>
      <c r="F417" s="1464"/>
      <c r="G417" s="298"/>
      <c r="H417" s="299" t="str">
        <f>IFERROR(VLOOKUP(F417,#REF!,10,FALSE),"")</f>
        <v/>
      </c>
      <c r="I417" s="310" t="str">
        <f t="shared" si="62"/>
        <v/>
      </c>
      <c r="J417" s="252"/>
      <c r="K417" s="1757"/>
      <c r="L417" s="1568"/>
      <c r="M417" s="1591"/>
      <c r="N417" s="158" t="str">
        <f t="shared" si="64"/>
        <v/>
      </c>
      <c r="O417" s="577"/>
      <c r="P417" s="93" t="str">
        <f>IFERROR(VLOOKUP(F417,#REF!,12,FALSE),"")</f>
        <v/>
      </c>
      <c r="Q417" s="94" t="s">
        <v>8</v>
      </c>
      <c r="R417" s="46" t="str">
        <f>IFERROR(VLOOKUP(F417,#REF!,14,FALSE),"")</f>
        <v/>
      </c>
      <c r="S417" s="47" t="str">
        <f t="shared" si="63"/>
        <v/>
      </c>
      <c r="U417" s="1728"/>
      <c r="V417" s="160">
        <f t="shared" si="59"/>
        <v>0</v>
      </c>
      <c r="W417" s="1767"/>
      <c r="X417" s="160"/>
    </row>
    <row r="418" spans="2:24" ht="16" thickBot="1" x14ac:dyDescent="0.25">
      <c r="B418" s="1658" t="e">
        <f>AVERAGE(#REF!)</f>
        <v>#REF!</v>
      </c>
      <c r="C418" s="207">
        <v>43506</v>
      </c>
      <c r="D418" s="67" t="s">
        <v>41</v>
      </c>
      <c r="E418" s="208"/>
      <c r="F418" s="1465" t="s">
        <v>150</v>
      </c>
      <c r="G418" s="302">
        <v>5.5358796296296288E-2</v>
      </c>
      <c r="H418" s="303">
        <v>14.17</v>
      </c>
      <c r="I418" s="311">
        <f t="shared" si="62"/>
        <v>3.9067605007971976E-3</v>
      </c>
      <c r="J418" s="262">
        <v>128</v>
      </c>
      <c r="K418" s="1757"/>
      <c r="L418" s="1569">
        <v>212</v>
      </c>
      <c r="M418" s="1592"/>
      <c r="N418" s="172">
        <f t="shared" si="64"/>
        <v>1.0680500110597329</v>
      </c>
      <c r="O418" s="578" t="s">
        <v>252</v>
      </c>
      <c r="P418" s="174" t="str">
        <f>IFERROR(VLOOKUP(F418,#REF!,12,FALSE),"")</f>
        <v/>
      </c>
      <c r="Q418" s="175" t="s">
        <v>8</v>
      </c>
      <c r="R418" s="64" t="str">
        <f>IFERROR(VLOOKUP(F418,#REF!,14,FALSE),"")</f>
        <v/>
      </c>
      <c r="S418" s="65">
        <f t="shared" si="63"/>
        <v>1.65625</v>
      </c>
      <c r="U418" s="1728"/>
      <c r="V418" s="176">
        <f t="shared" si="59"/>
        <v>0</v>
      </c>
      <c r="W418" s="1768"/>
      <c r="X418" s="176"/>
    </row>
    <row r="419" spans="2:24" ht="16" thickBot="1" x14ac:dyDescent="0.25">
      <c r="B419" s="1652">
        <f>B412+1</f>
        <v>7</v>
      </c>
      <c r="C419" s="193">
        <v>43507</v>
      </c>
      <c r="D419" s="70"/>
      <c r="E419" s="71"/>
      <c r="F419" s="1466"/>
      <c r="G419" s="559"/>
      <c r="H419" s="560" t="str">
        <f>IFERROR(VLOOKUP(F419,#REF!,10,FALSE),"")</f>
        <v/>
      </c>
      <c r="I419" s="179" t="str">
        <f t="shared" si="62"/>
        <v/>
      </c>
      <c r="J419" s="269"/>
      <c r="K419" s="1757"/>
      <c r="L419" s="270"/>
      <c r="M419" s="1593"/>
      <c r="N419" s="77" t="str">
        <f t="shared" si="64"/>
        <v/>
      </c>
      <c r="O419" s="561"/>
      <c r="P419" s="224" t="str">
        <f>IFERROR(VLOOKUP(F419,#REF!,12,FALSE),"")</f>
        <v/>
      </c>
      <c r="Q419" s="80" t="s">
        <v>8</v>
      </c>
      <c r="R419" s="80" t="str">
        <f>IFERROR(VLOOKUP(F419,#REF!,14,FALSE),"")</f>
        <v/>
      </c>
      <c r="S419" s="33" t="str">
        <f t="shared" si="63"/>
        <v/>
      </c>
      <c r="U419" s="1728"/>
      <c r="V419" s="225">
        <f t="shared" si="59"/>
        <v>0</v>
      </c>
      <c r="W419" s="1766"/>
      <c r="X419" s="225"/>
    </row>
    <row r="420" spans="2:24" x14ac:dyDescent="0.2">
      <c r="B420" s="1653" t="s">
        <v>142</v>
      </c>
      <c r="C420" s="603">
        <v>43508</v>
      </c>
      <c r="D420" s="604" t="s">
        <v>42</v>
      </c>
      <c r="E420" s="605"/>
      <c r="F420" s="1470" t="s">
        <v>174</v>
      </c>
      <c r="G420" s="606">
        <v>3.5092592592592592E-2</v>
      </c>
      <c r="H420" s="607">
        <v>10.4</v>
      </c>
      <c r="I420" s="608">
        <f t="shared" si="62"/>
        <v>3.3742877492877492E-3</v>
      </c>
      <c r="J420" s="609">
        <v>149</v>
      </c>
      <c r="K420" s="1757"/>
      <c r="L420" s="1568">
        <v>235</v>
      </c>
      <c r="M420" s="1591"/>
      <c r="N420" s="610">
        <f t="shared" si="64"/>
        <v>1.0225602755453502</v>
      </c>
      <c r="O420" s="611" t="s">
        <v>175</v>
      </c>
      <c r="P420" s="612" t="str">
        <f>IFERROR(VLOOKUP(F420,#REF!,12,FALSE),"")</f>
        <v/>
      </c>
      <c r="Q420" s="230" t="s">
        <v>8</v>
      </c>
      <c r="R420" s="46" t="str">
        <f>IFERROR(VLOOKUP(F420,#REF!,14,FALSE),"")</f>
        <v/>
      </c>
      <c r="S420" s="47">
        <f t="shared" si="63"/>
        <v>1.5771812080536913</v>
      </c>
      <c r="U420" s="1728"/>
      <c r="V420" s="48">
        <f t="shared" si="59"/>
        <v>0</v>
      </c>
      <c r="W420" s="1767"/>
      <c r="X420" s="48"/>
    </row>
    <row r="421" spans="2:24" ht="16" thickBot="1" x14ac:dyDescent="0.25">
      <c r="B421" s="1654">
        <f>SUM(H419:H425)</f>
        <v>46.07</v>
      </c>
      <c r="C421" s="161">
        <v>43509</v>
      </c>
      <c r="D421" s="604" t="s">
        <v>43</v>
      </c>
      <c r="E421" s="605"/>
      <c r="F421" s="1470" t="s">
        <v>173</v>
      </c>
      <c r="G421" s="606">
        <v>4.3912037037037034E-2</v>
      </c>
      <c r="H421" s="607">
        <v>11.6</v>
      </c>
      <c r="I421" s="608">
        <f t="shared" si="62"/>
        <v>3.7855204342273309E-3</v>
      </c>
      <c r="J421" s="609">
        <v>134</v>
      </c>
      <c r="K421" s="1757"/>
      <c r="L421" s="1568">
        <v>217</v>
      </c>
      <c r="M421" s="1591"/>
      <c r="N421" s="610">
        <f t="shared" si="64"/>
        <v>1.0593129181677816</v>
      </c>
      <c r="O421" s="611" t="s">
        <v>251</v>
      </c>
      <c r="P421" s="612" t="str">
        <f>IFERROR(VLOOKUP(F421,#REF!,12,FALSE),"")</f>
        <v/>
      </c>
      <c r="Q421" s="230" t="s">
        <v>8</v>
      </c>
      <c r="R421" s="46" t="str">
        <f>IFERROR(VLOOKUP(F421,#REF!,14,FALSE),"")</f>
        <v/>
      </c>
      <c r="S421" s="47">
        <f t="shared" si="63"/>
        <v>1.6194029850746268</v>
      </c>
      <c r="U421" s="1728"/>
      <c r="V421" s="48">
        <f t="shared" si="59"/>
        <v>0</v>
      </c>
      <c r="W421" s="1767"/>
      <c r="X421" s="48"/>
    </row>
    <row r="422" spans="2:24" x14ac:dyDescent="0.2">
      <c r="B422" s="1655" t="s">
        <v>144</v>
      </c>
      <c r="C422" s="161">
        <v>43510</v>
      </c>
      <c r="D422" s="604"/>
      <c r="E422" s="605"/>
      <c r="F422" s="1470"/>
      <c r="G422" s="606"/>
      <c r="H422" s="607" t="str">
        <f>IFERROR(VLOOKUP(F422,#REF!,10,FALSE),"")</f>
        <v/>
      </c>
      <c r="I422" s="608" t="str">
        <f t="shared" si="62"/>
        <v/>
      </c>
      <c r="J422" s="609"/>
      <c r="K422" s="1757"/>
      <c r="L422" s="1568"/>
      <c r="M422" s="1591"/>
      <c r="N422" s="610" t="str">
        <f t="shared" si="64"/>
        <v/>
      </c>
      <c r="O422" s="611"/>
      <c r="P422" s="612" t="str">
        <f>IFERROR(VLOOKUP(F422,#REF!,12,FALSE),"")</f>
        <v/>
      </c>
      <c r="Q422" s="230" t="s">
        <v>8</v>
      </c>
      <c r="R422" s="46" t="str">
        <f>IFERROR(VLOOKUP(F422,#REF!,14,FALSE),"")</f>
        <v/>
      </c>
      <c r="S422" s="47" t="str">
        <f t="shared" si="63"/>
        <v/>
      </c>
      <c r="U422" s="1728"/>
      <c r="V422" s="48">
        <f t="shared" si="59"/>
        <v>0</v>
      </c>
      <c r="W422" s="1767"/>
      <c r="X422" s="48"/>
    </row>
    <row r="423" spans="2:24" ht="16" thickBot="1" x14ac:dyDescent="0.25">
      <c r="B423" s="1656" t="e">
        <f>SUM(#REF!)</f>
        <v>#REF!</v>
      </c>
      <c r="C423" s="161">
        <v>43511</v>
      </c>
      <c r="D423" s="604" t="s">
        <v>44</v>
      </c>
      <c r="E423" s="605"/>
      <c r="F423" s="1470" t="s">
        <v>286</v>
      </c>
      <c r="G423" s="606">
        <v>3.0486111111111113E-2</v>
      </c>
      <c r="H423" s="607">
        <v>9.5399999999999991</v>
      </c>
      <c r="I423" s="608">
        <f t="shared" si="62"/>
        <v>3.1956091311437229E-3</v>
      </c>
      <c r="J423" s="609">
        <v>152</v>
      </c>
      <c r="K423" s="1757"/>
      <c r="L423" s="1568">
        <v>249</v>
      </c>
      <c r="M423" s="1591"/>
      <c r="N423" s="610">
        <f t="shared" si="64"/>
        <v>1.0261053224443821</v>
      </c>
      <c r="O423" s="611" t="s">
        <v>175</v>
      </c>
      <c r="P423" s="612" t="str">
        <f>IFERROR(VLOOKUP(F423,#REF!,12,FALSE),"")</f>
        <v/>
      </c>
      <c r="Q423" s="230" t="s">
        <v>8</v>
      </c>
      <c r="R423" s="46" t="str">
        <f>IFERROR(VLOOKUP(F423,#REF!,14,FALSE),"")</f>
        <v/>
      </c>
      <c r="S423" s="47">
        <f t="shared" si="63"/>
        <v>1.638157894736842</v>
      </c>
      <c r="U423" s="1728"/>
      <c r="V423" s="48">
        <f t="shared" si="59"/>
        <v>0</v>
      </c>
      <c r="W423" s="1767"/>
      <c r="X423" s="48"/>
    </row>
    <row r="424" spans="2:24" x14ac:dyDescent="0.2">
      <c r="B424" s="1657" t="s">
        <v>256</v>
      </c>
      <c r="C424" s="161">
        <v>43512</v>
      </c>
      <c r="D424" s="604"/>
      <c r="E424" s="605"/>
      <c r="F424" s="1470"/>
      <c r="G424" s="606"/>
      <c r="H424" s="607" t="str">
        <f>IFERROR(VLOOKUP(F424,#REF!,10,FALSE),"")</f>
        <v/>
      </c>
      <c r="I424" s="608" t="str">
        <f t="shared" si="62"/>
        <v/>
      </c>
      <c r="J424" s="609"/>
      <c r="K424" s="1757"/>
      <c r="L424" s="1568"/>
      <c r="M424" s="1591"/>
      <c r="N424" s="610" t="str">
        <f t="shared" si="64"/>
        <v/>
      </c>
      <c r="O424" s="611"/>
      <c r="P424" s="612" t="str">
        <f>IFERROR(VLOOKUP(F424,#REF!,12,FALSE),"")</f>
        <v/>
      </c>
      <c r="Q424" s="230" t="s">
        <v>8</v>
      </c>
      <c r="R424" s="46" t="str">
        <f>IFERROR(VLOOKUP(F424,#REF!,14,FALSE),"")</f>
        <v/>
      </c>
      <c r="S424" s="47" t="str">
        <f t="shared" si="63"/>
        <v/>
      </c>
      <c r="U424" s="1728"/>
      <c r="V424" s="48">
        <f t="shared" si="59"/>
        <v>0</v>
      </c>
      <c r="W424" s="1767"/>
      <c r="X424" s="48"/>
    </row>
    <row r="425" spans="2:24" ht="16" thickBot="1" x14ac:dyDescent="0.25">
      <c r="B425" s="1658" t="e">
        <f>AVERAGE(#REF!)</f>
        <v>#REF!</v>
      </c>
      <c r="C425" s="613">
        <v>43513</v>
      </c>
      <c r="D425" s="589" t="s">
        <v>45</v>
      </c>
      <c r="E425" s="614"/>
      <c r="F425" s="1471" t="s">
        <v>150</v>
      </c>
      <c r="G425" s="615">
        <v>5.5381944444444442E-2</v>
      </c>
      <c r="H425" s="624">
        <v>14.53</v>
      </c>
      <c r="I425" s="625">
        <f t="shared" si="62"/>
        <v>3.8115584614208152E-3</v>
      </c>
      <c r="J425" s="626">
        <v>132</v>
      </c>
      <c r="K425" s="1757"/>
      <c r="L425" s="1570">
        <v>216</v>
      </c>
      <c r="M425" s="1594"/>
      <c r="N425" s="619">
        <f t="shared" si="64"/>
        <v>1.0616840094092512</v>
      </c>
      <c r="O425" s="620" t="s">
        <v>252</v>
      </c>
      <c r="P425" s="621" t="str">
        <f>IFERROR(VLOOKUP(F425,#REF!,12,FALSE),"")</f>
        <v/>
      </c>
      <c r="Q425" s="622" t="s">
        <v>8</v>
      </c>
      <c r="R425" s="107" t="str">
        <f>IFERROR(VLOOKUP(F425,#REF!,14,FALSE),"")</f>
        <v/>
      </c>
      <c r="S425" s="65">
        <f t="shared" si="63"/>
        <v>1.6363636363636365</v>
      </c>
      <c r="U425" s="1728"/>
      <c r="V425" s="108">
        <f t="shared" si="59"/>
        <v>0</v>
      </c>
      <c r="W425" s="1768"/>
      <c r="X425" s="108"/>
    </row>
    <row r="426" spans="2:24" ht="16" thickBot="1" x14ac:dyDescent="0.25">
      <c r="B426" s="1652">
        <f>B419+1</f>
        <v>8</v>
      </c>
      <c r="C426" s="189">
        <v>43514</v>
      </c>
      <c r="D426" s="143"/>
      <c r="E426" s="144"/>
      <c r="F426" s="1463"/>
      <c r="G426" s="291"/>
      <c r="H426" s="602" t="str">
        <f>IFERROR(VLOOKUP(F426,#REF!,10,FALSE),"")</f>
        <v/>
      </c>
      <c r="I426" s="309" t="str">
        <f t="shared" si="62"/>
        <v/>
      </c>
      <c r="J426" s="295"/>
      <c r="K426" s="1757"/>
      <c r="L426" s="792"/>
      <c r="M426" s="1595"/>
      <c r="N426" s="150" t="str">
        <f t="shared" si="64"/>
        <v/>
      </c>
      <c r="O426" s="576"/>
      <c r="P426" s="214" t="str">
        <f>IFERROR(VLOOKUP(F426,#REF!,12,FALSE),"")</f>
        <v/>
      </c>
      <c r="Q426" s="153" t="s">
        <v>8</v>
      </c>
      <c r="R426" s="32" t="str">
        <f>IFERROR(VLOOKUP(F426,#REF!,14,FALSE),"")</f>
        <v/>
      </c>
      <c r="S426" s="33" t="str">
        <f t="shared" si="63"/>
        <v/>
      </c>
      <c r="U426" s="1728"/>
      <c r="V426" s="215">
        <f t="shared" si="59"/>
        <v>0</v>
      </c>
      <c r="W426" s="1766"/>
      <c r="X426" s="215"/>
    </row>
    <row r="427" spans="2:24" x14ac:dyDescent="0.2">
      <c r="B427" s="1653" t="s">
        <v>142</v>
      </c>
      <c r="C427" s="161">
        <v>43515</v>
      </c>
      <c r="D427" s="49" t="s">
        <v>46</v>
      </c>
      <c r="E427" s="156"/>
      <c r="F427" s="1464" t="s">
        <v>143</v>
      </c>
      <c r="G427" s="298">
        <v>3.9120370370370368E-2</v>
      </c>
      <c r="H427" s="299">
        <v>10.5</v>
      </c>
      <c r="I427" s="310">
        <f t="shared" si="62"/>
        <v>3.7257495590828924E-3</v>
      </c>
      <c r="J427" s="252">
        <v>139</v>
      </c>
      <c r="K427" s="1757"/>
      <c r="L427" s="1568">
        <v>216</v>
      </c>
      <c r="M427" s="1591"/>
      <c r="N427" s="158">
        <f t="shared" si="64"/>
        <v>1.0377825159914713</v>
      </c>
      <c r="O427" s="577" t="s">
        <v>175</v>
      </c>
      <c r="P427" s="93" t="str">
        <f>IFERROR(VLOOKUP(F427,#REF!,12,FALSE),"")</f>
        <v/>
      </c>
      <c r="Q427" s="94" t="s">
        <v>8</v>
      </c>
      <c r="R427" s="46" t="str">
        <f>IFERROR(VLOOKUP(F427,#REF!,14,FALSE),"")</f>
        <v/>
      </c>
      <c r="S427" s="47">
        <f t="shared" si="63"/>
        <v>1.5539568345323742</v>
      </c>
      <c r="U427" s="1728"/>
      <c r="V427" s="160">
        <f t="shared" si="59"/>
        <v>0</v>
      </c>
      <c r="W427" s="1767"/>
      <c r="X427" s="160"/>
    </row>
    <row r="428" spans="2:24" ht="16" thickBot="1" x14ac:dyDescent="0.25">
      <c r="B428" s="1654">
        <f>SUM(H426:H432)</f>
        <v>46.739999999999995</v>
      </c>
      <c r="C428" s="161">
        <v>43516</v>
      </c>
      <c r="D428" s="49" t="s">
        <v>47</v>
      </c>
      <c r="E428" s="156"/>
      <c r="F428" s="1464" t="s">
        <v>173</v>
      </c>
      <c r="G428" s="298">
        <v>4.5405092592592594E-2</v>
      </c>
      <c r="H428" s="299">
        <v>11.62</v>
      </c>
      <c r="I428" s="310">
        <f t="shared" si="62"/>
        <v>3.9074950596034936E-3</v>
      </c>
      <c r="J428" s="252">
        <v>128</v>
      </c>
      <c r="K428" s="1757"/>
      <c r="L428" s="1568">
        <v>212</v>
      </c>
      <c r="M428" s="1591"/>
      <c r="N428" s="158">
        <f t="shared" si="64"/>
        <v>1.0682508284738099</v>
      </c>
      <c r="O428" s="577" t="s">
        <v>251</v>
      </c>
      <c r="P428" s="93" t="str">
        <f>IFERROR(VLOOKUP(F428,#REF!,12,FALSE),"")</f>
        <v/>
      </c>
      <c r="Q428" s="94" t="s">
        <v>8</v>
      </c>
      <c r="R428" s="46" t="str">
        <f>IFERROR(VLOOKUP(F428,#REF!,14,FALSE),"")</f>
        <v/>
      </c>
      <c r="S428" s="47">
        <f t="shared" si="63"/>
        <v>1.65625</v>
      </c>
      <c r="U428" s="1728"/>
      <c r="V428" s="160">
        <f t="shared" si="59"/>
        <v>0</v>
      </c>
      <c r="W428" s="1767"/>
      <c r="X428" s="160"/>
    </row>
    <row r="429" spans="2:24" x14ac:dyDescent="0.2">
      <c r="B429" s="1655" t="s">
        <v>144</v>
      </c>
      <c r="C429" s="161">
        <v>43517</v>
      </c>
      <c r="D429" s="49"/>
      <c r="E429" s="156"/>
      <c r="F429" s="1464"/>
      <c r="G429" s="298"/>
      <c r="H429" s="299" t="str">
        <f>IFERROR(VLOOKUP(F429,#REF!,10,FALSE),"")</f>
        <v/>
      </c>
      <c r="I429" s="310" t="str">
        <f t="shared" si="62"/>
        <v/>
      </c>
      <c r="J429" s="252"/>
      <c r="K429" s="1757"/>
      <c r="L429" s="1568"/>
      <c r="M429" s="1591"/>
      <c r="N429" s="158" t="str">
        <f t="shared" si="64"/>
        <v/>
      </c>
      <c r="O429" s="577"/>
      <c r="P429" s="93" t="str">
        <f>IFERROR(VLOOKUP(F429,#REF!,12,FALSE),"")</f>
        <v/>
      </c>
      <c r="Q429" s="94" t="s">
        <v>8</v>
      </c>
      <c r="R429" s="46" t="str">
        <f>IFERROR(VLOOKUP(F429,#REF!,14,FALSE),"")</f>
        <v/>
      </c>
      <c r="S429" s="47" t="str">
        <f t="shared" si="63"/>
        <v/>
      </c>
      <c r="U429" s="1728"/>
      <c r="V429" s="160">
        <f t="shared" si="59"/>
        <v>0</v>
      </c>
      <c r="W429" s="1767"/>
      <c r="X429" s="160"/>
    </row>
    <row r="430" spans="2:24" ht="16" thickBot="1" x14ac:dyDescent="0.25">
      <c r="B430" s="1656" t="e">
        <f>SUM(#REF!)</f>
        <v>#REF!</v>
      </c>
      <c r="C430" s="161">
        <v>43518</v>
      </c>
      <c r="D430" s="49" t="s">
        <v>48</v>
      </c>
      <c r="E430" s="156"/>
      <c r="F430" s="1464" t="s">
        <v>148</v>
      </c>
      <c r="G430" s="298">
        <v>4.2615740740740739E-2</v>
      </c>
      <c r="H430" s="299">
        <v>10.6</v>
      </c>
      <c r="I430" s="310">
        <f t="shared" si="62"/>
        <v>4.0203529000698811E-3</v>
      </c>
      <c r="J430" s="252">
        <v>135</v>
      </c>
      <c r="K430" s="1757"/>
      <c r="L430" s="1568">
        <v>206</v>
      </c>
      <c r="M430" s="1591"/>
      <c r="N430" s="158">
        <f t="shared" si="64"/>
        <v>1.0679977471134892</v>
      </c>
      <c r="O430" s="577" t="s">
        <v>253</v>
      </c>
      <c r="P430" s="93" t="str">
        <f>IFERROR(VLOOKUP(F430,#REF!,12,FALSE),"")</f>
        <v/>
      </c>
      <c r="Q430" s="94" t="s">
        <v>8</v>
      </c>
      <c r="R430" s="46" t="str">
        <f>IFERROR(VLOOKUP(F430,#REF!,14,FALSE),"")</f>
        <v/>
      </c>
      <c r="S430" s="47">
        <f t="shared" si="63"/>
        <v>1.5259259259259259</v>
      </c>
      <c r="U430" s="1728"/>
      <c r="V430" s="160">
        <f t="shared" si="59"/>
        <v>0</v>
      </c>
      <c r="W430" s="1767"/>
      <c r="X430" s="160"/>
    </row>
    <row r="431" spans="2:24" x14ac:dyDescent="0.2">
      <c r="B431" s="1657" t="s">
        <v>256</v>
      </c>
      <c r="C431" s="161">
        <v>43519</v>
      </c>
      <c r="D431" s="49"/>
      <c r="E431" s="156"/>
      <c r="F431" s="1464"/>
      <c r="G431" s="298"/>
      <c r="H431" s="299" t="str">
        <f>IFERROR(VLOOKUP(F431,#REF!,10,FALSE),"")</f>
        <v/>
      </c>
      <c r="I431" s="310" t="str">
        <f t="shared" si="62"/>
        <v/>
      </c>
      <c r="J431" s="252"/>
      <c r="K431" s="1757"/>
      <c r="L431" s="1568"/>
      <c r="M431" s="1591"/>
      <c r="N431" s="158" t="str">
        <f t="shared" si="64"/>
        <v/>
      </c>
      <c r="O431" s="577"/>
      <c r="P431" s="93" t="str">
        <f>IFERROR(VLOOKUP(F431,#REF!,12,FALSE),"")</f>
        <v/>
      </c>
      <c r="Q431" s="94" t="s">
        <v>8</v>
      </c>
      <c r="R431" s="46" t="str">
        <f>IFERROR(VLOOKUP(F431,#REF!,14,FALSE),"")</f>
        <v/>
      </c>
      <c r="S431" s="47" t="str">
        <f t="shared" si="63"/>
        <v/>
      </c>
      <c r="U431" s="1728"/>
      <c r="V431" s="160">
        <f t="shared" si="59"/>
        <v>0</v>
      </c>
      <c r="W431" s="1767"/>
      <c r="X431" s="160"/>
    </row>
    <row r="432" spans="2:24" ht="16" thickBot="1" x14ac:dyDescent="0.25">
      <c r="B432" s="1658" t="e">
        <f>AVERAGE(#REF!)</f>
        <v>#REF!</v>
      </c>
      <c r="C432" s="627">
        <v>43520</v>
      </c>
      <c r="D432" s="628" t="s">
        <v>49</v>
      </c>
      <c r="E432" s="629" t="s">
        <v>293</v>
      </c>
      <c r="F432" s="1472" t="s">
        <v>4</v>
      </c>
      <c r="G432" s="630">
        <v>4.0706018518518523E-2</v>
      </c>
      <c r="H432" s="631">
        <v>14.02</v>
      </c>
      <c r="I432" s="632">
        <f t="shared" si="62"/>
        <v>2.9034250013208647E-3</v>
      </c>
      <c r="J432" s="633">
        <v>165</v>
      </c>
      <c r="K432" s="1757"/>
      <c r="L432" s="1574">
        <v>273</v>
      </c>
      <c r="M432" s="1599"/>
      <c r="N432" s="634">
        <f t="shared" si="64"/>
        <v>1.0221442715097837</v>
      </c>
      <c r="O432" s="635" t="s">
        <v>175</v>
      </c>
      <c r="P432" s="636" t="str">
        <f>IFERROR(VLOOKUP(F432,#REF!,12,FALSE),"")</f>
        <v/>
      </c>
      <c r="Q432" s="637" t="s">
        <v>8</v>
      </c>
      <c r="R432" s="638" t="str">
        <f>IFERROR(VLOOKUP(F432,#REF!,14,FALSE),"")</f>
        <v/>
      </c>
      <c r="S432" s="65">
        <f t="shared" si="63"/>
        <v>1.6545454545454545</v>
      </c>
      <c r="U432" s="1728"/>
      <c r="V432" s="176">
        <f t="shared" si="59"/>
        <v>0</v>
      </c>
      <c r="W432" s="1768"/>
      <c r="X432" s="176"/>
    </row>
    <row r="433" spans="2:24" ht="16" thickBot="1" x14ac:dyDescent="0.25">
      <c r="B433" s="1652">
        <f>B426+1</f>
        <v>9</v>
      </c>
      <c r="C433" s="193">
        <v>43521</v>
      </c>
      <c r="D433" s="70"/>
      <c r="E433" s="71"/>
      <c r="F433" s="1466"/>
      <c r="G433" s="559"/>
      <c r="H433" s="560" t="str">
        <f>IFERROR(VLOOKUP(F433,#REF!,10,FALSE),"")</f>
        <v/>
      </c>
      <c r="I433" s="179" t="str">
        <f t="shared" si="62"/>
        <v/>
      </c>
      <c r="J433" s="269"/>
      <c r="K433" s="1757"/>
      <c r="L433" s="270"/>
      <c r="M433" s="1593"/>
      <c r="N433" s="77" t="str">
        <f t="shared" si="64"/>
        <v/>
      </c>
      <c r="O433" s="561"/>
      <c r="P433" s="224" t="str">
        <f>IFERROR(VLOOKUP(F433,#REF!,12,FALSE),"")</f>
        <v/>
      </c>
      <c r="Q433" s="80" t="s">
        <v>8</v>
      </c>
      <c r="R433" s="80" t="str">
        <f>IFERROR(VLOOKUP(F433,#REF!,14,FALSE),"")</f>
        <v/>
      </c>
      <c r="S433" s="33" t="str">
        <f t="shared" si="63"/>
        <v/>
      </c>
      <c r="U433" s="1728"/>
      <c r="V433" s="225">
        <f t="shared" si="59"/>
        <v>0</v>
      </c>
      <c r="W433" s="1766"/>
      <c r="X433" s="225"/>
    </row>
    <row r="434" spans="2:24" x14ac:dyDescent="0.2">
      <c r="B434" s="1653" t="s">
        <v>142</v>
      </c>
      <c r="C434" s="603">
        <v>43522</v>
      </c>
      <c r="D434" s="604"/>
      <c r="E434" s="605"/>
      <c r="F434" s="1470"/>
      <c r="G434" s="606"/>
      <c r="H434" s="607" t="str">
        <f>IFERROR(VLOOKUP(F434,#REF!,10,FALSE),"")</f>
        <v/>
      </c>
      <c r="I434" s="608" t="str">
        <f t="shared" si="62"/>
        <v/>
      </c>
      <c r="J434" s="609"/>
      <c r="K434" s="1757"/>
      <c r="L434" s="1568"/>
      <c r="M434" s="1591"/>
      <c r="N434" s="610" t="str">
        <f t="shared" si="64"/>
        <v/>
      </c>
      <c r="O434" s="611"/>
      <c r="P434" s="612" t="str">
        <f>IFERROR(VLOOKUP(F434,#REF!,12,FALSE),"")</f>
        <v/>
      </c>
      <c r="Q434" s="230" t="s">
        <v>8</v>
      </c>
      <c r="R434" s="46" t="str">
        <f>IFERROR(VLOOKUP(F434,#REF!,14,FALSE),"")</f>
        <v/>
      </c>
      <c r="S434" s="47" t="str">
        <f t="shared" si="63"/>
        <v/>
      </c>
      <c r="U434" s="1728"/>
      <c r="V434" s="48">
        <f t="shared" si="59"/>
        <v>0</v>
      </c>
      <c r="W434" s="1767"/>
      <c r="X434" s="48"/>
    </row>
    <row r="435" spans="2:24" ht="16" thickBot="1" x14ac:dyDescent="0.25">
      <c r="B435" s="1654">
        <f>SUM(H433:H439)</f>
        <v>10.58</v>
      </c>
      <c r="C435" s="161">
        <v>43523</v>
      </c>
      <c r="D435" s="604" t="s">
        <v>50</v>
      </c>
      <c r="E435" s="605"/>
      <c r="F435" s="1470" t="s">
        <v>173</v>
      </c>
      <c r="G435" s="606">
        <v>4.1203703703703708E-2</v>
      </c>
      <c r="H435" s="607">
        <v>10.58</v>
      </c>
      <c r="I435" s="608">
        <f t="shared" si="62"/>
        <v>3.8944899530910875E-3</v>
      </c>
      <c r="J435" s="609">
        <v>128</v>
      </c>
      <c r="K435" s="1757"/>
      <c r="L435" s="1568">
        <v>213</v>
      </c>
      <c r="M435" s="1591"/>
      <c r="N435" s="610">
        <f t="shared" si="64"/>
        <v>1.0697175746974015</v>
      </c>
      <c r="O435" s="611" t="s">
        <v>251</v>
      </c>
      <c r="P435" s="612" t="str">
        <f>IFERROR(VLOOKUP(F435,#REF!,12,FALSE),"")</f>
        <v/>
      </c>
      <c r="Q435" s="230" t="s">
        <v>8</v>
      </c>
      <c r="R435" s="46" t="str">
        <f>IFERROR(VLOOKUP(F435,#REF!,14,FALSE),"")</f>
        <v/>
      </c>
      <c r="S435" s="47">
        <f t="shared" si="63"/>
        <v>1.6640625</v>
      </c>
      <c r="U435" s="1728"/>
      <c r="V435" s="48">
        <f t="shared" si="59"/>
        <v>0</v>
      </c>
      <c r="W435" s="1767"/>
      <c r="X435" s="48"/>
    </row>
    <row r="436" spans="2:24" x14ac:dyDescent="0.2">
      <c r="B436" s="1655" t="s">
        <v>144</v>
      </c>
      <c r="C436" s="161">
        <v>43524</v>
      </c>
      <c r="D436" s="604"/>
      <c r="E436" s="605"/>
      <c r="F436" s="1470"/>
      <c r="G436" s="606"/>
      <c r="H436" s="607" t="str">
        <f>IFERROR(VLOOKUP(F436,#REF!,10,FALSE),"")</f>
        <v/>
      </c>
      <c r="I436" s="608" t="str">
        <f t="shared" si="62"/>
        <v/>
      </c>
      <c r="J436" s="609"/>
      <c r="K436" s="1757"/>
      <c r="L436" s="1568"/>
      <c r="M436" s="1591"/>
      <c r="N436" s="610" t="str">
        <f t="shared" si="64"/>
        <v/>
      </c>
      <c r="O436" s="611"/>
      <c r="P436" s="612" t="str">
        <f>IFERROR(VLOOKUP(F436,#REF!,12,FALSE),"")</f>
        <v/>
      </c>
      <c r="Q436" s="230" t="s">
        <v>8</v>
      </c>
      <c r="R436" s="46" t="str">
        <f>IFERROR(VLOOKUP(F436,#REF!,14,FALSE),"")</f>
        <v/>
      </c>
      <c r="S436" s="47" t="str">
        <f t="shared" si="63"/>
        <v/>
      </c>
      <c r="U436" s="1728"/>
      <c r="V436" s="48">
        <f t="shared" si="59"/>
        <v>0</v>
      </c>
      <c r="W436" s="1767"/>
      <c r="X436" s="48"/>
    </row>
    <row r="437" spans="2:24" ht="16" thickBot="1" x14ac:dyDescent="0.25">
      <c r="B437" s="1656" t="e">
        <f>SUM(#REF!)</f>
        <v>#REF!</v>
      </c>
      <c r="C437" s="161">
        <v>43525</v>
      </c>
      <c r="D437" s="604"/>
      <c r="E437" s="605"/>
      <c r="F437" s="1470"/>
      <c r="G437" s="606"/>
      <c r="H437" s="607" t="str">
        <f>IFERROR(VLOOKUP(F437,#REF!,10,FALSE),"")</f>
        <v/>
      </c>
      <c r="I437" s="608" t="str">
        <f t="shared" si="62"/>
        <v/>
      </c>
      <c r="J437" s="609"/>
      <c r="K437" s="1757"/>
      <c r="L437" s="1568"/>
      <c r="M437" s="1591"/>
      <c r="N437" s="610" t="str">
        <f t="shared" si="64"/>
        <v/>
      </c>
      <c r="O437" s="611"/>
      <c r="P437" s="612" t="str">
        <f>IFERROR(VLOOKUP(F437,#REF!,12,FALSE),"")</f>
        <v/>
      </c>
      <c r="Q437" s="230" t="s">
        <v>8</v>
      </c>
      <c r="R437" s="46" t="str">
        <f>IFERROR(VLOOKUP(F437,#REF!,14,FALSE),"")</f>
        <v/>
      </c>
      <c r="S437" s="47" t="str">
        <f t="shared" si="63"/>
        <v/>
      </c>
      <c r="U437" s="1728"/>
      <c r="V437" s="48">
        <f t="shared" si="59"/>
        <v>0</v>
      </c>
      <c r="W437" s="1767"/>
      <c r="X437" s="48"/>
    </row>
    <row r="438" spans="2:24" x14ac:dyDescent="0.2">
      <c r="B438" s="1657" t="s">
        <v>256</v>
      </c>
      <c r="C438" s="161">
        <v>43526</v>
      </c>
      <c r="D438" s="604"/>
      <c r="E438" s="605"/>
      <c r="F438" s="1470"/>
      <c r="G438" s="606"/>
      <c r="H438" s="607" t="str">
        <f>IFERROR(VLOOKUP(F438,#REF!,10,FALSE),"")</f>
        <v/>
      </c>
      <c r="I438" s="608" t="str">
        <f t="shared" si="62"/>
        <v/>
      </c>
      <c r="J438" s="609"/>
      <c r="K438" s="1757"/>
      <c r="L438" s="1568"/>
      <c r="M438" s="1591"/>
      <c r="N438" s="610" t="str">
        <f t="shared" si="64"/>
        <v/>
      </c>
      <c r="O438" s="611"/>
      <c r="P438" s="612" t="str">
        <f>IFERROR(VLOOKUP(F438,#REF!,12,FALSE),"")</f>
        <v/>
      </c>
      <c r="Q438" s="230" t="s">
        <v>8</v>
      </c>
      <c r="R438" s="46" t="str">
        <f>IFERROR(VLOOKUP(F438,#REF!,14,FALSE),"")</f>
        <v/>
      </c>
      <c r="S438" s="47" t="str">
        <f t="shared" si="63"/>
        <v/>
      </c>
      <c r="U438" s="1728"/>
      <c r="V438" s="48">
        <f t="shared" si="59"/>
        <v>0</v>
      </c>
      <c r="W438" s="1767"/>
      <c r="X438" s="48"/>
    </row>
    <row r="439" spans="2:24" ht="16" thickBot="1" x14ac:dyDescent="0.25">
      <c r="B439" s="1658" t="e">
        <f>AVERAGE(#REF!)</f>
        <v>#REF!</v>
      </c>
      <c r="C439" s="613">
        <v>43527</v>
      </c>
      <c r="D439" s="589"/>
      <c r="E439" s="614"/>
      <c r="F439" s="1471"/>
      <c r="G439" s="615"/>
      <c r="H439" s="624" t="str">
        <f>IFERROR(VLOOKUP(F439,#REF!,10,FALSE),"")</f>
        <v/>
      </c>
      <c r="I439" s="625" t="str">
        <f t="shared" si="62"/>
        <v/>
      </c>
      <c r="J439" s="626"/>
      <c r="K439" s="1757"/>
      <c r="L439" s="1570"/>
      <c r="M439" s="1594"/>
      <c r="N439" s="639" t="str">
        <f t="shared" si="64"/>
        <v/>
      </c>
      <c r="O439" s="620"/>
      <c r="P439" s="621" t="str">
        <f>IFERROR(VLOOKUP(F439,#REF!,12,FALSE),"")</f>
        <v/>
      </c>
      <c r="Q439" s="622" t="s">
        <v>8</v>
      </c>
      <c r="R439" s="107" t="str">
        <f>IFERROR(VLOOKUP(F439,#REF!,14,FALSE),"")</f>
        <v/>
      </c>
      <c r="S439" s="65" t="str">
        <f t="shared" si="63"/>
        <v/>
      </c>
      <c r="U439" s="1728"/>
      <c r="V439" s="108">
        <f t="shared" si="59"/>
        <v>0</v>
      </c>
      <c r="W439" s="1768"/>
      <c r="X439" s="108"/>
    </row>
    <row r="440" spans="2:24" ht="16" thickBot="1" x14ac:dyDescent="0.25">
      <c r="B440" s="1652">
        <f>B433+1</f>
        <v>10</v>
      </c>
      <c r="C440" s="189">
        <v>43528</v>
      </c>
      <c r="D440" s="143"/>
      <c r="E440" s="144"/>
      <c r="F440" s="1463"/>
      <c r="G440" s="291"/>
      <c r="H440" s="602" t="str">
        <f>IFERROR(VLOOKUP(F440,#REF!,10,FALSE),"")</f>
        <v/>
      </c>
      <c r="I440" s="309" t="str">
        <f t="shared" si="62"/>
        <v/>
      </c>
      <c r="J440" s="295"/>
      <c r="K440" s="1757"/>
      <c r="L440" s="792"/>
      <c r="M440" s="1595"/>
      <c r="N440" s="150" t="str">
        <f t="shared" si="64"/>
        <v/>
      </c>
      <c r="O440" s="576"/>
      <c r="P440" s="214" t="str">
        <f>IFERROR(VLOOKUP(F440,#REF!,12,FALSE),"")</f>
        <v/>
      </c>
      <c r="Q440" s="153" t="s">
        <v>8</v>
      </c>
      <c r="R440" s="32" t="str">
        <f>IFERROR(VLOOKUP(F440,#REF!,14,FALSE),"")</f>
        <v/>
      </c>
      <c r="S440" s="33" t="str">
        <f t="shared" si="63"/>
        <v/>
      </c>
      <c r="U440" s="1728"/>
      <c r="V440" s="215">
        <f t="shared" si="59"/>
        <v>0</v>
      </c>
      <c r="W440" s="1766"/>
      <c r="X440" s="215"/>
    </row>
    <row r="441" spans="2:24" x14ac:dyDescent="0.2">
      <c r="B441" s="1653" t="s">
        <v>142</v>
      </c>
      <c r="C441" s="161">
        <v>43529</v>
      </c>
      <c r="D441" s="162" t="s">
        <v>51</v>
      </c>
      <c r="E441" s="163"/>
      <c r="F441" s="1464" t="s">
        <v>173</v>
      </c>
      <c r="G441" s="298">
        <v>4.4756944444444446E-2</v>
      </c>
      <c r="H441" s="299">
        <v>11.6</v>
      </c>
      <c r="I441" s="310">
        <f t="shared" si="62"/>
        <v>3.8583572796934869E-3</v>
      </c>
      <c r="J441" s="252">
        <v>137</v>
      </c>
      <c r="K441" s="1757"/>
      <c r="L441" s="1568">
        <v>215</v>
      </c>
      <c r="M441" s="1591"/>
      <c r="N441" s="158">
        <f t="shared" si="64"/>
        <v>1.0697439526505406</v>
      </c>
      <c r="O441" s="577" t="s">
        <v>251</v>
      </c>
      <c r="P441" s="93" t="str">
        <f>IFERROR(VLOOKUP(F441,#REF!,12,FALSE),"")</f>
        <v/>
      </c>
      <c r="Q441" s="94" t="s">
        <v>8</v>
      </c>
      <c r="R441" s="46" t="str">
        <f>IFERROR(VLOOKUP(F441,#REF!,14,FALSE),"")</f>
        <v/>
      </c>
      <c r="S441" s="47">
        <f t="shared" si="63"/>
        <v>1.5693430656934306</v>
      </c>
      <c r="U441" s="1728"/>
      <c r="V441" s="160">
        <f t="shared" si="59"/>
        <v>0</v>
      </c>
      <c r="W441" s="1767"/>
      <c r="X441" s="160"/>
    </row>
    <row r="442" spans="2:24" ht="16" thickBot="1" x14ac:dyDescent="0.25">
      <c r="B442" s="1654">
        <f>SUM(H440:H446)</f>
        <v>64.66</v>
      </c>
      <c r="C442" s="161">
        <v>43530</v>
      </c>
      <c r="D442" s="49" t="s">
        <v>52</v>
      </c>
      <c r="E442" s="156"/>
      <c r="F442" s="1464" t="s">
        <v>173</v>
      </c>
      <c r="G442" s="298">
        <v>4.3935185185185188E-2</v>
      </c>
      <c r="H442" s="299">
        <v>11.55</v>
      </c>
      <c r="I442" s="310">
        <f t="shared" si="62"/>
        <v>3.8039121372454706E-3</v>
      </c>
      <c r="J442" s="252">
        <v>139</v>
      </c>
      <c r="K442" s="1757"/>
      <c r="L442" s="1568">
        <v>219</v>
      </c>
      <c r="M442" s="1591"/>
      <c r="N442" s="158">
        <f t="shared" si="64"/>
        <v>1.0742702074045356</v>
      </c>
      <c r="O442" s="577" t="s">
        <v>251</v>
      </c>
      <c r="P442" s="93" t="str">
        <f>IFERROR(VLOOKUP(F442,#REF!,12,FALSE),"")</f>
        <v/>
      </c>
      <c r="Q442" s="94" t="s">
        <v>8</v>
      </c>
      <c r="R442" s="46" t="str">
        <f>IFERROR(VLOOKUP(F442,#REF!,14,FALSE),"")</f>
        <v/>
      </c>
      <c r="S442" s="47">
        <f t="shared" si="63"/>
        <v>1.5755395683453237</v>
      </c>
      <c r="U442" s="1728"/>
      <c r="V442" s="160">
        <f t="shared" ref="V442:V505" si="65">U441-T441</f>
        <v>0</v>
      </c>
      <c r="W442" s="1767"/>
      <c r="X442" s="160"/>
    </row>
    <row r="443" spans="2:24" x14ac:dyDescent="0.2">
      <c r="B443" s="1655" t="s">
        <v>144</v>
      </c>
      <c r="C443" s="161">
        <v>43531</v>
      </c>
      <c r="D443" s="49" t="s">
        <v>53</v>
      </c>
      <c r="E443" s="156"/>
      <c r="F443" s="1464" t="s">
        <v>263</v>
      </c>
      <c r="G443" s="298">
        <v>3.8240740740740742E-2</v>
      </c>
      <c r="H443" s="299">
        <v>10.02</v>
      </c>
      <c r="I443" s="310">
        <f t="shared" si="62"/>
        <v>3.8164411916906931E-3</v>
      </c>
      <c r="J443" s="252">
        <v>146</v>
      </c>
      <c r="K443" s="1757"/>
      <c r="L443" s="1568">
        <v>208</v>
      </c>
      <c r="M443" s="1591"/>
      <c r="N443" s="158">
        <f t="shared" si="64"/>
        <v>1.0236720588673403</v>
      </c>
      <c r="O443" s="577" t="s">
        <v>175</v>
      </c>
      <c r="P443" s="93" t="str">
        <f>IFERROR(VLOOKUP(F443,#REF!,12,FALSE),"")</f>
        <v/>
      </c>
      <c r="Q443" s="94" t="s">
        <v>8</v>
      </c>
      <c r="R443" s="46" t="str">
        <f>IFERROR(VLOOKUP(F443,#REF!,14,FALSE),"")</f>
        <v/>
      </c>
      <c r="S443" s="47">
        <f t="shared" si="63"/>
        <v>1.4246575342465753</v>
      </c>
      <c r="U443" s="1728"/>
      <c r="V443" s="160">
        <f t="shared" si="65"/>
        <v>0</v>
      </c>
      <c r="W443" s="1767"/>
      <c r="X443" s="160"/>
    </row>
    <row r="444" spans="2:24" ht="16" thickBot="1" x14ac:dyDescent="0.25">
      <c r="B444" s="1656" t="e">
        <f>SUM(#REF!)</f>
        <v>#REF!</v>
      </c>
      <c r="C444" s="161">
        <v>43532</v>
      </c>
      <c r="D444" s="49" t="s">
        <v>54</v>
      </c>
      <c r="E444" s="156"/>
      <c r="F444" s="1464" t="s">
        <v>148</v>
      </c>
      <c r="G444" s="298">
        <v>4.207175925925926E-2</v>
      </c>
      <c r="H444" s="299">
        <v>10.7</v>
      </c>
      <c r="I444" s="310">
        <f t="shared" si="62"/>
        <v>3.9319401176877815E-3</v>
      </c>
      <c r="J444" s="252">
        <v>135</v>
      </c>
      <c r="K444" s="1757"/>
      <c r="L444" s="1568">
        <v>213</v>
      </c>
      <c r="M444" s="1591"/>
      <c r="N444" s="158">
        <f t="shared" ref="N444:N475" si="66">IFERROR((L444/67)/(1/(I444*24)/3.6),"")</f>
        <v>1.0800041846840567</v>
      </c>
      <c r="O444" s="577" t="s">
        <v>176</v>
      </c>
      <c r="P444" s="93" t="str">
        <f>IFERROR(VLOOKUP(F444,#REF!,12,FALSE),"")</f>
        <v/>
      </c>
      <c r="Q444" s="94" t="s">
        <v>8</v>
      </c>
      <c r="R444" s="46" t="str">
        <f>IFERROR(VLOOKUP(F444,#REF!,14,FALSE),"")</f>
        <v/>
      </c>
      <c r="S444" s="47">
        <f t="shared" si="63"/>
        <v>1.5777777777777777</v>
      </c>
      <c r="U444" s="1728"/>
      <c r="V444" s="160">
        <f t="shared" si="65"/>
        <v>0</v>
      </c>
      <c r="W444" s="1767"/>
      <c r="X444" s="160"/>
    </row>
    <row r="445" spans="2:24" x14ac:dyDescent="0.2">
      <c r="B445" s="1657" t="s">
        <v>256</v>
      </c>
      <c r="C445" s="161">
        <v>43533</v>
      </c>
      <c r="D445" s="49" t="s">
        <v>55</v>
      </c>
      <c r="E445" s="156"/>
      <c r="F445" s="1464" t="s">
        <v>250</v>
      </c>
      <c r="G445" s="298">
        <v>8.2233796296296291E-2</v>
      </c>
      <c r="H445" s="299">
        <v>20.79</v>
      </c>
      <c r="I445" s="310">
        <f t="shared" si="62"/>
        <v>3.9554495573014088E-3</v>
      </c>
      <c r="J445" s="252">
        <v>143</v>
      </c>
      <c r="K445" s="1757"/>
      <c r="L445" s="1568">
        <v>213</v>
      </c>
      <c r="M445" s="1591"/>
      <c r="N445" s="158">
        <f t="shared" si="66"/>
        <v>1.0864616312377504</v>
      </c>
      <c r="O445" s="577" t="s">
        <v>252</v>
      </c>
      <c r="P445" s="93" t="str">
        <f>IFERROR(VLOOKUP(F445,#REF!,12,FALSE),"")</f>
        <v/>
      </c>
      <c r="Q445" s="94" t="s">
        <v>8</v>
      </c>
      <c r="R445" s="46" t="str">
        <f>IFERROR(VLOOKUP(F445,#REF!,14,FALSE),"")</f>
        <v/>
      </c>
      <c r="S445" s="47">
        <f t="shared" si="63"/>
        <v>1.4895104895104896</v>
      </c>
      <c r="U445" s="1728"/>
      <c r="V445" s="160">
        <f t="shared" si="65"/>
        <v>0</v>
      </c>
      <c r="W445" s="1767"/>
      <c r="X445" s="160"/>
    </row>
    <row r="446" spans="2:24" ht="16" thickBot="1" x14ac:dyDescent="0.25">
      <c r="B446" s="1658" t="e">
        <f>AVERAGE(#REF!)</f>
        <v>#REF!</v>
      </c>
      <c r="C446" s="207">
        <v>43534</v>
      </c>
      <c r="D446" s="67"/>
      <c r="E446" s="208"/>
      <c r="F446" s="1465"/>
      <c r="G446" s="302"/>
      <c r="H446" s="303" t="str">
        <f>IFERROR(VLOOKUP(F446,#REF!,10,FALSE),"")</f>
        <v/>
      </c>
      <c r="I446" s="311" t="str">
        <f t="shared" si="62"/>
        <v/>
      </c>
      <c r="J446" s="262"/>
      <c r="K446" s="1757"/>
      <c r="L446" s="1569"/>
      <c r="M446" s="1592"/>
      <c r="N446" s="172" t="str">
        <f t="shared" si="66"/>
        <v/>
      </c>
      <c r="O446" s="578"/>
      <c r="P446" s="174" t="str">
        <f>IFERROR(VLOOKUP(F446,#REF!,12,FALSE),"")</f>
        <v/>
      </c>
      <c r="Q446" s="175" t="s">
        <v>8</v>
      </c>
      <c r="R446" s="64" t="str">
        <f>IFERROR(VLOOKUP(F446,#REF!,14,FALSE),"")</f>
        <v/>
      </c>
      <c r="S446" s="65" t="str">
        <f t="shared" si="63"/>
        <v/>
      </c>
      <c r="U446" s="1728"/>
      <c r="V446" s="176">
        <f t="shared" si="65"/>
        <v>0</v>
      </c>
      <c r="W446" s="1768"/>
      <c r="X446" s="176"/>
    </row>
    <row r="447" spans="2:24" ht="16" thickBot="1" x14ac:dyDescent="0.25">
      <c r="B447" s="1652">
        <f>B440+1</f>
        <v>11</v>
      </c>
      <c r="C447" s="193">
        <v>43535</v>
      </c>
      <c r="D447" s="70"/>
      <c r="E447" s="71"/>
      <c r="F447" s="1466"/>
      <c r="G447" s="559"/>
      <c r="H447" s="560" t="str">
        <f>IFERROR(VLOOKUP(F447,#REF!,10,FALSE),"")</f>
        <v/>
      </c>
      <c r="I447" s="179" t="str">
        <f t="shared" si="62"/>
        <v/>
      </c>
      <c r="J447" s="269"/>
      <c r="K447" s="1757"/>
      <c r="L447" s="270"/>
      <c r="M447" s="1593"/>
      <c r="N447" s="77" t="str">
        <f t="shared" si="66"/>
        <v/>
      </c>
      <c r="O447" s="561"/>
      <c r="P447" s="224" t="str">
        <f>IFERROR(VLOOKUP(F447,#REF!,12,FALSE),"")</f>
        <v/>
      </c>
      <c r="Q447" s="80" t="s">
        <v>8</v>
      </c>
      <c r="R447" s="80" t="str">
        <f>IFERROR(VLOOKUP(F447,#REF!,14,FALSE),"")</f>
        <v/>
      </c>
      <c r="S447" s="33" t="str">
        <f t="shared" si="63"/>
        <v/>
      </c>
      <c r="U447" s="1728"/>
      <c r="V447" s="225">
        <f t="shared" si="65"/>
        <v>0</v>
      </c>
      <c r="W447" s="1766"/>
      <c r="X447" s="225"/>
    </row>
    <row r="448" spans="2:24" x14ac:dyDescent="0.2">
      <c r="B448" s="1653" t="s">
        <v>142</v>
      </c>
      <c r="C448" s="603">
        <v>43536</v>
      </c>
      <c r="D448" s="604" t="s">
        <v>56</v>
      </c>
      <c r="E448" s="605"/>
      <c r="F448" s="1470" t="s">
        <v>260</v>
      </c>
      <c r="G448" s="606">
        <v>4.1284722222222223E-2</v>
      </c>
      <c r="H448" s="607">
        <v>10.7</v>
      </c>
      <c r="I448" s="608">
        <f t="shared" si="62"/>
        <v>3.8583852544132923E-3</v>
      </c>
      <c r="J448" s="609">
        <v>144</v>
      </c>
      <c r="K448" s="1757"/>
      <c r="L448" s="1568">
        <v>206</v>
      </c>
      <c r="M448" s="1591"/>
      <c r="N448" s="610">
        <f t="shared" si="66"/>
        <v>1.0249714046589484</v>
      </c>
      <c r="O448" s="611" t="s">
        <v>175</v>
      </c>
      <c r="P448" s="612" t="str">
        <f>IFERROR(VLOOKUP(F448,#REF!,12,FALSE),"")</f>
        <v/>
      </c>
      <c r="Q448" s="230" t="s">
        <v>8</v>
      </c>
      <c r="R448" s="46" t="str">
        <f>IFERROR(VLOOKUP(F448,#REF!,14,FALSE),"")</f>
        <v/>
      </c>
      <c r="S448" s="47">
        <f t="shared" si="63"/>
        <v>1.4305555555555556</v>
      </c>
      <c r="U448" s="1728"/>
      <c r="V448" s="48">
        <f t="shared" si="65"/>
        <v>0</v>
      </c>
      <c r="W448" s="1767"/>
      <c r="X448" s="48"/>
    </row>
    <row r="449" spans="2:24" ht="16" thickBot="1" x14ac:dyDescent="0.25">
      <c r="B449" s="1654">
        <f>SUM(H447:H453)</f>
        <v>64.05</v>
      </c>
      <c r="C449" s="161">
        <v>43537</v>
      </c>
      <c r="D449" s="604" t="s">
        <v>57</v>
      </c>
      <c r="E449" s="605"/>
      <c r="F449" s="1470" t="s">
        <v>173</v>
      </c>
      <c r="G449" s="606">
        <v>4.4780092592592587E-2</v>
      </c>
      <c r="H449" s="607">
        <v>11.6</v>
      </c>
      <c r="I449" s="608">
        <f t="shared" si="62"/>
        <v>3.8603528097062574E-3</v>
      </c>
      <c r="J449" s="609">
        <v>138</v>
      </c>
      <c r="K449" s="1757"/>
      <c r="L449" s="1568">
        <v>214</v>
      </c>
      <c r="M449" s="1591"/>
      <c r="N449" s="610">
        <f t="shared" si="66"/>
        <v>1.065319094184251</v>
      </c>
      <c r="O449" s="611" t="s">
        <v>251</v>
      </c>
      <c r="P449" s="612" t="str">
        <f>IFERROR(VLOOKUP(F449,#REF!,12,FALSE),"")</f>
        <v/>
      </c>
      <c r="Q449" s="230" t="s">
        <v>8</v>
      </c>
      <c r="R449" s="46" t="str">
        <f>IFERROR(VLOOKUP(F449,#REF!,14,FALSE),"")</f>
        <v/>
      </c>
      <c r="S449" s="47">
        <f t="shared" si="63"/>
        <v>1.5507246376811594</v>
      </c>
      <c r="U449" s="1728"/>
      <c r="V449" s="48">
        <f t="shared" si="65"/>
        <v>0</v>
      </c>
      <c r="W449" s="1767"/>
      <c r="X449" s="48"/>
    </row>
    <row r="450" spans="2:24" x14ac:dyDescent="0.2">
      <c r="B450" s="1655" t="s">
        <v>144</v>
      </c>
      <c r="C450" s="161">
        <v>43538</v>
      </c>
      <c r="D450" s="604"/>
      <c r="E450" s="605"/>
      <c r="F450" s="1470"/>
      <c r="G450" s="606"/>
      <c r="H450" s="607" t="str">
        <f>IFERROR(VLOOKUP(F450,#REF!,10,FALSE),"")</f>
        <v/>
      </c>
      <c r="I450" s="608" t="str">
        <f t="shared" si="62"/>
        <v/>
      </c>
      <c r="J450" s="609"/>
      <c r="K450" s="1757"/>
      <c r="L450" s="1568"/>
      <c r="M450" s="1591"/>
      <c r="N450" s="610" t="str">
        <f t="shared" si="66"/>
        <v/>
      </c>
      <c r="O450" s="611"/>
      <c r="P450" s="612" t="str">
        <f>IFERROR(VLOOKUP(F450,#REF!,12,FALSE),"")</f>
        <v/>
      </c>
      <c r="Q450" s="230" t="s">
        <v>8</v>
      </c>
      <c r="R450" s="46" t="str">
        <f>IFERROR(VLOOKUP(F450,#REF!,14,FALSE),"")</f>
        <v/>
      </c>
      <c r="S450" s="47" t="str">
        <f t="shared" si="63"/>
        <v/>
      </c>
      <c r="U450" s="1728"/>
      <c r="V450" s="48">
        <f t="shared" si="65"/>
        <v>0</v>
      </c>
      <c r="W450" s="1767"/>
      <c r="X450" s="48"/>
    </row>
    <row r="451" spans="2:24" ht="16" thickBot="1" x14ac:dyDescent="0.25">
      <c r="B451" s="1656" t="e">
        <f>SUM(#REF!)</f>
        <v>#REF!</v>
      </c>
      <c r="C451" s="161">
        <v>43539</v>
      </c>
      <c r="D451" s="604" t="s">
        <v>58</v>
      </c>
      <c r="E451" s="605"/>
      <c r="F451" s="1470" t="s">
        <v>170</v>
      </c>
      <c r="G451" s="606">
        <v>3.5856481481481482E-2</v>
      </c>
      <c r="H451" s="607">
        <v>9.19</v>
      </c>
      <c r="I451" s="608">
        <f t="shared" si="62"/>
        <v>3.9016846008140898E-3</v>
      </c>
      <c r="J451" s="609">
        <v>140</v>
      </c>
      <c r="K451" s="1757"/>
      <c r="L451" s="1568">
        <v>205</v>
      </c>
      <c r="M451" s="1591"/>
      <c r="N451" s="610">
        <f t="shared" si="66"/>
        <v>1.0314423529793906</v>
      </c>
      <c r="O451" s="611" t="s">
        <v>253</v>
      </c>
      <c r="P451" s="612" t="str">
        <f>IFERROR(VLOOKUP(F451,#REF!,12,FALSE),"")</f>
        <v/>
      </c>
      <c r="Q451" s="230" t="s">
        <v>8</v>
      </c>
      <c r="R451" s="46" t="str">
        <f>IFERROR(VLOOKUP(F451,#REF!,14,FALSE),"")</f>
        <v/>
      </c>
      <c r="S451" s="47">
        <f t="shared" si="63"/>
        <v>1.4642857142857142</v>
      </c>
      <c r="U451" s="1728"/>
      <c r="V451" s="48">
        <f t="shared" si="65"/>
        <v>0</v>
      </c>
      <c r="W451" s="1767"/>
      <c r="X451" s="48"/>
    </row>
    <row r="452" spans="2:24" x14ac:dyDescent="0.2">
      <c r="B452" s="1657" t="s">
        <v>256</v>
      </c>
      <c r="C452" s="161">
        <v>43540</v>
      </c>
      <c r="D452" s="604" t="s">
        <v>59</v>
      </c>
      <c r="E452" s="605"/>
      <c r="F452" s="1470" t="s">
        <v>173</v>
      </c>
      <c r="G452" s="606">
        <v>4.5879629629629631E-2</v>
      </c>
      <c r="H452" s="607">
        <v>11.96</v>
      </c>
      <c r="I452" s="608">
        <f t="shared" si="62"/>
        <v>3.8360894339155207E-3</v>
      </c>
      <c r="J452" s="609">
        <v>129</v>
      </c>
      <c r="K452" s="1757"/>
      <c r="L452" s="1568">
        <v>215</v>
      </c>
      <c r="M452" s="1591"/>
      <c r="N452" s="610">
        <f t="shared" si="66"/>
        <v>1.0635701093196228</v>
      </c>
      <c r="O452" s="611" t="s">
        <v>251</v>
      </c>
      <c r="P452" s="612" t="str">
        <f>IFERROR(VLOOKUP(F452,#REF!,12,FALSE),"")</f>
        <v/>
      </c>
      <c r="Q452" s="230" t="s">
        <v>8</v>
      </c>
      <c r="R452" s="46" t="str">
        <f>IFERROR(VLOOKUP(F452,#REF!,14,FALSE),"")</f>
        <v/>
      </c>
      <c r="S452" s="47">
        <f t="shared" si="63"/>
        <v>1.6666666666666667</v>
      </c>
      <c r="U452" s="1728"/>
      <c r="V452" s="48">
        <f t="shared" si="65"/>
        <v>0</v>
      </c>
      <c r="W452" s="1767"/>
      <c r="X452" s="48"/>
    </row>
    <row r="453" spans="2:24" ht="16" thickBot="1" x14ac:dyDescent="0.25">
      <c r="B453" s="1658" t="e">
        <f>AVERAGE(#REF!)</f>
        <v>#REF!</v>
      </c>
      <c r="C453" s="640">
        <v>43541</v>
      </c>
      <c r="D453" s="623" t="s">
        <v>60</v>
      </c>
      <c r="E453" s="641"/>
      <c r="F453" s="1471" t="s">
        <v>153</v>
      </c>
      <c r="G453" s="615">
        <v>7.9444444444444443E-2</v>
      </c>
      <c r="H453" s="624">
        <v>20.6</v>
      </c>
      <c r="I453" s="625">
        <f t="shared" si="62"/>
        <v>3.8565264293419629E-3</v>
      </c>
      <c r="J453" s="626">
        <v>131</v>
      </c>
      <c r="K453" s="1757"/>
      <c r="L453" s="1570">
        <v>215</v>
      </c>
      <c r="M453" s="1594"/>
      <c r="N453" s="619">
        <f t="shared" si="66"/>
        <v>1.0692363425590492</v>
      </c>
      <c r="O453" s="620" t="s">
        <v>252</v>
      </c>
      <c r="P453" s="621" t="str">
        <f>IFERROR(VLOOKUP(F453,#REF!,12,FALSE),"")</f>
        <v/>
      </c>
      <c r="Q453" s="622" t="s">
        <v>8</v>
      </c>
      <c r="R453" s="107" t="str">
        <f>IFERROR(VLOOKUP(F453,#REF!,14,FALSE),"")</f>
        <v/>
      </c>
      <c r="S453" s="65">
        <f t="shared" si="63"/>
        <v>1.6412213740458015</v>
      </c>
      <c r="U453" s="1728"/>
      <c r="V453" s="108">
        <f t="shared" si="65"/>
        <v>0</v>
      </c>
      <c r="W453" s="1768"/>
      <c r="X453" s="108"/>
    </row>
    <row r="454" spans="2:24" ht="16" thickBot="1" x14ac:dyDescent="0.25">
      <c r="B454" s="1652">
        <f>B447+1</f>
        <v>12</v>
      </c>
      <c r="C454" s="189">
        <v>43542</v>
      </c>
      <c r="D454" s="143"/>
      <c r="E454" s="144"/>
      <c r="F454" s="1463"/>
      <c r="G454" s="291"/>
      <c r="H454" s="602" t="str">
        <f>IFERROR(VLOOKUP(F454,#REF!,10,FALSE),"")</f>
        <v/>
      </c>
      <c r="I454" s="309" t="str">
        <f t="shared" si="62"/>
        <v/>
      </c>
      <c r="J454" s="295"/>
      <c r="K454" s="1757"/>
      <c r="L454" s="792"/>
      <c r="M454" s="1595"/>
      <c r="N454" s="150" t="str">
        <f t="shared" si="66"/>
        <v/>
      </c>
      <c r="O454" s="576"/>
      <c r="P454" s="214" t="str">
        <f>IFERROR(VLOOKUP(F454,#REF!,12,FALSE),"")</f>
        <v/>
      </c>
      <c r="Q454" s="153" t="s">
        <v>8</v>
      </c>
      <c r="R454" s="32" t="str">
        <f>IFERROR(VLOOKUP(F454,#REF!,14,FALSE),"")</f>
        <v/>
      </c>
      <c r="S454" s="33" t="str">
        <f t="shared" si="63"/>
        <v/>
      </c>
      <c r="U454" s="1728"/>
      <c r="V454" s="215">
        <f t="shared" si="65"/>
        <v>0</v>
      </c>
      <c r="W454" s="1766"/>
      <c r="X454" s="215"/>
    </row>
    <row r="455" spans="2:24" x14ac:dyDescent="0.2">
      <c r="B455" s="1653" t="s">
        <v>142</v>
      </c>
      <c r="C455" s="161">
        <v>43543</v>
      </c>
      <c r="D455" s="49" t="s">
        <v>61</v>
      </c>
      <c r="E455" s="156"/>
      <c r="F455" s="1464" t="s">
        <v>265</v>
      </c>
      <c r="G455" s="298">
        <v>4.8749999999999995E-2</v>
      </c>
      <c r="H455" s="299">
        <v>12.4</v>
      </c>
      <c r="I455" s="310">
        <f t="shared" si="62"/>
        <v>3.9314516129032254E-3</v>
      </c>
      <c r="J455" s="252">
        <v>141</v>
      </c>
      <c r="K455" s="1757"/>
      <c r="L455" s="1568">
        <v>201</v>
      </c>
      <c r="M455" s="1591"/>
      <c r="N455" s="158">
        <f t="shared" si="66"/>
        <v>1.0190322580645159</v>
      </c>
      <c r="O455" s="577" t="s">
        <v>175</v>
      </c>
      <c r="P455" s="93" t="str">
        <f>IFERROR(VLOOKUP(F455,#REF!,12,FALSE),"")</f>
        <v/>
      </c>
      <c r="Q455" s="94" t="s">
        <v>8</v>
      </c>
      <c r="R455" s="46" t="str">
        <f>IFERROR(VLOOKUP(F455,#REF!,14,FALSE),"")</f>
        <v/>
      </c>
      <c r="S455" s="47">
        <f t="shared" si="63"/>
        <v>1.425531914893617</v>
      </c>
      <c r="U455" s="1728"/>
      <c r="V455" s="160">
        <f t="shared" si="65"/>
        <v>0</v>
      </c>
      <c r="W455" s="1767"/>
      <c r="X455" s="160"/>
    </row>
    <row r="456" spans="2:24" ht="16" thickBot="1" x14ac:dyDescent="0.25">
      <c r="B456" s="1654">
        <f>SUM(H454:H460)</f>
        <v>61.6</v>
      </c>
      <c r="C456" s="161">
        <v>43544</v>
      </c>
      <c r="D456" s="49" t="s">
        <v>62</v>
      </c>
      <c r="E456" s="156"/>
      <c r="F456" s="1464" t="s">
        <v>173</v>
      </c>
      <c r="G456" s="298">
        <v>4.5879629629629631E-2</v>
      </c>
      <c r="H456" s="299">
        <v>11.64</v>
      </c>
      <c r="I456" s="310">
        <f t="shared" si="62"/>
        <v>3.9415489372534047E-3</v>
      </c>
      <c r="J456" s="252">
        <v>125</v>
      </c>
      <c r="K456" s="1757"/>
      <c r="L456" s="1568">
        <v>208</v>
      </c>
      <c r="M456" s="1591"/>
      <c r="N456" s="158">
        <f t="shared" si="66"/>
        <v>1.0572293173308716</v>
      </c>
      <c r="O456" s="577" t="s">
        <v>251</v>
      </c>
      <c r="P456" s="93" t="str">
        <f>IFERROR(VLOOKUP(F456,#REF!,12,FALSE),"")</f>
        <v/>
      </c>
      <c r="Q456" s="94" t="s">
        <v>8</v>
      </c>
      <c r="R456" s="46" t="str">
        <f>IFERROR(VLOOKUP(F456,#REF!,14,FALSE),"")</f>
        <v/>
      </c>
      <c r="S456" s="47">
        <f t="shared" si="63"/>
        <v>1.6639999999999999</v>
      </c>
      <c r="U456" s="1728"/>
      <c r="V456" s="160">
        <f t="shared" si="65"/>
        <v>0</v>
      </c>
      <c r="W456" s="1767"/>
      <c r="X456" s="160"/>
    </row>
    <row r="457" spans="2:24" x14ac:dyDescent="0.2">
      <c r="B457" s="1655" t="s">
        <v>144</v>
      </c>
      <c r="C457" s="161">
        <v>43545</v>
      </c>
      <c r="D457" s="49" t="s">
        <v>63</v>
      </c>
      <c r="E457" s="156"/>
      <c r="F457" s="1464" t="s">
        <v>286</v>
      </c>
      <c r="G457" s="298">
        <v>3.2731481481481479E-2</v>
      </c>
      <c r="H457" s="299">
        <v>9.9700000000000006</v>
      </c>
      <c r="I457" s="310">
        <f t="shared" si="62"/>
        <v>3.2829971395668483E-3</v>
      </c>
      <c r="J457" s="252">
        <v>154</v>
      </c>
      <c r="K457" s="1757"/>
      <c r="L457" s="1568">
        <v>242</v>
      </c>
      <c r="M457" s="1591"/>
      <c r="N457" s="158">
        <f t="shared" si="66"/>
        <v>1.0245303073399301</v>
      </c>
      <c r="O457" s="577" t="s">
        <v>253</v>
      </c>
      <c r="P457" s="93" t="str">
        <f>IFERROR(VLOOKUP(F457,#REF!,12,FALSE),"")</f>
        <v/>
      </c>
      <c r="Q457" s="94" t="s">
        <v>8</v>
      </c>
      <c r="R457" s="46" t="str">
        <f>IFERROR(VLOOKUP(F457,#REF!,14,FALSE),"")</f>
        <v/>
      </c>
      <c r="S457" s="47">
        <f t="shared" si="63"/>
        <v>1.5714285714285714</v>
      </c>
      <c r="U457" s="1728"/>
      <c r="V457" s="160">
        <f t="shared" si="65"/>
        <v>0</v>
      </c>
      <c r="W457" s="1767"/>
      <c r="X457" s="160"/>
    </row>
    <row r="458" spans="2:24" ht="16" thickBot="1" x14ac:dyDescent="0.25">
      <c r="B458" s="1656" t="e">
        <f>SUM(#REF!)</f>
        <v>#REF!</v>
      </c>
      <c r="C458" s="161">
        <v>43546</v>
      </c>
      <c r="D458" s="49" t="s">
        <v>64</v>
      </c>
      <c r="E458" s="156"/>
      <c r="F458" s="1464" t="s">
        <v>148</v>
      </c>
      <c r="G458" s="298">
        <v>4.162037037037037E-2</v>
      </c>
      <c r="H458" s="299">
        <v>10.74</v>
      </c>
      <c r="I458" s="310">
        <f t="shared" si="62"/>
        <v>3.8752672598110212E-3</v>
      </c>
      <c r="J458" s="252">
        <v>126</v>
      </c>
      <c r="K458" s="1757"/>
      <c r="L458" s="1568">
        <v>211</v>
      </c>
      <c r="M458" s="1591"/>
      <c r="N458" s="158">
        <f t="shared" si="66"/>
        <v>1.0544428694516244</v>
      </c>
      <c r="O458" s="577" t="s">
        <v>251</v>
      </c>
      <c r="P458" s="93" t="str">
        <f>IFERROR(VLOOKUP(F458,#REF!,12,FALSE),"")</f>
        <v/>
      </c>
      <c r="Q458" s="94" t="s">
        <v>8</v>
      </c>
      <c r="R458" s="46" t="str">
        <f>IFERROR(VLOOKUP(F458,#REF!,14,FALSE),"")</f>
        <v/>
      </c>
      <c r="S458" s="47">
        <f t="shared" si="63"/>
        <v>1.6746031746031746</v>
      </c>
      <c r="U458" s="1728"/>
      <c r="V458" s="160">
        <f t="shared" si="65"/>
        <v>0</v>
      </c>
      <c r="W458" s="1767"/>
      <c r="X458" s="160"/>
    </row>
    <row r="459" spans="2:24" x14ac:dyDescent="0.2">
      <c r="B459" s="1657" t="s">
        <v>256</v>
      </c>
      <c r="C459" s="161">
        <v>43547</v>
      </c>
      <c r="D459" s="49" t="s">
        <v>65</v>
      </c>
      <c r="E459" s="156"/>
      <c r="F459" s="1464" t="s">
        <v>151</v>
      </c>
      <c r="G459" s="298">
        <v>7.1412037037037038E-2</v>
      </c>
      <c r="H459" s="299">
        <v>16.850000000000001</v>
      </c>
      <c r="I459" s="310">
        <f t="shared" si="62"/>
        <v>4.2381030882514556E-3</v>
      </c>
      <c r="J459" s="252">
        <v>120</v>
      </c>
      <c r="K459" s="1757"/>
      <c r="L459" s="1568">
        <v>196</v>
      </c>
      <c r="M459" s="1591"/>
      <c r="N459" s="158">
        <f t="shared" si="66"/>
        <v>1.0711900438460515</v>
      </c>
      <c r="O459" s="577" t="s">
        <v>252</v>
      </c>
      <c r="P459" s="93" t="str">
        <f>IFERROR(VLOOKUP(F459,#REF!,12,FALSE),"")</f>
        <v/>
      </c>
      <c r="Q459" s="94" t="s">
        <v>8</v>
      </c>
      <c r="R459" s="46" t="str">
        <f>IFERROR(VLOOKUP(F459,#REF!,14,FALSE),"")</f>
        <v/>
      </c>
      <c r="S459" s="47">
        <f t="shared" si="63"/>
        <v>1.6333333333333333</v>
      </c>
      <c r="U459" s="1728"/>
      <c r="V459" s="160">
        <f t="shared" si="65"/>
        <v>0</v>
      </c>
      <c r="W459" s="1767"/>
      <c r="X459" s="160"/>
    </row>
    <row r="460" spans="2:24" ht="16" thickBot="1" x14ac:dyDescent="0.25">
      <c r="B460" s="1658" t="e">
        <f>AVERAGE(#REF!)</f>
        <v>#REF!</v>
      </c>
      <c r="C460" s="207">
        <v>43548</v>
      </c>
      <c r="D460" s="256"/>
      <c r="E460" s="257"/>
      <c r="F460" s="1465"/>
      <c r="G460" s="302"/>
      <c r="H460" s="303" t="str">
        <f>IFERROR(VLOOKUP(F460,#REF!,10,FALSE),"")</f>
        <v/>
      </c>
      <c r="I460" s="311" t="str">
        <f t="shared" ref="I460:I523" si="67">IFERROR(G460/H460,"")</f>
        <v/>
      </c>
      <c r="J460" s="262"/>
      <c r="K460" s="1757"/>
      <c r="L460" s="1569"/>
      <c r="M460" s="1592"/>
      <c r="N460" s="172" t="str">
        <f t="shared" si="66"/>
        <v/>
      </c>
      <c r="O460" s="578"/>
      <c r="P460" s="174" t="str">
        <f>IFERROR(VLOOKUP(F460,#REF!,12,FALSE),"")</f>
        <v/>
      </c>
      <c r="Q460" s="175" t="s">
        <v>8</v>
      </c>
      <c r="R460" s="64" t="str">
        <f>IFERROR(VLOOKUP(F460,#REF!,14,FALSE),"")</f>
        <v/>
      </c>
      <c r="S460" s="65" t="str">
        <f t="shared" si="63"/>
        <v/>
      </c>
      <c r="U460" s="1728"/>
      <c r="V460" s="176">
        <f t="shared" si="65"/>
        <v>0</v>
      </c>
      <c r="W460" s="1768"/>
      <c r="X460" s="176"/>
    </row>
    <row r="461" spans="2:24" ht="16" thickBot="1" x14ac:dyDescent="0.25">
      <c r="B461" s="1652">
        <f>B454+1</f>
        <v>13</v>
      </c>
      <c r="C461" s="193">
        <v>43549</v>
      </c>
      <c r="D461" s="70"/>
      <c r="E461" s="71"/>
      <c r="F461" s="1466"/>
      <c r="G461" s="559"/>
      <c r="H461" s="560" t="str">
        <f>IFERROR(VLOOKUP(F461,#REF!,10,FALSE),"")</f>
        <v/>
      </c>
      <c r="I461" s="179" t="str">
        <f t="shared" si="67"/>
        <v/>
      </c>
      <c r="J461" s="269"/>
      <c r="K461" s="1757"/>
      <c r="L461" s="270"/>
      <c r="M461" s="1593"/>
      <c r="N461" s="77" t="str">
        <f t="shared" si="66"/>
        <v/>
      </c>
      <c r="O461" s="561"/>
      <c r="P461" s="224" t="str">
        <f>IFERROR(VLOOKUP(F461,#REF!,12,FALSE),"")</f>
        <v/>
      </c>
      <c r="Q461" s="80" t="s">
        <v>8</v>
      </c>
      <c r="R461" s="80" t="str">
        <f>IFERROR(VLOOKUP(F461,#REF!,14,FALSE),"")</f>
        <v/>
      </c>
      <c r="S461" s="33" t="str">
        <f t="shared" si="63"/>
        <v/>
      </c>
      <c r="U461" s="1728"/>
      <c r="V461" s="225">
        <f t="shared" si="65"/>
        <v>0</v>
      </c>
      <c r="W461" s="1766"/>
      <c r="X461" s="225"/>
    </row>
    <row r="462" spans="2:24" x14ac:dyDescent="0.2">
      <c r="B462" s="1653" t="s">
        <v>142</v>
      </c>
      <c r="C462" s="603">
        <v>43550</v>
      </c>
      <c r="D462" s="604" t="s">
        <v>66</v>
      </c>
      <c r="E462" s="605"/>
      <c r="F462" s="1470" t="s">
        <v>173</v>
      </c>
      <c r="G462" s="606">
        <v>4.2557870370370371E-2</v>
      </c>
      <c r="H462" s="607">
        <v>10.74</v>
      </c>
      <c r="I462" s="608">
        <f t="shared" si="67"/>
        <v>3.9625577626043176E-3</v>
      </c>
      <c r="J462" s="609">
        <v>120</v>
      </c>
      <c r="K462" s="1757"/>
      <c r="L462" s="1568">
        <v>207</v>
      </c>
      <c r="M462" s="1591"/>
      <c r="N462" s="610">
        <f t="shared" si="66"/>
        <v>1.0577545234720251</v>
      </c>
      <c r="O462" s="611" t="s">
        <v>252</v>
      </c>
      <c r="P462" s="612" t="str">
        <f>IFERROR(VLOOKUP(F462,#REF!,12,FALSE),"")</f>
        <v/>
      </c>
      <c r="Q462" s="230" t="s">
        <v>8</v>
      </c>
      <c r="R462" s="46" t="str">
        <f>IFERROR(VLOOKUP(F462,#REF!,14,FALSE),"")</f>
        <v/>
      </c>
      <c r="S462" s="47">
        <f t="shared" si="63"/>
        <v>1.7250000000000001</v>
      </c>
      <c r="U462" s="1728"/>
      <c r="V462" s="48">
        <f t="shared" si="65"/>
        <v>0</v>
      </c>
      <c r="W462" s="1767"/>
      <c r="X462" s="48"/>
    </row>
    <row r="463" spans="2:24" ht="16" thickBot="1" x14ac:dyDescent="0.25">
      <c r="B463" s="1654">
        <f>SUM(H461:H467)</f>
        <v>43.4</v>
      </c>
      <c r="C463" s="161">
        <v>43551</v>
      </c>
      <c r="D463" s="604" t="s">
        <v>67</v>
      </c>
      <c r="E463" s="605"/>
      <c r="F463" s="1470" t="s">
        <v>173</v>
      </c>
      <c r="G463" s="606">
        <v>4.0844907407407406E-2</v>
      </c>
      <c r="H463" s="607">
        <v>10.73</v>
      </c>
      <c r="I463" s="608">
        <f t="shared" si="67"/>
        <v>3.806608332470401E-3</v>
      </c>
      <c r="J463" s="609">
        <v>125</v>
      </c>
      <c r="K463" s="1757"/>
      <c r="L463" s="1568">
        <v>214</v>
      </c>
      <c r="M463" s="1591"/>
      <c r="N463" s="610">
        <f t="shared" si="66"/>
        <v>1.0504875436424586</v>
      </c>
      <c r="O463" s="611" t="s">
        <v>251</v>
      </c>
      <c r="P463" s="612" t="str">
        <f>IFERROR(VLOOKUP(F463,#REF!,12,FALSE),"")</f>
        <v/>
      </c>
      <c r="Q463" s="230" t="s">
        <v>8</v>
      </c>
      <c r="R463" s="46" t="str">
        <f>IFERROR(VLOOKUP(F463,#REF!,14,FALSE),"")</f>
        <v/>
      </c>
      <c r="S463" s="47">
        <f t="shared" si="63"/>
        <v>1.712</v>
      </c>
      <c r="U463" s="1728"/>
      <c r="V463" s="48">
        <f t="shared" si="65"/>
        <v>0</v>
      </c>
      <c r="W463" s="1767"/>
      <c r="X463" s="48"/>
    </row>
    <row r="464" spans="2:24" x14ac:dyDescent="0.2">
      <c r="B464" s="1655" t="s">
        <v>144</v>
      </c>
      <c r="C464" s="161">
        <v>43552</v>
      </c>
      <c r="D464" s="604"/>
      <c r="E464" s="605"/>
      <c r="F464" s="1470"/>
      <c r="G464" s="606"/>
      <c r="H464" s="607" t="str">
        <f>IFERROR(VLOOKUP(F464,#REF!,10,FALSE),"")</f>
        <v/>
      </c>
      <c r="I464" s="608" t="str">
        <f t="shared" si="67"/>
        <v/>
      </c>
      <c r="J464" s="609"/>
      <c r="K464" s="1757"/>
      <c r="L464" s="1568"/>
      <c r="M464" s="1591"/>
      <c r="N464" s="610" t="str">
        <f t="shared" si="66"/>
        <v/>
      </c>
      <c r="O464" s="611"/>
      <c r="P464" s="612" t="str">
        <f>IFERROR(VLOOKUP(F464,#REF!,12,FALSE),"")</f>
        <v/>
      </c>
      <c r="Q464" s="230" t="s">
        <v>8</v>
      </c>
      <c r="R464" s="46" t="str">
        <f>IFERROR(VLOOKUP(F464,#REF!,14,FALSE),"")</f>
        <v/>
      </c>
      <c r="S464" s="47" t="str">
        <f t="shared" si="63"/>
        <v/>
      </c>
      <c r="U464" s="1728"/>
      <c r="V464" s="48">
        <f t="shared" si="65"/>
        <v>0</v>
      </c>
      <c r="W464" s="1767"/>
      <c r="X464" s="48"/>
    </row>
    <row r="465" spans="2:24" ht="16" thickBot="1" x14ac:dyDescent="0.25">
      <c r="B465" s="1656" t="e">
        <f>SUM(#REF!)</f>
        <v>#REF!</v>
      </c>
      <c r="C465" s="161">
        <v>43553</v>
      </c>
      <c r="D465" s="604" t="s">
        <v>68</v>
      </c>
      <c r="E465" s="605"/>
      <c r="F465" s="1470" t="s">
        <v>143</v>
      </c>
      <c r="G465" s="606">
        <v>4.5729166666666661E-2</v>
      </c>
      <c r="H465" s="607">
        <v>11.53</v>
      </c>
      <c r="I465" s="608">
        <f t="shared" si="67"/>
        <v>3.9661029199190515E-3</v>
      </c>
      <c r="J465" s="609">
        <v>140</v>
      </c>
      <c r="K465" s="1757"/>
      <c r="L465" s="1568">
        <v>203</v>
      </c>
      <c r="M465" s="1591"/>
      <c r="N465" s="610">
        <f t="shared" si="66"/>
        <v>1.0382428706424511</v>
      </c>
      <c r="O465" s="611" t="s">
        <v>175</v>
      </c>
      <c r="P465" s="612" t="str">
        <f>IFERROR(VLOOKUP(F465,#REF!,12,FALSE),"")</f>
        <v/>
      </c>
      <c r="Q465" s="230" t="s">
        <v>8</v>
      </c>
      <c r="R465" s="46" t="str">
        <f>IFERROR(VLOOKUP(F465,#REF!,14,FALSE),"")</f>
        <v/>
      </c>
      <c r="S465" s="47">
        <f t="shared" si="63"/>
        <v>1.45</v>
      </c>
      <c r="U465" s="1728"/>
      <c r="V465" s="48">
        <f t="shared" si="65"/>
        <v>0</v>
      </c>
      <c r="W465" s="1767"/>
      <c r="X465" s="48"/>
    </row>
    <row r="466" spans="2:24" x14ac:dyDescent="0.2">
      <c r="B466" s="1657" t="s">
        <v>256</v>
      </c>
      <c r="C466" s="161">
        <v>43554</v>
      </c>
      <c r="D466" s="604"/>
      <c r="E466" s="605"/>
      <c r="F466" s="1470"/>
      <c r="G466" s="606"/>
      <c r="H466" s="607" t="str">
        <f>IFERROR(VLOOKUP(F466,#REF!,10,FALSE),"")</f>
        <v/>
      </c>
      <c r="I466" s="608" t="str">
        <f t="shared" si="67"/>
        <v/>
      </c>
      <c r="J466" s="609"/>
      <c r="K466" s="1757"/>
      <c r="L466" s="1568"/>
      <c r="M466" s="1591"/>
      <c r="N466" s="610" t="str">
        <f t="shared" si="66"/>
        <v/>
      </c>
      <c r="O466" s="611"/>
      <c r="P466" s="612" t="str">
        <f>IFERROR(VLOOKUP(F466,#REF!,12,FALSE),"")</f>
        <v/>
      </c>
      <c r="Q466" s="230" t="s">
        <v>8</v>
      </c>
      <c r="R466" s="46" t="str">
        <f>IFERROR(VLOOKUP(F466,#REF!,14,FALSE),"")</f>
        <v/>
      </c>
      <c r="S466" s="47" t="str">
        <f t="shared" si="63"/>
        <v/>
      </c>
      <c r="U466" s="1728"/>
      <c r="V466" s="48">
        <f t="shared" si="65"/>
        <v>0</v>
      </c>
      <c r="W466" s="1767"/>
      <c r="X466" s="48"/>
    </row>
    <row r="467" spans="2:24" ht="16" thickBot="1" x14ac:dyDescent="0.25">
      <c r="B467" s="1658" t="e">
        <f>AVERAGE(#REF!)</f>
        <v>#REF!</v>
      </c>
      <c r="C467" s="642">
        <v>43555</v>
      </c>
      <c r="D467" s="643" t="s">
        <v>69</v>
      </c>
      <c r="E467" s="644"/>
      <c r="F467" s="1471" t="s">
        <v>148</v>
      </c>
      <c r="G467" s="615">
        <v>4.0208333333333332E-2</v>
      </c>
      <c r="H467" s="624">
        <v>10.4</v>
      </c>
      <c r="I467" s="645">
        <f t="shared" si="67"/>
        <v>3.8661858974358971E-3</v>
      </c>
      <c r="J467" s="626">
        <v>130</v>
      </c>
      <c r="K467" s="1757"/>
      <c r="L467" s="1570">
        <v>213</v>
      </c>
      <c r="M467" s="1594"/>
      <c r="N467" s="646">
        <f t="shared" si="66"/>
        <v>1.0619431687715268</v>
      </c>
      <c r="O467" s="620" t="s">
        <v>252</v>
      </c>
      <c r="P467" s="621" t="str">
        <f>IFERROR(VLOOKUP(F467,#REF!,12,FALSE),"")</f>
        <v/>
      </c>
      <c r="Q467" s="622" t="s">
        <v>8</v>
      </c>
      <c r="R467" s="107" t="str">
        <f>IFERROR(VLOOKUP(F467,#REF!,14,FALSE),"")</f>
        <v/>
      </c>
      <c r="S467" s="65">
        <f t="shared" si="63"/>
        <v>1.6384615384615384</v>
      </c>
      <c r="U467" s="1728"/>
      <c r="V467" s="108">
        <f t="shared" si="65"/>
        <v>0</v>
      </c>
      <c r="W467" s="1768"/>
      <c r="X467" s="108"/>
    </row>
    <row r="468" spans="2:24" ht="16" thickBot="1" x14ac:dyDescent="0.25">
      <c r="B468" s="1652">
        <f>B461+1</f>
        <v>14</v>
      </c>
      <c r="C468" s="189">
        <v>43556</v>
      </c>
      <c r="D468" s="143"/>
      <c r="E468" s="144"/>
      <c r="F468" s="1463"/>
      <c r="G468" s="291"/>
      <c r="H468" s="602" t="str">
        <f>IFERROR(VLOOKUP(F468,#REF!,10,FALSE),"")</f>
        <v/>
      </c>
      <c r="I468" s="309" t="str">
        <f t="shared" si="67"/>
        <v/>
      </c>
      <c r="J468" s="295"/>
      <c r="K468" s="1757"/>
      <c r="L468" s="792"/>
      <c r="M468" s="1595"/>
      <c r="N468" s="150" t="str">
        <f t="shared" si="66"/>
        <v/>
      </c>
      <c r="O468" s="576"/>
      <c r="P468" s="214" t="str">
        <f>IFERROR(VLOOKUP(F468,#REF!,12,FALSE),"")</f>
        <v/>
      </c>
      <c r="Q468" s="153" t="s">
        <v>8</v>
      </c>
      <c r="R468" s="32" t="str">
        <f>IFERROR(VLOOKUP(F468,#REF!,14,FALSE),"")</f>
        <v/>
      </c>
      <c r="S468" s="33" t="str">
        <f t="shared" si="63"/>
        <v/>
      </c>
      <c r="U468" s="1728"/>
      <c r="V468" s="215">
        <f t="shared" si="65"/>
        <v>0</v>
      </c>
      <c r="W468" s="1766"/>
      <c r="X468" s="215"/>
    </row>
    <row r="469" spans="2:24" x14ac:dyDescent="0.2">
      <c r="B469" s="1653" t="s">
        <v>142</v>
      </c>
      <c r="C469" s="161">
        <v>43557</v>
      </c>
      <c r="D469" s="49" t="s">
        <v>70</v>
      </c>
      <c r="E469" s="156"/>
      <c r="F469" s="1464" t="s">
        <v>161</v>
      </c>
      <c r="G469" s="298">
        <v>4.4178240740740747E-2</v>
      </c>
      <c r="H469" s="299">
        <v>12.41</v>
      </c>
      <c r="I469" s="310">
        <f t="shared" si="67"/>
        <v>3.5598904706479247E-3</v>
      </c>
      <c r="J469" s="252">
        <v>150</v>
      </c>
      <c r="K469" s="1757"/>
      <c r="L469" s="1568">
        <v>223</v>
      </c>
      <c r="M469" s="1591"/>
      <c r="N469" s="158">
        <f t="shared" si="66"/>
        <v>1.0237182339711597</v>
      </c>
      <c r="O469" s="577" t="s">
        <v>175</v>
      </c>
      <c r="P469" s="93" t="str">
        <f>IFERROR(VLOOKUP(F469,#REF!,12,FALSE),"")</f>
        <v/>
      </c>
      <c r="Q469" s="94" t="s">
        <v>8</v>
      </c>
      <c r="R469" s="46" t="str">
        <f>IFERROR(VLOOKUP(F469,#REF!,14,FALSE),"")</f>
        <v/>
      </c>
      <c r="S469" s="47">
        <f t="shared" ref="S469:S532" si="68">IFERROR(L469/J469,"")</f>
        <v>1.4866666666666666</v>
      </c>
      <c r="U469" s="1728"/>
      <c r="V469" s="160">
        <f t="shared" si="65"/>
        <v>0</v>
      </c>
      <c r="W469" s="1767"/>
      <c r="X469" s="160"/>
    </row>
    <row r="470" spans="2:24" ht="16" thickBot="1" x14ac:dyDescent="0.25">
      <c r="B470" s="1654">
        <f>SUM(H468:H474)</f>
        <v>70.02</v>
      </c>
      <c r="C470" s="161">
        <v>43558</v>
      </c>
      <c r="D470" s="49" t="s">
        <v>71</v>
      </c>
      <c r="E470" s="156"/>
      <c r="F470" s="1464" t="s">
        <v>173</v>
      </c>
      <c r="G470" s="298">
        <v>4.4837962962962961E-2</v>
      </c>
      <c r="H470" s="299">
        <v>11.61</v>
      </c>
      <c r="I470" s="310">
        <f t="shared" si="67"/>
        <v>3.8620123137780332E-3</v>
      </c>
      <c r="J470" s="252">
        <v>133</v>
      </c>
      <c r="K470" s="1757"/>
      <c r="L470" s="1568">
        <v>214</v>
      </c>
      <c r="M470" s="1591"/>
      <c r="N470" s="158">
        <f t="shared" si="66"/>
        <v>1.0657770578631391</v>
      </c>
      <c r="O470" s="577" t="s">
        <v>251</v>
      </c>
      <c r="P470" s="93" t="str">
        <f>IFERROR(VLOOKUP(F470,#REF!,12,FALSE),"")</f>
        <v/>
      </c>
      <c r="Q470" s="94" t="s">
        <v>8</v>
      </c>
      <c r="R470" s="46" t="str">
        <f>IFERROR(VLOOKUP(F470,#REF!,14,FALSE),"")</f>
        <v/>
      </c>
      <c r="S470" s="47">
        <f t="shared" si="68"/>
        <v>1.6090225563909775</v>
      </c>
      <c r="U470" s="1728"/>
      <c r="V470" s="160">
        <f t="shared" si="65"/>
        <v>0</v>
      </c>
      <c r="W470" s="1767"/>
      <c r="X470" s="160"/>
    </row>
    <row r="471" spans="2:24" x14ac:dyDescent="0.2">
      <c r="B471" s="1655" t="s">
        <v>144</v>
      </c>
      <c r="C471" s="161">
        <v>43559</v>
      </c>
      <c r="D471" s="49" t="s">
        <v>72</v>
      </c>
      <c r="E471" s="156"/>
      <c r="F471" s="1464" t="s">
        <v>174</v>
      </c>
      <c r="G471" s="298">
        <v>4.5277777777777778E-2</v>
      </c>
      <c r="H471" s="299">
        <v>13.02</v>
      </c>
      <c r="I471" s="310">
        <f t="shared" si="67"/>
        <v>3.4775558969107356E-3</v>
      </c>
      <c r="J471" s="252">
        <v>145</v>
      </c>
      <c r="K471" s="1757"/>
      <c r="L471" s="1568">
        <v>229</v>
      </c>
      <c r="M471" s="1591"/>
      <c r="N471" s="158">
        <f t="shared" si="66"/>
        <v>1.0269482082674188</v>
      </c>
      <c r="O471" s="577" t="s">
        <v>253</v>
      </c>
      <c r="P471" s="93" t="str">
        <f>IFERROR(VLOOKUP(F471,#REF!,12,FALSE),"")</f>
        <v/>
      </c>
      <c r="Q471" s="94" t="s">
        <v>8</v>
      </c>
      <c r="R471" s="46" t="str">
        <f>IFERROR(VLOOKUP(F471,#REF!,14,FALSE),"")</f>
        <v/>
      </c>
      <c r="S471" s="47">
        <f t="shared" si="68"/>
        <v>1.5793103448275863</v>
      </c>
      <c r="U471" s="1728"/>
      <c r="V471" s="160">
        <f t="shared" si="65"/>
        <v>0</v>
      </c>
      <c r="W471" s="1767"/>
      <c r="X471" s="160"/>
    </row>
    <row r="472" spans="2:24" ht="16" thickBot="1" x14ac:dyDescent="0.25">
      <c r="B472" s="1656" t="e">
        <f>SUM(#REF!)</f>
        <v>#REF!</v>
      </c>
      <c r="C472" s="161">
        <v>43560</v>
      </c>
      <c r="D472" s="49" t="s">
        <v>73</v>
      </c>
      <c r="E472" s="156"/>
      <c r="F472" s="1464" t="s">
        <v>173</v>
      </c>
      <c r="G472" s="298">
        <v>4.0925925925925928E-2</v>
      </c>
      <c r="H472" s="299">
        <v>10.75</v>
      </c>
      <c r="I472" s="310">
        <f t="shared" si="67"/>
        <v>3.8070628768303188E-3</v>
      </c>
      <c r="J472" s="252">
        <v>128</v>
      </c>
      <c r="K472" s="1757"/>
      <c r="L472" s="1568">
        <v>216</v>
      </c>
      <c r="M472" s="1591"/>
      <c r="N472" s="158">
        <f t="shared" si="66"/>
        <v>1.0604317945157933</v>
      </c>
      <c r="O472" s="577" t="s">
        <v>251</v>
      </c>
      <c r="P472" s="93" t="str">
        <f>IFERROR(VLOOKUP(F472,#REF!,12,FALSE),"")</f>
        <v/>
      </c>
      <c r="Q472" s="94" t="s">
        <v>8</v>
      </c>
      <c r="R472" s="46" t="str">
        <f>IFERROR(VLOOKUP(F472,#REF!,14,FALSE),"")</f>
        <v/>
      </c>
      <c r="S472" s="47">
        <f t="shared" si="68"/>
        <v>1.6875</v>
      </c>
      <c r="U472" s="1728"/>
      <c r="V472" s="160">
        <f t="shared" si="65"/>
        <v>0</v>
      </c>
      <c r="W472" s="1767"/>
      <c r="X472" s="160"/>
    </row>
    <row r="473" spans="2:24" x14ac:dyDescent="0.2">
      <c r="B473" s="1657" t="s">
        <v>256</v>
      </c>
      <c r="C473" s="161">
        <v>43561</v>
      </c>
      <c r="D473" s="49"/>
      <c r="E473" s="156"/>
      <c r="F473" s="1464"/>
      <c r="G473" s="298"/>
      <c r="H473" s="299" t="str">
        <f>IFERROR(VLOOKUP(F473,#REF!,10,FALSE),"")</f>
        <v/>
      </c>
      <c r="I473" s="310" t="str">
        <f t="shared" si="67"/>
        <v/>
      </c>
      <c r="J473" s="252"/>
      <c r="K473" s="1757"/>
      <c r="L473" s="1568"/>
      <c r="M473" s="1591"/>
      <c r="N473" s="158" t="str">
        <f t="shared" si="66"/>
        <v/>
      </c>
      <c r="O473" s="577"/>
      <c r="P473" s="93" t="str">
        <f>IFERROR(VLOOKUP(F473,#REF!,12,FALSE),"")</f>
        <v/>
      </c>
      <c r="Q473" s="94" t="s">
        <v>8</v>
      </c>
      <c r="R473" s="46" t="str">
        <f>IFERROR(VLOOKUP(F473,#REF!,14,FALSE),"")</f>
        <v/>
      </c>
      <c r="S473" s="47" t="str">
        <f t="shared" si="68"/>
        <v/>
      </c>
      <c r="U473" s="1728"/>
      <c r="V473" s="160">
        <f t="shared" si="65"/>
        <v>0</v>
      </c>
      <c r="W473" s="1767"/>
      <c r="X473" s="160"/>
    </row>
    <row r="474" spans="2:24" ht="16" thickBot="1" x14ac:dyDescent="0.25">
      <c r="B474" s="1658" t="e">
        <f>AVERAGE(#REF!)</f>
        <v>#REF!</v>
      </c>
      <c r="C474" s="207">
        <v>43562</v>
      </c>
      <c r="D474" s="67" t="s">
        <v>74</v>
      </c>
      <c r="E474" s="208"/>
      <c r="F474" s="1465" t="s">
        <v>154</v>
      </c>
      <c r="G474" s="302">
        <v>8.7523148148148155E-2</v>
      </c>
      <c r="H474" s="303">
        <v>22.23</v>
      </c>
      <c r="I474" s="311">
        <f t="shared" si="67"/>
        <v>3.9371636593858814E-3</v>
      </c>
      <c r="J474" s="262">
        <v>131</v>
      </c>
      <c r="K474" s="1757"/>
      <c r="L474" s="1569">
        <v>210</v>
      </c>
      <c r="M474" s="1592"/>
      <c r="N474" s="172">
        <f t="shared" si="66"/>
        <v>1.0662074244163797</v>
      </c>
      <c r="O474" s="578" t="s">
        <v>252</v>
      </c>
      <c r="P474" s="174" t="str">
        <f>IFERROR(VLOOKUP(F474,#REF!,12,FALSE),"")</f>
        <v/>
      </c>
      <c r="Q474" s="175" t="s">
        <v>8</v>
      </c>
      <c r="R474" s="64" t="str">
        <f>IFERROR(VLOOKUP(F474,#REF!,14,FALSE),"")</f>
        <v/>
      </c>
      <c r="S474" s="65">
        <f t="shared" si="68"/>
        <v>1.6030534351145038</v>
      </c>
      <c r="U474" s="1728"/>
      <c r="V474" s="176">
        <f t="shared" si="65"/>
        <v>0</v>
      </c>
      <c r="W474" s="1768"/>
      <c r="X474" s="176"/>
    </row>
    <row r="475" spans="2:24" ht="16" thickBot="1" x14ac:dyDescent="0.25">
      <c r="B475" s="1652">
        <f>B468+1</f>
        <v>15</v>
      </c>
      <c r="C475" s="193">
        <v>43563</v>
      </c>
      <c r="D475" s="70" t="s">
        <v>75</v>
      </c>
      <c r="E475" s="71"/>
      <c r="F475" s="1466" t="s">
        <v>162</v>
      </c>
      <c r="G475" s="559">
        <v>5.2361111111111108E-2</v>
      </c>
      <c r="H475" s="560">
        <v>14.32</v>
      </c>
      <c r="I475" s="179">
        <f t="shared" si="67"/>
        <v>3.6565021725636247E-3</v>
      </c>
      <c r="J475" s="269">
        <v>138</v>
      </c>
      <c r="K475" s="1757"/>
      <c r="L475" s="270">
        <v>216</v>
      </c>
      <c r="M475" s="1593"/>
      <c r="N475" s="77">
        <f t="shared" si="66"/>
        <v>1.018494121570916</v>
      </c>
      <c r="O475" s="561" t="s">
        <v>175</v>
      </c>
      <c r="P475" s="224" t="str">
        <f>IFERROR(VLOOKUP(F475,#REF!,12,FALSE),"")</f>
        <v/>
      </c>
      <c r="Q475" s="80" t="s">
        <v>8</v>
      </c>
      <c r="R475" s="80" t="str">
        <f>IFERROR(VLOOKUP(F475,#REF!,14,FALSE),"")</f>
        <v/>
      </c>
      <c r="S475" s="33">
        <f t="shared" si="68"/>
        <v>1.5652173913043479</v>
      </c>
      <c r="U475" s="1728"/>
      <c r="V475" s="225">
        <f t="shared" si="65"/>
        <v>0</v>
      </c>
      <c r="W475" s="1766"/>
      <c r="X475" s="225"/>
    </row>
    <row r="476" spans="2:24" x14ac:dyDescent="0.2">
      <c r="B476" s="1653" t="s">
        <v>142</v>
      </c>
      <c r="C476" s="603">
        <v>43564</v>
      </c>
      <c r="D476" s="604" t="s">
        <v>76</v>
      </c>
      <c r="E476" s="605"/>
      <c r="F476" s="1470" t="s">
        <v>173</v>
      </c>
      <c r="G476" s="606">
        <v>4.3900462962962961E-2</v>
      </c>
      <c r="H476" s="607">
        <v>11.58</v>
      </c>
      <c r="I476" s="608">
        <f t="shared" si="67"/>
        <v>3.7910589778033642E-3</v>
      </c>
      <c r="J476" s="609">
        <v>126</v>
      </c>
      <c r="K476" s="1757"/>
      <c r="L476" s="1568">
        <v>215</v>
      </c>
      <c r="M476" s="1591"/>
      <c r="N476" s="610">
        <f t="shared" ref="N476:N507" si="69">IFERROR((L476/67)/(1/(I476*24)/3.6),"")</f>
        <v>1.0510852473384373</v>
      </c>
      <c r="O476" s="611" t="s">
        <v>251</v>
      </c>
      <c r="P476" s="612" t="str">
        <f>IFERROR(VLOOKUP(F476,#REF!,12,FALSE),"")</f>
        <v/>
      </c>
      <c r="Q476" s="230" t="s">
        <v>8</v>
      </c>
      <c r="R476" s="46" t="str">
        <f>IFERROR(VLOOKUP(F476,#REF!,14,FALSE),"")</f>
        <v/>
      </c>
      <c r="S476" s="47">
        <f t="shared" si="68"/>
        <v>1.7063492063492063</v>
      </c>
      <c r="U476" s="1728"/>
      <c r="V476" s="48">
        <f t="shared" si="65"/>
        <v>0</v>
      </c>
      <c r="W476" s="1767"/>
      <c r="X476" s="48"/>
    </row>
    <row r="477" spans="2:24" ht="16" thickBot="1" x14ac:dyDescent="0.25">
      <c r="B477" s="1654">
        <f>SUM(H475:H481)</f>
        <v>72.16</v>
      </c>
      <c r="C477" s="161">
        <v>43565</v>
      </c>
      <c r="D477" s="604"/>
      <c r="E477" s="605"/>
      <c r="F477" s="1470"/>
      <c r="G477" s="606"/>
      <c r="H477" s="607" t="str">
        <f>IFERROR(VLOOKUP(F477,#REF!,10,FALSE),"")</f>
        <v/>
      </c>
      <c r="I477" s="608" t="str">
        <f t="shared" si="67"/>
        <v/>
      </c>
      <c r="J477" s="609"/>
      <c r="K477" s="1757"/>
      <c r="L477" s="1568"/>
      <c r="M477" s="1591"/>
      <c r="N477" s="610" t="str">
        <f t="shared" si="69"/>
        <v/>
      </c>
      <c r="O477" s="611"/>
      <c r="P477" s="612" t="str">
        <f>IFERROR(VLOOKUP(F477,#REF!,12,FALSE),"")</f>
        <v/>
      </c>
      <c r="Q477" s="230" t="s">
        <v>8</v>
      </c>
      <c r="R477" s="46" t="str">
        <f>IFERROR(VLOOKUP(F477,#REF!,14,FALSE),"")</f>
        <v/>
      </c>
      <c r="S477" s="47" t="str">
        <f t="shared" si="68"/>
        <v/>
      </c>
      <c r="U477" s="1728"/>
      <c r="V477" s="48">
        <f t="shared" si="65"/>
        <v>0</v>
      </c>
      <c r="W477" s="1767"/>
      <c r="X477" s="48"/>
    </row>
    <row r="478" spans="2:24" x14ac:dyDescent="0.2">
      <c r="B478" s="1655" t="s">
        <v>144</v>
      </c>
      <c r="C478" s="161">
        <v>43566</v>
      </c>
      <c r="D478" s="604" t="s">
        <v>77</v>
      </c>
      <c r="E478" s="605"/>
      <c r="F478" s="1473" t="s">
        <v>11</v>
      </c>
      <c r="G478" s="606">
        <v>4.7928240740740737E-2</v>
      </c>
      <c r="H478" s="607">
        <v>13.63</v>
      </c>
      <c r="I478" s="608">
        <f t="shared" si="67"/>
        <v>3.5163786310154609E-3</v>
      </c>
      <c r="J478" s="609">
        <v>144</v>
      </c>
      <c r="K478" s="1757"/>
      <c r="L478" s="1568">
        <v>228</v>
      </c>
      <c r="M478" s="1591"/>
      <c r="N478" s="610">
        <f t="shared" si="69"/>
        <v>1.033878297434325</v>
      </c>
      <c r="O478" s="611" t="s">
        <v>253</v>
      </c>
      <c r="P478" s="612" t="str">
        <f>IFERROR(VLOOKUP(F478,#REF!,12,FALSE),"")</f>
        <v/>
      </c>
      <c r="Q478" s="230" t="s">
        <v>8</v>
      </c>
      <c r="R478" s="46" t="str">
        <f>IFERROR(VLOOKUP(F478,#REF!,14,FALSE),"")</f>
        <v/>
      </c>
      <c r="S478" s="47">
        <f t="shared" si="68"/>
        <v>1.5833333333333333</v>
      </c>
      <c r="U478" s="1728"/>
      <c r="V478" s="48">
        <f t="shared" si="65"/>
        <v>0</v>
      </c>
      <c r="W478" s="1767"/>
      <c r="X478" s="48"/>
    </row>
    <row r="479" spans="2:24" ht="16" thickBot="1" x14ac:dyDescent="0.25">
      <c r="B479" s="1656" t="e">
        <f>SUM(#REF!)</f>
        <v>#REF!</v>
      </c>
      <c r="C479" s="161">
        <v>43567</v>
      </c>
      <c r="D479" s="604" t="s">
        <v>78</v>
      </c>
      <c r="E479" s="605"/>
      <c r="F479" s="1470" t="s">
        <v>173</v>
      </c>
      <c r="G479" s="606">
        <v>4.5428240740740734E-2</v>
      </c>
      <c r="H479" s="607">
        <v>11.53</v>
      </c>
      <c r="I479" s="608">
        <f t="shared" si="67"/>
        <v>3.940003533455398E-3</v>
      </c>
      <c r="J479" s="609">
        <v>124</v>
      </c>
      <c r="K479" s="1757"/>
      <c r="L479" s="1568">
        <v>210</v>
      </c>
      <c r="M479" s="1591"/>
      <c r="N479" s="610">
        <f t="shared" si="69"/>
        <v>1.0669764792688767</v>
      </c>
      <c r="O479" s="611" t="s">
        <v>251</v>
      </c>
      <c r="P479" s="612" t="str">
        <f>IFERROR(VLOOKUP(F479,#REF!,12,FALSE),"")</f>
        <v/>
      </c>
      <c r="Q479" s="230" t="s">
        <v>8</v>
      </c>
      <c r="R479" s="46" t="str">
        <f>IFERROR(VLOOKUP(F479,#REF!,14,FALSE),"")</f>
        <v/>
      </c>
      <c r="S479" s="47">
        <f t="shared" si="68"/>
        <v>1.6935483870967742</v>
      </c>
      <c r="U479" s="1728"/>
      <c r="V479" s="48">
        <f t="shared" si="65"/>
        <v>0</v>
      </c>
      <c r="W479" s="1767"/>
      <c r="X479" s="48"/>
    </row>
    <row r="480" spans="2:24" x14ac:dyDescent="0.2">
      <c r="B480" s="1657" t="s">
        <v>256</v>
      </c>
      <c r="C480" s="246">
        <v>43568</v>
      </c>
      <c r="D480" s="604"/>
      <c r="E480" s="605"/>
      <c r="F480" s="1470"/>
      <c r="G480" s="606"/>
      <c r="H480" s="607" t="str">
        <f>IFERROR(VLOOKUP(F480,#REF!,10,FALSE),"")</f>
        <v/>
      </c>
      <c r="I480" s="608" t="str">
        <f t="shared" si="67"/>
        <v/>
      </c>
      <c r="J480" s="609"/>
      <c r="K480" s="1757"/>
      <c r="L480" s="1568"/>
      <c r="M480" s="1591"/>
      <c r="N480" s="610" t="str">
        <f t="shared" si="69"/>
        <v/>
      </c>
      <c r="O480" s="611"/>
      <c r="P480" s="612" t="str">
        <f>IFERROR(VLOOKUP(F480,#REF!,12,FALSE),"")</f>
        <v/>
      </c>
      <c r="Q480" s="230" t="s">
        <v>8</v>
      </c>
      <c r="R480" s="46" t="str">
        <f>IFERROR(VLOOKUP(F480,#REF!,14,FALSE),"")</f>
        <v/>
      </c>
      <c r="S480" s="47" t="str">
        <f t="shared" si="68"/>
        <v/>
      </c>
      <c r="U480" s="1728"/>
      <c r="V480" s="48">
        <f t="shared" si="65"/>
        <v>0</v>
      </c>
      <c r="W480" s="1767"/>
      <c r="X480" s="48"/>
    </row>
    <row r="481" spans="2:24" ht="16" thickBot="1" x14ac:dyDescent="0.25">
      <c r="B481" s="1658" t="e">
        <f>AVERAGE(#REF!)</f>
        <v>#REF!</v>
      </c>
      <c r="C481" s="613">
        <v>43569</v>
      </c>
      <c r="D481" s="623" t="s">
        <v>79</v>
      </c>
      <c r="E481" s="641"/>
      <c r="F481" s="1471" t="s">
        <v>250</v>
      </c>
      <c r="G481" s="615">
        <v>7.8611111111111118E-2</v>
      </c>
      <c r="H481" s="624">
        <v>21.1</v>
      </c>
      <c r="I481" s="625">
        <f t="shared" si="67"/>
        <v>3.7256450763559767E-3</v>
      </c>
      <c r="J481" s="626">
        <v>134</v>
      </c>
      <c r="K481" s="1757"/>
      <c r="L481" s="1570">
        <v>218</v>
      </c>
      <c r="M481" s="1594"/>
      <c r="N481" s="619">
        <f t="shared" si="69"/>
        <v>1.0473622409280612</v>
      </c>
      <c r="O481" s="620" t="s">
        <v>252</v>
      </c>
      <c r="P481" s="621" t="str">
        <f>IFERROR(VLOOKUP(F481,#REF!,12,FALSE),"")</f>
        <v/>
      </c>
      <c r="Q481" s="622" t="s">
        <v>8</v>
      </c>
      <c r="R481" s="107" t="str">
        <f>IFERROR(VLOOKUP(F481,#REF!,14,FALSE),"")</f>
        <v/>
      </c>
      <c r="S481" s="65">
        <f t="shared" si="68"/>
        <v>1.6268656716417911</v>
      </c>
      <c r="U481" s="1728"/>
      <c r="V481" s="108">
        <f t="shared" si="65"/>
        <v>0</v>
      </c>
      <c r="W481" s="1768"/>
      <c r="X481" s="108"/>
    </row>
    <row r="482" spans="2:24" ht="16" thickBot="1" x14ac:dyDescent="0.25">
      <c r="B482" s="1652">
        <f>B475+1</f>
        <v>16</v>
      </c>
      <c r="C482" s="189">
        <v>43570</v>
      </c>
      <c r="D482" s="143"/>
      <c r="E482" s="144"/>
      <c r="F482" s="1463"/>
      <c r="G482" s="291"/>
      <c r="H482" s="602" t="str">
        <f>IFERROR(VLOOKUP(F482,#REF!,10,FALSE),"")</f>
        <v/>
      </c>
      <c r="I482" s="309" t="str">
        <f t="shared" si="67"/>
        <v/>
      </c>
      <c r="J482" s="295"/>
      <c r="K482" s="1757"/>
      <c r="L482" s="792"/>
      <c r="M482" s="1595"/>
      <c r="N482" s="150" t="str">
        <f t="shared" si="69"/>
        <v/>
      </c>
      <c r="O482" s="576"/>
      <c r="P482" s="214" t="str">
        <f>IFERROR(VLOOKUP(F482,#REF!,12,FALSE),"")</f>
        <v/>
      </c>
      <c r="Q482" s="153" t="s">
        <v>8</v>
      </c>
      <c r="R482" s="32" t="str">
        <f>IFERROR(VLOOKUP(F482,#REF!,14,FALSE),"")</f>
        <v/>
      </c>
      <c r="S482" s="33" t="str">
        <f t="shared" si="68"/>
        <v/>
      </c>
      <c r="U482" s="1728"/>
      <c r="V482" s="215">
        <f t="shared" si="65"/>
        <v>0</v>
      </c>
      <c r="W482" s="1766"/>
      <c r="X482" s="215"/>
    </row>
    <row r="483" spans="2:24" x14ac:dyDescent="0.2">
      <c r="B483" s="1653" t="s">
        <v>142</v>
      </c>
      <c r="C483" s="161">
        <v>43571</v>
      </c>
      <c r="D483" s="49" t="s">
        <v>80</v>
      </c>
      <c r="E483" s="156"/>
      <c r="F483" s="1464" t="s">
        <v>163</v>
      </c>
      <c r="G483" s="298">
        <v>5.5868055555555553E-2</v>
      </c>
      <c r="H483" s="299">
        <v>16.63</v>
      </c>
      <c r="I483" s="310">
        <f t="shared" si="67"/>
        <v>3.3594741765216813E-3</v>
      </c>
      <c r="J483" s="252">
        <v>146</v>
      </c>
      <c r="K483" s="1757"/>
      <c r="L483" s="1568">
        <v>234</v>
      </c>
      <c r="M483" s="1591"/>
      <c r="N483" s="158">
        <f t="shared" si="69"/>
        <v>1.0137388822573843</v>
      </c>
      <c r="O483" s="577" t="s">
        <v>175</v>
      </c>
      <c r="P483" s="93" t="str">
        <f>IFERROR(VLOOKUP(F483,#REF!,12,FALSE),"")</f>
        <v/>
      </c>
      <c r="Q483" s="94" t="s">
        <v>8</v>
      </c>
      <c r="R483" s="46" t="str">
        <f>IFERROR(VLOOKUP(F483,#REF!,14,FALSE),"")</f>
        <v/>
      </c>
      <c r="S483" s="47">
        <f t="shared" si="68"/>
        <v>1.6027397260273972</v>
      </c>
      <c r="U483" s="1728"/>
      <c r="V483" s="160">
        <f t="shared" si="65"/>
        <v>0</v>
      </c>
      <c r="W483" s="1767"/>
      <c r="X483" s="160"/>
    </row>
    <row r="484" spans="2:24" ht="16" thickBot="1" x14ac:dyDescent="0.25">
      <c r="B484" s="1654">
        <f>SUM(H482:H488)</f>
        <v>73.3</v>
      </c>
      <c r="C484" s="161">
        <v>43572</v>
      </c>
      <c r="D484" s="49" t="s">
        <v>81</v>
      </c>
      <c r="E484" s="156"/>
      <c r="F484" s="1464" t="s">
        <v>173</v>
      </c>
      <c r="G484" s="298">
        <v>4.4641203703703704E-2</v>
      </c>
      <c r="H484" s="299">
        <v>11.5</v>
      </c>
      <c r="I484" s="310">
        <f t="shared" si="67"/>
        <v>3.8818438003220611E-3</v>
      </c>
      <c r="J484" s="252">
        <v>133</v>
      </c>
      <c r="K484" s="1757"/>
      <c r="L484" s="1568">
        <v>213</v>
      </c>
      <c r="M484" s="1591"/>
      <c r="N484" s="158">
        <f t="shared" si="69"/>
        <v>1.066243997404283</v>
      </c>
      <c r="O484" s="577" t="s">
        <v>251</v>
      </c>
      <c r="P484" s="93" t="str">
        <f>IFERROR(VLOOKUP(F484,#REF!,12,FALSE),"")</f>
        <v/>
      </c>
      <c r="Q484" s="94" t="s">
        <v>8</v>
      </c>
      <c r="R484" s="46" t="str">
        <f>IFERROR(VLOOKUP(F484,#REF!,14,FALSE),"")</f>
        <v/>
      </c>
      <c r="S484" s="47">
        <f t="shared" si="68"/>
        <v>1.6015037593984962</v>
      </c>
      <c r="U484" s="1728"/>
      <c r="V484" s="160">
        <f t="shared" si="65"/>
        <v>0</v>
      </c>
      <c r="W484" s="1767"/>
      <c r="X484" s="160"/>
    </row>
    <row r="485" spans="2:24" x14ac:dyDescent="0.2">
      <c r="B485" s="1655" t="s">
        <v>144</v>
      </c>
      <c r="C485" s="161">
        <v>43573</v>
      </c>
      <c r="D485" s="49" t="s">
        <v>82</v>
      </c>
      <c r="E485" s="156"/>
      <c r="F485" s="1464" t="s">
        <v>287</v>
      </c>
      <c r="G485" s="298">
        <v>3.9687500000000001E-2</v>
      </c>
      <c r="H485" s="299">
        <v>12.24</v>
      </c>
      <c r="I485" s="310">
        <f t="shared" si="67"/>
        <v>3.2424428104575165E-3</v>
      </c>
      <c r="J485" s="252">
        <v>153</v>
      </c>
      <c r="K485" s="1757"/>
      <c r="L485" s="1568">
        <v>246</v>
      </c>
      <c r="M485" s="1591"/>
      <c r="N485" s="158">
        <f t="shared" si="69"/>
        <v>1.0285996488147497</v>
      </c>
      <c r="O485" s="577" t="s">
        <v>253</v>
      </c>
      <c r="P485" s="93" t="str">
        <f>IFERROR(VLOOKUP(F485,#REF!,12,FALSE),"")</f>
        <v/>
      </c>
      <c r="Q485" s="94" t="s">
        <v>8</v>
      </c>
      <c r="R485" s="46" t="str">
        <f>IFERROR(VLOOKUP(F485,#REF!,14,FALSE),"")</f>
        <v/>
      </c>
      <c r="S485" s="47">
        <f t="shared" si="68"/>
        <v>1.607843137254902</v>
      </c>
      <c r="U485" s="1728"/>
      <c r="V485" s="160">
        <f t="shared" si="65"/>
        <v>0</v>
      </c>
      <c r="W485" s="1767"/>
      <c r="X485" s="160"/>
    </row>
    <row r="486" spans="2:24" ht="16" thickBot="1" x14ac:dyDescent="0.25">
      <c r="B486" s="1656" t="e">
        <f>SUM(#REF!)</f>
        <v>#REF!</v>
      </c>
      <c r="C486" s="161">
        <v>43574</v>
      </c>
      <c r="D486" s="49" t="s">
        <v>83</v>
      </c>
      <c r="E486" s="156"/>
      <c r="F486" s="1464" t="s">
        <v>173</v>
      </c>
      <c r="G486" s="298">
        <v>4.6030092592592588E-2</v>
      </c>
      <c r="H486" s="299">
        <v>12.13</v>
      </c>
      <c r="I486" s="310">
        <f t="shared" si="67"/>
        <v>3.7947314585814167E-3</v>
      </c>
      <c r="J486" s="252">
        <v>137</v>
      </c>
      <c r="K486" s="1757"/>
      <c r="L486" s="1568">
        <v>217</v>
      </c>
      <c r="M486" s="1591"/>
      <c r="N486" s="158">
        <f t="shared" si="69"/>
        <v>1.061890465233601</v>
      </c>
      <c r="O486" s="577" t="s">
        <v>251</v>
      </c>
      <c r="P486" s="93" t="str">
        <f>IFERROR(VLOOKUP(F486,#REF!,12,FALSE),"")</f>
        <v/>
      </c>
      <c r="Q486" s="94" t="s">
        <v>8</v>
      </c>
      <c r="R486" s="46" t="str">
        <f>IFERROR(VLOOKUP(F486,#REF!,14,FALSE),"")</f>
        <v/>
      </c>
      <c r="S486" s="47">
        <f t="shared" si="68"/>
        <v>1.583941605839416</v>
      </c>
      <c r="U486" s="1728"/>
      <c r="V486" s="160">
        <f t="shared" si="65"/>
        <v>0</v>
      </c>
      <c r="W486" s="1767"/>
      <c r="X486" s="160"/>
    </row>
    <row r="487" spans="2:24" x14ac:dyDescent="0.2">
      <c r="B487" s="1657" t="s">
        <v>256</v>
      </c>
      <c r="C487" s="161">
        <v>43575</v>
      </c>
      <c r="D487" s="49" t="s">
        <v>84</v>
      </c>
      <c r="E487" s="156"/>
      <c r="F487" s="1464" t="s">
        <v>153</v>
      </c>
      <c r="G487" s="298">
        <v>7.9259259259259265E-2</v>
      </c>
      <c r="H487" s="299">
        <v>20.8</v>
      </c>
      <c r="I487" s="310">
        <f t="shared" si="67"/>
        <v>3.8105413105413107E-3</v>
      </c>
      <c r="J487" s="252">
        <v>140</v>
      </c>
      <c r="K487" s="1757"/>
      <c r="L487" s="1568">
        <v>217</v>
      </c>
      <c r="M487" s="1591"/>
      <c r="N487" s="158">
        <f t="shared" si="69"/>
        <v>1.0663145809414467</v>
      </c>
      <c r="O487" s="577" t="s">
        <v>252</v>
      </c>
      <c r="P487" s="93" t="str">
        <f>IFERROR(VLOOKUP(F487,#REF!,12,FALSE),"")</f>
        <v/>
      </c>
      <c r="Q487" s="94" t="s">
        <v>8</v>
      </c>
      <c r="R487" s="46" t="str">
        <f>IFERROR(VLOOKUP(F487,#REF!,14,FALSE),"")</f>
        <v/>
      </c>
      <c r="S487" s="47">
        <f t="shared" si="68"/>
        <v>1.55</v>
      </c>
      <c r="U487" s="1728"/>
      <c r="V487" s="160">
        <f t="shared" si="65"/>
        <v>0</v>
      </c>
      <c r="W487" s="1767"/>
      <c r="X487" s="160"/>
    </row>
    <row r="488" spans="2:24" ht="16" thickBot="1" x14ac:dyDescent="0.25">
      <c r="B488" s="1658" t="e">
        <f>AVERAGE(#REF!)</f>
        <v>#REF!</v>
      </c>
      <c r="C488" s="207">
        <v>43576</v>
      </c>
      <c r="D488" s="67"/>
      <c r="E488" s="208"/>
      <c r="F488" s="1465"/>
      <c r="G488" s="302"/>
      <c r="H488" s="303" t="str">
        <f>IFERROR(VLOOKUP(F488,#REF!,10,FALSE),"")</f>
        <v/>
      </c>
      <c r="I488" s="311" t="str">
        <f t="shared" si="67"/>
        <v/>
      </c>
      <c r="J488" s="262"/>
      <c r="K488" s="1757"/>
      <c r="L488" s="1569"/>
      <c r="M488" s="1592"/>
      <c r="N488" s="172" t="str">
        <f t="shared" si="69"/>
        <v/>
      </c>
      <c r="O488" s="578"/>
      <c r="P488" s="174" t="str">
        <f>IFERROR(VLOOKUP(F488,#REF!,12,FALSE),"")</f>
        <v/>
      </c>
      <c r="Q488" s="175" t="s">
        <v>8</v>
      </c>
      <c r="R488" s="64" t="str">
        <f>IFERROR(VLOOKUP(F488,#REF!,14,FALSE),"")</f>
        <v/>
      </c>
      <c r="S488" s="65" t="str">
        <f t="shared" si="68"/>
        <v/>
      </c>
      <c r="U488" s="1728"/>
      <c r="V488" s="176">
        <f t="shared" si="65"/>
        <v>0</v>
      </c>
      <c r="W488" s="1768"/>
      <c r="X488" s="176"/>
    </row>
    <row r="489" spans="2:24" ht="16" thickBot="1" x14ac:dyDescent="0.25">
      <c r="B489" s="1652">
        <f>B482+1</f>
        <v>17</v>
      </c>
      <c r="C489" s="193">
        <v>43577</v>
      </c>
      <c r="D489" s="70"/>
      <c r="E489" s="71"/>
      <c r="F489" s="1466"/>
      <c r="G489" s="559"/>
      <c r="H489" s="560" t="str">
        <f>IFERROR(VLOOKUP(F489,#REF!,10,FALSE),"")</f>
        <v/>
      </c>
      <c r="I489" s="179" t="str">
        <f t="shared" si="67"/>
        <v/>
      </c>
      <c r="J489" s="269"/>
      <c r="K489" s="1757"/>
      <c r="L489" s="270"/>
      <c r="M489" s="1593"/>
      <c r="N489" s="77" t="str">
        <f t="shared" si="69"/>
        <v/>
      </c>
      <c r="O489" s="561"/>
      <c r="P489" s="224" t="str">
        <f>IFERROR(VLOOKUP(F489,#REF!,12,FALSE),"")</f>
        <v/>
      </c>
      <c r="Q489" s="80" t="s">
        <v>8</v>
      </c>
      <c r="R489" s="80" t="str">
        <f>IFERROR(VLOOKUP(F489,#REF!,14,FALSE),"")</f>
        <v/>
      </c>
      <c r="S489" s="33" t="str">
        <f t="shared" si="68"/>
        <v/>
      </c>
      <c r="U489" s="1728"/>
      <c r="V489" s="225">
        <f t="shared" si="65"/>
        <v>0</v>
      </c>
      <c r="W489" s="1766"/>
      <c r="X489" s="225"/>
    </row>
    <row r="490" spans="2:24" x14ac:dyDescent="0.2">
      <c r="B490" s="1653" t="s">
        <v>142</v>
      </c>
      <c r="C490" s="603">
        <v>43578</v>
      </c>
      <c r="D490" s="647"/>
      <c r="E490" s="648"/>
      <c r="F490" s="1470"/>
      <c r="G490" s="606"/>
      <c r="H490" s="607" t="str">
        <f>IFERROR(VLOOKUP(F490,#REF!,10,FALSE),"")</f>
        <v/>
      </c>
      <c r="I490" s="608" t="str">
        <f t="shared" si="67"/>
        <v/>
      </c>
      <c r="J490" s="609"/>
      <c r="K490" s="1757"/>
      <c r="L490" s="1568"/>
      <c r="M490" s="1591"/>
      <c r="N490" s="610" t="str">
        <f t="shared" si="69"/>
        <v/>
      </c>
      <c r="O490" s="611"/>
      <c r="P490" s="612" t="str">
        <f>IFERROR(VLOOKUP(F490,#REF!,12,FALSE),"")</f>
        <v/>
      </c>
      <c r="Q490" s="230" t="s">
        <v>8</v>
      </c>
      <c r="R490" s="46" t="str">
        <f>IFERROR(VLOOKUP(F490,#REF!,14,FALSE),"")</f>
        <v/>
      </c>
      <c r="S490" s="47" t="str">
        <f t="shared" si="68"/>
        <v/>
      </c>
      <c r="U490" s="1728"/>
      <c r="V490" s="48">
        <f t="shared" si="65"/>
        <v>0</v>
      </c>
      <c r="W490" s="1767"/>
      <c r="X490" s="48"/>
    </row>
    <row r="491" spans="2:24" ht="16" thickBot="1" x14ac:dyDescent="0.25">
      <c r="B491" s="1654">
        <f>SUM(H489:H495)</f>
        <v>36.22</v>
      </c>
      <c r="C491" s="161">
        <v>43579</v>
      </c>
      <c r="D491" s="604" t="s">
        <v>85</v>
      </c>
      <c r="E491" s="605"/>
      <c r="F491" s="1470" t="s">
        <v>173</v>
      </c>
      <c r="G491" s="606">
        <v>4.5057870370370373E-2</v>
      </c>
      <c r="H491" s="607">
        <v>11.59</v>
      </c>
      <c r="I491" s="608">
        <f t="shared" si="67"/>
        <v>3.8876505927843289E-3</v>
      </c>
      <c r="J491" s="609">
        <v>135</v>
      </c>
      <c r="K491" s="1757"/>
      <c r="L491" s="1568">
        <v>213</v>
      </c>
      <c r="M491" s="1591"/>
      <c r="N491" s="610">
        <f t="shared" si="69"/>
        <v>1.0678389759571429</v>
      </c>
      <c r="O491" s="611" t="s">
        <v>251</v>
      </c>
      <c r="P491" s="612" t="str">
        <f>IFERROR(VLOOKUP(F491,#REF!,12,FALSE),"")</f>
        <v/>
      </c>
      <c r="Q491" s="230" t="s">
        <v>8</v>
      </c>
      <c r="R491" s="46" t="str">
        <f>IFERROR(VLOOKUP(F491,#REF!,14,FALSE),"")</f>
        <v/>
      </c>
      <c r="S491" s="47">
        <f t="shared" si="68"/>
        <v>1.5777777777777777</v>
      </c>
      <c r="U491" s="1728"/>
      <c r="V491" s="48">
        <f t="shared" si="65"/>
        <v>0</v>
      </c>
      <c r="W491" s="1767"/>
      <c r="X491" s="48"/>
    </row>
    <row r="492" spans="2:24" x14ac:dyDescent="0.2">
      <c r="B492" s="1655" t="s">
        <v>144</v>
      </c>
      <c r="C492" s="161">
        <v>43580</v>
      </c>
      <c r="D492" s="604" t="s">
        <v>86</v>
      </c>
      <c r="E492" s="605"/>
      <c r="F492" s="1470" t="s">
        <v>143</v>
      </c>
      <c r="G492" s="606">
        <v>4.3645833333333335E-2</v>
      </c>
      <c r="H492" s="607">
        <v>10.5</v>
      </c>
      <c r="I492" s="608">
        <f t="shared" si="67"/>
        <v>4.1567460317460322E-3</v>
      </c>
      <c r="J492" s="609">
        <v>137</v>
      </c>
      <c r="K492" s="1757"/>
      <c r="L492" s="1568">
        <v>191</v>
      </c>
      <c r="M492" s="1591"/>
      <c r="N492" s="610">
        <f t="shared" si="69"/>
        <v>1.0238251599147123</v>
      </c>
      <c r="O492" s="611" t="s">
        <v>175</v>
      </c>
      <c r="P492" s="612" t="str">
        <f>IFERROR(VLOOKUP(F492,#REF!,12,FALSE),"")</f>
        <v/>
      </c>
      <c r="Q492" s="230" t="s">
        <v>8</v>
      </c>
      <c r="R492" s="46" t="str">
        <f>IFERROR(VLOOKUP(F492,#REF!,14,FALSE),"")</f>
        <v/>
      </c>
      <c r="S492" s="47">
        <f t="shared" si="68"/>
        <v>1.3941605839416058</v>
      </c>
      <c r="U492" s="1728"/>
      <c r="V492" s="48">
        <f t="shared" si="65"/>
        <v>0</v>
      </c>
      <c r="W492" s="1767"/>
      <c r="X492" s="48"/>
    </row>
    <row r="493" spans="2:24" ht="16" thickBot="1" x14ac:dyDescent="0.25">
      <c r="B493" s="1656" t="e">
        <f>SUM(#REF!)</f>
        <v>#REF!</v>
      </c>
      <c r="C493" s="161">
        <v>43581</v>
      </c>
      <c r="D493" s="604"/>
      <c r="E493" s="605"/>
      <c r="F493" s="1470"/>
      <c r="G493" s="606"/>
      <c r="H493" s="607" t="str">
        <f>IFERROR(VLOOKUP(F493,#REF!,10,FALSE),"")</f>
        <v/>
      </c>
      <c r="I493" s="608" t="str">
        <f t="shared" si="67"/>
        <v/>
      </c>
      <c r="J493" s="609"/>
      <c r="K493" s="1757"/>
      <c r="L493" s="1568"/>
      <c r="M493" s="1591"/>
      <c r="N493" s="610" t="str">
        <f t="shared" si="69"/>
        <v/>
      </c>
      <c r="O493" s="611"/>
      <c r="P493" s="612" t="str">
        <f>IFERROR(VLOOKUP(F493,#REF!,12,FALSE),"")</f>
        <v/>
      </c>
      <c r="Q493" s="230" t="s">
        <v>8</v>
      </c>
      <c r="R493" s="46" t="str">
        <f>IFERROR(VLOOKUP(F493,#REF!,14,FALSE),"")</f>
        <v/>
      </c>
      <c r="S493" s="47" t="str">
        <f t="shared" si="68"/>
        <v/>
      </c>
      <c r="U493" s="1728"/>
      <c r="V493" s="48">
        <f t="shared" si="65"/>
        <v>0</v>
      </c>
      <c r="W493" s="1767"/>
      <c r="X493" s="48"/>
    </row>
    <row r="494" spans="2:24" x14ac:dyDescent="0.2">
      <c r="B494" s="1657" t="s">
        <v>256</v>
      </c>
      <c r="C494" s="161">
        <v>43582</v>
      </c>
      <c r="D494" s="604" t="s">
        <v>87</v>
      </c>
      <c r="E494" s="605"/>
      <c r="F494" s="1470" t="s">
        <v>150</v>
      </c>
      <c r="G494" s="606">
        <v>5.5532407407407412E-2</v>
      </c>
      <c r="H494" s="607">
        <v>14.13</v>
      </c>
      <c r="I494" s="608">
        <f t="shared" si="67"/>
        <v>3.9301066813451808E-3</v>
      </c>
      <c r="J494" s="609">
        <v>126</v>
      </c>
      <c r="K494" s="1757"/>
      <c r="L494" s="1568">
        <v>209</v>
      </c>
      <c r="M494" s="1591"/>
      <c r="N494" s="610">
        <f t="shared" si="69"/>
        <v>1.0592282747620707</v>
      </c>
      <c r="O494" s="611" t="s">
        <v>252</v>
      </c>
      <c r="P494" s="612" t="str">
        <f>IFERROR(VLOOKUP(F494,#REF!,12,FALSE),"")</f>
        <v/>
      </c>
      <c r="Q494" s="230" t="s">
        <v>8</v>
      </c>
      <c r="R494" s="46" t="str">
        <f>IFERROR(VLOOKUP(F494,#REF!,14,FALSE),"")</f>
        <v/>
      </c>
      <c r="S494" s="47">
        <f t="shared" si="68"/>
        <v>1.6587301587301588</v>
      </c>
      <c r="U494" s="1728"/>
      <c r="V494" s="48">
        <f t="shared" si="65"/>
        <v>0</v>
      </c>
      <c r="W494" s="1767"/>
      <c r="X494" s="48"/>
    </row>
    <row r="495" spans="2:24" ht="16" thickBot="1" x14ac:dyDescent="0.25">
      <c r="B495" s="1658" t="e">
        <f>AVERAGE(#REF!)</f>
        <v>#REF!</v>
      </c>
      <c r="C495" s="640">
        <v>43583</v>
      </c>
      <c r="D495" s="623"/>
      <c r="E495" s="641"/>
      <c r="F495" s="1471"/>
      <c r="G495" s="615"/>
      <c r="H495" s="624" t="str">
        <f>IFERROR(VLOOKUP(F495,#REF!,10,FALSE),"")</f>
        <v/>
      </c>
      <c r="I495" s="625" t="str">
        <f t="shared" si="67"/>
        <v/>
      </c>
      <c r="J495" s="626"/>
      <c r="K495" s="1757"/>
      <c r="L495" s="1570"/>
      <c r="M495" s="1594"/>
      <c r="N495" s="619" t="str">
        <f t="shared" si="69"/>
        <v/>
      </c>
      <c r="O495" s="620"/>
      <c r="P495" s="621" t="str">
        <f>IFERROR(VLOOKUP(F495,#REF!,12,FALSE),"")</f>
        <v/>
      </c>
      <c r="Q495" s="622" t="s">
        <v>8</v>
      </c>
      <c r="R495" s="107" t="str">
        <f>IFERROR(VLOOKUP(F495,#REF!,14,FALSE),"")</f>
        <v/>
      </c>
      <c r="S495" s="65" t="str">
        <f t="shared" si="68"/>
        <v/>
      </c>
      <c r="U495" s="1728"/>
      <c r="V495" s="108">
        <f t="shared" si="65"/>
        <v>0</v>
      </c>
      <c r="W495" s="1768"/>
      <c r="X495" s="108"/>
    </row>
    <row r="496" spans="2:24" ht="16" thickBot="1" x14ac:dyDescent="0.25">
      <c r="B496" s="1652">
        <f>B489+1</f>
        <v>18</v>
      </c>
      <c r="C496" s="189">
        <v>43584</v>
      </c>
      <c r="D496" s="143" t="s">
        <v>88</v>
      </c>
      <c r="E496" s="144"/>
      <c r="F496" s="1463" t="s">
        <v>287</v>
      </c>
      <c r="G496" s="291">
        <v>3.7650462962962962E-2</v>
      </c>
      <c r="H496" s="602">
        <v>12.36</v>
      </c>
      <c r="I496" s="309">
        <f t="shared" si="67"/>
        <v>3.0461539614047707E-3</v>
      </c>
      <c r="J496" s="295">
        <v>154</v>
      </c>
      <c r="K496" s="1757"/>
      <c r="L496" s="792">
        <v>258</v>
      </c>
      <c r="M496" s="1595"/>
      <c r="N496" s="150">
        <f t="shared" si="69"/>
        <v>1.0134690624547169</v>
      </c>
      <c r="O496" s="576" t="s">
        <v>175</v>
      </c>
      <c r="P496" s="214" t="str">
        <f>IFERROR(VLOOKUP(F496,#REF!,12,FALSE),"")</f>
        <v/>
      </c>
      <c r="Q496" s="153" t="s">
        <v>8</v>
      </c>
      <c r="R496" s="32" t="str">
        <f>IFERROR(VLOOKUP(F496,#REF!,14,FALSE),"")</f>
        <v/>
      </c>
      <c r="S496" s="33">
        <f t="shared" si="68"/>
        <v>1.6753246753246753</v>
      </c>
      <c r="U496" s="1728"/>
      <c r="V496" s="215">
        <f t="shared" si="65"/>
        <v>0</v>
      </c>
      <c r="W496" s="1766"/>
      <c r="X496" s="215"/>
    </row>
    <row r="497" spans="2:24" x14ac:dyDescent="0.2">
      <c r="B497" s="1653" t="s">
        <v>142</v>
      </c>
      <c r="C497" s="161">
        <v>43585</v>
      </c>
      <c r="D497" s="162" t="s">
        <v>89</v>
      </c>
      <c r="E497" s="163"/>
      <c r="F497" s="1464" t="s">
        <v>173</v>
      </c>
      <c r="G497" s="298">
        <v>4.4907407407407403E-2</v>
      </c>
      <c r="H497" s="299">
        <v>11.59</v>
      </c>
      <c r="I497" s="310">
        <f t="shared" si="67"/>
        <v>3.8746684562042627E-3</v>
      </c>
      <c r="J497" s="252">
        <v>124</v>
      </c>
      <c r="K497" s="1757"/>
      <c r="L497" s="1568">
        <v>212</v>
      </c>
      <c r="M497" s="1591"/>
      <c r="N497" s="158">
        <f t="shared" si="69"/>
        <v>1.0592765250537648</v>
      </c>
      <c r="O497" s="577" t="s">
        <v>251</v>
      </c>
      <c r="P497" s="93" t="str">
        <f>IFERROR(VLOOKUP(F497,#REF!,12,FALSE),"")</f>
        <v/>
      </c>
      <c r="Q497" s="94" t="s">
        <v>8</v>
      </c>
      <c r="R497" s="46" t="str">
        <f>IFERROR(VLOOKUP(F497,#REF!,14,FALSE),"")</f>
        <v/>
      </c>
      <c r="S497" s="47">
        <f t="shared" si="68"/>
        <v>1.7096774193548387</v>
      </c>
      <c r="U497" s="1728"/>
      <c r="V497" s="160">
        <f t="shared" si="65"/>
        <v>0</v>
      </c>
      <c r="W497" s="1767"/>
      <c r="X497" s="160"/>
    </row>
    <row r="498" spans="2:24" ht="16" thickBot="1" x14ac:dyDescent="0.25">
      <c r="B498" s="1654">
        <f>SUM(H496:H502)</f>
        <v>69.819999999999993</v>
      </c>
      <c r="C498" s="161">
        <v>43586</v>
      </c>
      <c r="D498" s="49" t="s">
        <v>90</v>
      </c>
      <c r="E498" s="156"/>
      <c r="F498" s="1464" t="s">
        <v>168</v>
      </c>
      <c r="G498" s="298">
        <v>4.6331018518518514E-2</v>
      </c>
      <c r="H498" s="299">
        <v>13.16</v>
      </c>
      <c r="I498" s="310">
        <f t="shared" si="67"/>
        <v>3.5205941123494311E-3</v>
      </c>
      <c r="J498" s="252">
        <v>145</v>
      </c>
      <c r="K498" s="1757"/>
      <c r="L498" s="1568">
        <v>225</v>
      </c>
      <c r="M498" s="1591"/>
      <c r="N498" s="158">
        <f t="shared" si="69"/>
        <v>1.0214977543891486</v>
      </c>
      <c r="O498" s="577" t="s">
        <v>253</v>
      </c>
      <c r="P498" s="93" t="str">
        <f>IFERROR(VLOOKUP(F498,#REF!,12,FALSE),"")</f>
        <v/>
      </c>
      <c r="Q498" s="94" t="s">
        <v>8</v>
      </c>
      <c r="R498" s="46" t="str">
        <f>IFERROR(VLOOKUP(F498,#REF!,14,FALSE),"")</f>
        <v/>
      </c>
      <c r="S498" s="47">
        <f t="shared" si="68"/>
        <v>1.5517241379310345</v>
      </c>
      <c r="U498" s="1728"/>
      <c r="V498" s="160">
        <f t="shared" si="65"/>
        <v>0</v>
      </c>
      <c r="W498" s="1767"/>
      <c r="X498" s="160"/>
    </row>
    <row r="499" spans="2:24" x14ac:dyDescent="0.2">
      <c r="B499" s="1655" t="s">
        <v>144</v>
      </c>
      <c r="C499" s="161">
        <v>43587</v>
      </c>
      <c r="D499" s="49"/>
      <c r="E499" s="156"/>
      <c r="F499" s="1464"/>
      <c r="G499" s="298"/>
      <c r="H499" s="299" t="str">
        <f>IFERROR(VLOOKUP(F499,#REF!,10,FALSE),"")</f>
        <v/>
      </c>
      <c r="I499" s="310" t="str">
        <f t="shared" si="67"/>
        <v/>
      </c>
      <c r="J499" s="252"/>
      <c r="K499" s="1757"/>
      <c r="L499" s="1568"/>
      <c r="M499" s="1591"/>
      <c r="N499" s="158" t="str">
        <f t="shared" si="69"/>
        <v/>
      </c>
      <c r="O499" s="577"/>
      <c r="P499" s="93" t="str">
        <f>IFERROR(VLOOKUP(F499,#REF!,12,FALSE),"")</f>
        <v/>
      </c>
      <c r="Q499" s="94" t="s">
        <v>8</v>
      </c>
      <c r="R499" s="46" t="str">
        <f>IFERROR(VLOOKUP(F499,#REF!,14,FALSE),"")</f>
        <v/>
      </c>
      <c r="S499" s="47" t="str">
        <f t="shared" si="68"/>
        <v/>
      </c>
      <c r="U499" s="1728"/>
      <c r="V499" s="160">
        <f t="shared" si="65"/>
        <v>0</v>
      </c>
      <c r="W499" s="1767"/>
      <c r="X499" s="160"/>
    </row>
    <row r="500" spans="2:24" ht="16" thickBot="1" x14ac:dyDescent="0.25">
      <c r="B500" s="1656" t="e">
        <f>SUM(#REF!)</f>
        <v>#REF!</v>
      </c>
      <c r="C500" s="161">
        <v>43588</v>
      </c>
      <c r="D500" s="49" t="s">
        <v>91</v>
      </c>
      <c r="E500" s="156"/>
      <c r="F500" s="1464" t="s">
        <v>173</v>
      </c>
      <c r="G500" s="298">
        <v>4.1157407407407406E-2</v>
      </c>
      <c r="H500" s="299">
        <v>10.69</v>
      </c>
      <c r="I500" s="310">
        <f t="shared" si="67"/>
        <v>3.8500848837612167E-3</v>
      </c>
      <c r="J500" s="252">
        <v>127</v>
      </c>
      <c r="K500" s="1757"/>
      <c r="L500" s="1568">
        <v>212</v>
      </c>
      <c r="M500" s="1591"/>
      <c r="N500" s="158">
        <f t="shared" si="69"/>
        <v>1.0525557432668275</v>
      </c>
      <c r="O500" s="577" t="s">
        <v>253</v>
      </c>
      <c r="P500" s="93" t="str">
        <f>IFERROR(VLOOKUP(F500,#REF!,12,FALSE),"")</f>
        <v/>
      </c>
      <c r="Q500" s="94" t="s">
        <v>8</v>
      </c>
      <c r="R500" s="46" t="str">
        <f>IFERROR(VLOOKUP(F500,#REF!,14,FALSE),"")</f>
        <v/>
      </c>
      <c r="S500" s="47">
        <f t="shared" si="68"/>
        <v>1.6692913385826771</v>
      </c>
      <c r="U500" s="1728"/>
      <c r="V500" s="160">
        <f t="shared" si="65"/>
        <v>0</v>
      </c>
      <c r="W500" s="1767"/>
      <c r="X500" s="160"/>
    </row>
    <row r="501" spans="2:24" x14ac:dyDescent="0.2">
      <c r="B501" s="1657" t="s">
        <v>256</v>
      </c>
      <c r="C501" s="161">
        <v>43589</v>
      </c>
      <c r="D501" s="49"/>
      <c r="E501" s="156"/>
      <c r="F501" s="1464"/>
      <c r="G501" s="298"/>
      <c r="H501" s="299" t="str">
        <f>IFERROR(VLOOKUP(F501,#REF!,10,FALSE),"")</f>
        <v/>
      </c>
      <c r="I501" s="310" t="str">
        <f t="shared" si="67"/>
        <v/>
      </c>
      <c r="J501" s="252"/>
      <c r="K501" s="1757"/>
      <c r="L501" s="1568"/>
      <c r="M501" s="1591"/>
      <c r="N501" s="158" t="str">
        <f t="shared" si="69"/>
        <v/>
      </c>
      <c r="O501" s="577"/>
      <c r="P501" s="93" t="str">
        <f>IFERROR(VLOOKUP(F501,#REF!,12,FALSE),"")</f>
        <v/>
      </c>
      <c r="Q501" s="94" t="s">
        <v>8</v>
      </c>
      <c r="R501" s="46" t="str">
        <f>IFERROR(VLOOKUP(F501,#REF!,14,FALSE),"")</f>
        <v/>
      </c>
      <c r="S501" s="47" t="str">
        <f t="shared" si="68"/>
        <v/>
      </c>
      <c r="U501" s="1728"/>
      <c r="V501" s="160">
        <f t="shared" si="65"/>
        <v>0</v>
      </c>
      <c r="W501" s="1767"/>
      <c r="X501" s="160"/>
    </row>
    <row r="502" spans="2:24" ht="16" thickBot="1" x14ac:dyDescent="0.25">
      <c r="B502" s="1658" t="e">
        <f>AVERAGE(#REF!)</f>
        <v>#REF!</v>
      </c>
      <c r="C502" s="207">
        <v>43590</v>
      </c>
      <c r="D502" s="67" t="s">
        <v>92</v>
      </c>
      <c r="E502" s="208"/>
      <c r="F502" s="1465" t="s">
        <v>154</v>
      </c>
      <c r="G502" s="302">
        <v>8.3449074074074078E-2</v>
      </c>
      <c r="H502" s="303">
        <v>22.02</v>
      </c>
      <c r="I502" s="311">
        <f t="shared" si="67"/>
        <v>3.789694553772665E-3</v>
      </c>
      <c r="J502" s="262">
        <v>135</v>
      </c>
      <c r="K502" s="1757"/>
      <c r="L502" s="1569">
        <v>216</v>
      </c>
      <c r="M502" s="1592"/>
      <c r="N502" s="172">
        <f t="shared" si="69"/>
        <v>1.055593964781</v>
      </c>
      <c r="O502" s="578" t="s">
        <v>252</v>
      </c>
      <c r="P502" s="174" t="str">
        <f>IFERROR(VLOOKUP(F502,#REF!,12,FALSE),"")</f>
        <v/>
      </c>
      <c r="Q502" s="175" t="s">
        <v>8</v>
      </c>
      <c r="R502" s="64" t="str">
        <f>IFERROR(VLOOKUP(F502,#REF!,14,FALSE),"")</f>
        <v/>
      </c>
      <c r="S502" s="65">
        <f t="shared" si="68"/>
        <v>1.6</v>
      </c>
      <c r="U502" s="1728"/>
      <c r="V502" s="176">
        <f t="shared" si="65"/>
        <v>0</v>
      </c>
      <c r="W502" s="1768"/>
      <c r="X502" s="176"/>
    </row>
    <row r="503" spans="2:24" ht="16" thickBot="1" x14ac:dyDescent="0.25">
      <c r="B503" s="1652">
        <f>B496+1</f>
        <v>19</v>
      </c>
      <c r="C503" s="193">
        <v>43591</v>
      </c>
      <c r="D503" s="70"/>
      <c r="E503" s="71"/>
      <c r="F503" s="1466"/>
      <c r="G503" s="559"/>
      <c r="H503" s="560" t="str">
        <f>IFERROR(VLOOKUP(F503,#REF!,10,FALSE),"")</f>
        <v/>
      </c>
      <c r="I503" s="179" t="str">
        <f t="shared" si="67"/>
        <v/>
      </c>
      <c r="J503" s="269"/>
      <c r="K503" s="1757"/>
      <c r="L503" s="270"/>
      <c r="M503" s="1593"/>
      <c r="N503" s="77" t="str">
        <f t="shared" si="69"/>
        <v/>
      </c>
      <c r="O503" s="561"/>
      <c r="P503" s="224" t="str">
        <f>IFERROR(VLOOKUP(F503,#REF!,12,FALSE),"")</f>
        <v/>
      </c>
      <c r="Q503" s="80" t="s">
        <v>8</v>
      </c>
      <c r="R503" s="80" t="str">
        <f>IFERROR(VLOOKUP(F503,#REF!,14,FALSE),"")</f>
        <v/>
      </c>
      <c r="S503" s="33" t="str">
        <f t="shared" si="68"/>
        <v/>
      </c>
      <c r="U503" s="1728"/>
      <c r="V503" s="225">
        <f t="shared" si="65"/>
        <v>0</v>
      </c>
      <c r="W503" s="1766"/>
      <c r="X503" s="225"/>
    </row>
    <row r="504" spans="2:24" x14ac:dyDescent="0.2">
      <c r="B504" s="1653" t="s">
        <v>142</v>
      </c>
      <c r="C504" s="603">
        <v>43592</v>
      </c>
      <c r="D504" s="604" t="s">
        <v>93</v>
      </c>
      <c r="E504" s="605"/>
      <c r="F504" s="1474" t="s">
        <v>288</v>
      </c>
      <c r="G504" s="649">
        <v>4.5057870370370373E-2</v>
      </c>
      <c r="H504" s="650">
        <v>14.41</v>
      </c>
      <c r="I504" s="651">
        <f t="shared" si="67"/>
        <v>3.1268473539465907E-3</v>
      </c>
      <c r="J504" s="652">
        <v>156</v>
      </c>
      <c r="K504" s="1757"/>
      <c r="L504" s="1568">
        <v>253</v>
      </c>
      <c r="M504" s="1591"/>
      <c r="N504" s="610">
        <f t="shared" si="69"/>
        <v>1.0201549504386465</v>
      </c>
      <c r="O504" s="653" t="s">
        <v>175</v>
      </c>
      <c r="P504" s="654" t="str">
        <f>IFERROR(VLOOKUP(F504,#REF!,12,FALSE),"")</f>
        <v/>
      </c>
      <c r="Q504" s="655" t="s">
        <v>8</v>
      </c>
      <c r="R504" s="46" t="str">
        <f>IFERROR(VLOOKUP(F504,#REF!,14,FALSE),"")</f>
        <v/>
      </c>
      <c r="S504" s="47">
        <f t="shared" si="68"/>
        <v>1.6217948717948718</v>
      </c>
      <c r="U504" s="1728"/>
      <c r="V504" s="48">
        <f t="shared" si="65"/>
        <v>0</v>
      </c>
      <c r="W504" s="1767"/>
      <c r="X504" s="48"/>
    </row>
    <row r="505" spans="2:24" ht="16" thickBot="1" x14ac:dyDescent="0.25">
      <c r="B505" s="1654">
        <f>SUM(H503:H509)</f>
        <v>68.08</v>
      </c>
      <c r="C505" s="161">
        <v>43593</v>
      </c>
      <c r="D505" s="604" t="s">
        <v>94</v>
      </c>
      <c r="E505" s="605"/>
      <c r="F505" s="1474" t="s">
        <v>173</v>
      </c>
      <c r="G505" s="649">
        <v>4.4594907407407409E-2</v>
      </c>
      <c r="H505" s="650">
        <v>11.57</v>
      </c>
      <c r="I505" s="651">
        <f t="shared" si="67"/>
        <v>3.8543567335702169E-3</v>
      </c>
      <c r="J505" s="652">
        <v>138</v>
      </c>
      <c r="K505" s="1757"/>
      <c r="L505" s="1568">
        <v>214</v>
      </c>
      <c r="M505" s="1591"/>
      <c r="N505" s="610">
        <f t="shared" si="69"/>
        <v>1.0636643919555206</v>
      </c>
      <c r="O505" s="653" t="s">
        <v>251</v>
      </c>
      <c r="P505" s="654" t="str">
        <f>IFERROR(VLOOKUP(F505,#REF!,12,FALSE),"")</f>
        <v/>
      </c>
      <c r="Q505" s="655" t="s">
        <v>8</v>
      </c>
      <c r="R505" s="46" t="str">
        <f>IFERROR(VLOOKUP(F505,#REF!,14,FALSE),"")</f>
        <v/>
      </c>
      <c r="S505" s="47">
        <f t="shared" si="68"/>
        <v>1.5507246376811594</v>
      </c>
      <c r="U505" s="1728"/>
      <c r="V505" s="48">
        <f t="shared" si="65"/>
        <v>0</v>
      </c>
      <c r="W505" s="1767"/>
      <c r="X505" s="48"/>
    </row>
    <row r="506" spans="2:24" x14ac:dyDescent="0.2">
      <c r="B506" s="1655" t="s">
        <v>144</v>
      </c>
      <c r="C506" s="161">
        <v>43594</v>
      </c>
      <c r="D506" s="604"/>
      <c r="E506" s="605"/>
      <c r="F506" s="1474"/>
      <c r="G506" s="649"/>
      <c r="H506" s="650" t="str">
        <f>IFERROR(VLOOKUP(F506,#REF!,10,FALSE),"")</f>
        <v/>
      </c>
      <c r="I506" s="651" t="str">
        <f t="shared" si="67"/>
        <v/>
      </c>
      <c r="J506" s="652"/>
      <c r="K506" s="1757"/>
      <c r="L506" s="1568"/>
      <c r="M506" s="1591"/>
      <c r="N506" s="610" t="str">
        <f t="shared" si="69"/>
        <v/>
      </c>
      <c r="O506" s="653"/>
      <c r="P506" s="654" t="str">
        <f>IFERROR(VLOOKUP(F506,#REF!,12,FALSE),"")</f>
        <v/>
      </c>
      <c r="Q506" s="655" t="s">
        <v>8</v>
      </c>
      <c r="R506" s="46" t="str">
        <f>IFERROR(VLOOKUP(F506,#REF!,14,FALSE),"")</f>
        <v/>
      </c>
      <c r="S506" s="47" t="str">
        <f t="shared" si="68"/>
        <v/>
      </c>
      <c r="U506" s="1728"/>
      <c r="V506" s="48">
        <f t="shared" ref="V506:V569" si="70">U505-T505</f>
        <v>0</v>
      </c>
      <c r="W506" s="1767"/>
      <c r="X506" s="48"/>
    </row>
    <row r="507" spans="2:24" ht="16" thickBot="1" x14ac:dyDescent="0.25">
      <c r="B507" s="1656" t="e">
        <f>SUM(#REF!)</f>
        <v>#REF!</v>
      </c>
      <c r="C507" s="161">
        <v>43595</v>
      </c>
      <c r="D507" s="647" t="s">
        <v>95</v>
      </c>
      <c r="E507" s="648"/>
      <c r="F507" s="1474" t="s">
        <v>174</v>
      </c>
      <c r="G507" s="649">
        <v>4.8738425925925921E-2</v>
      </c>
      <c r="H507" s="650">
        <v>13.03</v>
      </c>
      <c r="I507" s="651">
        <f t="shared" si="67"/>
        <v>3.7404778147295415E-3</v>
      </c>
      <c r="J507" s="652">
        <v>144</v>
      </c>
      <c r="K507" s="1757"/>
      <c r="L507" s="1568">
        <v>211</v>
      </c>
      <c r="M507" s="1591"/>
      <c r="N507" s="610">
        <f t="shared" si="69"/>
        <v>1.0177672649797826</v>
      </c>
      <c r="O507" s="653" t="s">
        <v>253</v>
      </c>
      <c r="P507" s="654" t="str">
        <f>IFERROR(VLOOKUP(F507,#REF!,12,FALSE),"")</f>
        <v/>
      </c>
      <c r="Q507" s="655" t="s">
        <v>8</v>
      </c>
      <c r="R507" s="46" t="str">
        <f>IFERROR(VLOOKUP(F507,#REF!,14,FALSE),"")</f>
        <v/>
      </c>
      <c r="S507" s="47">
        <f t="shared" si="68"/>
        <v>1.4652777777777777</v>
      </c>
      <c r="U507" s="1728"/>
      <c r="V507" s="48">
        <f t="shared" si="70"/>
        <v>0</v>
      </c>
      <c r="W507" s="1767"/>
      <c r="X507" s="48"/>
    </row>
    <row r="508" spans="2:24" x14ac:dyDescent="0.2">
      <c r="B508" s="1657" t="s">
        <v>256</v>
      </c>
      <c r="C508" s="161">
        <v>43596</v>
      </c>
      <c r="D508" s="647" t="s">
        <v>96</v>
      </c>
      <c r="E508" s="648"/>
      <c r="F508" s="1474" t="s">
        <v>173</v>
      </c>
      <c r="G508" s="649">
        <v>3.3831018518518517E-2</v>
      </c>
      <c r="H508" s="650">
        <v>8.57</v>
      </c>
      <c r="I508" s="651">
        <f t="shared" si="67"/>
        <v>3.9476100955097449E-3</v>
      </c>
      <c r="J508" s="652">
        <v>124</v>
      </c>
      <c r="K508" s="1757"/>
      <c r="L508" s="1568">
        <v>209</v>
      </c>
      <c r="M508" s="1591"/>
      <c r="N508" s="610">
        <f t="shared" ref="N508:N539" si="71">IFERROR((L508/67)/(1/(I508*24)/3.6),"")</f>
        <v>1.063945732248907</v>
      </c>
      <c r="O508" s="653" t="s">
        <v>251</v>
      </c>
      <c r="P508" s="654" t="str">
        <f>IFERROR(VLOOKUP(F508,#REF!,12,FALSE),"")</f>
        <v/>
      </c>
      <c r="Q508" s="655" t="s">
        <v>8</v>
      </c>
      <c r="R508" s="46" t="str">
        <f>IFERROR(VLOOKUP(F508,#REF!,14,FALSE),"")</f>
        <v/>
      </c>
      <c r="S508" s="47">
        <f t="shared" si="68"/>
        <v>1.685483870967742</v>
      </c>
      <c r="U508" s="1728"/>
      <c r="V508" s="48">
        <f t="shared" si="70"/>
        <v>0</v>
      </c>
      <c r="W508" s="1767"/>
      <c r="X508" s="48"/>
    </row>
    <row r="509" spans="2:24" ht="16" thickBot="1" x14ac:dyDescent="0.25">
      <c r="B509" s="1658" t="e">
        <f>AVERAGE(#REF!)</f>
        <v>#REF!</v>
      </c>
      <c r="C509" s="640">
        <v>43597</v>
      </c>
      <c r="D509" s="643" t="s">
        <v>97</v>
      </c>
      <c r="E509" s="644"/>
      <c r="F509" s="1471" t="s">
        <v>153</v>
      </c>
      <c r="G509" s="615">
        <v>8.1307870370370364E-2</v>
      </c>
      <c r="H509" s="624">
        <v>20.5</v>
      </c>
      <c r="I509" s="625">
        <f t="shared" si="67"/>
        <v>3.9662375790424564E-3</v>
      </c>
      <c r="J509" s="626">
        <v>128</v>
      </c>
      <c r="K509" s="1757"/>
      <c r="L509" s="1570">
        <v>208</v>
      </c>
      <c r="M509" s="1594"/>
      <c r="N509" s="619">
        <f t="shared" si="71"/>
        <v>1.0638514743356386</v>
      </c>
      <c r="O509" s="620" t="s">
        <v>252</v>
      </c>
      <c r="P509" s="621" t="str">
        <f>IFERROR(VLOOKUP(F509,#REF!,12,FALSE),"")</f>
        <v/>
      </c>
      <c r="Q509" s="622" t="s">
        <v>8</v>
      </c>
      <c r="R509" s="107" t="str">
        <f>IFERROR(VLOOKUP(F509,#REF!,14,FALSE),"")</f>
        <v/>
      </c>
      <c r="S509" s="65">
        <f t="shared" si="68"/>
        <v>1.625</v>
      </c>
      <c r="U509" s="1728"/>
      <c r="V509" s="108">
        <f t="shared" si="70"/>
        <v>0</v>
      </c>
      <c r="W509" s="1768"/>
      <c r="X509" s="108"/>
    </row>
    <row r="510" spans="2:24" ht="16" thickBot="1" x14ac:dyDescent="0.25">
      <c r="B510" s="1652">
        <f>B503+1</f>
        <v>20</v>
      </c>
      <c r="C510" s="189">
        <v>43598</v>
      </c>
      <c r="D510" s="289"/>
      <c r="E510" s="290"/>
      <c r="F510" s="1463"/>
      <c r="G510" s="291"/>
      <c r="H510" s="602" t="str">
        <f>IFERROR(VLOOKUP(F510,#REF!,10,FALSE),"")</f>
        <v/>
      </c>
      <c r="I510" s="309" t="str">
        <f t="shared" si="67"/>
        <v/>
      </c>
      <c r="J510" s="295"/>
      <c r="K510" s="1757"/>
      <c r="L510" s="792"/>
      <c r="M510" s="1595"/>
      <c r="N510" s="150" t="str">
        <f t="shared" si="71"/>
        <v/>
      </c>
      <c r="O510" s="576"/>
      <c r="P510" s="214" t="str">
        <f>IFERROR(VLOOKUP(F510,#REF!,12,FALSE),"")</f>
        <v/>
      </c>
      <c r="Q510" s="153" t="s">
        <v>8</v>
      </c>
      <c r="R510" s="32" t="str">
        <f>IFERROR(VLOOKUP(F510,#REF!,14,FALSE),"")</f>
        <v/>
      </c>
      <c r="S510" s="33" t="str">
        <f t="shared" si="68"/>
        <v/>
      </c>
      <c r="U510" s="1728"/>
      <c r="V510" s="215">
        <f t="shared" si="70"/>
        <v>0</v>
      </c>
      <c r="W510" s="1766"/>
      <c r="X510" s="215"/>
    </row>
    <row r="511" spans="2:24" x14ac:dyDescent="0.2">
      <c r="B511" s="1653" t="s">
        <v>142</v>
      </c>
      <c r="C511" s="161">
        <v>43599</v>
      </c>
      <c r="D511" s="247" t="s">
        <v>98</v>
      </c>
      <c r="E511" s="248"/>
      <c r="F511" s="1464" t="s">
        <v>289</v>
      </c>
      <c r="G511" s="298">
        <v>5.1574074074074078E-2</v>
      </c>
      <c r="H511" s="299">
        <v>17.04</v>
      </c>
      <c r="I511" s="310">
        <f t="shared" si="67"/>
        <v>3.026647539558338E-3</v>
      </c>
      <c r="J511" s="252">
        <v>155</v>
      </c>
      <c r="K511" s="1757"/>
      <c r="L511" s="1568">
        <v>260</v>
      </c>
      <c r="M511" s="1591"/>
      <c r="N511" s="158">
        <f t="shared" si="71"/>
        <v>1.0147852287856494</v>
      </c>
      <c r="O511" s="577" t="s">
        <v>175</v>
      </c>
      <c r="P511" s="93" t="str">
        <f>IFERROR(VLOOKUP(F511,#REF!,12,FALSE),"")</f>
        <v/>
      </c>
      <c r="Q511" s="94" t="s">
        <v>8</v>
      </c>
      <c r="R511" s="46" t="str">
        <f>IFERROR(VLOOKUP(F511,#REF!,14,FALSE),"")</f>
        <v/>
      </c>
      <c r="S511" s="47">
        <f t="shared" si="68"/>
        <v>1.6774193548387097</v>
      </c>
      <c r="U511" s="1728"/>
      <c r="V511" s="160">
        <f t="shared" si="70"/>
        <v>0</v>
      </c>
      <c r="W511" s="1767"/>
      <c r="X511" s="160"/>
    </row>
    <row r="512" spans="2:24" ht="16" thickBot="1" x14ac:dyDescent="0.25">
      <c r="B512" s="1654">
        <f>SUM(H510:H516)</f>
        <v>74.739999999999995</v>
      </c>
      <c r="C512" s="161">
        <v>43600</v>
      </c>
      <c r="D512" s="247" t="s">
        <v>99</v>
      </c>
      <c r="E512" s="248"/>
      <c r="F512" s="1464" t="s">
        <v>173</v>
      </c>
      <c r="G512" s="298">
        <v>4.4340277777777777E-2</v>
      </c>
      <c r="H512" s="299">
        <v>11.53</v>
      </c>
      <c r="I512" s="310">
        <f t="shared" si="67"/>
        <v>3.8456442131637276E-3</v>
      </c>
      <c r="J512" s="252">
        <v>129</v>
      </c>
      <c r="K512" s="1757"/>
      <c r="L512" s="1568">
        <v>214</v>
      </c>
      <c r="M512" s="1591"/>
      <c r="N512" s="158">
        <f t="shared" si="71"/>
        <v>1.0612600484136128</v>
      </c>
      <c r="O512" s="577" t="s">
        <v>251</v>
      </c>
      <c r="P512" s="93" t="str">
        <f>IFERROR(VLOOKUP(F512,#REF!,12,FALSE),"")</f>
        <v/>
      </c>
      <c r="Q512" s="94" t="s">
        <v>8</v>
      </c>
      <c r="R512" s="46" t="str">
        <f>IFERROR(VLOOKUP(F512,#REF!,14,FALSE),"")</f>
        <v/>
      </c>
      <c r="S512" s="47">
        <f t="shared" si="68"/>
        <v>1.6589147286821706</v>
      </c>
      <c r="U512" s="1728"/>
      <c r="V512" s="160">
        <f t="shared" si="70"/>
        <v>0</v>
      </c>
      <c r="W512" s="1767"/>
      <c r="X512" s="160"/>
    </row>
    <row r="513" spans="2:24" x14ac:dyDescent="0.2">
      <c r="B513" s="1655" t="s">
        <v>144</v>
      </c>
      <c r="C513" s="161">
        <v>43601</v>
      </c>
      <c r="D513" s="247"/>
      <c r="E513" s="248"/>
      <c r="F513" s="1464"/>
      <c r="G513" s="298"/>
      <c r="H513" s="299" t="str">
        <f>IFERROR(VLOOKUP(F513,#REF!,10,FALSE),"")</f>
        <v/>
      </c>
      <c r="I513" s="310" t="str">
        <f t="shared" si="67"/>
        <v/>
      </c>
      <c r="J513" s="252"/>
      <c r="K513" s="1757"/>
      <c r="L513" s="1568"/>
      <c r="M513" s="1591"/>
      <c r="N513" s="158" t="str">
        <f t="shared" si="71"/>
        <v/>
      </c>
      <c r="O513" s="577"/>
      <c r="P513" s="93" t="str">
        <f>IFERROR(VLOOKUP(F513,#REF!,12,FALSE),"")</f>
        <v/>
      </c>
      <c r="Q513" s="94" t="s">
        <v>8</v>
      </c>
      <c r="R513" s="46" t="str">
        <f>IFERROR(VLOOKUP(F513,#REF!,14,FALSE),"")</f>
        <v/>
      </c>
      <c r="S513" s="47" t="str">
        <f t="shared" si="68"/>
        <v/>
      </c>
      <c r="U513" s="1728"/>
      <c r="V513" s="160">
        <f t="shared" si="70"/>
        <v>0</v>
      </c>
      <c r="W513" s="1767"/>
      <c r="X513" s="160"/>
    </row>
    <row r="514" spans="2:24" ht="16" thickBot="1" x14ac:dyDescent="0.25">
      <c r="B514" s="1656" t="e">
        <f>SUM(#REF!)</f>
        <v>#REF!</v>
      </c>
      <c r="C514" s="161">
        <v>43602</v>
      </c>
      <c r="D514" s="247" t="s">
        <v>100</v>
      </c>
      <c r="E514" s="248"/>
      <c r="F514" s="1464" t="s">
        <v>11</v>
      </c>
      <c r="G514" s="298">
        <v>4.2534722222222217E-2</v>
      </c>
      <c r="H514" s="299">
        <v>12.4</v>
      </c>
      <c r="I514" s="310">
        <f t="shared" si="67"/>
        <v>3.4302195340501786E-3</v>
      </c>
      <c r="J514" s="252">
        <v>146</v>
      </c>
      <c r="K514" s="1757"/>
      <c r="L514" s="1568">
        <v>240</v>
      </c>
      <c r="M514" s="1591"/>
      <c r="N514" s="158">
        <f t="shared" si="71"/>
        <v>1.0616273471352913</v>
      </c>
      <c r="O514" s="577" t="s">
        <v>253</v>
      </c>
      <c r="P514" s="93" t="str">
        <f>IFERROR(VLOOKUP(F514,#REF!,12,FALSE),"")</f>
        <v/>
      </c>
      <c r="Q514" s="94" t="s">
        <v>8</v>
      </c>
      <c r="R514" s="46" t="str">
        <f>IFERROR(VLOOKUP(F514,#REF!,14,FALSE),"")</f>
        <v/>
      </c>
      <c r="S514" s="47">
        <f t="shared" si="68"/>
        <v>1.6438356164383561</v>
      </c>
      <c r="U514" s="1728"/>
      <c r="V514" s="160">
        <f t="shared" si="70"/>
        <v>0</v>
      </c>
      <c r="W514" s="1767"/>
      <c r="X514" s="160"/>
    </row>
    <row r="515" spans="2:24" x14ac:dyDescent="0.2">
      <c r="B515" s="1657" t="s">
        <v>256</v>
      </c>
      <c r="C515" s="161">
        <v>43603</v>
      </c>
      <c r="D515" s="247" t="s">
        <v>101</v>
      </c>
      <c r="E515" s="248"/>
      <c r="F515" s="1464" t="s">
        <v>173</v>
      </c>
      <c r="G515" s="298">
        <v>4.5011574074074072E-2</v>
      </c>
      <c r="H515" s="299">
        <v>11.57</v>
      </c>
      <c r="I515" s="310">
        <f t="shared" si="67"/>
        <v>3.8903694100323313E-3</v>
      </c>
      <c r="J515" s="252">
        <v>132</v>
      </c>
      <c r="K515" s="1757"/>
      <c r="L515" s="1568">
        <v>212</v>
      </c>
      <c r="M515" s="1591"/>
      <c r="N515" s="158">
        <f t="shared" si="71"/>
        <v>1.0635689314877641</v>
      </c>
      <c r="O515" s="577" t="s">
        <v>251</v>
      </c>
      <c r="P515" s="93" t="str">
        <f>IFERROR(VLOOKUP(F515,#REF!,12,FALSE),"")</f>
        <v/>
      </c>
      <c r="Q515" s="94" t="s">
        <v>8</v>
      </c>
      <c r="R515" s="46" t="str">
        <f>IFERROR(VLOOKUP(F515,#REF!,14,FALSE),"")</f>
        <v/>
      </c>
      <c r="S515" s="47">
        <f t="shared" si="68"/>
        <v>1.606060606060606</v>
      </c>
      <c r="U515" s="1728"/>
      <c r="V515" s="160">
        <f t="shared" si="70"/>
        <v>0</v>
      </c>
      <c r="W515" s="1767"/>
      <c r="X515" s="160"/>
    </row>
    <row r="516" spans="2:24" ht="16" thickBot="1" x14ac:dyDescent="0.25">
      <c r="B516" s="1658" t="e">
        <f>AVERAGE(#REF!)</f>
        <v>#REF!</v>
      </c>
      <c r="C516" s="207">
        <v>43604</v>
      </c>
      <c r="D516" s="256" t="s">
        <v>102</v>
      </c>
      <c r="E516" s="257"/>
      <c r="F516" s="1465" t="s">
        <v>154</v>
      </c>
      <c r="G516" s="302">
        <v>8.8726851851851848E-2</v>
      </c>
      <c r="H516" s="303">
        <v>22.2</v>
      </c>
      <c r="I516" s="311">
        <f t="shared" si="67"/>
        <v>3.9967050383717048E-3</v>
      </c>
      <c r="J516" s="262">
        <v>134</v>
      </c>
      <c r="K516" s="1757"/>
      <c r="L516" s="1569">
        <v>205</v>
      </c>
      <c r="M516" s="1592"/>
      <c r="N516" s="172">
        <f t="shared" si="71"/>
        <v>1.0565617856662632</v>
      </c>
      <c r="O516" s="578" t="s">
        <v>252</v>
      </c>
      <c r="P516" s="174" t="str">
        <f>IFERROR(VLOOKUP(F516,#REF!,12,FALSE),"")</f>
        <v/>
      </c>
      <c r="Q516" s="175" t="s">
        <v>8</v>
      </c>
      <c r="R516" s="64" t="str">
        <f>IFERROR(VLOOKUP(F516,#REF!,14,FALSE),"")</f>
        <v/>
      </c>
      <c r="S516" s="65">
        <f t="shared" si="68"/>
        <v>1.5298507462686568</v>
      </c>
      <c r="U516" s="1728"/>
      <c r="V516" s="176">
        <f t="shared" si="70"/>
        <v>0</v>
      </c>
      <c r="W516" s="1768"/>
      <c r="X516" s="176"/>
    </row>
    <row r="517" spans="2:24" ht="16" thickBot="1" x14ac:dyDescent="0.25">
      <c r="B517" s="1652">
        <f>B510+1</f>
        <v>21</v>
      </c>
      <c r="C517" s="193">
        <v>43605</v>
      </c>
      <c r="D517" s="265"/>
      <c r="E517" s="266"/>
      <c r="F517" s="1466"/>
      <c r="G517" s="559"/>
      <c r="H517" s="560" t="str">
        <f>IFERROR(VLOOKUP(F517,#REF!,10,FALSE),"")</f>
        <v/>
      </c>
      <c r="I517" s="179" t="str">
        <f t="shared" si="67"/>
        <v/>
      </c>
      <c r="J517" s="269"/>
      <c r="K517" s="1757"/>
      <c r="L517" s="270"/>
      <c r="M517" s="1593"/>
      <c r="N517" s="77" t="str">
        <f t="shared" si="71"/>
        <v/>
      </c>
      <c r="O517" s="561"/>
      <c r="P517" s="224" t="str">
        <f>IFERROR(VLOOKUP(F517,#REF!,12,FALSE),"")</f>
        <v/>
      </c>
      <c r="Q517" s="80" t="s">
        <v>8</v>
      </c>
      <c r="R517" s="80" t="str">
        <f>IFERROR(VLOOKUP(F517,#REF!,14,FALSE),"")</f>
        <v/>
      </c>
      <c r="S517" s="33" t="str">
        <f t="shared" si="68"/>
        <v/>
      </c>
      <c r="U517" s="1728"/>
      <c r="V517" s="225">
        <f t="shared" si="70"/>
        <v>0</v>
      </c>
      <c r="W517" s="1766"/>
      <c r="X517" s="225"/>
    </row>
    <row r="518" spans="2:24" x14ac:dyDescent="0.2">
      <c r="B518" s="1653" t="s">
        <v>142</v>
      </c>
      <c r="C518" s="603">
        <v>43606</v>
      </c>
      <c r="D518" s="647" t="s">
        <v>103</v>
      </c>
      <c r="E518" s="648"/>
      <c r="F518" s="1474" t="s">
        <v>166</v>
      </c>
      <c r="G518" s="649">
        <v>3.3449074074074069E-2</v>
      </c>
      <c r="H518" s="650">
        <v>9.6</v>
      </c>
      <c r="I518" s="651">
        <f t="shared" si="67"/>
        <v>3.4842785493827155E-3</v>
      </c>
      <c r="J518" s="652">
        <v>141</v>
      </c>
      <c r="K518" s="1757"/>
      <c r="L518" s="1568" t="s">
        <v>8</v>
      </c>
      <c r="M518" s="1591"/>
      <c r="N518" s="610" t="str">
        <f t="shared" si="71"/>
        <v/>
      </c>
      <c r="O518" s="653" t="s">
        <v>175</v>
      </c>
      <c r="P518" s="654" t="str">
        <f>IFERROR(VLOOKUP(F518,#REF!,12,FALSE),"")</f>
        <v/>
      </c>
      <c r="Q518" s="655" t="s">
        <v>8</v>
      </c>
      <c r="R518" s="46" t="str">
        <f>IFERROR(VLOOKUP(F518,#REF!,14,FALSE),"")</f>
        <v/>
      </c>
      <c r="S518" s="47" t="str">
        <f t="shared" si="68"/>
        <v/>
      </c>
      <c r="U518" s="1728"/>
      <c r="V518" s="48">
        <f t="shared" si="70"/>
        <v>0</v>
      </c>
      <c r="W518" s="1767"/>
      <c r="X518" s="48"/>
    </row>
    <row r="519" spans="2:24" ht="16" thickBot="1" x14ac:dyDescent="0.25">
      <c r="B519" s="1654">
        <f>SUM(H517:H523)</f>
        <v>35.47</v>
      </c>
      <c r="C519" s="161">
        <v>43607</v>
      </c>
      <c r="D519" s="647" t="s">
        <v>104</v>
      </c>
      <c r="E519" s="648"/>
      <c r="F519" s="1474" t="s">
        <v>173</v>
      </c>
      <c r="G519" s="649">
        <v>4.4745370370370373E-2</v>
      </c>
      <c r="H519" s="650">
        <v>11.57</v>
      </c>
      <c r="I519" s="651">
        <f t="shared" si="67"/>
        <v>3.867361311181536E-3</v>
      </c>
      <c r="J519" s="652">
        <v>130</v>
      </c>
      <c r="K519" s="1757"/>
      <c r="L519" s="1568">
        <v>213</v>
      </c>
      <c r="M519" s="1591"/>
      <c r="N519" s="610">
        <f t="shared" si="71"/>
        <v>1.062266025103523</v>
      </c>
      <c r="O519" s="653" t="s">
        <v>251</v>
      </c>
      <c r="P519" s="654" t="str">
        <f>IFERROR(VLOOKUP(F519,#REF!,12,FALSE),"")</f>
        <v/>
      </c>
      <c r="Q519" s="655" t="s">
        <v>8</v>
      </c>
      <c r="R519" s="46" t="str">
        <f>IFERROR(VLOOKUP(F519,#REF!,14,FALSE),"")</f>
        <v/>
      </c>
      <c r="S519" s="47">
        <f t="shared" si="68"/>
        <v>1.6384615384615384</v>
      </c>
      <c r="U519" s="1728"/>
      <c r="V519" s="48">
        <f t="shared" si="70"/>
        <v>0</v>
      </c>
      <c r="W519" s="1767"/>
      <c r="X519" s="48"/>
    </row>
    <row r="520" spans="2:24" x14ac:dyDescent="0.2">
      <c r="B520" s="1655" t="s">
        <v>144</v>
      </c>
      <c r="C520" s="161">
        <v>43608</v>
      </c>
      <c r="D520" s="647"/>
      <c r="E520" s="648"/>
      <c r="F520" s="1474"/>
      <c r="G520" s="649"/>
      <c r="H520" s="650" t="str">
        <f>IFERROR(VLOOKUP(F520,#REF!,10,FALSE),"")</f>
        <v/>
      </c>
      <c r="I520" s="651" t="str">
        <f t="shared" si="67"/>
        <v/>
      </c>
      <c r="J520" s="652"/>
      <c r="K520" s="1757"/>
      <c r="L520" s="1568"/>
      <c r="M520" s="1591"/>
      <c r="N520" s="610" t="str">
        <f t="shared" si="71"/>
        <v/>
      </c>
      <c r="O520" s="653"/>
      <c r="P520" s="654" t="str">
        <f>IFERROR(VLOOKUP(F520,#REF!,12,FALSE),"")</f>
        <v/>
      </c>
      <c r="Q520" s="655" t="s">
        <v>8</v>
      </c>
      <c r="R520" s="46" t="str">
        <f>IFERROR(VLOOKUP(F520,#REF!,14,FALSE),"")</f>
        <v/>
      </c>
      <c r="S520" s="47" t="str">
        <f t="shared" si="68"/>
        <v/>
      </c>
      <c r="U520" s="1728"/>
      <c r="V520" s="48">
        <f t="shared" si="70"/>
        <v>0</v>
      </c>
      <c r="W520" s="1767"/>
      <c r="X520" s="48"/>
    </row>
    <row r="521" spans="2:24" ht="16" thickBot="1" x14ac:dyDescent="0.25">
      <c r="B521" s="1656" t="e">
        <f>SUM(#REF!)</f>
        <v>#REF!</v>
      </c>
      <c r="C521" s="161">
        <v>43609</v>
      </c>
      <c r="D521" s="647" t="s">
        <v>105</v>
      </c>
      <c r="E521" s="648"/>
      <c r="F521" s="1474" t="s">
        <v>173</v>
      </c>
      <c r="G521" s="649">
        <v>4.3680555555555556E-2</v>
      </c>
      <c r="H521" s="650" t="str">
        <f>IFERROR(VLOOKUP(F521,#REF!,10,FALSE),"")</f>
        <v/>
      </c>
      <c r="I521" s="651" t="str">
        <f t="shared" si="67"/>
        <v/>
      </c>
      <c r="J521" s="652">
        <v>131</v>
      </c>
      <c r="K521" s="1757"/>
      <c r="L521" s="1568">
        <v>219</v>
      </c>
      <c r="M521" s="1591"/>
      <c r="N521" s="610" t="str">
        <f t="shared" si="71"/>
        <v/>
      </c>
      <c r="O521" s="653" t="s">
        <v>251</v>
      </c>
      <c r="P521" s="654" t="str">
        <f>IFERROR(VLOOKUP(F521,#REF!,12,FALSE),"")</f>
        <v/>
      </c>
      <c r="Q521" s="655" t="s">
        <v>8</v>
      </c>
      <c r="R521" s="46" t="str">
        <f>IFERROR(VLOOKUP(F521,#REF!,14,FALSE),"")</f>
        <v/>
      </c>
      <c r="S521" s="47">
        <f t="shared" si="68"/>
        <v>1.6717557251908397</v>
      </c>
      <c r="U521" s="1728"/>
      <c r="V521" s="48">
        <f t="shared" si="70"/>
        <v>0</v>
      </c>
      <c r="W521" s="1767"/>
      <c r="X521" s="48"/>
    </row>
    <row r="522" spans="2:24" x14ac:dyDescent="0.2">
      <c r="B522" s="1657" t="s">
        <v>256</v>
      </c>
      <c r="C522" s="161">
        <v>43610</v>
      </c>
      <c r="D522" s="647"/>
      <c r="E522" s="648"/>
      <c r="F522" s="1474"/>
      <c r="G522" s="649"/>
      <c r="H522" s="650" t="str">
        <f>IFERROR(VLOOKUP(F522,#REF!,10,FALSE),"")</f>
        <v/>
      </c>
      <c r="I522" s="651" t="str">
        <f t="shared" si="67"/>
        <v/>
      </c>
      <c r="J522" s="652"/>
      <c r="K522" s="1757"/>
      <c r="L522" s="1568"/>
      <c r="M522" s="1591"/>
      <c r="N522" s="610" t="str">
        <f t="shared" si="71"/>
        <v/>
      </c>
      <c r="O522" s="653"/>
      <c r="P522" s="654" t="str">
        <f>IFERROR(VLOOKUP(F522,#REF!,12,FALSE),"")</f>
        <v/>
      </c>
      <c r="Q522" s="655" t="s">
        <v>8</v>
      </c>
      <c r="R522" s="46" t="str">
        <f>IFERROR(VLOOKUP(F522,#REF!,14,FALSE),"")</f>
        <v/>
      </c>
      <c r="S522" s="47" t="str">
        <f t="shared" si="68"/>
        <v/>
      </c>
      <c r="U522" s="1728"/>
      <c r="V522" s="48">
        <f t="shared" si="70"/>
        <v>0</v>
      </c>
      <c r="W522" s="1767"/>
      <c r="X522" s="48"/>
    </row>
    <row r="523" spans="2:24" ht="16" thickBot="1" x14ac:dyDescent="0.25">
      <c r="B523" s="1658" t="e">
        <f>AVERAGE(#REF!)</f>
        <v>#REF!</v>
      </c>
      <c r="C523" s="613">
        <v>43611</v>
      </c>
      <c r="D523" s="643" t="s">
        <v>106</v>
      </c>
      <c r="E523" s="644"/>
      <c r="F523" s="1471" t="s">
        <v>157</v>
      </c>
      <c r="G523" s="615">
        <v>5.4039351851851852E-2</v>
      </c>
      <c r="H523" s="624">
        <v>14.3</v>
      </c>
      <c r="I523" s="625">
        <f t="shared" si="67"/>
        <v>3.778975653975654E-3</v>
      </c>
      <c r="J523" s="626">
        <v>133</v>
      </c>
      <c r="K523" s="1757"/>
      <c r="L523" s="1570">
        <v>218</v>
      </c>
      <c r="M523" s="1594"/>
      <c r="N523" s="619">
        <f t="shared" si="71"/>
        <v>1.0623546602651082</v>
      </c>
      <c r="O523" s="620" t="s">
        <v>252</v>
      </c>
      <c r="P523" s="621" t="str">
        <f>IFERROR(VLOOKUP(F523,#REF!,12,FALSE),"")</f>
        <v/>
      </c>
      <c r="Q523" s="622" t="s">
        <v>8</v>
      </c>
      <c r="R523" s="107" t="str">
        <f>IFERROR(VLOOKUP(F523,#REF!,14,FALSE),"")</f>
        <v/>
      </c>
      <c r="S523" s="65">
        <f t="shared" si="68"/>
        <v>1.6390977443609023</v>
      </c>
      <c r="U523" s="1728"/>
      <c r="V523" s="108">
        <f t="shared" si="70"/>
        <v>0</v>
      </c>
      <c r="W523" s="1768"/>
      <c r="X523" s="108"/>
    </row>
    <row r="524" spans="2:24" ht="16" thickBot="1" x14ac:dyDescent="0.25">
      <c r="B524" s="1652">
        <f>B517+1</f>
        <v>22</v>
      </c>
      <c r="C524" s="189">
        <v>43612</v>
      </c>
      <c r="D524" s="143"/>
      <c r="E524" s="144"/>
      <c r="F524" s="1463"/>
      <c r="G524" s="291"/>
      <c r="H524" s="602" t="str">
        <f>IFERROR(VLOOKUP(F524,#REF!,10,FALSE),"")</f>
        <v/>
      </c>
      <c r="I524" s="309" t="str">
        <f t="shared" ref="I524:I587" si="72">IFERROR(G524/H524,"")</f>
        <v/>
      </c>
      <c r="J524" s="295"/>
      <c r="K524" s="1757"/>
      <c r="L524" s="792"/>
      <c r="M524" s="1595"/>
      <c r="N524" s="150" t="str">
        <f t="shared" si="71"/>
        <v/>
      </c>
      <c r="O524" s="576"/>
      <c r="P524" s="214" t="str">
        <f>IFERROR(VLOOKUP(F524,#REF!,12,FALSE),"")</f>
        <v/>
      </c>
      <c r="Q524" s="153" t="s">
        <v>8</v>
      </c>
      <c r="R524" s="32" t="str">
        <f>IFERROR(VLOOKUP(F524,#REF!,14,FALSE),"")</f>
        <v/>
      </c>
      <c r="S524" s="33" t="str">
        <f t="shared" si="68"/>
        <v/>
      </c>
      <c r="U524" s="1728"/>
      <c r="V524" s="215">
        <f t="shared" si="70"/>
        <v>0</v>
      </c>
      <c r="W524" s="1766"/>
      <c r="X524" s="215"/>
    </row>
    <row r="525" spans="2:24" x14ac:dyDescent="0.2">
      <c r="B525" s="1653" t="s">
        <v>142</v>
      </c>
      <c r="C525" s="161">
        <v>43613</v>
      </c>
      <c r="D525" s="162"/>
      <c r="E525" s="163"/>
      <c r="F525" s="1464"/>
      <c r="G525" s="298"/>
      <c r="H525" s="299" t="str">
        <f>IFERROR(VLOOKUP(F525,#REF!,10,FALSE),"")</f>
        <v/>
      </c>
      <c r="I525" s="310" t="str">
        <f t="shared" si="72"/>
        <v/>
      </c>
      <c r="J525" s="252"/>
      <c r="K525" s="1757"/>
      <c r="L525" s="1568"/>
      <c r="M525" s="1591"/>
      <c r="N525" s="158" t="str">
        <f t="shared" si="71"/>
        <v/>
      </c>
      <c r="O525" s="577"/>
      <c r="P525" s="93" t="str">
        <f>IFERROR(VLOOKUP(F525,#REF!,12,FALSE),"")</f>
        <v/>
      </c>
      <c r="Q525" s="94" t="s">
        <v>8</v>
      </c>
      <c r="R525" s="46" t="str">
        <f>IFERROR(VLOOKUP(F525,#REF!,14,FALSE),"")</f>
        <v/>
      </c>
      <c r="S525" s="47" t="str">
        <f t="shared" si="68"/>
        <v/>
      </c>
      <c r="U525" s="1728"/>
      <c r="V525" s="160">
        <f t="shared" si="70"/>
        <v>0</v>
      </c>
      <c r="W525" s="1767"/>
      <c r="X525" s="160"/>
    </row>
    <row r="526" spans="2:24" ht="16" thickBot="1" x14ac:dyDescent="0.25">
      <c r="B526" s="1654">
        <f>SUM(H524:H530)</f>
        <v>27.299999999999997</v>
      </c>
      <c r="C526" s="161">
        <v>43614</v>
      </c>
      <c r="D526" s="49" t="s">
        <v>107</v>
      </c>
      <c r="E526" s="156"/>
      <c r="F526" s="1464" t="s">
        <v>165</v>
      </c>
      <c r="G526" s="298">
        <v>2.7418981481481485E-2</v>
      </c>
      <c r="H526" s="299">
        <v>8.19</v>
      </c>
      <c r="I526" s="310">
        <f t="shared" si="72"/>
        <v>3.3478609867498765E-3</v>
      </c>
      <c r="J526" s="252">
        <v>144</v>
      </c>
      <c r="K526" s="1757"/>
      <c r="L526" s="1568">
        <v>240</v>
      </c>
      <c r="M526" s="1591"/>
      <c r="N526" s="158">
        <f t="shared" si="71"/>
        <v>1.0361379913618722</v>
      </c>
      <c r="O526" s="577" t="s">
        <v>253</v>
      </c>
      <c r="P526" s="93" t="str">
        <f>IFERROR(VLOOKUP(F526,#REF!,12,FALSE),"")</f>
        <v/>
      </c>
      <c r="Q526" s="94" t="s">
        <v>8</v>
      </c>
      <c r="R526" s="46" t="str">
        <f>IFERROR(VLOOKUP(F526,#REF!,14,FALSE),"")</f>
        <v/>
      </c>
      <c r="S526" s="47">
        <f t="shared" si="68"/>
        <v>1.6666666666666667</v>
      </c>
      <c r="U526" s="1728"/>
      <c r="V526" s="160">
        <f t="shared" si="70"/>
        <v>0</v>
      </c>
      <c r="W526" s="1767"/>
      <c r="X526" s="160"/>
    </row>
    <row r="527" spans="2:24" x14ac:dyDescent="0.2">
      <c r="B527" s="1655" t="s">
        <v>144</v>
      </c>
      <c r="C527" s="161">
        <v>43615</v>
      </c>
      <c r="D527" s="49"/>
      <c r="E527" s="156"/>
      <c r="F527" s="1464"/>
      <c r="G527" s="298"/>
      <c r="H527" s="299" t="str">
        <f>IFERROR(VLOOKUP(F527,#REF!,10,FALSE),"")</f>
        <v/>
      </c>
      <c r="I527" s="310" t="str">
        <f t="shared" si="72"/>
        <v/>
      </c>
      <c r="J527" s="252"/>
      <c r="K527" s="1757"/>
      <c r="L527" s="1568"/>
      <c r="M527" s="1591"/>
      <c r="N527" s="158" t="str">
        <f t="shared" si="71"/>
        <v/>
      </c>
      <c r="O527" s="577"/>
      <c r="P527" s="93" t="str">
        <f>IFERROR(VLOOKUP(F527,#REF!,12,FALSE),"")</f>
        <v/>
      </c>
      <c r="Q527" s="94" t="s">
        <v>8</v>
      </c>
      <c r="R527" s="46" t="str">
        <f>IFERROR(VLOOKUP(F527,#REF!,14,FALSE),"")</f>
        <v/>
      </c>
      <c r="S527" s="47" t="str">
        <f t="shared" si="68"/>
        <v/>
      </c>
      <c r="U527" s="1728"/>
      <c r="V527" s="160">
        <f t="shared" si="70"/>
        <v>0</v>
      </c>
      <c r="W527" s="1767"/>
      <c r="X527" s="160"/>
    </row>
    <row r="528" spans="2:24" ht="16" thickBot="1" x14ac:dyDescent="0.25">
      <c r="B528" s="1656" t="e">
        <f>SUM(#REF!)</f>
        <v>#REF!</v>
      </c>
      <c r="C528" s="161">
        <v>43616</v>
      </c>
      <c r="D528" s="49" t="s">
        <v>108</v>
      </c>
      <c r="E528" s="156"/>
      <c r="F528" s="1464" t="s">
        <v>146</v>
      </c>
      <c r="G528" s="298">
        <v>2.6921296296296294E-2</v>
      </c>
      <c r="H528" s="299">
        <v>6.91</v>
      </c>
      <c r="I528" s="310">
        <f t="shared" si="72"/>
        <v>3.8959907809401292E-3</v>
      </c>
      <c r="J528" s="252">
        <v>137</v>
      </c>
      <c r="K528" s="1757"/>
      <c r="L528" s="1568">
        <v>215</v>
      </c>
      <c r="M528" s="1591"/>
      <c r="N528" s="158">
        <f t="shared" si="71"/>
        <v>1.0801779812946843</v>
      </c>
      <c r="O528" s="577" t="s">
        <v>252</v>
      </c>
      <c r="P528" s="93" t="str">
        <f>IFERROR(VLOOKUP(F528,#REF!,12,FALSE),"")</f>
        <v/>
      </c>
      <c r="Q528" s="94" t="s">
        <v>8</v>
      </c>
      <c r="R528" s="46" t="str">
        <f>IFERROR(VLOOKUP(F528,#REF!,14,FALSE),"")</f>
        <v/>
      </c>
      <c r="S528" s="47">
        <f t="shared" si="68"/>
        <v>1.5693430656934306</v>
      </c>
      <c r="U528" s="1728"/>
      <c r="V528" s="160">
        <f t="shared" si="70"/>
        <v>0</v>
      </c>
      <c r="W528" s="1767"/>
      <c r="X528" s="160"/>
    </row>
    <row r="529" spans="2:24" x14ac:dyDescent="0.2">
      <c r="B529" s="1657" t="s">
        <v>256</v>
      </c>
      <c r="C529" s="161">
        <v>43617</v>
      </c>
      <c r="D529" s="49"/>
      <c r="E529" s="156"/>
      <c r="F529" s="1464"/>
      <c r="G529" s="298"/>
      <c r="H529" s="299" t="str">
        <f>IFERROR(VLOOKUP(F529,#REF!,10,FALSE),"")</f>
        <v/>
      </c>
      <c r="I529" s="310" t="str">
        <f t="shared" si="72"/>
        <v/>
      </c>
      <c r="J529" s="252"/>
      <c r="K529" s="1757"/>
      <c r="L529" s="1568"/>
      <c r="M529" s="1591"/>
      <c r="N529" s="158" t="str">
        <f t="shared" si="71"/>
        <v/>
      </c>
      <c r="O529" s="577"/>
      <c r="P529" s="93" t="str">
        <f>IFERROR(VLOOKUP(F529,#REF!,12,FALSE),"")</f>
        <v/>
      </c>
      <c r="Q529" s="94" t="s">
        <v>8</v>
      </c>
      <c r="R529" s="46" t="str">
        <f>IFERROR(VLOOKUP(F529,#REF!,14,FALSE),"")</f>
        <v/>
      </c>
      <c r="S529" s="47" t="str">
        <f t="shared" si="68"/>
        <v/>
      </c>
      <c r="U529" s="1728"/>
      <c r="V529" s="160">
        <f t="shared" si="70"/>
        <v>0</v>
      </c>
      <c r="W529" s="1767"/>
      <c r="X529" s="160"/>
    </row>
    <row r="530" spans="2:24" ht="16" thickBot="1" x14ac:dyDescent="0.25">
      <c r="B530" s="1658" t="e">
        <f>AVERAGE(#REF!)</f>
        <v>#REF!</v>
      </c>
      <c r="C530" s="627">
        <v>43618</v>
      </c>
      <c r="D530" s="628" t="s">
        <v>109</v>
      </c>
      <c r="E530" s="629" t="s">
        <v>293</v>
      </c>
      <c r="F530" s="1472" t="s">
        <v>4</v>
      </c>
      <c r="G530" s="630">
        <v>3.7245370370370366E-2</v>
      </c>
      <c r="H530" s="631">
        <v>12.2</v>
      </c>
      <c r="I530" s="632">
        <f t="shared" si="72"/>
        <v>3.0528992106860957E-3</v>
      </c>
      <c r="J530" s="633">
        <v>166</v>
      </c>
      <c r="K530" s="1757"/>
      <c r="L530" s="1574">
        <v>261</v>
      </c>
      <c r="M530" s="1599"/>
      <c r="N530" s="634">
        <f t="shared" si="71"/>
        <v>1.0275238561291902</v>
      </c>
      <c r="O530" s="635" t="s">
        <v>175</v>
      </c>
      <c r="P530" s="636" t="str">
        <f>IFERROR(VLOOKUP(F530,#REF!,12,FALSE),"")</f>
        <v/>
      </c>
      <c r="Q530" s="637" t="s">
        <v>8</v>
      </c>
      <c r="R530" s="638" t="str">
        <f>IFERROR(VLOOKUP(F530,#REF!,14,FALSE),"")</f>
        <v/>
      </c>
      <c r="S530" s="65">
        <f t="shared" si="68"/>
        <v>1.572289156626506</v>
      </c>
      <c r="U530" s="1728"/>
      <c r="V530" s="176">
        <f t="shared" si="70"/>
        <v>0</v>
      </c>
      <c r="W530" s="1768"/>
      <c r="X530" s="176"/>
    </row>
    <row r="531" spans="2:24" ht="16" thickBot="1" x14ac:dyDescent="0.25">
      <c r="B531" s="1652">
        <f>B524+1</f>
        <v>23</v>
      </c>
      <c r="C531" s="193">
        <v>43619</v>
      </c>
      <c r="D531" s="70"/>
      <c r="E531" s="71"/>
      <c r="F531" s="1466"/>
      <c r="G531" s="559"/>
      <c r="H531" s="560" t="str">
        <f>IFERROR(VLOOKUP(F531,#REF!,10,FALSE),"")</f>
        <v/>
      </c>
      <c r="I531" s="179" t="str">
        <f t="shared" si="72"/>
        <v/>
      </c>
      <c r="J531" s="269"/>
      <c r="K531" s="1757"/>
      <c r="L531" s="270"/>
      <c r="M531" s="1593"/>
      <c r="N531" s="77" t="str">
        <f t="shared" si="71"/>
        <v/>
      </c>
      <c r="O531" s="561"/>
      <c r="P531" s="224" t="str">
        <f>IFERROR(VLOOKUP(F531,#REF!,12,FALSE),"")</f>
        <v/>
      </c>
      <c r="Q531" s="80" t="s">
        <v>8</v>
      </c>
      <c r="R531" s="80" t="str">
        <f>IFERROR(VLOOKUP(F531,#REF!,14,FALSE),"")</f>
        <v/>
      </c>
      <c r="S531" s="33" t="str">
        <f t="shared" si="68"/>
        <v/>
      </c>
      <c r="U531" s="1728"/>
      <c r="V531" s="225">
        <f t="shared" si="70"/>
        <v>0</v>
      </c>
      <c r="W531" s="1766"/>
      <c r="X531" s="225"/>
    </row>
    <row r="532" spans="2:24" x14ac:dyDescent="0.2">
      <c r="B532" s="1653" t="s">
        <v>142</v>
      </c>
      <c r="C532" s="603">
        <v>43620</v>
      </c>
      <c r="D532" s="604"/>
      <c r="E532" s="605"/>
      <c r="F532" s="1474"/>
      <c r="G532" s="649"/>
      <c r="H532" s="650" t="str">
        <f>IFERROR(VLOOKUP(F532,#REF!,10,FALSE),"")</f>
        <v/>
      </c>
      <c r="I532" s="651" t="str">
        <f t="shared" si="72"/>
        <v/>
      </c>
      <c r="J532" s="652"/>
      <c r="K532" s="1757"/>
      <c r="L532" s="1568"/>
      <c r="M532" s="1591"/>
      <c r="N532" s="610" t="str">
        <f t="shared" si="71"/>
        <v/>
      </c>
      <c r="O532" s="653"/>
      <c r="P532" s="654" t="str">
        <f>IFERROR(VLOOKUP(F532,#REF!,12,FALSE),"")</f>
        <v/>
      </c>
      <c r="Q532" s="655" t="s">
        <v>8</v>
      </c>
      <c r="R532" s="46" t="str">
        <f>IFERROR(VLOOKUP(F532,#REF!,14,FALSE),"")</f>
        <v/>
      </c>
      <c r="S532" s="47" t="str">
        <f t="shared" si="68"/>
        <v/>
      </c>
      <c r="U532" s="1728"/>
      <c r="V532" s="48">
        <f t="shared" si="70"/>
        <v>0</v>
      </c>
      <c r="W532" s="1767"/>
      <c r="X532" s="48"/>
    </row>
    <row r="533" spans="2:24" ht="16" thickBot="1" x14ac:dyDescent="0.25">
      <c r="B533" s="1654">
        <f>SUM(H531:H537)</f>
        <v>0</v>
      </c>
      <c r="C533" s="161">
        <v>43621</v>
      </c>
      <c r="D533" s="604"/>
      <c r="E533" s="605"/>
      <c r="F533" s="1474"/>
      <c r="G533" s="649"/>
      <c r="H533" s="650" t="str">
        <f>IFERROR(VLOOKUP(F533,#REF!,10,FALSE),"")</f>
        <v/>
      </c>
      <c r="I533" s="651" t="str">
        <f t="shared" si="72"/>
        <v/>
      </c>
      <c r="J533" s="652"/>
      <c r="K533" s="1757"/>
      <c r="L533" s="1568"/>
      <c r="M533" s="1591"/>
      <c r="N533" s="610" t="str">
        <f t="shared" si="71"/>
        <v/>
      </c>
      <c r="O533" s="653"/>
      <c r="P533" s="654" t="str">
        <f>IFERROR(VLOOKUP(F533,#REF!,12,FALSE),"")</f>
        <v/>
      </c>
      <c r="Q533" s="655" t="s">
        <v>8</v>
      </c>
      <c r="R533" s="46" t="str">
        <f>IFERROR(VLOOKUP(F533,#REF!,14,FALSE),"")</f>
        <v/>
      </c>
      <c r="S533" s="47" t="str">
        <f t="shared" ref="S533:S596" si="73">IFERROR(L533/J533,"")</f>
        <v/>
      </c>
      <c r="U533" s="1728"/>
      <c r="V533" s="48">
        <f t="shared" si="70"/>
        <v>0</v>
      </c>
      <c r="W533" s="1767"/>
      <c r="X533" s="48"/>
    </row>
    <row r="534" spans="2:24" x14ac:dyDescent="0.2">
      <c r="B534" s="1655" t="s">
        <v>144</v>
      </c>
      <c r="C534" s="161">
        <v>43622</v>
      </c>
      <c r="D534" s="604"/>
      <c r="E534" s="605"/>
      <c r="F534" s="1474"/>
      <c r="G534" s="649"/>
      <c r="H534" s="650" t="str">
        <f>IFERROR(VLOOKUP(F534,#REF!,10,FALSE),"")</f>
        <v/>
      </c>
      <c r="I534" s="651" t="str">
        <f t="shared" si="72"/>
        <v/>
      </c>
      <c r="J534" s="652"/>
      <c r="K534" s="1757"/>
      <c r="L534" s="1568"/>
      <c r="M534" s="1591"/>
      <c r="N534" s="610" t="str">
        <f t="shared" si="71"/>
        <v/>
      </c>
      <c r="O534" s="653"/>
      <c r="P534" s="654" t="str">
        <f>IFERROR(VLOOKUP(F534,#REF!,12,FALSE),"")</f>
        <v/>
      </c>
      <c r="Q534" s="655" t="s">
        <v>8</v>
      </c>
      <c r="R534" s="46" t="str">
        <f>IFERROR(VLOOKUP(F534,#REF!,14,FALSE),"")</f>
        <v/>
      </c>
      <c r="S534" s="47" t="str">
        <f t="shared" si="73"/>
        <v/>
      </c>
      <c r="U534" s="1728"/>
      <c r="V534" s="48">
        <f t="shared" si="70"/>
        <v>0</v>
      </c>
      <c r="W534" s="1767"/>
      <c r="X534" s="48"/>
    </row>
    <row r="535" spans="2:24" ht="16" thickBot="1" x14ac:dyDescent="0.25">
      <c r="B535" s="1656" t="e">
        <f>SUM(#REF!)</f>
        <v>#REF!</v>
      </c>
      <c r="C535" s="161">
        <v>43623</v>
      </c>
      <c r="D535" s="604"/>
      <c r="E535" s="605"/>
      <c r="F535" s="1474"/>
      <c r="G535" s="649"/>
      <c r="H535" s="650" t="str">
        <f>IFERROR(VLOOKUP(F535,#REF!,10,FALSE),"")</f>
        <v/>
      </c>
      <c r="I535" s="651" t="str">
        <f t="shared" si="72"/>
        <v/>
      </c>
      <c r="J535" s="652"/>
      <c r="K535" s="1757"/>
      <c r="L535" s="1568"/>
      <c r="M535" s="1591"/>
      <c r="N535" s="610" t="str">
        <f t="shared" si="71"/>
        <v/>
      </c>
      <c r="O535" s="653"/>
      <c r="P535" s="654" t="str">
        <f>IFERROR(VLOOKUP(F535,#REF!,12,FALSE),"")</f>
        <v/>
      </c>
      <c r="Q535" s="655" t="s">
        <v>8</v>
      </c>
      <c r="R535" s="46" t="str">
        <f>IFERROR(VLOOKUP(F535,#REF!,14,FALSE),"")</f>
        <v/>
      </c>
      <c r="S535" s="47" t="str">
        <f t="shared" si="73"/>
        <v/>
      </c>
      <c r="U535" s="1728"/>
      <c r="V535" s="48">
        <f t="shared" si="70"/>
        <v>0</v>
      </c>
      <c r="W535" s="1767"/>
      <c r="X535" s="48"/>
    </row>
    <row r="536" spans="2:24" x14ac:dyDescent="0.2">
      <c r="B536" s="1657" t="s">
        <v>256</v>
      </c>
      <c r="C536" s="161">
        <v>43624</v>
      </c>
      <c r="D536" s="604"/>
      <c r="E536" s="605"/>
      <c r="F536" s="1474"/>
      <c r="G536" s="649"/>
      <c r="H536" s="650" t="str">
        <f>IFERROR(VLOOKUP(F536,#REF!,10,FALSE),"")</f>
        <v/>
      </c>
      <c r="I536" s="651" t="str">
        <f t="shared" si="72"/>
        <v/>
      </c>
      <c r="J536" s="652"/>
      <c r="K536" s="1757"/>
      <c r="L536" s="1568"/>
      <c r="M536" s="1591"/>
      <c r="N536" s="610" t="str">
        <f t="shared" si="71"/>
        <v/>
      </c>
      <c r="O536" s="653"/>
      <c r="P536" s="654" t="str">
        <f>IFERROR(VLOOKUP(F536,#REF!,12,FALSE),"")</f>
        <v/>
      </c>
      <c r="Q536" s="655" t="s">
        <v>8</v>
      </c>
      <c r="R536" s="46" t="str">
        <f>IFERROR(VLOOKUP(F536,#REF!,14,FALSE),"")</f>
        <v/>
      </c>
      <c r="S536" s="47" t="str">
        <f t="shared" si="73"/>
        <v/>
      </c>
      <c r="U536" s="1728"/>
      <c r="V536" s="48">
        <f t="shared" si="70"/>
        <v>0</v>
      </c>
      <c r="W536" s="1767"/>
      <c r="X536" s="48"/>
    </row>
    <row r="537" spans="2:24" ht="16" thickBot="1" x14ac:dyDescent="0.25">
      <c r="B537" s="1658" t="e">
        <f>AVERAGE(#REF!)</f>
        <v>#REF!</v>
      </c>
      <c r="C537" s="640">
        <v>43625</v>
      </c>
      <c r="D537" s="623"/>
      <c r="E537" s="641"/>
      <c r="F537" s="1471"/>
      <c r="G537" s="615"/>
      <c r="H537" s="624" t="str">
        <f>IFERROR(VLOOKUP(F537,#REF!,10,FALSE),"")</f>
        <v/>
      </c>
      <c r="I537" s="625" t="str">
        <f t="shared" si="72"/>
        <v/>
      </c>
      <c r="J537" s="626"/>
      <c r="K537" s="1757"/>
      <c r="L537" s="1570"/>
      <c r="M537" s="1594"/>
      <c r="N537" s="619" t="str">
        <f t="shared" si="71"/>
        <v/>
      </c>
      <c r="O537" s="620"/>
      <c r="P537" s="621" t="str">
        <f>IFERROR(VLOOKUP(F537,#REF!,12,FALSE),"")</f>
        <v/>
      </c>
      <c r="Q537" s="622" t="s">
        <v>8</v>
      </c>
      <c r="R537" s="107" t="str">
        <f>IFERROR(VLOOKUP(F537,#REF!,14,FALSE),"")</f>
        <v/>
      </c>
      <c r="S537" s="65" t="str">
        <f t="shared" si="73"/>
        <v/>
      </c>
      <c r="U537" s="1728"/>
      <c r="V537" s="108">
        <f t="shared" si="70"/>
        <v>0</v>
      </c>
      <c r="W537" s="1768"/>
      <c r="X537" s="108"/>
    </row>
    <row r="538" spans="2:24" ht="16" thickBot="1" x14ac:dyDescent="0.25">
      <c r="B538" s="1652">
        <f>B531+1</f>
        <v>24</v>
      </c>
      <c r="C538" s="189">
        <v>43626</v>
      </c>
      <c r="D538" s="143" t="s">
        <v>110</v>
      </c>
      <c r="E538" s="144"/>
      <c r="F538" s="1463" t="s">
        <v>173</v>
      </c>
      <c r="G538" s="291">
        <v>3.3425925925925921E-2</v>
      </c>
      <c r="H538" s="602">
        <v>8.3800000000000008</v>
      </c>
      <c r="I538" s="309">
        <f t="shared" si="72"/>
        <v>3.988773976840802E-3</v>
      </c>
      <c r="J538" s="295">
        <v>141</v>
      </c>
      <c r="K538" s="1757"/>
      <c r="L538" s="792">
        <v>210</v>
      </c>
      <c r="M538" s="1595"/>
      <c r="N538" s="150">
        <f t="shared" si="71"/>
        <v>1.0801838065044704</v>
      </c>
      <c r="O538" s="576" t="s">
        <v>251</v>
      </c>
      <c r="P538" s="214" t="str">
        <f>IFERROR(VLOOKUP(F538,#REF!,12,FALSE),"")</f>
        <v/>
      </c>
      <c r="Q538" s="153" t="s">
        <v>8</v>
      </c>
      <c r="R538" s="32" t="str">
        <f>IFERROR(VLOOKUP(F538,#REF!,14,FALSE),"")</f>
        <v/>
      </c>
      <c r="S538" s="33">
        <f t="shared" si="73"/>
        <v>1.4893617021276595</v>
      </c>
      <c r="U538" s="1728"/>
      <c r="V538" s="215">
        <f t="shared" si="70"/>
        <v>0</v>
      </c>
      <c r="W538" s="1766"/>
      <c r="X538" s="215"/>
    </row>
    <row r="539" spans="2:24" x14ac:dyDescent="0.2">
      <c r="B539" s="1653" t="s">
        <v>142</v>
      </c>
      <c r="C539" s="161">
        <v>43627</v>
      </c>
      <c r="D539" s="49"/>
      <c r="E539" s="156"/>
      <c r="F539" s="1464"/>
      <c r="G539" s="298"/>
      <c r="H539" s="299" t="str">
        <f>IFERROR(VLOOKUP(F539,#REF!,10,FALSE),"")</f>
        <v/>
      </c>
      <c r="I539" s="310" t="str">
        <f t="shared" si="72"/>
        <v/>
      </c>
      <c r="J539" s="252"/>
      <c r="K539" s="1757"/>
      <c r="L539" s="1568"/>
      <c r="M539" s="1591"/>
      <c r="N539" s="158" t="str">
        <f t="shared" si="71"/>
        <v/>
      </c>
      <c r="O539" s="577"/>
      <c r="P539" s="93" t="str">
        <f>IFERROR(VLOOKUP(F539,#REF!,12,FALSE),"")</f>
        <v/>
      </c>
      <c r="Q539" s="94" t="s">
        <v>8</v>
      </c>
      <c r="R539" s="46" t="str">
        <f>IFERROR(VLOOKUP(F539,#REF!,14,FALSE),"")</f>
        <v/>
      </c>
      <c r="S539" s="47" t="str">
        <f t="shared" si="73"/>
        <v/>
      </c>
      <c r="U539" s="1728"/>
      <c r="V539" s="160">
        <f t="shared" si="70"/>
        <v>0</v>
      </c>
      <c r="W539" s="1767"/>
      <c r="X539" s="160"/>
    </row>
    <row r="540" spans="2:24" ht="16" thickBot="1" x14ac:dyDescent="0.25">
      <c r="B540" s="1654">
        <f>SUM(H538:H544)</f>
        <v>25.259999999999998</v>
      </c>
      <c r="C540" s="161">
        <v>43628</v>
      </c>
      <c r="D540" s="49" t="s">
        <v>111</v>
      </c>
      <c r="E540" s="156"/>
      <c r="F540" s="1464" t="s">
        <v>147</v>
      </c>
      <c r="G540" s="298">
        <v>3.335648148148148E-2</v>
      </c>
      <c r="H540" s="299">
        <v>8.48</v>
      </c>
      <c r="I540" s="310">
        <f t="shared" si="72"/>
        <v>3.933547344514325E-3</v>
      </c>
      <c r="J540" s="252">
        <v>132</v>
      </c>
      <c r="K540" s="1757"/>
      <c r="L540" s="1568">
        <v>211</v>
      </c>
      <c r="M540" s="1591"/>
      <c r="N540" s="158">
        <f t="shared" ref="N540:N556" si="74">IFERROR((L540/67)/(1/(I540*24)/3.6),"")</f>
        <v>1.0703006195437903</v>
      </c>
      <c r="O540" s="577" t="s">
        <v>251</v>
      </c>
      <c r="P540" s="93" t="str">
        <f>IFERROR(VLOOKUP(F540,#REF!,12,FALSE),"")</f>
        <v/>
      </c>
      <c r="Q540" s="94" t="s">
        <v>8</v>
      </c>
      <c r="R540" s="46" t="str">
        <f>IFERROR(VLOOKUP(F540,#REF!,14,FALSE),"")</f>
        <v/>
      </c>
      <c r="S540" s="47">
        <f t="shared" si="73"/>
        <v>1.5984848484848484</v>
      </c>
      <c r="U540" s="1728"/>
      <c r="V540" s="160">
        <f t="shared" si="70"/>
        <v>0</v>
      </c>
      <c r="W540" s="1767"/>
      <c r="X540" s="160"/>
    </row>
    <row r="541" spans="2:24" x14ac:dyDescent="0.2">
      <c r="B541" s="1655" t="s">
        <v>144</v>
      </c>
      <c r="C541" s="161">
        <v>43629</v>
      </c>
      <c r="D541" s="49"/>
      <c r="E541" s="156"/>
      <c r="F541" s="1464"/>
      <c r="G541" s="298"/>
      <c r="H541" s="299" t="str">
        <f>IFERROR(VLOOKUP(F541,#REF!,10,FALSE),"")</f>
        <v/>
      </c>
      <c r="I541" s="310" t="str">
        <f t="shared" si="72"/>
        <v/>
      </c>
      <c r="J541" s="252"/>
      <c r="K541" s="1757"/>
      <c r="L541" s="1568"/>
      <c r="M541" s="1591"/>
      <c r="N541" s="158" t="str">
        <f t="shared" si="74"/>
        <v/>
      </c>
      <c r="O541" s="577"/>
      <c r="P541" s="93" t="str">
        <f>IFERROR(VLOOKUP(F541,#REF!,12,FALSE),"")</f>
        <v/>
      </c>
      <c r="Q541" s="94" t="s">
        <v>8</v>
      </c>
      <c r="R541" s="46" t="str">
        <f>IFERROR(VLOOKUP(F541,#REF!,14,FALSE),"")</f>
        <v/>
      </c>
      <c r="S541" s="47" t="str">
        <f t="shared" si="73"/>
        <v/>
      </c>
      <c r="U541" s="1728"/>
      <c r="V541" s="160">
        <f t="shared" si="70"/>
        <v>0</v>
      </c>
      <c r="W541" s="1767"/>
      <c r="X541" s="160"/>
    </row>
    <row r="542" spans="2:24" ht="16" thickBot="1" x14ac:dyDescent="0.25">
      <c r="B542" s="1656" t="e">
        <f>SUM(#REF!)</f>
        <v>#REF!</v>
      </c>
      <c r="C542" s="161">
        <v>43630</v>
      </c>
      <c r="D542" s="49" t="s">
        <v>171</v>
      </c>
      <c r="E542" s="156"/>
      <c r="F542" s="1464" t="s">
        <v>147</v>
      </c>
      <c r="G542" s="298">
        <v>3.3136574074074075E-2</v>
      </c>
      <c r="H542" s="299">
        <v>8.4</v>
      </c>
      <c r="I542" s="310">
        <f t="shared" si="72"/>
        <v>3.9448302469135806E-3</v>
      </c>
      <c r="J542" s="252">
        <v>135</v>
      </c>
      <c r="K542" s="1757"/>
      <c r="L542" s="1568">
        <v>210</v>
      </c>
      <c r="M542" s="1591"/>
      <c r="N542" s="158">
        <f t="shared" si="74"/>
        <v>1.0682835820895524</v>
      </c>
      <c r="O542" s="577" t="s">
        <v>251</v>
      </c>
      <c r="P542" s="93" t="str">
        <f>IFERROR(VLOOKUP(F542,#REF!,12,FALSE),"")</f>
        <v/>
      </c>
      <c r="Q542" s="94" t="s">
        <v>8</v>
      </c>
      <c r="R542" s="46" t="str">
        <f>IFERROR(VLOOKUP(F542,#REF!,14,FALSE),"")</f>
        <v/>
      </c>
      <c r="S542" s="47">
        <f t="shared" si="73"/>
        <v>1.5555555555555556</v>
      </c>
      <c r="U542" s="1728"/>
      <c r="V542" s="160">
        <f t="shared" si="70"/>
        <v>0</v>
      </c>
      <c r="W542" s="1767"/>
      <c r="X542" s="160"/>
    </row>
    <row r="543" spans="2:24" x14ac:dyDescent="0.2">
      <c r="B543" s="1657" t="s">
        <v>256</v>
      </c>
      <c r="C543" s="161">
        <v>43631</v>
      </c>
      <c r="D543" s="49"/>
      <c r="E543" s="156"/>
      <c r="F543" s="1464"/>
      <c r="G543" s="298"/>
      <c r="H543" s="299" t="str">
        <f>IFERROR(VLOOKUP(F543,#REF!,10,FALSE),"")</f>
        <v/>
      </c>
      <c r="I543" s="310" t="str">
        <f t="shared" si="72"/>
        <v/>
      </c>
      <c r="J543" s="252"/>
      <c r="K543" s="1757"/>
      <c r="L543" s="1568"/>
      <c r="M543" s="1591"/>
      <c r="N543" s="158" t="str">
        <f t="shared" si="74"/>
        <v/>
      </c>
      <c r="O543" s="577"/>
      <c r="P543" s="93" t="str">
        <f>IFERROR(VLOOKUP(F543,#REF!,12,FALSE),"")</f>
        <v/>
      </c>
      <c r="Q543" s="94" t="s">
        <v>8</v>
      </c>
      <c r="R543" s="46" t="str">
        <f>IFERROR(VLOOKUP(F543,#REF!,14,FALSE),"")</f>
        <v/>
      </c>
      <c r="S543" s="47" t="str">
        <f t="shared" si="73"/>
        <v/>
      </c>
      <c r="U543" s="1728"/>
      <c r="V543" s="160">
        <f t="shared" si="70"/>
        <v>0</v>
      </c>
      <c r="W543" s="1767"/>
      <c r="X543" s="160"/>
    </row>
    <row r="544" spans="2:24" ht="16" thickBot="1" x14ac:dyDescent="0.25">
      <c r="B544" s="1658" t="e">
        <f>AVERAGE(#REF!)</f>
        <v>#REF!</v>
      </c>
      <c r="C544" s="207">
        <v>43632</v>
      </c>
      <c r="D544" s="67"/>
      <c r="E544" s="208"/>
      <c r="F544" s="1465"/>
      <c r="G544" s="302"/>
      <c r="H544" s="303" t="str">
        <f>IFERROR(VLOOKUP(F544,#REF!,10,FALSE),"")</f>
        <v/>
      </c>
      <c r="I544" s="311" t="str">
        <f t="shared" si="72"/>
        <v/>
      </c>
      <c r="J544" s="262"/>
      <c r="K544" s="1757"/>
      <c r="L544" s="1569"/>
      <c r="M544" s="1592"/>
      <c r="N544" s="172" t="str">
        <f t="shared" si="74"/>
        <v/>
      </c>
      <c r="O544" s="578"/>
      <c r="P544" s="174" t="str">
        <f>IFERROR(VLOOKUP(F544,#REF!,12,FALSE),"")</f>
        <v/>
      </c>
      <c r="Q544" s="175" t="s">
        <v>8</v>
      </c>
      <c r="R544" s="64" t="str">
        <f>IFERROR(VLOOKUP(F544,#REF!,14,FALSE),"")</f>
        <v/>
      </c>
      <c r="S544" s="65" t="str">
        <f t="shared" si="73"/>
        <v/>
      </c>
      <c r="U544" s="1728"/>
      <c r="V544" s="176">
        <f t="shared" si="70"/>
        <v>0</v>
      </c>
      <c r="W544" s="1768"/>
      <c r="X544" s="176"/>
    </row>
    <row r="545" spans="2:24" ht="16" thickBot="1" x14ac:dyDescent="0.25">
      <c r="B545" s="1652">
        <f>B538+1</f>
        <v>25</v>
      </c>
      <c r="C545" s="193">
        <v>43633</v>
      </c>
      <c r="D545" s="70"/>
      <c r="E545" s="71"/>
      <c r="F545" s="1466"/>
      <c r="G545" s="559"/>
      <c r="H545" s="560" t="str">
        <f>IFERROR(VLOOKUP(F545,#REF!,10,FALSE),"")</f>
        <v/>
      </c>
      <c r="I545" s="179" t="str">
        <f t="shared" si="72"/>
        <v/>
      </c>
      <c r="J545" s="269"/>
      <c r="K545" s="1757"/>
      <c r="L545" s="270"/>
      <c r="M545" s="1593"/>
      <c r="N545" s="77" t="str">
        <f t="shared" si="74"/>
        <v/>
      </c>
      <c r="O545" s="561"/>
      <c r="P545" s="224" t="str">
        <f>IFERROR(VLOOKUP(F545,#REF!,12,FALSE),"")</f>
        <v/>
      </c>
      <c r="Q545" s="80" t="s">
        <v>8</v>
      </c>
      <c r="R545" s="80" t="str">
        <f>IFERROR(VLOOKUP(F545,#REF!,14,FALSE),"")</f>
        <v/>
      </c>
      <c r="S545" s="33" t="str">
        <f t="shared" si="73"/>
        <v/>
      </c>
      <c r="U545" s="1728"/>
      <c r="V545" s="225">
        <f t="shared" si="70"/>
        <v>0</v>
      </c>
      <c r="W545" s="1766"/>
      <c r="X545" s="225"/>
    </row>
    <row r="546" spans="2:24" x14ac:dyDescent="0.2">
      <c r="B546" s="1653" t="s">
        <v>142</v>
      </c>
      <c r="C546" s="603">
        <v>43634</v>
      </c>
      <c r="D546" s="604"/>
      <c r="E546" s="605"/>
      <c r="F546" s="1474"/>
      <c r="G546" s="649"/>
      <c r="H546" s="650" t="str">
        <f>IFERROR(VLOOKUP(F546,#REF!,10,FALSE),"")</f>
        <v/>
      </c>
      <c r="I546" s="651" t="str">
        <f t="shared" si="72"/>
        <v/>
      </c>
      <c r="J546" s="652"/>
      <c r="K546" s="1757"/>
      <c r="L546" s="1568"/>
      <c r="M546" s="1591"/>
      <c r="N546" s="610" t="str">
        <f t="shared" si="74"/>
        <v/>
      </c>
      <c r="O546" s="653"/>
      <c r="P546" s="654" t="str">
        <f>IFERROR(VLOOKUP(F546,#REF!,12,FALSE),"")</f>
        <v/>
      </c>
      <c r="Q546" s="655" t="s">
        <v>8</v>
      </c>
      <c r="R546" s="46" t="str">
        <f>IFERROR(VLOOKUP(F546,#REF!,14,FALSE),"")</f>
        <v/>
      </c>
      <c r="S546" s="47" t="str">
        <f t="shared" si="73"/>
        <v/>
      </c>
      <c r="U546" s="1728"/>
      <c r="V546" s="48">
        <f t="shared" si="70"/>
        <v>0</v>
      </c>
      <c r="W546" s="1767"/>
      <c r="X546" s="48"/>
    </row>
    <row r="547" spans="2:24" ht="16" thickBot="1" x14ac:dyDescent="0.25">
      <c r="B547" s="1654">
        <f>SUM(H545:H551)</f>
        <v>8.2899999999999991</v>
      </c>
      <c r="C547" s="161">
        <v>43635</v>
      </c>
      <c r="D547" s="604"/>
      <c r="E547" s="605"/>
      <c r="F547" s="1474"/>
      <c r="G547" s="649"/>
      <c r="H547" s="650" t="str">
        <f>IFERROR(VLOOKUP(F547,#REF!,10,FALSE),"")</f>
        <v/>
      </c>
      <c r="I547" s="651" t="str">
        <f t="shared" si="72"/>
        <v/>
      </c>
      <c r="J547" s="652"/>
      <c r="K547" s="1757"/>
      <c r="L547" s="1568"/>
      <c r="M547" s="1591"/>
      <c r="N547" s="610" t="str">
        <f t="shared" si="74"/>
        <v/>
      </c>
      <c r="O547" s="653"/>
      <c r="P547" s="654" t="str">
        <f>IFERROR(VLOOKUP(F547,#REF!,12,FALSE),"")</f>
        <v/>
      </c>
      <c r="Q547" s="655" t="s">
        <v>8</v>
      </c>
      <c r="R547" s="46" t="str">
        <f>IFERROR(VLOOKUP(F547,#REF!,14,FALSE),"")</f>
        <v/>
      </c>
      <c r="S547" s="47" t="str">
        <f t="shared" si="73"/>
        <v/>
      </c>
      <c r="U547" s="1728"/>
      <c r="V547" s="48">
        <f t="shared" si="70"/>
        <v>0</v>
      </c>
      <c r="W547" s="1767"/>
      <c r="X547" s="48"/>
    </row>
    <row r="548" spans="2:24" x14ac:dyDescent="0.2">
      <c r="B548" s="1655" t="s">
        <v>144</v>
      </c>
      <c r="C548" s="161">
        <v>43636</v>
      </c>
      <c r="D548" s="604"/>
      <c r="E548" s="605"/>
      <c r="F548" s="1474"/>
      <c r="G548" s="649"/>
      <c r="H548" s="650" t="str">
        <f>IFERROR(VLOOKUP(F548,#REF!,10,FALSE),"")</f>
        <v/>
      </c>
      <c r="I548" s="651" t="str">
        <f t="shared" si="72"/>
        <v/>
      </c>
      <c r="J548" s="652"/>
      <c r="K548" s="1757"/>
      <c r="L548" s="1568"/>
      <c r="M548" s="1591"/>
      <c r="N548" s="610" t="str">
        <f t="shared" si="74"/>
        <v/>
      </c>
      <c r="O548" s="653"/>
      <c r="P548" s="654" t="str">
        <f>IFERROR(VLOOKUP(F548,#REF!,12,FALSE),"")</f>
        <v/>
      </c>
      <c r="Q548" s="655" t="s">
        <v>8</v>
      </c>
      <c r="R548" s="46" t="str">
        <f>IFERROR(VLOOKUP(F548,#REF!,14,FALSE),"")</f>
        <v/>
      </c>
      <c r="S548" s="47" t="str">
        <f t="shared" si="73"/>
        <v/>
      </c>
      <c r="U548" s="1728"/>
      <c r="V548" s="48">
        <f t="shared" si="70"/>
        <v>0</v>
      </c>
      <c r="W548" s="1767"/>
      <c r="X548" s="48"/>
    </row>
    <row r="549" spans="2:24" ht="16" thickBot="1" x14ac:dyDescent="0.25">
      <c r="B549" s="1656" t="e">
        <f>SUM(#REF!)</f>
        <v>#REF!</v>
      </c>
      <c r="C549" s="161">
        <v>43637</v>
      </c>
      <c r="D549" s="604"/>
      <c r="E549" s="605"/>
      <c r="F549" s="1475"/>
      <c r="G549" s="657"/>
      <c r="H549" s="658" t="str">
        <f>IFERROR(VLOOKUP(F549,#REF!,10,FALSE),"")</f>
        <v/>
      </c>
      <c r="I549" s="651" t="str">
        <f t="shared" si="72"/>
        <v/>
      </c>
      <c r="J549" s="659"/>
      <c r="K549" s="1757"/>
      <c r="L549" s="1563"/>
      <c r="M549" s="1585"/>
      <c r="N549" s="610" t="str">
        <f t="shared" si="74"/>
        <v/>
      </c>
      <c r="O549" s="660"/>
      <c r="P549" s="654" t="str">
        <f>IFERROR(VLOOKUP(F549,#REF!,12,FALSE),"")</f>
        <v/>
      </c>
      <c r="Q549" s="655" t="s">
        <v>8</v>
      </c>
      <c r="R549" s="46" t="str">
        <f>IFERROR(VLOOKUP(F549,#REF!,14,FALSE),"")</f>
        <v/>
      </c>
      <c r="S549" s="47" t="str">
        <f t="shared" si="73"/>
        <v/>
      </c>
      <c r="U549" s="1728"/>
      <c r="V549" s="48">
        <f t="shared" si="70"/>
        <v>0</v>
      </c>
      <c r="W549" s="1767"/>
      <c r="X549" s="48"/>
    </row>
    <row r="550" spans="2:24" x14ac:dyDescent="0.2">
      <c r="B550" s="1657" t="s">
        <v>256</v>
      </c>
      <c r="C550" s="161">
        <v>43638</v>
      </c>
      <c r="D550" s="604"/>
      <c r="E550" s="605"/>
      <c r="F550" s="1475"/>
      <c r="G550" s="657"/>
      <c r="H550" s="658" t="str">
        <f>IFERROR(VLOOKUP(F550,#REF!,10,FALSE),"")</f>
        <v/>
      </c>
      <c r="I550" s="651" t="str">
        <f t="shared" si="72"/>
        <v/>
      </c>
      <c r="J550" s="659"/>
      <c r="K550" s="1757"/>
      <c r="L550" s="1563"/>
      <c r="M550" s="1585"/>
      <c r="N550" s="610" t="str">
        <f t="shared" si="74"/>
        <v/>
      </c>
      <c r="O550" s="660"/>
      <c r="P550" s="654" t="str">
        <f>IFERROR(VLOOKUP(F550,#REF!,12,FALSE),"")</f>
        <v/>
      </c>
      <c r="Q550" s="655" t="s">
        <v>8</v>
      </c>
      <c r="R550" s="46" t="str">
        <f>IFERROR(VLOOKUP(F550,#REF!,14,FALSE),"")</f>
        <v/>
      </c>
      <c r="S550" s="47" t="str">
        <f t="shared" si="73"/>
        <v/>
      </c>
      <c r="U550" s="1728"/>
      <c r="V550" s="48">
        <f t="shared" si="70"/>
        <v>0</v>
      </c>
      <c r="W550" s="1767"/>
      <c r="X550" s="48"/>
    </row>
    <row r="551" spans="2:24" ht="16" thickBot="1" x14ac:dyDescent="0.25">
      <c r="B551" s="1658" t="e">
        <f>AVERAGE(#REF!)</f>
        <v>#REF!</v>
      </c>
      <c r="C551" s="613">
        <v>43639</v>
      </c>
      <c r="D551" s="623" t="s">
        <v>112</v>
      </c>
      <c r="E551" s="641"/>
      <c r="F551" s="1476" t="s">
        <v>147</v>
      </c>
      <c r="G551" s="661">
        <v>3.2418981481481479E-2</v>
      </c>
      <c r="H551" s="662">
        <v>8.2899999999999991</v>
      </c>
      <c r="I551" s="625">
        <f t="shared" si="72"/>
        <v>3.9106129651968009E-3</v>
      </c>
      <c r="J551" s="663">
        <v>131</v>
      </c>
      <c r="K551" s="1757"/>
      <c r="L551" s="1565">
        <v>212</v>
      </c>
      <c r="M551" s="1588"/>
      <c r="N551" s="619">
        <f t="shared" si="74"/>
        <v>1.0691032173271158</v>
      </c>
      <c r="O551" s="664" t="s">
        <v>252</v>
      </c>
      <c r="P551" s="621" t="str">
        <f>IFERROR(VLOOKUP(F551,#REF!,12,FALSE),"")</f>
        <v/>
      </c>
      <c r="Q551" s="622" t="s">
        <v>8</v>
      </c>
      <c r="R551" s="107" t="str">
        <f>IFERROR(VLOOKUP(F551,#REF!,14,FALSE),"")</f>
        <v/>
      </c>
      <c r="S551" s="65">
        <f t="shared" si="73"/>
        <v>1.6183206106870229</v>
      </c>
      <c r="U551" s="1728"/>
      <c r="V551" s="108">
        <f t="shared" si="70"/>
        <v>0</v>
      </c>
      <c r="W551" s="1768"/>
      <c r="X551" s="108"/>
    </row>
    <row r="552" spans="2:24" ht="16" thickBot="1" x14ac:dyDescent="0.25">
      <c r="B552" s="1652">
        <f>B545+1</f>
        <v>26</v>
      </c>
      <c r="C552" s="189">
        <v>43640</v>
      </c>
      <c r="D552" s="143"/>
      <c r="E552" s="144"/>
      <c r="F552" s="1477"/>
      <c r="G552" s="210"/>
      <c r="H552" s="665" t="str">
        <f>IFERROR(VLOOKUP(F552,#REF!,10,FALSE),"")</f>
        <v/>
      </c>
      <c r="I552" s="309" t="str">
        <f t="shared" si="72"/>
        <v/>
      </c>
      <c r="J552" s="149"/>
      <c r="K552" s="1757"/>
      <c r="L552" s="1562"/>
      <c r="M552" s="1584"/>
      <c r="N552" s="150" t="str">
        <f t="shared" si="74"/>
        <v/>
      </c>
      <c r="O552" s="666"/>
      <c r="P552" s="214" t="str">
        <f>IFERROR(VLOOKUP(F552,#REF!,12,FALSE),"")</f>
        <v/>
      </c>
      <c r="Q552" s="153" t="s">
        <v>8</v>
      </c>
      <c r="R552" s="32" t="str">
        <f>IFERROR(VLOOKUP(F552,#REF!,14,FALSE),"")</f>
        <v/>
      </c>
      <c r="S552" s="33" t="str">
        <f t="shared" si="73"/>
        <v/>
      </c>
      <c r="U552" s="1728"/>
      <c r="V552" s="215">
        <f t="shared" si="70"/>
        <v>0</v>
      </c>
      <c r="W552" s="1766"/>
      <c r="X552" s="215"/>
    </row>
    <row r="553" spans="2:24" x14ac:dyDescent="0.2">
      <c r="B553" s="1653" t="s">
        <v>142</v>
      </c>
      <c r="C553" s="161">
        <v>43641</v>
      </c>
      <c r="D553" s="162"/>
      <c r="E553" s="163"/>
      <c r="F553" s="1478"/>
      <c r="G553" s="216"/>
      <c r="H553" s="667" t="str">
        <f>IFERROR(VLOOKUP(F553,#REF!,10,FALSE),"")</f>
        <v/>
      </c>
      <c r="I553" s="310" t="str">
        <f t="shared" si="72"/>
        <v/>
      </c>
      <c r="J553" s="157"/>
      <c r="K553" s="1757"/>
      <c r="L553" s="1563"/>
      <c r="M553" s="1585"/>
      <c r="N553" s="158" t="str">
        <f t="shared" si="74"/>
        <v/>
      </c>
      <c r="O553" s="668"/>
      <c r="P553" s="93" t="str">
        <f>IFERROR(VLOOKUP(F553,#REF!,12,FALSE),"")</f>
        <v/>
      </c>
      <c r="Q553" s="94" t="s">
        <v>8</v>
      </c>
      <c r="R553" s="46" t="str">
        <f>IFERROR(VLOOKUP(F553,#REF!,14,FALSE),"")</f>
        <v/>
      </c>
      <c r="S553" s="47" t="str">
        <f t="shared" si="73"/>
        <v/>
      </c>
      <c r="U553" s="1728"/>
      <c r="V553" s="160">
        <f t="shared" si="70"/>
        <v>0</v>
      </c>
      <c r="W553" s="1767"/>
      <c r="X553" s="160"/>
    </row>
    <row r="554" spans="2:24" ht="16" thickBot="1" x14ac:dyDescent="0.25">
      <c r="B554" s="1654">
        <f>SUM(H552:H558)</f>
        <v>15.27</v>
      </c>
      <c r="C554" s="161">
        <v>43642</v>
      </c>
      <c r="D554" s="49" t="s">
        <v>113</v>
      </c>
      <c r="E554" s="156"/>
      <c r="F554" s="1478" t="s">
        <v>147</v>
      </c>
      <c r="G554" s="216">
        <v>3.3217592592592597E-2</v>
      </c>
      <c r="H554" s="667">
        <v>8.4</v>
      </c>
      <c r="I554" s="310">
        <f t="shared" si="72"/>
        <v>3.9544753086419755E-3</v>
      </c>
      <c r="J554" s="157">
        <v>134</v>
      </c>
      <c r="K554" s="1757"/>
      <c r="L554" s="1563">
        <v>210</v>
      </c>
      <c r="M554" s="1585"/>
      <c r="N554" s="158">
        <f t="shared" si="74"/>
        <v>1.0708955223880599</v>
      </c>
      <c r="O554" s="668" t="s">
        <v>252</v>
      </c>
      <c r="P554" s="93" t="str">
        <f>IFERROR(VLOOKUP(F554,#REF!,12,FALSE),"")</f>
        <v/>
      </c>
      <c r="Q554" s="94" t="s">
        <v>8</v>
      </c>
      <c r="R554" s="46" t="str">
        <f>IFERROR(VLOOKUP(F554,#REF!,14,FALSE),"")</f>
        <v/>
      </c>
      <c r="S554" s="47">
        <f t="shared" si="73"/>
        <v>1.5671641791044777</v>
      </c>
      <c r="U554" s="1728"/>
      <c r="V554" s="160">
        <f t="shared" si="70"/>
        <v>0</v>
      </c>
      <c r="W554" s="1767"/>
      <c r="X554" s="160"/>
    </row>
    <row r="555" spans="2:24" x14ac:dyDescent="0.2">
      <c r="B555" s="1655" t="s">
        <v>144</v>
      </c>
      <c r="C555" s="161">
        <v>43643</v>
      </c>
      <c r="D555" s="49"/>
      <c r="E555" s="156"/>
      <c r="F555" s="1478"/>
      <c r="G555" s="216"/>
      <c r="H555" s="667" t="str">
        <f>IFERROR(VLOOKUP(F555,#REF!,10,FALSE),"")</f>
        <v/>
      </c>
      <c r="I555" s="310" t="str">
        <f t="shared" si="72"/>
        <v/>
      </c>
      <c r="J555" s="157"/>
      <c r="K555" s="1757"/>
      <c r="L555" s="1563"/>
      <c r="M555" s="1585"/>
      <c r="N555" s="158" t="str">
        <f t="shared" si="74"/>
        <v/>
      </c>
      <c r="O555" s="668"/>
      <c r="P555" s="93" t="str">
        <f>IFERROR(VLOOKUP(F555,#REF!,12,FALSE),"")</f>
        <v/>
      </c>
      <c r="Q555" s="94" t="s">
        <v>8</v>
      </c>
      <c r="R555" s="46" t="str">
        <f>IFERROR(VLOOKUP(F555,#REF!,14,FALSE),"")</f>
        <v/>
      </c>
      <c r="S555" s="47" t="str">
        <f t="shared" si="73"/>
        <v/>
      </c>
      <c r="U555" s="1728"/>
      <c r="V555" s="160">
        <f t="shared" si="70"/>
        <v>0</v>
      </c>
      <c r="W555" s="1767"/>
      <c r="X555" s="160"/>
    </row>
    <row r="556" spans="2:24" ht="16" thickBot="1" x14ac:dyDescent="0.25">
      <c r="B556" s="1656" t="e">
        <f>SUM(#REF!)</f>
        <v>#REF!</v>
      </c>
      <c r="C556" s="161">
        <v>43644</v>
      </c>
      <c r="D556" s="49"/>
      <c r="E556" s="156"/>
      <c r="F556" s="1478"/>
      <c r="G556" s="216"/>
      <c r="H556" s="667" t="str">
        <f>IFERROR(VLOOKUP(F556,#REF!,10,FALSE),"")</f>
        <v/>
      </c>
      <c r="I556" s="310" t="str">
        <f t="shared" si="72"/>
        <v/>
      </c>
      <c r="J556" s="157"/>
      <c r="K556" s="1757"/>
      <c r="L556" s="1563"/>
      <c r="M556" s="1585"/>
      <c r="N556" s="158" t="str">
        <f t="shared" si="74"/>
        <v/>
      </c>
      <c r="O556" s="668"/>
      <c r="P556" s="93" t="str">
        <f>IFERROR(VLOOKUP(F556,#REF!,12,FALSE),"")</f>
        <v/>
      </c>
      <c r="Q556" s="94" t="s">
        <v>8</v>
      </c>
      <c r="R556" s="46" t="str">
        <f>IFERROR(VLOOKUP(F556,#REF!,14,FALSE),"")</f>
        <v/>
      </c>
      <c r="S556" s="47" t="str">
        <f t="shared" si="73"/>
        <v/>
      </c>
      <c r="U556" s="1728"/>
      <c r="V556" s="160">
        <f t="shared" si="70"/>
        <v>0</v>
      </c>
      <c r="W556" s="1767"/>
      <c r="X556" s="160"/>
    </row>
    <row r="557" spans="2:24" x14ac:dyDescent="0.2">
      <c r="B557" s="1657" t="s">
        <v>256</v>
      </c>
      <c r="C557" s="161">
        <v>43645</v>
      </c>
      <c r="D557" s="49" t="s">
        <v>114</v>
      </c>
      <c r="E557" s="156"/>
      <c r="F557" s="1478" t="s">
        <v>155</v>
      </c>
      <c r="G557" s="216">
        <v>2.8587962962962964E-2</v>
      </c>
      <c r="H557" s="667">
        <v>6.87</v>
      </c>
      <c r="I557" s="310">
        <f t="shared" si="72"/>
        <v>4.161275540460402E-3</v>
      </c>
      <c r="J557" s="157">
        <v>129</v>
      </c>
      <c r="K557" s="1757"/>
      <c r="L557" s="1563">
        <v>208</v>
      </c>
      <c r="M557" s="1585"/>
      <c r="N557" s="158"/>
      <c r="O557" s="668" t="s">
        <v>252</v>
      </c>
      <c r="P557" s="93" t="str">
        <f>IFERROR(VLOOKUP(F557,#REF!,12,FALSE),"")</f>
        <v/>
      </c>
      <c r="Q557" s="94" t="s">
        <v>8</v>
      </c>
      <c r="R557" s="46" t="str">
        <f>IFERROR(VLOOKUP(F557,#REF!,14,FALSE),"")</f>
        <v/>
      </c>
      <c r="S557" s="47">
        <f t="shared" si="73"/>
        <v>1.6124031007751938</v>
      </c>
      <c r="U557" s="1728"/>
      <c r="V557" s="160">
        <f t="shared" si="70"/>
        <v>0</v>
      </c>
      <c r="W557" s="1767"/>
      <c r="X557" s="160"/>
    </row>
    <row r="558" spans="2:24" ht="16" thickBot="1" x14ac:dyDescent="0.25">
      <c r="B558" s="1658" t="e">
        <f>AVERAGE(#REF!)</f>
        <v>#REF!</v>
      </c>
      <c r="C558" s="207">
        <v>43646</v>
      </c>
      <c r="D558" s="67"/>
      <c r="E558" s="208"/>
      <c r="F558" s="1479"/>
      <c r="G558" s="222"/>
      <c r="H558" s="669" t="str">
        <f>IFERROR(VLOOKUP(F558,#REF!,10,FALSE),"")</f>
        <v/>
      </c>
      <c r="I558" s="311" t="str">
        <f t="shared" si="72"/>
        <v/>
      </c>
      <c r="J558" s="171"/>
      <c r="K558" s="1757"/>
      <c r="L558" s="1564"/>
      <c r="M558" s="1586"/>
      <c r="N558" s="172" t="str">
        <f t="shared" ref="N558:N621" si="75">IFERROR((L558/67)/(1/(I558*24)/3.6),"")</f>
        <v/>
      </c>
      <c r="O558" s="670"/>
      <c r="P558" s="174" t="str">
        <f>IFERROR(VLOOKUP(F558,#REF!,12,FALSE),"")</f>
        <v/>
      </c>
      <c r="Q558" s="175" t="s">
        <v>8</v>
      </c>
      <c r="R558" s="64" t="str">
        <f>IFERROR(VLOOKUP(F558,#REF!,14,FALSE),"")</f>
        <v/>
      </c>
      <c r="S558" s="65" t="str">
        <f t="shared" si="73"/>
        <v/>
      </c>
      <c r="U558" s="1728"/>
      <c r="V558" s="176">
        <f t="shared" si="70"/>
        <v>0</v>
      </c>
      <c r="W558" s="1768"/>
      <c r="X558" s="176"/>
    </row>
    <row r="559" spans="2:24" ht="16" thickBot="1" x14ac:dyDescent="0.25">
      <c r="B559" s="1652">
        <f>B552+1</f>
        <v>27</v>
      </c>
      <c r="C559" s="193">
        <v>43647</v>
      </c>
      <c r="D559" s="70"/>
      <c r="E559" s="71"/>
      <c r="F559" s="1480"/>
      <c r="G559" s="420"/>
      <c r="H559" s="671" t="str">
        <f>IFERROR(VLOOKUP(F559,#REF!,10,FALSE),"")</f>
        <v/>
      </c>
      <c r="I559" s="179" t="str">
        <f t="shared" si="72"/>
        <v/>
      </c>
      <c r="J559" s="180"/>
      <c r="K559" s="1757"/>
      <c r="L559" s="76"/>
      <c r="M559" s="1587"/>
      <c r="N559" s="77" t="str">
        <f t="shared" si="75"/>
        <v/>
      </c>
      <c r="O559" s="672"/>
      <c r="P559" s="224" t="str">
        <f>IFERROR(VLOOKUP(F559,#REF!,12,FALSE),"")</f>
        <v/>
      </c>
      <c r="Q559" s="80" t="s">
        <v>8</v>
      </c>
      <c r="R559" s="80" t="str">
        <f>IFERROR(VLOOKUP(F559,#REF!,14,FALSE),"")</f>
        <v/>
      </c>
      <c r="S559" s="33" t="str">
        <f t="shared" si="73"/>
        <v/>
      </c>
      <c r="U559" s="1728"/>
      <c r="V559" s="225">
        <f t="shared" si="70"/>
        <v>0</v>
      </c>
      <c r="W559" s="1766"/>
      <c r="X559" s="225"/>
    </row>
    <row r="560" spans="2:24" x14ac:dyDescent="0.2">
      <c r="B560" s="1653" t="s">
        <v>142</v>
      </c>
      <c r="C560" s="603">
        <v>43648</v>
      </c>
      <c r="D560" s="604" t="s">
        <v>115</v>
      </c>
      <c r="E560" s="605"/>
      <c r="F560" s="1475" t="s">
        <v>147</v>
      </c>
      <c r="G560" s="657">
        <v>3.2824074074074075E-2</v>
      </c>
      <c r="H560" s="658">
        <v>8.32</v>
      </c>
      <c r="I560" s="651">
        <f t="shared" si="72"/>
        <v>3.9452012108262104E-3</v>
      </c>
      <c r="J560" s="659">
        <v>141</v>
      </c>
      <c r="K560" s="1757"/>
      <c r="L560" s="1563">
        <v>211</v>
      </c>
      <c r="M560" s="1585"/>
      <c r="N560" s="610">
        <f t="shared" si="75"/>
        <v>1.0734715843857636</v>
      </c>
      <c r="O560" s="660" t="s">
        <v>252</v>
      </c>
      <c r="P560" s="654" t="str">
        <f>IFERROR(VLOOKUP(F560,#REF!,12,FALSE),"")</f>
        <v/>
      </c>
      <c r="Q560" s="655" t="s">
        <v>8</v>
      </c>
      <c r="R560" s="46" t="str">
        <f>IFERROR(VLOOKUP(F560,#REF!,14,FALSE),"")</f>
        <v/>
      </c>
      <c r="S560" s="47">
        <f t="shared" si="73"/>
        <v>1.4964539007092199</v>
      </c>
      <c r="U560" s="1728"/>
      <c r="V560" s="48">
        <f t="shared" si="70"/>
        <v>0</v>
      </c>
      <c r="W560" s="1767"/>
      <c r="X560" s="48"/>
    </row>
    <row r="561" spans="2:24" ht="16" thickBot="1" x14ac:dyDescent="0.25">
      <c r="B561" s="1654">
        <f>SUM(H559:H565)</f>
        <v>8.32</v>
      </c>
      <c r="C561" s="161">
        <v>43649</v>
      </c>
      <c r="D561" s="604"/>
      <c r="E561" s="605"/>
      <c r="F561" s="1475"/>
      <c r="G561" s="657"/>
      <c r="H561" s="658"/>
      <c r="I561" s="651" t="str">
        <f t="shared" si="72"/>
        <v/>
      </c>
      <c r="J561" s="659"/>
      <c r="K561" s="1757"/>
      <c r="L561" s="1563"/>
      <c r="M561" s="1585"/>
      <c r="N561" s="610" t="str">
        <f t="shared" si="75"/>
        <v/>
      </c>
      <c r="O561" s="660"/>
      <c r="P561" s="654" t="str">
        <f>IFERROR(VLOOKUP(F561,#REF!,12,FALSE),"")</f>
        <v/>
      </c>
      <c r="Q561" s="655" t="s">
        <v>8</v>
      </c>
      <c r="R561" s="46" t="str">
        <f>IFERROR(VLOOKUP(F561,#REF!,14,FALSE),"")</f>
        <v/>
      </c>
      <c r="S561" s="47" t="str">
        <f t="shared" si="73"/>
        <v/>
      </c>
      <c r="U561" s="1728"/>
      <c r="V561" s="48">
        <f t="shared" si="70"/>
        <v>0</v>
      </c>
      <c r="W561" s="1767"/>
      <c r="X561" s="48"/>
    </row>
    <row r="562" spans="2:24" x14ac:dyDescent="0.2">
      <c r="B562" s="1655" t="s">
        <v>144</v>
      </c>
      <c r="C562" s="161">
        <v>43650</v>
      </c>
      <c r="D562" s="604"/>
      <c r="E562" s="605"/>
      <c r="F562" s="1475"/>
      <c r="G562" s="657"/>
      <c r="H562" s="658" t="str">
        <f>IFERROR(VLOOKUP(F562,#REF!,10,FALSE),"")</f>
        <v/>
      </c>
      <c r="I562" s="651" t="str">
        <f t="shared" si="72"/>
        <v/>
      </c>
      <c r="J562" s="659"/>
      <c r="K562" s="1757"/>
      <c r="L562" s="1563"/>
      <c r="M562" s="1585"/>
      <c r="N562" s="610" t="str">
        <f t="shared" si="75"/>
        <v/>
      </c>
      <c r="O562" s="660"/>
      <c r="P562" s="654" t="str">
        <f>IFERROR(VLOOKUP(F562,#REF!,12,FALSE),"")</f>
        <v/>
      </c>
      <c r="Q562" s="655" t="s">
        <v>8</v>
      </c>
      <c r="R562" s="46" t="str">
        <f>IFERROR(VLOOKUP(F562,#REF!,14,FALSE),"")</f>
        <v/>
      </c>
      <c r="S562" s="47" t="str">
        <f t="shared" si="73"/>
        <v/>
      </c>
      <c r="U562" s="1728"/>
      <c r="V562" s="48">
        <f t="shared" si="70"/>
        <v>0</v>
      </c>
      <c r="W562" s="1767"/>
      <c r="X562" s="48"/>
    </row>
    <row r="563" spans="2:24" ht="16" thickBot="1" x14ac:dyDescent="0.25">
      <c r="B563" s="1656" t="e">
        <f>SUM(#REF!)</f>
        <v>#REF!</v>
      </c>
      <c r="C563" s="161">
        <v>43651</v>
      </c>
      <c r="D563" s="604"/>
      <c r="E563" s="605"/>
      <c r="F563" s="1475"/>
      <c r="G563" s="657"/>
      <c r="H563" s="658" t="str">
        <f>IFERROR(VLOOKUP(F563,#REF!,10,FALSE),"")</f>
        <v/>
      </c>
      <c r="I563" s="651" t="str">
        <f t="shared" si="72"/>
        <v/>
      </c>
      <c r="J563" s="659"/>
      <c r="K563" s="1757"/>
      <c r="L563" s="1563"/>
      <c r="M563" s="1585"/>
      <c r="N563" s="610" t="str">
        <f t="shared" si="75"/>
        <v/>
      </c>
      <c r="O563" s="660"/>
      <c r="P563" s="654" t="str">
        <f>IFERROR(VLOOKUP(F563,#REF!,12,FALSE),"")</f>
        <v/>
      </c>
      <c r="Q563" s="655" t="s">
        <v>8</v>
      </c>
      <c r="R563" s="46" t="str">
        <f>IFERROR(VLOOKUP(F563,#REF!,14,FALSE),"")</f>
        <v/>
      </c>
      <c r="S563" s="47" t="str">
        <f t="shared" si="73"/>
        <v/>
      </c>
      <c r="U563" s="1728"/>
      <c r="V563" s="48">
        <f t="shared" si="70"/>
        <v>0</v>
      </c>
      <c r="W563" s="1767"/>
      <c r="X563" s="48"/>
    </row>
    <row r="564" spans="2:24" x14ac:dyDescent="0.2">
      <c r="B564" s="1657" t="s">
        <v>256</v>
      </c>
      <c r="C564" s="161">
        <v>43652</v>
      </c>
      <c r="D564" s="604"/>
      <c r="E564" s="605"/>
      <c r="F564" s="1475"/>
      <c r="G564" s="657"/>
      <c r="H564" s="658" t="str">
        <f>IFERROR(VLOOKUP(F564,#REF!,10,FALSE),"")</f>
        <v/>
      </c>
      <c r="I564" s="651" t="str">
        <f t="shared" si="72"/>
        <v/>
      </c>
      <c r="J564" s="659"/>
      <c r="K564" s="1757"/>
      <c r="L564" s="1563"/>
      <c r="M564" s="1585"/>
      <c r="N564" s="610" t="str">
        <f t="shared" si="75"/>
        <v/>
      </c>
      <c r="O564" s="660"/>
      <c r="P564" s="654" t="str">
        <f>IFERROR(VLOOKUP(F564,#REF!,12,FALSE),"")</f>
        <v/>
      </c>
      <c r="Q564" s="655" t="s">
        <v>8</v>
      </c>
      <c r="R564" s="46" t="str">
        <f>IFERROR(VLOOKUP(F564,#REF!,14,FALSE),"")</f>
        <v/>
      </c>
      <c r="S564" s="47" t="str">
        <f t="shared" si="73"/>
        <v/>
      </c>
      <c r="U564" s="1728"/>
      <c r="V564" s="48">
        <f t="shared" si="70"/>
        <v>0</v>
      </c>
      <c r="W564" s="1767"/>
      <c r="X564" s="48"/>
    </row>
    <row r="565" spans="2:24" ht="16" thickBot="1" x14ac:dyDescent="0.25">
      <c r="B565" s="1658" t="e">
        <f>AVERAGE(#REF!)</f>
        <v>#REF!</v>
      </c>
      <c r="C565" s="613">
        <v>43653</v>
      </c>
      <c r="D565" s="589"/>
      <c r="E565" s="614"/>
      <c r="F565" s="1476"/>
      <c r="G565" s="661"/>
      <c r="H565" s="662" t="str">
        <f>IFERROR(VLOOKUP(F565,#REF!,10,FALSE),"")</f>
        <v/>
      </c>
      <c r="I565" s="625" t="str">
        <f t="shared" si="72"/>
        <v/>
      </c>
      <c r="J565" s="663"/>
      <c r="K565" s="1757"/>
      <c r="L565" s="1565"/>
      <c r="M565" s="1588"/>
      <c r="N565" s="619" t="str">
        <f t="shared" si="75"/>
        <v/>
      </c>
      <c r="O565" s="664"/>
      <c r="P565" s="621" t="str">
        <f>IFERROR(VLOOKUP(F565,#REF!,12,FALSE),"")</f>
        <v/>
      </c>
      <c r="Q565" s="622" t="s">
        <v>8</v>
      </c>
      <c r="R565" s="107" t="str">
        <f>IFERROR(VLOOKUP(F565,#REF!,14,FALSE),"")</f>
        <v/>
      </c>
      <c r="S565" s="65" t="str">
        <f t="shared" si="73"/>
        <v/>
      </c>
      <c r="U565" s="1728"/>
      <c r="V565" s="108">
        <f t="shared" si="70"/>
        <v>0</v>
      </c>
      <c r="W565" s="1768"/>
      <c r="X565" s="108"/>
    </row>
    <row r="566" spans="2:24" ht="16" thickBot="1" x14ac:dyDescent="0.25">
      <c r="B566" s="1652">
        <f>B559+1</f>
        <v>28</v>
      </c>
      <c r="C566" s="189">
        <v>43654</v>
      </c>
      <c r="D566" s="289"/>
      <c r="E566" s="290"/>
      <c r="F566" s="1463"/>
      <c r="G566" s="291"/>
      <c r="H566" s="602" t="str">
        <f>IFERROR(VLOOKUP(F566,#REF!,10,FALSE),"")</f>
        <v/>
      </c>
      <c r="I566" s="309" t="str">
        <f t="shared" si="72"/>
        <v/>
      </c>
      <c r="J566" s="295"/>
      <c r="K566" s="1757"/>
      <c r="L566" s="792"/>
      <c r="M566" s="1595"/>
      <c r="N566" s="150" t="str">
        <f t="shared" si="75"/>
        <v/>
      </c>
      <c r="O566" s="576"/>
      <c r="P566" s="152" t="str">
        <f>IFERROR(VLOOKUP(F566,#REF!,12,FALSE),"")</f>
        <v/>
      </c>
      <c r="Q566" s="153" t="s">
        <v>8</v>
      </c>
      <c r="R566" s="32" t="str">
        <f>IFERROR(VLOOKUP(F566,#REF!,14,FALSE),"")</f>
        <v/>
      </c>
      <c r="S566" s="33" t="str">
        <f t="shared" si="73"/>
        <v/>
      </c>
      <c r="U566" s="1728"/>
      <c r="V566" s="154">
        <f t="shared" si="70"/>
        <v>0</v>
      </c>
      <c r="W566" s="1766"/>
      <c r="X566" s="154"/>
    </row>
    <row r="567" spans="2:24" x14ac:dyDescent="0.2">
      <c r="B567" s="1653" t="s">
        <v>142</v>
      </c>
      <c r="C567" s="161">
        <v>43655</v>
      </c>
      <c r="D567" s="273"/>
      <c r="E567" s="274"/>
      <c r="F567" s="1464"/>
      <c r="G567" s="298"/>
      <c r="H567" s="299" t="str">
        <f>IFERROR(VLOOKUP(F567,#REF!,10,FALSE),"")</f>
        <v/>
      </c>
      <c r="I567" s="310" t="str">
        <f t="shared" si="72"/>
        <v/>
      </c>
      <c r="J567" s="252"/>
      <c r="K567" s="1757"/>
      <c r="L567" s="1568"/>
      <c r="M567" s="1591"/>
      <c r="N567" s="158" t="str">
        <f t="shared" si="75"/>
        <v/>
      </c>
      <c r="O567" s="577"/>
      <c r="P567" s="93" t="str">
        <f>IFERROR(VLOOKUP(F567,#REF!,12,FALSE),"")</f>
        <v/>
      </c>
      <c r="Q567" s="94" t="s">
        <v>8</v>
      </c>
      <c r="R567" s="46" t="str">
        <f>IFERROR(VLOOKUP(F567,#REF!,14,FALSE),"")</f>
        <v/>
      </c>
      <c r="S567" s="47" t="str">
        <f t="shared" si="73"/>
        <v/>
      </c>
      <c r="U567" s="1728"/>
      <c r="V567" s="160">
        <f t="shared" si="70"/>
        <v>0</v>
      </c>
      <c r="W567" s="1767"/>
      <c r="X567" s="160"/>
    </row>
    <row r="568" spans="2:24" ht="16" thickBot="1" x14ac:dyDescent="0.25">
      <c r="B568" s="1654">
        <f>SUM(H566:H572)</f>
        <v>8.0399999999999991</v>
      </c>
      <c r="C568" s="161">
        <v>43656</v>
      </c>
      <c r="D568" s="247"/>
      <c r="E568" s="248"/>
      <c r="F568" s="1478"/>
      <c r="G568" s="298"/>
      <c r="H568" s="299" t="str">
        <f>IFERROR(VLOOKUP(F568,#REF!,10,FALSE),"")</f>
        <v/>
      </c>
      <c r="I568" s="310" t="str">
        <f t="shared" si="72"/>
        <v/>
      </c>
      <c r="J568" s="252"/>
      <c r="K568" s="1757"/>
      <c r="L568" s="1568"/>
      <c r="M568" s="1591"/>
      <c r="N568" s="158" t="str">
        <f t="shared" si="75"/>
        <v/>
      </c>
      <c r="O568" s="577"/>
      <c r="P568" s="93" t="str">
        <f>IFERROR(VLOOKUP(F568,#REF!,12,FALSE),"")</f>
        <v/>
      </c>
      <c r="Q568" s="94" t="s">
        <v>8</v>
      </c>
      <c r="R568" s="46" t="str">
        <f>IFERROR(VLOOKUP(F568,#REF!,14,FALSE),"")</f>
        <v/>
      </c>
      <c r="S568" s="47" t="str">
        <f t="shared" si="73"/>
        <v/>
      </c>
      <c r="U568" s="1728"/>
      <c r="V568" s="160">
        <f t="shared" si="70"/>
        <v>0</v>
      </c>
      <c r="W568" s="1767"/>
      <c r="X568" s="160"/>
    </row>
    <row r="569" spans="2:24" x14ac:dyDescent="0.2">
      <c r="B569" s="1655" t="s">
        <v>144</v>
      </c>
      <c r="C569" s="161">
        <v>43657</v>
      </c>
      <c r="D569" s="247"/>
      <c r="E569" s="248"/>
      <c r="F569" s="1478"/>
      <c r="G569" s="298"/>
      <c r="H569" s="299" t="str">
        <f>IFERROR(VLOOKUP(F569,#REF!,10,FALSE),"")</f>
        <v/>
      </c>
      <c r="I569" s="310" t="str">
        <f t="shared" si="72"/>
        <v/>
      </c>
      <c r="J569" s="252"/>
      <c r="K569" s="1757"/>
      <c r="L569" s="1568"/>
      <c r="M569" s="1591"/>
      <c r="N569" s="158" t="str">
        <f t="shared" si="75"/>
        <v/>
      </c>
      <c r="O569" s="577"/>
      <c r="P569" s="93" t="str">
        <f>IFERROR(VLOOKUP(F569,#REF!,12,FALSE),"")</f>
        <v/>
      </c>
      <c r="Q569" s="94" t="s">
        <v>8</v>
      </c>
      <c r="R569" s="46" t="str">
        <f>IFERROR(VLOOKUP(F569,#REF!,14,FALSE),"")</f>
        <v/>
      </c>
      <c r="S569" s="47" t="str">
        <f t="shared" si="73"/>
        <v/>
      </c>
      <c r="U569" s="1728"/>
      <c r="V569" s="160">
        <f t="shared" si="70"/>
        <v>0</v>
      </c>
      <c r="W569" s="1767"/>
      <c r="X569" s="160"/>
    </row>
    <row r="570" spans="2:24" ht="16" thickBot="1" x14ac:dyDescent="0.25">
      <c r="B570" s="1656" t="e">
        <f>SUM(#REF!)</f>
        <v>#REF!</v>
      </c>
      <c r="C570" s="161">
        <v>43658</v>
      </c>
      <c r="D570" s="247"/>
      <c r="E570" s="248"/>
      <c r="F570" s="1478"/>
      <c r="G570" s="298"/>
      <c r="H570" s="299" t="str">
        <f>IFERROR(VLOOKUP(F570,#REF!,10,FALSE),"")</f>
        <v/>
      </c>
      <c r="I570" s="310" t="str">
        <f t="shared" si="72"/>
        <v/>
      </c>
      <c r="J570" s="252"/>
      <c r="K570" s="1757"/>
      <c r="L570" s="1568"/>
      <c r="M570" s="1591"/>
      <c r="N570" s="158" t="str">
        <f t="shared" si="75"/>
        <v/>
      </c>
      <c r="O570" s="577"/>
      <c r="P570" s="93" t="str">
        <f>IFERROR(VLOOKUP(F570,#REF!,12,FALSE),"")</f>
        <v/>
      </c>
      <c r="Q570" s="94" t="s">
        <v>8</v>
      </c>
      <c r="R570" s="46" t="str">
        <f>IFERROR(VLOOKUP(F570,#REF!,14,FALSE),"")</f>
        <v/>
      </c>
      <c r="S570" s="47" t="str">
        <f t="shared" si="73"/>
        <v/>
      </c>
      <c r="U570" s="1728"/>
      <c r="V570" s="160">
        <f t="shared" ref="V570:V633" si="76">U569-T569</f>
        <v>0</v>
      </c>
      <c r="W570" s="1767"/>
      <c r="X570" s="160"/>
    </row>
    <row r="571" spans="2:24" x14ac:dyDescent="0.2">
      <c r="B571" s="1657" t="s">
        <v>256</v>
      </c>
      <c r="C571" s="161">
        <v>43659</v>
      </c>
      <c r="D571" s="247"/>
      <c r="E571" s="248"/>
      <c r="F571" s="1478"/>
      <c r="G571" s="298"/>
      <c r="H571" s="299" t="str">
        <f>IFERROR(VLOOKUP(F571,#REF!,10,FALSE),"")</f>
        <v/>
      </c>
      <c r="I571" s="310" t="str">
        <f t="shared" si="72"/>
        <v/>
      </c>
      <c r="J571" s="252"/>
      <c r="K571" s="1757"/>
      <c r="L571" s="1568"/>
      <c r="M571" s="1591"/>
      <c r="N571" s="158" t="str">
        <f t="shared" si="75"/>
        <v/>
      </c>
      <c r="O571" s="577"/>
      <c r="P571" s="93" t="str">
        <f>IFERROR(VLOOKUP(F571,#REF!,12,FALSE),"")</f>
        <v/>
      </c>
      <c r="Q571" s="94" t="s">
        <v>8</v>
      </c>
      <c r="R571" s="46" t="str">
        <f>IFERROR(VLOOKUP(F571,#REF!,14,FALSE),"")</f>
        <v/>
      </c>
      <c r="S571" s="47" t="str">
        <f t="shared" si="73"/>
        <v/>
      </c>
      <c r="U571" s="1728"/>
      <c r="V571" s="160">
        <f t="shared" si="76"/>
        <v>0</v>
      </c>
      <c r="W571" s="1767"/>
      <c r="X571" s="160"/>
    </row>
    <row r="572" spans="2:24" ht="16" thickBot="1" x14ac:dyDescent="0.25">
      <c r="B572" s="1658" t="e">
        <f>AVERAGE(#REF!)</f>
        <v>#REF!</v>
      </c>
      <c r="C572" s="207">
        <v>43660</v>
      </c>
      <c r="D572" s="256" t="s">
        <v>116</v>
      </c>
      <c r="E572" s="257"/>
      <c r="F572" s="1479" t="s">
        <v>147</v>
      </c>
      <c r="G572" s="302">
        <v>3.0659722222222224E-2</v>
      </c>
      <c r="H572" s="303">
        <v>8.0399999999999991</v>
      </c>
      <c r="I572" s="311">
        <f t="shared" si="72"/>
        <v>3.813398286346048E-3</v>
      </c>
      <c r="J572" s="262">
        <v>143</v>
      </c>
      <c r="K572" s="1757"/>
      <c r="L572" s="1569">
        <v>216</v>
      </c>
      <c r="M572" s="1592"/>
      <c r="N572" s="172">
        <f t="shared" si="75"/>
        <v>1.0621964802851414</v>
      </c>
      <c r="O572" s="578" t="s">
        <v>175</v>
      </c>
      <c r="P572" s="174" t="str">
        <f>IFERROR(VLOOKUP(F572,#REF!,12,FALSE),"")</f>
        <v/>
      </c>
      <c r="Q572" s="175" t="s">
        <v>8</v>
      </c>
      <c r="R572" s="64" t="str">
        <f>IFERROR(VLOOKUP(F572,#REF!,14,FALSE),"")</f>
        <v/>
      </c>
      <c r="S572" s="65">
        <f t="shared" si="73"/>
        <v>1.5104895104895104</v>
      </c>
      <c r="U572" s="1728"/>
      <c r="V572" s="176">
        <f t="shared" si="76"/>
        <v>0</v>
      </c>
      <c r="W572" s="1768"/>
      <c r="X572" s="176"/>
    </row>
    <row r="573" spans="2:24" ht="16" thickBot="1" x14ac:dyDescent="0.25">
      <c r="B573" s="1652">
        <f>B566+1</f>
        <v>29</v>
      </c>
      <c r="C573" s="193">
        <v>43661</v>
      </c>
      <c r="D573" s="70"/>
      <c r="E573" s="71"/>
      <c r="F573" s="1480"/>
      <c r="G573" s="559"/>
      <c r="H573" s="560" t="str">
        <f>IFERROR(VLOOKUP(F573,#REF!,10,FALSE),"")</f>
        <v/>
      </c>
      <c r="I573" s="179" t="str">
        <f t="shared" si="72"/>
        <v/>
      </c>
      <c r="J573" s="269"/>
      <c r="K573" s="1757"/>
      <c r="L573" s="270"/>
      <c r="M573" s="1593"/>
      <c r="N573" s="77" t="str">
        <f t="shared" si="75"/>
        <v/>
      </c>
      <c r="O573" s="561"/>
      <c r="P573" s="224" t="str">
        <f>IFERROR(VLOOKUP(F573,#REF!,12,FALSE),"")</f>
        <v/>
      </c>
      <c r="Q573" s="80" t="s">
        <v>8</v>
      </c>
      <c r="R573" s="80" t="str">
        <f>IFERROR(VLOOKUP(F573,#REF!,14,FALSE),"")</f>
        <v/>
      </c>
      <c r="S573" s="33" t="str">
        <f t="shared" si="73"/>
        <v/>
      </c>
      <c r="U573" s="1728"/>
      <c r="V573" s="225">
        <f t="shared" si="76"/>
        <v>0</v>
      </c>
      <c r="W573" s="1766"/>
      <c r="X573" s="225"/>
    </row>
    <row r="574" spans="2:24" x14ac:dyDescent="0.2">
      <c r="B574" s="1653" t="s">
        <v>142</v>
      </c>
      <c r="C574" s="603">
        <v>43662</v>
      </c>
      <c r="D574" s="604"/>
      <c r="E574" s="605"/>
      <c r="F574" s="1475"/>
      <c r="G574" s="649"/>
      <c r="H574" s="673" t="str">
        <f>IFERROR(VLOOKUP(F574,#REF!,10,FALSE),"")</f>
        <v/>
      </c>
      <c r="I574" s="651" t="str">
        <f t="shared" si="72"/>
        <v/>
      </c>
      <c r="J574" s="652"/>
      <c r="K574" s="1757"/>
      <c r="L574" s="1568"/>
      <c r="M574" s="1591"/>
      <c r="N574" s="610" t="str">
        <f t="shared" si="75"/>
        <v/>
      </c>
      <c r="O574" s="653"/>
      <c r="P574" s="654" t="str">
        <f>IFERROR(VLOOKUP(F574,#REF!,12,FALSE),"")</f>
        <v/>
      </c>
      <c r="Q574" s="655" t="s">
        <v>8</v>
      </c>
      <c r="R574" s="46" t="str">
        <f>IFERROR(VLOOKUP(F574,#REF!,14,FALSE),"")</f>
        <v/>
      </c>
      <c r="S574" s="47" t="str">
        <f t="shared" si="73"/>
        <v/>
      </c>
      <c r="U574" s="1728"/>
      <c r="V574" s="48">
        <f t="shared" si="76"/>
        <v>0</v>
      </c>
      <c r="W574" s="1767"/>
      <c r="X574" s="48"/>
    </row>
    <row r="575" spans="2:24" ht="16" thickBot="1" x14ac:dyDescent="0.25">
      <c r="B575" s="1654">
        <f>SUM(H573:H579)</f>
        <v>17.2</v>
      </c>
      <c r="C575" s="161">
        <v>43663</v>
      </c>
      <c r="D575" s="604" t="s">
        <v>117</v>
      </c>
      <c r="E575" s="605"/>
      <c r="F575" s="1475" t="s">
        <v>147</v>
      </c>
      <c r="G575" s="649">
        <v>3.6030092592592593E-2</v>
      </c>
      <c r="H575" s="673">
        <v>8.91</v>
      </c>
      <c r="I575" s="651">
        <f t="shared" si="72"/>
        <v>4.0437814357567447E-3</v>
      </c>
      <c r="J575" s="652">
        <v>146</v>
      </c>
      <c r="K575" s="1757"/>
      <c r="L575" s="1568">
        <v>207</v>
      </c>
      <c r="M575" s="1591"/>
      <c r="N575" s="610">
        <f t="shared" si="75"/>
        <v>1.079436152570481</v>
      </c>
      <c r="O575" s="653" t="s">
        <v>251</v>
      </c>
      <c r="P575" s="654" t="str">
        <f>IFERROR(VLOOKUP(F575,#REF!,12,FALSE),"")</f>
        <v/>
      </c>
      <c r="Q575" s="655" t="s">
        <v>8</v>
      </c>
      <c r="R575" s="46" t="str">
        <f>IFERROR(VLOOKUP(F575,#REF!,14,FALSE),"")</f>
        <v/>
      </c>
      <c r="S575" s="47">
        <f t="shared" si="73"/>
        <v>1.4178082191780821</v>
      </c>
      <c r="U575" s="1728"/>
      <c r="V575" s="48">
        <f t="shared" si="76"/>
        <v>0</v>
      </c>
      <c r="W575" s="1767"/>
      <c r="X575" s="48"/>
    </row>
    <row r="576" spans="2:24" x14ac:dyDescent="0.2">
      <c r="B576" s="1655" t="s">
        <v>144</v>
      </c>
      <c r="C576" s="161">
        <v>43664</v>
      </c>
      <c r="D576" s="604"/>
      <c r="E576" s="605"/>
      <c r="F576" s="1475"/>
      <c r="G576" s="649"/>
      <c r="H576" s="673" t="str">
        <f>IFERROR(VLOOKUP(F576,#REF!,10,FALSE),"")</f>
        <v/>
      </c>
      <c r="I576" s="651" t="str">
        <f t="shared" si="72"/>
        <v/>
      </c>
      <c r="J576" s="652"/>
      <c r="K576" s="1757"/>
      <c r="L576" s="1568"/>
      <c r="M576" s="1591"/>
      <c r="N576" s="610" t="str">
        <f t="shared" si="75"/>
        <v/>
      </c>
      <c r="O576" s="653"/>
      <c r="P576" s="654" t="str">
        <f>IFERROR(VLOOKUP(F576,#REF!,12,FALSE),"")</f>
        <v/>
      </c>
      <c r="Q576" s="655" t="s">
        <v>8</v>
      </c>
      <c r="R576" s="46" t="str">
        <f>IFERROR(VLOOKUP(F576,#REF!,14,FALSE),"")</f>
        <v/>
      </c>
      <c r="S576" s="47" t="str">
        <f t="shared" si="73"/>
        <v/>
      </c>
      <c r="U576" s="1728"/>
      <c r="V576" s="48">
        <f t="shared" si="76"/>
        <v>0</v>
      </c>
      <c r="W576" s="1767"/>
      <c r="X576" s="48"/>
    </row>
    <row r="577" spans="2:24" ht="16" thickBot="1" x14ac:dyDescent="0.25">
      <c r="B577" s="1656" t="e">
        <f>SUM(#REF!)</f>
        <v>#REF!</v>
      </c>
      <c r="C577" s="161">
        <v>43665</v>
      </c>
      <c r="D577" s="604"/>
      <c r="E577" s="605"/>
      <c r="F577" s="1475"/>
      <c r="G577" s="649"/>
      <c r="H577" s="673" t="str">
        <f>IFERROR(VLOOKUP(F577,#REF!,10,FALSE),"")</f>
        <v/>
      </c>
      <c r="I577" s="651" t="str">
        <f t="shared" si="72"/>
        <v/>
      </c>
      <c r="J577" s="652"/>
      <c r="K577" s="1757"/>
      <c r="L577" s="1568"/>
      <c r="M577" s="1591"/>
      <c r="N577" s="610" t="str">
        <f t="shared" si="75"/>
        <v/>
      </c>
      <c r="O577" s="653"/>
      <c r="P577" s="654" t="str">
        <f>IFERROR(VLOOKUP(F577,#REF!,12,FALSE),"")</f>
        <v/>
      </c>
      <c r="Q577" s="655" t="s">
        <v>8</v>
      </c>
      <c r="R577" s="46" t="str">
        <f>IFERROR(VLOOKUP(F577,#REF!,14,FALSE),"")</f>
        <v/>
      </c>
      <c r="S577" s="47" t="str">
        <f t="shared" si="73"/>
        <v/>
      </c>
      <c r="U577" s="1728"/>
      <c r="V577" s="48">
        <f t="shared" si="76"/>
        <v>0</v>
      </c>
      <c r="W577" s="1767"/>
      <c r="X577" s="48"/>
    </row>
    <row r="578" spans="2:24" x14ac:dyDescent="0.2">
      <c r="B578" s="1657" t="s">
        <v>256</v>
      </c>
      <c r="C578" s="161">
        <v>43666</v>
      </c>
      <c r="D578" s="604" t="s">
        <v>118</v>
      </c>
      <c r="E578" s="605"/>
      <c r="F578" s="1475" t="s">
        <v>147</v>
      </c>
      <c r="G578" s="649">
        <v>3.2129629629629626E-2</v>
      </c>
      <c r="H578" s="673">
        <v>8.2899999999999991</v>
      </c>
      <c r="I578" s="651">
        <f t="shared" si="72"/>
        <v>3.875709243622392E-3</v>
      </c>
      <c r="J578" s="652">
        <v>147</v>
      </c>
      <c r="K578" s="1757"/>
      <c r="L578" s="1568">
        <v>215</v>
      </c>
      <c r="M578" s="1591"/>
      <c r="N578" s="610">
        <f t="shared" si="75"/>
        <v>1.0745548493959636</v>
      </c>
      <c r="O578" s="653" t="s">
        <v>253</v>
      </c>
      <c r="P578" s="654" t="str">
        <f>IFERROR(VLOOKUP(F578,#REF!,12,FALSE),"")</f>
        <v/>
      </c>
      <c r="Q578" s="655" t="s">
        <v>8</v>
      </c>
      <c r="R578" s="46" t="str">
        <f>IFERROR(VLOOKUP(F578,#REF!,14,FALSE),"")</f>
        <v/>
      </c>
      <c r="S578" s="47">
        <f t="shared" si="73"/>
        <v>1.4625850340136055</v>
      </c>
      <c r="U578" s="1728"/>
      <c r="V578" s="48">
        <f t="shared" si="76"/>
        <v>0</v>
      </c>
      <c r="W578" s="1767"/>
      <c r="X578" s="48"/>
    </row>
    <row r="579" spans="2:24" ht="16" thickBot="1" x14ac:dyDescent="0.25">
      <c r="B579" s="1658" t="e">
        <f>AVERAGE(#REF!)</f>
        <v>#REF!</v>
      </c>
      <c r="C579" s="613">
        <v>43667</v>
      </c>
      <c r="D579" s="589"/>
      <c r="E579" s="614"/>
      <c r="F579" s="1476"/>
      <c r="G579" s="615"/>
      <c r="H579" s="624" t="str">
        <f>IFERROR(VLOOKUP(F579,#REF!,10,FALSE),"")</f>
        <v/>
      </c>
      <c r="I579" s="625" t="str">
        <f t="shared" si="72"/>
        <v/>
      </c>
      <c r="J579" s="626"/>
      <c r="K579" s="1757"/>
      <c r="L579" s="1570"/>
      <c r="M579" s="1594"/>
      <c r="N579" s="619" t="str">
        <f t="shared" si="75"/>
        <v/>
      </c>
      <c r="O579" s="620"/>
      <c r="P579" s="621" t="str">
        <f>IFERROR(VLOOKUP(F579,#REF!,12,FALSE),"")</f>
        <v/>
      </c>
      <c r="Q579" s="622" t="s">
        <v>8</v>
      </c>
      <c r="R579" s="107" t="str">
        <f>IFERROR(VLOOKUP(F579,#REF!,14,FALSE),"")</f>
        <v/>
      </c>
      <c r="S579" s="65" t="str">
        <f t="shared" si="73"/>
        <v/>
      </c>
      <c r="U579" s="1728"/>
      <c r="V579" s="108">
        <f t="shared" si="76"/>
        <v>0</v>
      </c>
      <c r="W579" s="1768"/>
      <c r="X579" s="108"/>
    </row>
    <row r="580" spans="2:24" ht="16" thickBot="1" x14ac:dyDescent="0.25">
      <c r="B580" s="1652">
        <f>B573+1</f>
        <v>30</v>
      </c>
      <c r="C580" s="142">
        <v>43668</v>
      </c>
      <c r="D580" s="143"/>
      <c r="E580" s="144"/>
      <c r="F580" s="1477"/>
      <c r="G580" s="291"/>
      <c r="H580" s="602" t="str">
        <f>IFERROR(VLOOKUP(F580,#REF!,10,FALSE),"")</f>
        <v/>
      </c>
      <c r="I580" s="309" t="str">
        <f t="shared" si="72"/>
        <v/>
      </c>
      <c r="J580" s="295"/>
      <c r="K580" s="1757"/>
      <c r="L580" s="792"/>
      <c r="M580" s="1595"/>
      <c r="N580" s="150" t="str">
        <f t="shared" si="75"/>
        <v/>
      </c>
      <c r="O580" s="576"/>
      <c r="P580" s="152" t="str">
        <f>IFERROR(VLOOKUP(F580,#REF!,12,FALSE),"")</f>
        <v/>
      </c>
      <c r="Q580" s="153" t="s">
        <v>8</v>
      </c>
      <c r="R580" s="32" t="str">
        <f>IFERROR(VLOOKUP(F580,#REF!,14,FALSE),"")</f>
        <v/>
      </c>
      <c r="S580" s="33" t="str">
        <f t="shared" si="73"/>
        <v/>
      </c>
      <c r="U580" s="1728"/>
      <c r="V580" s="154">
        <f t="shared" si="76"/>
        <v>0</v>
      </c>
      <c r="W580" s="1766"/>
      <c r="X580" s="154"/>
    </row>
    <row r="581" spans="2:24" x14ac:dyDescent="0.2">
      <c r="B581" s="1653" t="s">
        <v>142</v>
      </c>
      <c r="C581" s="161">
        <v>43669</v>
      </c>
      <c r="D581" s="162" t="s">
        <v>119</v>
      </c>
      <c r="E581" s="163"/>
      <c r="F581" s="1478" t="s">
        <v>147</v>
      </c>
      <c r="G581" s="298">
        <v>3.75462962962963E-2</v>
      </c>
      <c r="H581" s="299">
        <v>9.52</v>
      </c>
      <c r="I581" s="310">
        <f t="shared" si="72"/>
        <v>3.9439386865857459E-3</v>
      </c>
      <c r="J581" s="252">
        <v>130</v>
      </c>
      <c r="K581" s="1757"/>
      <c r="L581" s="1568">
        <v>211</v>
      </c>
      <c r="M581" s="1591"/>
      <c r="N581" s="158">
        <f t="shared" si="75"/>
        <v>1.0731280571930266</v>
      </c>
      <c r="O581" s="577" t="s">
        <v>251</v>
      </c>
      <c r="P581" s="93" t="str">
        <f>IFERROR(VLOOKUP(F581,#REF!,12,FALSE),"")</f>
        <v/>
      </c>
      <c r="Q581" s="94" t="s">
        <v>8</v>
      </c>
      <c r="R581" s="46" t="str">
        <f>IFERROR(VLOOKUP(F581,#REF!,14,FALSE),"")</f>
        <v/>
      </c>
      <c r="S581" s="47">
        <f t="shared" si="73"/>
        <v>1.6230769230769231</v>
      </c>
      <c r="U581" s="1728"/>
      <c r="V581" s="160">
        <f t="shared" si="76"/>
        <v>0</v>
      </c>
      <c r="W581" s="1767"/>
      <c r="X581" s="160"/>
    </row>
    <row r="582" spans="2:24" ht="16" thickBot="1" x14ac:dyDescent="0.25">
      <c r="B582" s="1654">
        <f>SUM(H580:H586)</f>
        <v>29.03</v>
      </c>
      <c r="C582" s="161">
        <v>43670</v>
      </c>
      <c r="D582" s="49"/>
      <c r="E582" s="156"/>
      <c r="F582" s="1478"/>
      <c r="G582" s="298"/>
      <c r="H582" s="299" t="str">
        <f>IFERROR(VLOOKUP(F582,#REF!,10,FALSE),"")</f>
        <v/>
      </c>
      <c r="I582" s="310" t="str">
        <f t="shared" si="72"/>
        <v/>
      </c>
      <c r="J582" s="252"/>
      <c r="K582" s="1757"/>
      <c r="L582" s="1568"/>
      <c r="M582" s="1591"/>
      <c r="N582" s="158" t="str">
        <f t="shared" si="75"/>
        <v/>
      </c>
      <c r="O582" s="577"/>
      <c r="P582" s="93" t="str">
        <f>IFERROR(VLOOKUP(F582,#REF!,12,FALSE),"")</f>
        <v/>
      </c>
      <c r="Q582" s="94" t="s">
        <v>8</v>
      </c>
      <c r="R582" s="46" t="str">
        <f>IFERROR(VLOOKUP(F582,#REF!,14,FALSE),"")</f>
        <v/>
      </c>
      <c r="S582" s="47" t="str">
        <f t="shared" si="73"/>
        <v/>
      </c>
      <c r="U582" s="1728"/>
      <c r="V582" s="160">
        <f t="shared" si="76"/>
        <v>0</v>
      </c>
      <c r="W582" s="1767"/>
      <c r="X582" s="160"/>
    </row>
    <row r="583" spans="2:24" x14ac:dyDescent="0.2">
      <c r="B583" s="1655" t="s">
        <v>144</v>
      </c>
      <c r="C583" s="161">
        <v>43671</v>
      </c>
      <c r="D583" s="49"/>
      <c r="E583" s="156"/>
      <c r="F583" s="1478"/>
      <c r="G583" s="298"/>
      <c r="H583" s="299" t="str">
        <f>IFERROR(VLOOKUP(F583,#REF!,10,FALSE),"")</f>
        <v/>
      </c>
      <c r="I583" s="310" t="str">
        <f t="shared" si="72"/>
        <v/>
      </c>
      <c r="J583" s="252"/>
      <c r="K583" s="1757"/>
      <c r="L583" s="1568"/>
      <c r="M583" s="1591"/>
      <c r="N583" s="158" t="str">
        <f t="shared" si="75"/>
        <v/>
      </c>
      <c r="O583" s="577"/>
      <c r="P583" s="93" t="str">
        <f>IFERROR(VLOOKUP(F583,#REF!,12,FALSE),"")</f>
        <v/>
      </c>
      <c r="Q583" s="94" t="s">
        <v>8</v>
      </c>
      <c r="R583" s="46" t="str">
        <f>IFERROR(VLOOKUP(F583,#REF!,14,FALSE),"")</f>
        <v/>
      </c>
      <c r="S583" s="47" t="str">
        <f t="shared" si="73"/>
        <v/>
      </c>
      <c r="U583" s="1728"/>
      <c r="V583" s="160">
        <f t="shared" si="76"/>
        <v>0</v>
      </c>
      <c r="W583" s="1767"/>
      <c r="X583" s="160"/>
    </row>
    <row r="584" spans="2:24" ht="16" thickBot="1" x14ac:dyDescent="0.25">
      <c r="B584" s="1656" t="e">
        <f>SUM(#REF!)</f>
        <v>#REF!</v>
      </c>
      <c r="C584" s="161">
        <v>43672</v>
      </c>
      <c r="D584" s="49" t="s">
        <v>120</v>
      </c>
      <c r="E584" s="156"/>
      <c r="F584" s="1478" t="s">
        <v>255</v>
      </c>
      <c r="G584" s="298">
        <v>4.2164351851851856E-2</v>
      </c>
      <c r="H584" s="299">
        <v>10.68</v>
      </c>
      <c r="I584" s="310">
        <f t="shared" si="72"/>
        <v>3.9479730198363162E-3</v>
      </c>
      <c r="J584" s="252">
        <v>132</v>
      </c>
      <c r="K584" s="1757"/>
      <c r="L584" s="1568">
        <v>211</v>
      </c>
      <c r="M584" s="1591"/>
      <c r="N584" s="158">
        <f t="shared" si="75"/>
        <v>1.0742257812063281</v>
      </c>
      <c r="O584" s="577" t="s">
        <v>251</v>
      </c>
      <c r="P584" s="93" t="str">
        <f>IFERROR(VLOOKUP(F584,#REF!,12,FALSE),"")</f>
        <v/>
      </c>
      <c r="Q584" s="94" t="s">
        <v>8</v>
      </c>
      <c r="R584" s="46" t="str">
        <f>IFERROR(VLOOKUP(F584,#REF!,14,FALSE),"")</f>
        <v/>
      </c>
      <c r="S584" s="47">
        <f t="shared" si="73"/>
        <v>1.5984848484848484</v>
      </c>
      <c r="U584" s="1728"/>
      <c r="V584" s="160">
        <f t="shared" si="76"/>
        <v>0</v>
      </c>
      <c r="W584" s="1767"/>
      <c r="X584" s="160"/>
    </row>
    <row r="585" spans="2:24" x14ac:dyDescent="0.2">
      <c r="B585" s="1657" t="s">
        <v>256</v>
      </c>
      <c r="C585" s="161">
        <v>43673</v>
      </c>
      <c r="D585" s="49"/>
      <c r="E585" s="156"/>
      <c r="F585" s="1478"/>
      <c r="G585" s="298"/>
      <c r="H585" s="299" t="str">
        <f>IFERROR(VLOOKUP(F585,#REF!,10,FALSE),"")</f>
        <v/>
      </c>
      <c r="I585" s="310" t="str">
        <f t="shared" si="72"/>
        <v/>
      </c>
      <c r="J585" s="252"/>
      <c r="K585" s="1757"/>
      <c r="L585" s="1568"/>
      <c r="M585" s="1591"/>
      <c r="N585" s="158" t="str">
        <f t="shared" si="75"/>
        <v/>
      </c>
      <c r="O585" s="577"/>
      <c r="P585" s="93" t="str">
        <f>IFERROR(VLOOKUP(F585,#REF!,12,FALSE),"")</f>
        <v/>
      </c>
      <c r="Q585" s="94" t="s">
        <v>8</v>
      </c>
      <c r="R585" s="46" t="str">
        <f>IFERROR(VLOOKUP(F585,#REF!,14,FALSE),"")</f>
        <v/>
      </c>
      <c r="S585" s="47" t="str">
        <f t="shared" si="73"/>
        <v/>
      </c>
      <c r="U585" s="1728"/>
      <c r="V585" s="160">
        <f t="shared" si="76"/>
        <v>0</v>
      </c>
      <c r="W585" s="1767"/>
      <c r="X585" s="160"/>
    </row>
    <row r="586" spans="2:24" ht="16" thickBot="1" x14ac:dyDescent="0.25">
      <c r="B586" s="1658" t="e">
        <f>AVERAGE(#REF!)</f>
        <v>#REF!</v>
      </c>
      <c r="C586" s="207">
        <v>43674</v>
      </c>
      <c r="D586" s="67" t="s">
        <v>121</v>
      </c>
      <c r="E586" s="208"/>
      <c r="F586" s="1479" t="s">
        <v>147</v>
      </c>
      <c r="G586" s="302">
        <v>3.4444444444444444E-2</v>
      </c>
      <c r="H586" s="303">
        <v>8.83</v>
      </c>
      <c r="I586" s="311">
        <f t="shared" si="72"/>
        <v>3.9008430854410468E-3</v>
      </c>
      <c r="J586" s="262">
        <v>143</v>
      </c>
      <c r="K586" s="1757"/>
      <c r="L586" s="1569">
        <v>214</v>
      </c>
      <c r="M586" s="1592"/>
      <c r="N586" s="172">
        <f t="shared" si="75"/>
        <v>1.076492959889116</v>
      </c>
      <c r="O586" s="578" t="s">
        <v>251</v>
      </c>
      <c r="P586" s="174" t="str">
        <f>IFERROR(VLOOKUP(F586,#REF!,12,FALSE),"")</f>
        <v/>
      </c>
      <c r="Q586" s="175" t="s">
        <v>8</v>
      </c>
      <c r="R586" s="64" t="str">
        <f>IFERROR(VLOOKUP(F586,#REF!,14,FALSE),"")</f>
        <v/>
      </c>
      <c r="S586" s="65">
        <f t="shared" si="73"/>
        <v>1.4965034965034965</v>
      </c>
      <c r="U586" s="1728"/>
      <c r="V586" s="176">
        <f t="shared" si="76"/>
        <v>0</v>
      </c>
      <c r="W586" s="1768"/>
      <c r="X586" s="176"/>
    </row>
    <row r="587" spans="2:24" ht="16" thickBot="1" x14ac:dyDescent="0.25">
      <c r="B587" s="1652">
        <f>B580+1</f>
        <v>31</v>
      </c>
      <c r="C587" s="193">
        <v>43675</v>
      </c>
      <c r="D587" s="70"/>
      <c r="E587" s="71"/>
      <c r="F587" s="1480"/>
      <c r="G587" s="559"/>
      <c r="H587" s="560" t="str">
        <f>IFERROR(VLOOKUP(F587,#REF!,10,FALSE),"")</f>
        <v/>
      </c>
      <c r="I587" s="179" t="str">
        <f t="shared" si="72"/>
        <v/>
      </c>
      <c r="J587" s="269"/>
      <c r="K587" s="1757"/>
      <c r="L587" s="270"/>
      <c r="M587" s="1593"/>
      <c r="N587" s="77" t="str">
        <f t="shared" si="75"/>
        <v/>
      </c>
      <c r="O587" s="561"/>
      <c r="P587" s="224" t="str">
        <f>IFERROR(VLOOKUP(F587,#REF!,12,FALSE),"")</f>
        <v/>
      </c>
      <c r="Q587" s="80" t="s">
        <v>8</v>
      </c>
      <c r="R587" s="80" t="str">
        <f>IFERROR(VLOOKUP(F587,#REF!,14,FALSE),"")</f>
        <v/>
      </c>
      <c r="S587" s="33" t="str">
        <f t="shared" si="73"/>
        <v/>
      </c>
      <c r="U587" s="1728"/>
      <c r="V587" s="225">
        <f t="shared" si="76"/>
        <v>0</v>
      </c>
      <c r="W587" s="1766"/>
      <c r="X587" s="225"/>
    </row>
    <row r="588" spans="2:24" x14ac:dyDescent="0.2">
      <c r="B588" s="1653" t="s">
        <v>142</v>
      </c>
      <c r="C588" s="603">
        <v>43676</v>
      </c>
      <c r="D588" s="604"/>
      <c r="E588" s="605"/>
      <c r="F588" s="1475"/>
      <c r="G588" s="649"/>
      <c r="H588" s="673" t="str">
        <f>IFERROR(VLOOKUP(F588,#REF!,10,FALSE),"")</f>
        <v/>
      </c>
      <c r="I588" s="651" t="str">
        <f t="shared" ref="I588:I651" si="77">IFERROR(G588/H588,"")</f>
        <v/>
      </c>
      <c r="J588" s="652"/>
      <c r="K588" s="1757"/>
      <c r="L588" s="1568"/>
      <c r="M588" s="1591"/>
      <c r="N588" s="610" t="str">
        <f t="shared" si="75"/>
        <v/>
      </c>
      <c r="O588" s="653"/>
      <c r="P588" s="654" t="str">
        <f>IFERROR(VLOOKUP(F588,#REF!,12,FALSE),"")</f>
        <v/>
      </c>
      <c r="Q588" s="655" t="s">
        <v>8</v>
      </c>
      <c r="R588" s="46" t="str">
        <f>IFERROR(VLOOKUP(F588,#REF!,14,FALSE),"")</f>
        <v/>
      </c>
      <c r="S588" s="47" t="str">
        <f t="shared" si="73"/>
        <v/>
      </c>
      <c r="U588" s="1728"/>
      <c r="V588" s="48">
        <f t="shared" si="76"/>
        <v>0</v>
      </c>
      <c r="W588" s="1767"/>
      <c r="X588" s="48"/>
    </row>
    <row r="589" spans="2:24" ht="16" thickBot="1" x14ac:dyDescent="0.25">
      <c r="B589" s="1654">
        <f>SUM(H587:H593)</f>
        <v>21.2</v>
      </c>
      <c r="C589" s="161">
        <v>43677</v>
      </c>
      <c r="D589" s="604" t="s">
        <v>122</v>
      </c>
      <c r="E589" s="605"/>
      <c r="F589" s="1475" t="s">
        <v>255</v>
      </c>
      <c r="G589" s="649">
        <v>4.1192129629629634E-2</v>
      </c>
      <c r="H589" s="673">
        <v>10.59</v>
      </c>
      <c r="I589" s="651">
        <f t="shared" si="77"/>
        <v>3.8897195117686151E-3</v>
      </c>
      <c r="J589" s="652">
        <v>129</v>
      </c>
      <c r="K589" s="1757"/>
      <c r="L589" s="1568">
        <v>213</v>
      </c>
      <c r="M589" s="1591"/>
      <c r="N589" s="610">
        <f t="shared" si="75"/>
        <v>1.0684072555071669</v>
      </c>
      <c r="O589" s="653" t="s">
        <v>253</v>
      </c>
      <c r="P589" s="654" t="str">
        <f>IFERROR(VLOOKUP(F589,#REF!,12,FALSE),"")</f>
        <v/>
      </c>
      <c r="Q589" s="655" t="s">
        <v>8</v>
      </c>
      <c r="R589" s="46" t="str">
        <f>IFERROR(VLOOKUP(F589,#REF!,14,FALSE),"")</f>
        <v/>
      </c>
      <c r="S589" s="47">
        <f t="shared" si="73"/>
        <v>1.6511627906976745</v>
      </c>
      <c r="U589" s="1728"/>
      <c r="V589" s="48">
        <f t="shared" si="76"/>
        <v>0</v>
      </c>
      <c r="W589" s="1767"/>
      <c r="X589" s="48"/>
    </row>
    <row r="590" spans="2:24" x14ac:dyDescent="0.2">
      <c r="B590" s="1655" t="s">
        <v>144</v>
      </c>
      <c r="C590" s="161">
        <v>43678</v>
      </c>
      <c r="D590" s="604"/>
      <c r="E590" s="605"/>
      <c r="F590" s="1475"/>
      <c r="G590" s="649"/>
      <c r="H590" s="673" t="str">
        <f>IFERROR(VLOOKUP(F590,#REF!,10,FALSE),"")</f>
        <v/>
      </c>
      <c r="I590" s="651" t="str">
        <f t="shared" si="77"/>
        <v/>
      </c>
      <c r="J590" s="652"/>
      <c r="K590" s="1757"/>
      <c r="L590" s="1568"/>
      <c r="M590" s="1591"/>
      <c r="N590" s="610" t="str">
        <f t="shared" si="75"/>
        <v/>
      </c>
      <c r="O590" s="653"/>
      <c r="P590" s="654" t="str">
        <f>IFERROR(VLOOKUP(F590,#REF!,12,FALSE),"")</f>
        <v/>
      </c>
      <c r="Q590" s="655" t="s">
        <v>8</v>
      </c>
      <c r="R590" s="46" t="str">
        <f>IFERROR(VLOOKUP(F590,#REF!,14,FALSE),"")</f>
        <v/>
      </c>
      <c r="S590" s="47" t="str">
        <f t="shared" si="73"/>
        <v/>
      </c>
      <c r="U590" s="1728"/>
      <c r="V590" s="48">
        <f t="shared" si="76"/>
        <v>0</v>
      </c>
      <c r="W590" s="1767"/>
      <c r="X590" s="48"/>
    </row>
    <row r="591" spans="2:24" ht="16" thickBot="1" x14ac:dyDescent="0.25">
      <c r="B591" s="1656" t="e">
        <f>SUM(#REF!)</f>
        <v>#REF!</v>
      </c>
      <c r="C591" s="161">
        <v>43679</v>
      </c>
      <c r="D591" s="604" t="s">
        <v>123</v>
      </c>
      <c r="E591" s="605"/>
      <c r="F591" s="1475" t="s">
        <v>255</v>
      </c>
      <c r="G591" s="649">
        <v>3.9930555555555559E-2</v>
      </c>
      <c r="H591" s="673">
        <v>10.61</v>
      </c>
      <c r="I591" s="651">
        <f t="shared" si="77"/>
        <v>3.763483087234266E-3</v>
      </c>
      <c r="J591" s="652">
        <v>131</v>
      </c>
      <c r="K591" s="1757"/>
      <c r="L591" s="1568">
        <v>220</v>
      </c>
      <c r="M591" s="1591"/>
      <c r="N591" s="610">
        <f t="shared" si="75"/>
        <v>1.0677057689872973</v>
      </c>
      <c r="O591" s="653" t="s">
        <v>252</v>
      </c>
      <c r="P591" s="654" t="str">
        <f>IFERROR(VLOOKUP(F591,#REF!,12,FALSE),"")</f>
        <v/>
      </c>
      <c r="Q591" s="655" t="s">
        <v>8</v>
      </c>
      <c r="R591" s="46" t="str">
        <f>IFERROR(VLOOKUP(F591,#REF!,14,FALSE),"")</f>
        <v/>
      </c>
      <c r="S591" s="47">
        <f t="shared" si="73"/>
        <v>1.6793893129770991</v>
      </c>
      <c r="U591" s="1728"/>
      <c r="V591" s="48">
        <f t="shared" si="76"/>
        <v>0</v>
      </c>
      <c r="W591" s="1767"/>
      <c r="X591" s="48"/>
    </row>
    <row r="592" spans="2:24" x14ac:dyDescent="0.2">
      <c r="B592" s="1657" t="s">
        <v>256</v>
      </c>
      <c r="C592" s="161">
        <v>43680</v>
      </c>
      <c r="D592" s="604"/>
      <c r="E592" s="605"/>
      <c r="F592" s="1475"/>
      <c r="G592" s="649"/>
      <c r="H592" s="673" t="str">
        <f>IFERROR(VLOOKUP(F592,#REF!,10,FALSE),"")</f>
        <v/>
      </c>
      <c r="I592" s="651" t="str">
        <f t="shared" si="77"/>
        <v/>
      </c>
      <c r="J592" s="652"/>
      <c r="K592" s="1757"/>
      <c r="L592" s="1568"/>
      <c r="M592" s="1591"/>
      <c r="N592" s="610" t="str">
        <f t="shared" si="75"/>
        <v/>
      </c>
      <c r="O592" s="653"/>
      <c r="P592" s="654" t="str">
        <f>IFERROR(VLOOKUP(F592,#REF!,12,FALSE),"")</f>
        <v/>
      </c>
      <c r="Q592" s="655" t="s">
        <v>8</v>
      </c>
      <c r="R592" s="46" t="str">
        <f>IFERROR(VLOOKUP(F592,#REF!,14,FALSE),"")</f>
        <v/>
      </c>
      <c r="S592" s="47" t="str">
        <f t="shared" si="73"/>
        <v/>
      </c>
      <c r="U592" s="1728"/>
      <c r="V592" s="48">
        <f t="shared" si="76"/>
        <v>0</v>
      </c>
      <c r="W592" s="1767"/>
      <c r="X592" s="48"/>
    </row>
    <row r="593" spans="2:24" ht="16" thickBot="1" x14ac:dyDescent="0.25">
      <c r="B593" s="1658" t="e">
        <f>AVERAGE(#REF!)</f>
        <v>#REF!</v>
      </c>
      <c r="C593" s="613">
        <v>43681</v>
      </c>
      <c r="D593" s="589"/>
      <c r="E593" s="614"/>
      <c r="F593" s="1476"/>
      <c r="G593" s="615"/>
      <c r="H593" s="624" t="str">
        <f>IFERROR(VLOOKUP(F593,#REF!,10,FALSE),"")</f>
        <v/>
      </c>
      <c r="I593" s="625" t="str">
        <f t="shared" si="77"/>
        <v/>
      </c>
      <c r="J593" s="626"/>
      <c r="K593" s="1757"/>
      <c r="L593" s="1570"/>
      <c r="M593" s="1594"/>
      <c r="N593" s="619" t="str">
        <f t="shared" si="75"/>
        <v/>
      </c>
      <c r="O593" s="620"/>
      <c r="P593" s="621" t="str">
        <f>IFERROR(VLOOKUP(F593,#REF!,12,FALSE),"")</f>
        <v/>
      </c>
      <c r="Q593" s="622" t="s">
        <v>8</v>
      </c>
      <c r="R593" s="107" t="str">
        <f>IFERROR(VLOOKUP(F593,#REF!,14,FALSE),"")</f>
        <v/>
      </c>
      <c r="S593" s="65" t="str">
        <f t="shared" si="73"/>
        <v/>
      </c>
      <c r="U593" s="1728"/>
      <c r="V593" s="108">
        <f t="shared" si="76"/>
        <v>0</v>
      </c>
      <c r="W593" s="1768"/>
      <c r="X593" s="108"/>
    </row>
    <row r="594" spans="2:24" ht="16" thickBot="1" x14ac:dyDescent="0.25">
      <c r="B594" s="1652">
        <f>B587+1</f>
        <v>32</v>
      </c>
      <c r="C594" s="142">
        <v>43682</v>
      </c>
      <c r="D594" s="143"/>
      <c r="E594" s="144"/>
      <c r="F594" s="1477"/>
      <c r="G594" s="291"/>
      <c r="H594" s="602" t="str">
        <f>IFERROR(VLOOKUP(F594,#REF!,10,FALSE),"")</f>
        <v/>
      </c>
      <c r="I594" s="309" t="str">
        <f t="shared" si="77"/>
        <v/>
      </c>
      <c r="J594" s="295"/>
      <c r="K594" s="1757"/>
      <c r="L594" s="792"/>
      <c r="M594" s="1595"/>
      <c r="N594" s="150" t="str">
        <f t="shared" si="75"/>
        <v/>
      </c>
      <c r="O594" s="576"/>
      <c r="P594" s="152" t="str">
        <f>IFERROR(VLOOKUP(F594,#REF!,12,FALSE),"")</f>
        <v/>
      </c>
      <c r="Q594" s="153" t="s">
        <v>8</v>
      </c>
      <c r="R594" s="32" t="str">
        <f>IFERROR(VLOOKUP(F594,#REF!,14,FALSE),"")</f>
        <v/>
      </c>
      <c r="S594" s="33" t="str">
        <f t="shared" si="73"/>
        <v/>
      </c>
      <c r="U594" s="1728"/>
      <c r="V594" s="154">
        <f t="shared" si="76"/>
        <v>0</v>
      </c>
      <c r="W594" s="1766"/>
      <c r="X594" s="154"/>
    </row>
    <row r="595" spans="2:24" x14ac:dyDescent="0.2">
      <c r="B595" s="1653" t="s">
        <v>142</v>
      </c>
      <c r="C595" s="161">
        <v>43683</v>
      </c>
      <c r="D595" s="49"/>
      <c r="E595" s="156"/>
      <c r="F595" s="1478"/>
      <c r="G595" s="298"/>
      <c r="H595" s="299" t="str">
        <f>IFERROR(VLOOKUP(F595,#REF!,10,FALSE),"")</f>
        <v/>
      </c>
      <c r="I595" s="310" t="str">
        <f t="shared" si="77"/>
        <v/>
      </c>
      <c r="J595" s="252"/>
      <c r="K595" s="1757"/>
      <c r="L595" s="1568"/>
      <c r="M595" s="1591"/>
      <c r="N595" s="158" t="str">
        <f t="shared" si="75"/>
        <v/>
      </c>
      <c r="O595" s="577"/>
      <c r="P595" s="93" t="str">
        <f>IFERROR(VLOOKUP(F595,#REF!,12,FALSE),"")</f>
        <v/>
      </c>
      <c r="Q595" s="94" t="s">
        <v>8</v>
      </c>
      <c r="R595" s="46" t="str">
        <f>IFERROR(VLOOKUP(F595,#REF!,14,FALSE),"")</f>
        <v/>
      </c>
      <c r="S595" s="47" t="str">
        <f t="shared" si="73"/>
        <v/>
      </c>
      <c r="U595" s="1728"/>
      <c r="V595" s="160">
        <f t="shared" si="76"/>
        <v>0</v>
      </c>
      <c r="W595" s="1767"/>
      <c r="X595" s="160"/>
    </row>
    <row r="596" spans="2:24" ht="16" thickBot="1" x14ac:dyDescent="0.25">
      <c r="B596" s="1654">
        <f>SUM(H594:H600)</f>
        <v>23.65</v>
      </c>
      <c r="C596" s="161">
        <v>43684</v>
      </c>
      <c r="D596" s="49"/>
      <c r="E596" s="156"/>
      <c r="F596" s="1478"/>
      <c r="G596" s="298"/>
      <c r="H596" s="299" t="str">
        <f>IFERROR(VLOOKUP(F596,#REF!,10,FALSE),"")</f>
        <v/>
      </c>
      <c r="I596" s="310" t="str">
        <f t="shared" si="77"/>
        <v/>
      </c>
      <c r="J596" s="252"/>
      <c r="K596" s="1757"/>
      <c r="L596" s="1568"/>
      <c r="M596" s="1591"/>
      <c r="N596" s="158" t="str">
        <f t="shared" si="75"/>
        <v/>
      </c>
      <c r="O596" s="577"/>
      <c r="P596" s="93" t="str">
        <f>IFERROR(VLOOKUP(F596,#REF!,12,FALSE),"")</f>
        <v/>
      </c>
      <c r="Q596" s="94" t="s">
        <v>8</v>
      </c>
      <c r="R596" s="46" t="str">
        <f>IFERROR(VLOOKUP(F596,#REF!,14,FALSE),"")</f>
        <v/>
      </c>
      <c r="S596" s="47" t="str">
        <f t="shared" si="73"/>
        <v/>
      </c>
      <c r="U596" s="1728"/>
      <c r="V596" s="160">
        <f t="shared" si="76"/>
        <v>0</v>
      </c>
      <c r="W596" s="1767"/>
      <c r="X596" s="160"/>
    </row>
    <row r="597" spans="2:24" x14ac:dyDescent="0.2">
      <c r="B597" s="1655" t="s">
        <v>144</v>
      </c>
      <c r="C597" s="161">
        <v>43685</v>
      </c>
      <c r="D597" s="49" t="s">
        <v>124</v>
      </c>
      <c r="E597" s="156"/>
      <c r="F597" s="1481" t="s">
        <v>149</v>
      </c>
      <c r="G597" s="298">
        <v>4.4062500000000004E-2</v>
      </c>
      <c r="H597" s="299">
        <v>11.46</v>
      </c>
      <c r="I597" s="310">
        <f t="shared" si="77"/>
        <v>3.8448952879581153E-3</v>
      </c>
      <c r="J597" s="252">
        <v>148</v>
      </c>
      <c r="K597" s="1757"/>
      <c r="L597" s="1568">
        <v>216</v>
      </c>
      <c r="M597" s="1591"/>
      <c r="N597" s="158">
        <f t="shared" si="75"/>
        <v>1.0709697585371574</v>
      </c>
      <c r="O597" s="577" t="s">
        <v>252</v>
      </c>
      <c r="P597" s="93" t="str">
        <f>IFERROR(VLOOKUP(F597,#REF!,12,FALSE),"")</f>
        <v/>
      </c>
      <c r="Q597" s="94" t="s">
        <v>8</v>
      </c>
      <c r="R597" s="46" t="str">
        <f>IFERROR(VLOOKUP(F597,#REF!,14,FALSE),"")</f>
        <v/>
      </c>
      <c r="S597" s="47">
        <f t="shared" ref="S597:S615" si="78">IFERROR(L597/J597,"")</f>
        <v>1.4594594594594594</v>
      </c>
      <c r="U597" s="1728"/>
      <c r="V597" s="160">
        <f t="shared" si="76"/>
        <v>0</v>
      </c>
      <c r="W597" s="1767"/>
      <c r="X597" s="160"/>
    </row>
    <row r="598" spans="2:24" ht="16" thickBot="1" x14ac:dyDescent="0.25">
      <c r="B598" s="1656" t="e">
        <f>SUM(#REF!)</f>
        <v>#REF!</v>
      </c>
      <c r="C598" s="161">
        <v>43686</v>
      </c>
      <c r="D598" s="49"/>
      <c r="E598" s="156"/>
      <c r="F598" s="1478"/>
      <c r="G598" s="298"/>
      <c r="H598" s="299" t="str">
        <f>IFERROR(VLOOKUP(F598,#REF!,10,FALSE),"")</f>
        <v/>
      </c>
      <c r="I598" s="310" t="str">
        <f t="shared" si="77"/>
        <v/>
      </c>
      <c r="J598" s="252"/>
      <c r="K598" s="1757"/>
      <c r="L598" s="1568"/>
      <c r="M598" s="1591"/>
      <c r="N598" s="158" t="str">
        <f t="shared" si="75"/>
        <v/>
      </c>
      <c r="O598" s="577"/>
      <c r="P598" s="93" t="str">
        <f>IFERROR(VLOOKUP(F598,#REF!,12,FALSE),"")</f>
        <v/>
      </c>
      <c r="Q598" s="94" t="s">
        <v>8</v>
      </c>
      <c r="R598" s="46" t="str">
        <f>IFERROR(VLOOKUP(F598,#REF!,14,FALSE),"")</f>
        <v/>
      </c>
      <c r="S598" s="47" t="str">
        <f t="shared" si="78"/>
        <v/>
      </c>
      <c r="U598" s="1728"/>
      <c r="V598" s="160">
        <f t="shared" si="76"/>
        <v>0</v>
      </c>
      <c r="W598" s="1767"/>
      <c r="X598" s="160"/>
    </row>
    <row r="599" spans="2:24" x14ac:dyDescent="0.2">
      <c r="B599" s="1657" t="s">
        <v>256</v>
      </c>
      <c r="C599" s="161">
        <v>43687</v>
      </c>
      <c r="D599" s="49"/>
      <c r="E599" s="156"/>
      <c r="F599" s="1478"/>
      <c r="G599" s="298"/>
      <c r="H599" s="299" t="str">
        <f>IFERROR(VLOOKUP(F599,#REF!,10,FALSE),"")</f>
        <v/>
      </c>
      <c r="I599" s="310" t="str">
        <f t="shared" si="77"/>
        <v/>
      </c>
      <c r="J599" s="252"/>
      <c r="K599" s="1757"/>
      <c r="L599" s="1568"/>
      <c r="M599" s="1591"/>
      <c r="N599" s="158" t="str">
        <f t="shared" si="75"/>
        <v/>
      </c>
      <c r="O599" s="577"/>
      <c r="P599" s="93" t="str">
        <f>IFERROR(VLOOKUP(F599,#REF!,12,FALSE),"")</f>
        <v/>
      </c>
      <c r="Q599" s="94" t="s">
        <v>8</v>
      </c>
      <c r="R599" s="46" t="str">
        <f>IFERROR(VLOOKUP(F599,#REF!,14,FALSE),"")</f>
        <v/>
      </c>
      <c r="S599" s="47" t="str">
        <f t="shared" si="78"/>
        <v/>
      </c>
      <c r="U599" s="1728"/>
      <c r="V599" s="160">
        <f t="shared" si="76"/>
        <v>0</v>
      </c>
      <c r="W599" s="1767"/>
      <c r="X599" s="160"/>
    </row>
    <row r="600" spans="2:24" ht="16" thickBot="1" x14ac:dyDescent="0.25">
      <c r="B600" s="1658" t="e">
        <f>AVERAGE(#REF!)</f>
        <v>#REF!</v>
      </c>
      <c r="C600" s="207">
        <v>43688</v>
      </c>
      <c r="D600" s="67" t="s">
        <v>125</v>
      </c>
      <c r="E600" s="208"/>
      <c r="F600" s="1479" t="s">
        <v>149</v>
      </c>
      <c r="G600" s="302">
        <v>4.7060185185185184E-2</v>
      </c>
      <c r="H600" s="303">
        <v>12.19</v>
      </c>
      <c r="I600" s="311">
        <f t="shared" si="77"/>
        <v>3.8605566189651506E-3</v>
      </c>
      <c r="J600" s="262">
        <v>147</v>
      </c>
      <c r="K600" s="1757"/>
      <c r="L600" s="1569">
        <v>215</v>
      </c>
      <c r="M600" s="1592"/>
      <c r="N600" s="172">
        <f t="shared" si="75"/>
        <v>1.0703537276700992</v>
      </c>
      <c r="O600" s="578" t="s">
        <v>252</v>
      </c>
      <c r="P600" s="174" t="str">
        <f>IFERROR(VLOOKUP(F600,#REF!,12,FALSE),"")</f>
        <v/>
      </c>
      <c r="Q600" s="175" t="s">
        <v>8</v>
      </c>
      <c r="R600" s="64" t="str">
        <f>IFERROR(VLOOKUP(F600,#REF!,14,FALSE),"")</f>
        <v/>
      </c>
      <c r="S600" s="65">
        <f t="shared" si="78"/>
        <v>1.4625850340136055</v>
      </c>
      <c r="U600" s="1728"/>
      <c r="V600" s="176">
        <f t="shared" si="76"/>
        <v>0</v>
      </c>
      <c r="W600" s="1768"/>
      <c r="X600" s="176"/>
    </row>
    <row r="601" spans="2:24" ht="16" thickBot="1" x14ac:dyDescent="0.25">
      <c r="B601" s="1652">
        <f>B594+1</f>
        <v>33</v>
      </c>
      <c r="C601" s="193">
        <v>43689</v>
      </c>
      <c r="D601" s="70"/>
      <c r="E601" s="71"/>
      <c r="F601" s="1480"/>
      <c r="G601" s="559"/>
      <c r="H601" s="560" t="str">
        <f>IFERROR(VLOOKUP(F601,#REF!,10,FALSE),"")</f>
        <v/>
      </c>
      <c r="I601" s="179" t="str">
        <f t="shared" si="77"/>
        <v/>
      </c>
      <c r="J601" s="269"/>
      <c r="K601" s="1757"/>
      <c r="L601" s="270"/>
      <c r="M601" s="1593"/>
      <c r="N601" s="77" t="str">
        <f t="shared" si="75"/>
        <v/>
      </c>
      <c r="O601" s="561"/>
      <c r="P601" s="224" t="str">
        <f>IFERROR(VLOOKUP(F601,#REF!,12,FALSE),"")</f>
        <v/>
      </c>
      <c r="Q601" s="80" t="s">
        <v>8</v>
      </c>
      <c r="R601" s="80" t="str">
        <f>IFERROR(VLOOKUP(F601,#REF!,14,FALSE),"")</f>
        <v/>
      </c>
      <c r="S601" s="33" t="str">
        <f t="shared" si="78"/>
        <v/>
      </c>
      <c r="U601" s="1728"/>
      <c r="V601" s="225">
        <f t="shared" si="76"/>
        <v>0</v>
      </c>
      <c r="W601" s="1766"/>
      <c r="X601" s="225"/>
    </row>
    <row r="602" spans="2:24" x14ac:dyDescent="0.2">
      <c r="B602" s="1653" t="s">
        <v>142</v>
      </c>
      <c r="C602" s="603">
        <v>43690</v>
      </c>
      <c r="D602" s="604" t="s">
        <v>126</v>
      </c>
      <c r="E602" s="605"/>
      <c r="F602" s="1475" t="s">
        <v>155</v>
      </c>
      <c r="G602" s="649">
        <v>3.0752314814814816E-2</v>
      </c>
      <c r="H602" s="673">
        <v>8.86</v>
      </c>
      <c r="I602" s="651">
        <f t="shared" si="77"/>
        <v>3.4709158933199568E-3</v>
      </c>
      <c r="J602" s="652">
        <v>145</v>
      </c>
      <c r="K602" s="1757"/>
      <c r="L602" s="1568">
        <v>234</v>
      </c>
      <c r="M602" s="1591"/>
      <c r="N602" s="610">
        <f t="shared" si="75"/>
        <v>1.0473670024594859</v>
      </c>
      <c r="O602" s="653" t="s">
        <v>175</v>
      </c>
      <c r="P602" s="654" t="str">
        <f>IFERROR(VLOOKUP(F602,#REF!,12,FALSE),"")</f>
        <v/>
      </c>
      <c r="Q602" s="655" t="s">
        <v>8</v>
      </c>
      <c r="R602" s="46" t="str">
        <f>IFERROR(VLOOKUP(F602,#REF!,14,FALSE),"")</f>
        <v/>
      </c>
      <c r="S602" s="47">
        <f t="shared" si="78"/>
        <v>1.6137931034482758</v>
      </c>
      <c r="U602" s="1728"/>
      <c r="V602" s="48">
        <f t="shared" si="76"/>
        <v>0</v>
      </c>
      <c r="W602" s="1767"/>
      <c r="X602" s="48"/>
    </row>
    <row r="603" spans="2:24" ht="16" thickBot="1" x14ac:dyDescent="0.25">
      <c r="B603" s="1654">
        <f>SUM(H601:H607)</f>
        <v>40.489999999999995</v>
      </c>
      <c r="C603" s="161">
        <v>43691</v>
      </c>
      <c r="D603" s="604" t="s">
        <v>127</v>
      </c>
      <c r="E603" s="605"/>
      <c r="F603" s="1475" t="s">
        <v>255</v>
      </c>
      <c r="G603" s="649">
        <v>3.3148148148148149E-2</v>
      </c>
      <c r="H603" s="673">
        <v>8.2799999999999994</v>
      </c>
      <c r="I603" s="651">
        <f t="shared" si="77"/>
        <v>4.0033995348005011E-3</v>
      </c>
      <c r="J603" s="652">
        <v>127</v>
      </c>
      <c r="K603" s="1757"/>
      <c r="L603" s="1568">
        <v>206</v>
      </c>
      <c r="M603" s="1591"/>
      <c r="N603" s="610">
        <f t="shared" si="75"/>
        <v>1.063494123584974</v>
      </c>
      <c r="O603" s="653" t="s">
        <v>175</v>
      </c>
      <c r="P603" s="654" t="str">
        <f>IFERROR(VLOOKUP(F603,#REF!,12,FALSE),"")</f>
        <v/>
      </c>
      <c r="Q603" s="655" t="s">
        <v>8</v>
      </c>
      <c r="R603" s="46" t="str">
        <f>IFERROR(VLOOKUP(F603,#REF!,14,FALSE),"")</f>
        <v/>
      </c>
      <c r="S603" s="47">
        <f t="shared" si="78"/>
        <v>1.6220472440944882</v>
      </c>
      <c r="U603" s="1728"/>
      <c r="V603" s="48">
        <f t="shared" si="76"/>
        <v>0</v>
      </c>
      <c r="W603" s="1767"/>
      <c r="X603" s="48"/>
    </row>
    <row r="604" spans="2:24" x14ac:dyDescent="0.2">
      <c r="B604" s="1655" t="s">
        <v>144</v>
      </c>
      <c r="C604" s="161">
        <v>43692</v>
      </c>
      <c r="D604" s="604"/>
      <c r="E604" s="605"/>
      <c r="F604" s="1475"/>
      <c r="G604" s="649"/>
      <c r="H604" s="673" t="str">
        <f>IFERROR(VLOOKUP(F604,#REF!,10,FALSE),"")</f>
        <v/>
      </c>
      <c r="I604" s="651" t="str">
        <f t="shared" si="77"/>
        <v/>
      </c>
      <c r="J604" s="652"/>
      <c r="K604" s="1757"/>
      <c r="L604" s="1568"/>
      <c r="M604" s="1591"/>
      <c r="N604" s="610" t="str">
        <f t="shared" si="75"/>
        <v/>
      </c>
      <c r="O604" s="653"/>
      <c r="P604" s="654" t="str">
        <f>IFERROR(VLOOKUP(F604,#REF!,12,FALSE),"")</f>
        <v/>
      </c>
      <c r="Q604" s="655" t="s">
        <v>8</v>
      </c>
      <c r="R604" s="46" t="str">
        <f>IFERROR(VLOOKUP(F604,#REF!,14,FALSE),"")</f>
        <v/>
      </c>
      <c r="S604" s="47" t="str">
        <f t="shared" si="78"/>
        <v/>
      </c>
      <c r="U604" s="1728"/>
      <c r="V604" s="48">
        <f t="shared" si="76"/>
        <v>0</v>
      </c>
      <c r="W604" s="1767"/>
      <c r="X604" s="48"/>
    </row>
    <row r="605" spans="2:24" ht="16" thickBot="1" x14ac:dyDescent="0.25">
      <c r="B605" s="1656" t="e">
        <f>SUM(#REF!)</f>
        <v>#REF!</v>
      </c>
      <c r="C605" s="161">
        <v>43693</v>
      </c>
      <c r="D605" s="604" t="s">
        <v>128</v>
      </c>
      <c r="E605" s="605"/>
      <c r="F605" s="1475" t="s">
        <v>173</v>
      </c>
      <c r="G605" s="649">
        <v>4.3506944444444445E-2</v>
      </c>
      <c r="H605" s="673">
        <v>11.26</v>
      </c>
      <c r="I605" s="651">
        <f t="shared" si="77"/>
        <v>3.8638494178014605E-3</v>
      </c>
      <c r="J605" s="652">
        <v>140</v>
      </c>
      <c r="K605" s="1757"/>
      <c r="L605" s="1568">
        <v>216</v>
      </c>
      <c r="M605" s="1591"/>
      <c r="N605" s="610">
        <f t="shared" si="75"/>
        <v>1.0762493041011638</v>
      </c>
      <c r="O605" s="653" t="s">
        <v>253</v>
      </c>
      <c r="P605" s="654" t="str">
        <f>IFERROR(VLOOKUP(F605,#REF!,12,FALSE),"")</f>
        <v/>
      </c>
      <c r="Q605" s="655" t="s">
        <v>8</v>
      </c>
      <c r="R605" s="46" t="str">
        <f>IFERROR(VLOOKUP(F605,#REF!,14,FALSE),"")</f>
        <v/>
      </c>
      <c r="S605" s="47">
        <f t="shared" si="78"/>
        <v>1.5428571428571429</v>
      </c>
      <c r="U605" s="1728"/>
      <c r="V605" s="48">
        <f t="shared" si="76"/>
        <v>0</v>
      </c>
      <c r="W605" s="1767"/>
      <c r="X605" s="48"/>
    </row>
    <row r="606" spans="2:24" x14ac:dyDescent="0.2">
      <c r="B606" s="1657" t="s">
        <v>256</v>
      </c>
      <c r="C606" s="161">
        <v>43694</v>
      </c>
      <c r="D606" s="604"/>
      <c r="E606" s="605"/>
      <c r="F606" s="1475"/>
      <c r="G606" s="649"/>
      <c r="H606" s="673" t="str">
        <f>IFERROR(VLOOKUP(F606,#REF!,10,FALSE),"")</f>
        <v/>
      </c>
      <c r="I606" s="651" t="str">
        <f t="shared" si="77"/>
        <v/>
      </c>
      <c r="J606" s="652"/>
      <c r="K606" s="1757"/>
      <c r="L606" s="1568"/>
      <c r="M606" s="1591"/>
      <c r="N606" s="610" t="str">
        <f t="shared" si="75"/>
        <v/>
      </c>
      <c r="O606" s="653"/>
      <c r="P606" s="654" t="str">
        <f>IFERROR(VLOOKUP(F606,#REF!,12,FALSE),"")</f>
        <v/>
      </c>
      <c r="Q606" s="655" t="s">
        <v>8</v>
      </c>
      <c r="R606" s="46" t="str">
        <f>IFERROR(VLOOKUP(F606,#REF!,14,FALSE),"")</f>
        <v/>
      </c>
      <c r="S606" s="47" t="str">
        <f t="shared" si="78"/>
        <v/>
      </c>
      <c r="U606" s="1728"/>
      <c r="V606" s="48">
        <f t="shared" si="76"/>
        <v>0</v>
      </c>
      <c r="W606" s="1767"/>
      <c r="X606" s="48"/>
    </row>
    <row r="607" spans="2:24" ht="16" thickBot="1" x14ac:dyDescent="0.25">
      <c r="B607" s="1658" t="e">
        <f>AVERAGE(#REF!)</f>
        <v>#REF!</v>
      </c>
      <c r="C607" s="640">
        <v>43695</v>
      </c>
      <c r="D607" s="623" t="s">
        <v>129</v>
      </c>
      <c r="E607" s="641"/>
      <c r="F607" s="1476" t="s">
        <v>173</v>
      </c>
      <c r="G607" s="615">
        <v>4.611111111111111E-2</v>
      </c>
      <c r="H607" s="624">
        <v>12.09</v>
      </c>
      <c r="I607" s="625">
        <f t="shared" si="77"/>
        <v>3.813987684955427E-3</v>
      </c>
      <c r="J607" s="626">
        <v>145</v>
      </c>
      <c r="K607" s="1757"/>
      <c r="L607" s="1570">
        <v>218</v>
      </c>
      <c r="M607" s="1594"/>
      <c r="N607" s="619">
        <f t="shared" si="75"/>
        <v>1.0721973260249622</v>
      </c>
      <c r="O607" s="620" t="s">
        <v>252</v>
      </c>
      <c r="P607" s="621" t="str">
        <f>IFERROR(VLOOKUP(F607,#REF!,12,FALSE),"")</f>
        <v/>
      </c>
      <c r="Q607" s="622" t="s">
        <v>8</v>
      </c>
      <c r="R607" s="107" t="str">
        <f>IFERROR(VLOOKUP(F607,#REF!,14,FALSE),"")</f>
        <v/>
      </c>
      <c r="S607" s="65">
        <f t="shared" si="78"/>
        <v>1.5034482758620689</v>
      </c>
      <c r="U607" s="1728"/>
      <c r="V607" s="108">
        <f t="shared" si="76"/>
        <v>0</v>
      </c>
      <c r="W607" s="1768"/>
      <c r="X607" s="108"/>
    </row>
    <row r="608" spans="2:24" ht="16" thickBot="1" x14ac:dyDescent="0.25">
      <c r="B608" s="1652">
        <f>B601+1</f>
        <v>34</v>
      </c>
      <c r="C608" s="142">
        <v>43696</v>
      </c>
      <c r="D608" s="154"/>
      <c r="E608" s="674"/>
      <c r="F608" s="1477"/>
      <c r="G608" s="291"/>
      <c r="H608" s="602" t="str">
        <f>IFERROR(VLOOKUP(F608,#REF!,10,FALSE),"")</f>
        <v/>
      </c>
      <c r="I608" s="309" t="str">
        <f t="shared" si="77"/>
        <v/>
      </c>
      <c r="J608" s="295"/>
      <c r="K608" s="1757"/>
      <c r="L608" s="792"/>
      <c r="M608" s="1595"/>
      <c r="N608" s="150" t="str">
        <f t="shared" si="75"/>
        <v/>
      </c>
      <c r="O608" s="675"/>
      <c r="P608" s="152" t="str">
        <f>IFERROR(VLOOKUP(F608,#REF!,12,FALSE),"")</f>
        <v/>
      </c>
      <c r="Q608" s="153" t="s">
        <v>8</v>
      </c>
      <c r="R608" s="32" t="str">
        <f>IFERROR(VLOOKUP(F608,#REF!,14,FALSE),"")</f>
        <v/>
      </c>
      <c r="S608" s="33" t="str">
        <f t="shared" si="78"/>
        <v/>
      </c>
      <c r="U608" s="1728"/>
      <c r="V608" s="154">
        <f t="shared" si="76"/>
        <v>0</v>
      </c>
      <c r="W608" s="1766"/>
      <c r="X608" s="154"/>
    </row>
    <row r="609" spans="2:24" x14ac:dyDescent="0.2">
      <c r="B609" s="1653" t="s">
        <v>142</v>
      </c>
      <c r="C609" s="161">
        <v>43697</v>
      </c>
      <c r="D609" s="160" t="s">
        <v>130</v>
      </c>
      <c r="E609" s="334"/>
      <c r="F609" s="1478" t="s">
        <v>148</v>
      </c>
      <c r="G609" s="298">
        <v>4.0185185185185185E-2</v>
      </c>
      <c r="H609" s="299">
        <v>9.99</v>
      </c>
      <c r="I609" s="310">
        <f t="shared" si="77"/>
        <v>4.0225410595780969E-3</v>
      </c>
      <c r="J609" s="252">
        <v>140</v>
      </c>
      <c r="K609" s="1757"/>
      <c r="L609" s="1568">
        <v>209</v>
      </c>
      <c r="M609" s="1591"/>
      <c r="N609" s="158">
        <f t="shared" si="75"/>
        <v>1.0841408572751858</v>
      </c>
      <c r="O609" s="676" t="s">
        <v>253</v>
      </c>
      <c r="P609" s="93" t="str">
        <f>IFERROR(VLOOKUP(F609,#REF!,12,FALSE),"")</f>
        <v/>
      </c>
      <c r="Q609" s="94" t="s">
        <v>8</v>
      </c>
      <c r="R609" s="46" t="str">
        <f>IFERROR(VLOOKUP(F609,#REF!,14,FALSE),"")</f>
        <v/>
      </c>
      <c r="S609" s="47">
        <f t="shared" si="78"/>
        <v>1.4928571428571429</v>
      </c>
      <c r="U609" s="1728"/>
      <c r="V609" s="160">
        <f t="shared" si="76"/>
        <v>0</v>
      </c>
      <c r="W609" s="1767"/>
      <c r="X609" s="160"/>
    </row>
    <row r="610" spans="2:24" ht="16" thickBot="1" x14ac:dyDescent="0.25">
      <c r="B610" s="1654">
        <f>SUM(H608:H614)</f>
        <v>43.45</v>
      </c>
      <c r="C610" s="161">
        <v>43698</v>
      </c>
      <c r="D610" s="160" t="s">
        <v>131</v>
      </c>
      <c r="E610" s="334"/>
      <c r="F610" s="1478" t="s">
        <v>164</v>
      </c>
      <c r="G610" s="298">
        <v>3.5289351851851856E-2</v>
      </c>
      <c r="H610" s="299">
        <v>9.1199999999999992</v>
      </c>
      <c r="I610" s="310">
        <f t="shared" si="77"/>
        <v>3.8694464749837567E-3</v>
      </c>
      <c r="J610" s="252">
        <v>146</v>
      </c>
      <c r="K610" s="1757"/>
      <c r="L610" s="1568">
        <v>210</v>
      </c>
      <c r="M610" s="1591"/>
      <c r="N610" s="158">
        <f t="shared" si="75"/>
        <v>1.0478692065985864</v>
      </c>
      <c r="O610" s="676" t="s">
        <v>175</v>
      </c>
      <c r="P610" s="93" t="str">
        <f>IFERROR(VLOOKUP(F610,#REF!,12,FALSE),"")</f>
        <v/>
      </c>
      <c r="Q610" s="94" t="s">
        <v>8</v>
      </c>
      <c r="R610" s="46" t="str">
        <f>IFERROR(VLOOKUP(F610,#REF!,14,FALSE),"")</f>
        <v/>
      </c>
      <c r="S610" s="47">
        <f t="shared" si="78"/>
        <v>1.4383561643835616</v>
      </c>
      <c r="U610" s="1728"/>
      <c r="V610" s="160">
        <f t="shared" si="76"/>
        <v>0</v>
      </c>
      <c r="W610" s="1767"/>
      <c r="X610" s="160"/>
    </row>
    <row r="611" spans="2:24" x14ac:dyDescent="0.2">
      <c r="B611" s="1655" t="s">
        <v>144</v>
      </c>
      <c r="C611" s="161">
        <v>43699</v>
      </c>
      <c r="D611" s="160"/>
      <c r="E611" s="334"/>
      <c r="F611" s="1478"/>
      <c r="G611" s="298"/>
      <c r="H611" s="299" t="str">
        <f>IFERROR(VLOOKUP(F611,#REF!,10,FALSE),"")</f>
        <v/>
      </c>
      <c r="I611" s="310" t="str">
        <f t="shared" si="77"/>
        <v/>
      </c>
      <c r="J611" s="252"/>
      <c r="K611" s="1757"/>
      <c r="L611" s="1568"/>
      <c r="M611" s="1591"/>
      <c r="N611" s="158" t="str">
        <f t="shared" si="75"/>
        <v/>
      </c>
      <c r="O611" s="676"/>
      <c r="P611" s="93" t="str">
        <f>IFERROR(VLOOKUP(F611,#REF!,12,FALSE),"")</f>
        <v/>
      </c>
      <c r="Q611" s="94" t="s">
        <v>8</v>
      </c>
      <c r="R611" s="46" t="str">
        <f>IFERROR(VLOOKUP(F611,#REF!,14,FALSE),"")</f>
        <v/>
      </c>
      <c r="S611" s="47" t="str">
        <f t="shared" si="78"/>
        <v/>
      </c>
      <c r="U611" s="1728"/>
      <c r="V611" s="160">
        <f t="shared" si="76"/>
        <v>0</v>
      </c>
      <c r="W611" s="1767"/>
      <c r="X611" s="160"/>
    </row>
    <row r="612" spans="2:24" ht="16" thickBot="1" x14ac:dyDescent="0.25">
      <c r="B612" s="1656" t="e">
        <f>SUM(#REF!)</f>
        <v>#REF!</v>
      </c>
      <c r="C612" s="161">
        <v>43700</v>
      </c>
      <c r="D612" s="160" t="s">
        <v>132</v>
      </c>
      <c r="E612" s="334"/>
      <c r="F612" s="1478" t="s">
        <v>255</v>
      </c>
      <c r="G612" s="298">
        <v>4.2453703703703709E-2</v>
      </c>
      <c r="H612" s="299">
        <v>10.74</v>
      </c>
      <c r="I612" s="310">
        <f t="shared" si="77"/>
        <v>3.9528588178495069E-3</v>
      </c>
      <c r="J612" s="252">
        <v>142</v>
      </c>
      <c r="K612" s="1757"/>
      <c r="L612" s="1568">
        <v>211</v>
      </c>
      <c r="M612" s="1591"/>
      <c r="N612" s="158">
        <f t="shared" si="75"/>
        <v>1.0755551849690097</v>
      </c>
      <c r="O612" s="676" t="s">
        <v>252</v>
      </c>
      <c r="P612" s="93" t="str">
        <f>IFERROR(VLOOKUP(F612,#REF!,12,FALSE),"")</f>
        <v/>
      </c>
      <c r="Q612" s="94" t="s">
        <v>8</v>
      </c>
      <c r="R612" s="46" t="str">
        <f>IFERROR(VLOOKUP(F612,#REF!,14,FALSE),"")</f>
        <v/>
      </c>
      <c r="S612" s="47">
        <f t="shared" si="78"/>
        <v>1.4859154929577465</v>
      </c>
      <c r="U612" s="1728"/>
      <c r="V612" s="160">
        <f t="shared" si="76"/>
        <v>0</v>
      </c>
      <c r="W612" s="1767"/>
      <c r="X612" s="160"/>
    </row>
    <row r="613" spans="2:24" x14ac:dyDescent="0.2">
      <c r="B613" s="1657" t="s">
        <v>256</v>
      </c>
      <c r="C613" s="161">
        <v>43701</v>
      </c>
      <c r="D613" s="160"/>
      <c r="E613" s="334"/>
      <c r="F613" s="1478"/>
      <c r="G613" s="298"/>
      <c r="H613" s="299" t="str">
        <f>IFERROR(VLOOKUP(F613,#REF!,10,FALSE),"")</f>
        <v/>
      </c>
      <c r="I613" s="310" t="str">
        <f t="shared" si="77"/>
        <v/>
      </c>
      <c r="J613" s="252"/>
      <c r="K613" s="1757"/>
      <c r="L613" s="1568"/>
      <c r="M613" s="1591"/>
      <c r="N613" s="158" t="str">
        <f t="shared" si="75"/>
        <v/>
      </c>
      <c r="O613" s="676"/>
      <c r="P613" s="93" t="str">
        <f>IFERROR(VLOOKUP(F613,#REF!,12,FALSE),"")</f>
        <v/>
      </c>
      <c r="Q613" s="94" t="s">
        <v>8</v>
      </c>
      <c r="R613" s="46" t="str">
        <f>IFERROR(VLOOKUP(F613,#REF!,14,FALSE),"")</f>
        <v/>
      </c>
      <c r="S613" s="47" t="str">
        <f t="shared" si="78"/>
        <v/>
      </c>
      <c r="U613" s="1728"/>
      <c r="V613" s="160">
        <f t="shared" si="76"/>
        <v>0</v>
      </c>
      <c r="W613" s="1767"/>
      <c r="X613" s="160"/>
    </row>
    <row r="614" spans="2:24" ht="16" thickBot="1" x14ac:dyDescent="0.25">
      <c r="B614" s="1658" t="e">
        <f>AVERAGE(#REF!)</f>
        <v>#REF!</v>
      </c>
      <c r="C614" s="207">
        <v>43702</v>
      </c>
      <c r="D614" s="66" t="s">
        <v>133</v>
      </c>
      <c r="E614" s="336"/>
      <c r="F614" s="1479" t="s">
        <v>150</v>
      </c>
      <c r="G614" s="302">
        <v>5.3391203703703705E-2</v>
      </c>
      <c r="H614" s="303">
        <v>13.6</v>
      </c>
      <c r="I614" s="311">
        <f t="shared" si="77"/>
        <v>3.9258238017429196E-3</v>
      </c>
      <c r="J614" s="262">
        <v>143</v>
      </c>
      <c r="K614" s="1757"/>
      <c r="L614" s="1569">
        <v>211</v>
      </c>
      <c r="M614" s="1592"/>
      <c r="N614" s="172">
        <f t="shared" si="75"/>
        <v>1.0681990781387183</v>
      </c>
      <c r="O614" s="677" t="s">
        <v>253</v>
      </c>
      <c r="P614" s="174" t="str">
        <f>IFERROR(VLOOKUP(F614,#REF!,12,FALSE),"")</f>
        <v/>
      </c>
      <c r="Q614" s="175" t="s">
        <v>8</v>
      </c>
      <c r="R614" s="64" t="str">
        <f>IFERROR(VLOOKUP(F614,#REF!,14,FALSE),"")</f>
        <v/>
      </c>
      <c r="S614" s="65">
        <f t="shared" si="78"/>
        <v>1.4755244755244756</v>
      </c>
      <c r="U614" s="1728"/>
      <c r="V614" s="176">
        <f t="shared" si="76"/>
        <v>0</v>
      </c>
      <c r="W614" s="1768"/>
      <c r="X614" s="176"/>
    </row>
    <row r="615" spans="2:24" ht="16" thickBot="1" x14ac:dyDescent="0.25">
      <c r="B615" s="1652">
        <f>B608+1</f>
        <v>35</v>
      </c>
      <c r="C615" s="193">
        <v>43703</v>
      </c>
      <c r="D615" s="225"/>
      <c r="E615" s="337"/>
      <c r="F615" s="1480"/>
      <c r="G615" s="559"/>
      <c r="H615" s="560" t="str">
        <f>IFERROR(VLOOKUP(F615,#REF!,10,FALSE),"")</f>
        <v/>
      </c>
      <c r="I615" s="179" t="str">
        <f t="shared" si="77"/>
        <v/>
      </c>
      <c r="J615" s="269"/>
      <c r="K615" s="1757"/>
      <c r="L615" s="270"/>
      <c r="M615" s="1593"/>
      <c r="N615" s="77" t="str">
        <f t="shared" si="75"/>
        <v/>
      </c>
      <c r="O615" s="561"/>
      <c r="P615" s="224" t="str">
        <f>IFERROR(VLOOKUP(F615,#REF!,12,FALSE),"")</f>
        <v/>
      </c>
      <c r="Q615" s="80" t="s">
        <v>8</v>
      </c>
      <c r="R615" s="80" t="str">
        <f>IFERROR(VLOOKUP(F615,#REF!,14,FALSE),"")</f>
        <v/>
      </c>
      <c r="S615" s="33" t="str">
        <f t="shared" si="78"/>
        <v/>
      </c>
      <c r="U615" s="1728"/>
      <c r="V615" s="225">
        <f t="shared" si="76"/>
        <v>0</v>
      </c>
      <c r="W615" s="1766"/>
      <c r="X615" s="225"/>
    </row>
    <row r="616" spans="2:24" x14ac:dyDescent="0.2">
      <c r="B616" s="1653" t="s">
        <v>142</v>
      </c>
      <c r="C616" s="603">
        <v>43704</v>
      </c>
      <c r="D616" s="678" t="s">
        <v>134</v>
      </c>
      <c r="E616" s="679"/>
      <c r="F616" s="1475" t="s">
        <v>147</v>
      </c>
      <c r="G616" s="649">
        <v>4.8553240740740744E-2</v>
      </c>
      <c r="H616" s="673">
        <v>9.19</v>
      </c>
      <c r="I616" s="651">
        <f t="shared" si="77"/>
        <v>5.2832688510055219E-3</v>
      </c>
      <c r="J616" s="652">
        <v>124</v>
      </c>
      <c r="K616" s="1757"/>
      <c r="L616" s="1568">
        <v>160</v>
      </c>
      <c r="M616" s="1591"/>
      <c r="N616" s="610">
        <f t="shared" si="75"/>
        <v>1.0900881880044824</v>
      </c>
      <c r="O616" s="653" t="s">
        <v>252</v>
      </c>
      <c r="P616" s="654" t="str">
        <f>IFERROR(VLOOKUP(F616,#REF!,12,FALSE),"")</f>
        <v/>
      </c>
      <c r="Q616" s="655" t="s">
        <v>8</v>
      </c>
      <c r="R616" s="46" t="str">
        <f>IFERROR(VLOOKUP(F616,#REF!,14,FALSE),"")</f>
        <v/>
      </c>
      <c r="S616" s="47"/>
      <c r="U616" s="1728"/>
      <c r="V616" s="48">
        <f t="shared" si="76"/>
        <v>0</v>
      </c>
      <c r="W616" s="1767"/>
      <c r="X616" s="48"/>
    </row>
    <row r="617" spans="2:24" ht="16" thickBot="1" x14ac:dyDescent="0.25">
      <c r="B617" s="1654">
        <f>SUM(H615:H621)</f>
        <v>48.37</v>
      </c>
      <c r="C617" s="161">
        <v>43705</v>
      </c>
      <c r="D617" s="680" t="s">
        <v>135</v>
      </c>
      <c r="E617" s="681"/>
      <c r="F617" s="1475" t="s">
        <v>161</v>
      </c>
      <c r="G617" s="649">
        <v>4.4166666666666667E-2</v>
      </c>
      <c r="H617" s="673">
        <v>11.57</v>
      </c>
      <c r="I617" s="651">
        <f t="shared" si="77"/>
        <v>3.8173437049841543E-3</v>
      </c>
      <c r="J617" s="652">
        <v>146</v>
      </c>
      <c r="K617" s="1757"/>
      <c r="L617" s="1568">
        <v>211</v>
      </c>
      <c r="M617" s="1591"/>
      <c r="N617" s="610">
        <f t="shared" si="75"/>
        <v>1.0386821295424347</v>
      </c>
      <c r="O617" s="653" t="s">
        <v>175</v>
      </c>
      <c r="P617" s="654" t="str">
        <f>IFERROR(VLOOKUP(F617,#REF!,12,FALSE),"")</f>
        <v/>
      </c>
      <c r="Q617" s="655" t="s">
        <v>8</v>
      </c>
      <c r="R617" s="46" t="str">
        <f>IFERROR(VLOOKUP(F617,#REF!,14,FALSE),"")</f>
        <v/>
      </c>
      <c r="S617" s="47">
        <f t="shared" ref="S617:S680" si="79">IFERROR(L617/J617,"")</f>
        <v>1.4452054794520548</v>
      </c>
      <c r="U617" s="1728"/>
      <c r="V617" s="48">
        <f t="shared" si="76"/>
        <v>0</v>
      </c>
      <c r="W617" s="1767"/>
      <c r="X617" s="48"/>
    </row>
    <row r="618" spans="2:24" x14ac:dyDescent="0.2">
      <c r="B618" s="1655" t="s">
        <v>144</v>
      </c>
      <c r="C618" s="161">
        <v>43706</v>
      </c>
      <c r="D618" s="680"/>
      <c r="E618" s="681"/>
      <c r="F618" s="1475"/>
      <c r="G618" s="649"/>
      <c r="H618" s="673" t="str">
        <f>IFERROR(VLOOKUP(F618,#REF!,10,FALSE),"")</f>
        <v/>
      </c>
      <c r="I618" s="651" t="str">
        <f t="shared" si="77"/>
        <v/>
      </c>
      <c r="J618" s="652"/>
      <c r="K618" s="1757"/>
      <c r="L618" s="1568"/>
      <c r="M618" s="1591"/>
      <c r="N618" s="610" t="str">
        <f t="shared" si="75"/>
        <v/>
      </c>
      <c r="O618" s="653"/>
      <c r="P618" s="654" t="str">
        <f>IFERROR(VLOOKUP(F618,#REF!,12,FALSE),"")</f>
        <v/>
      </c>
      <c r="Q618" s="655" t="s">
        <v>8</v>
      </c>
      <c r="R618" s="46" t="str">
        <f>IFERROR(VLOOKUP(F618,#REF!,14,FALSE),"")</f>
        <v/>
      </c>
      <c r="S618" s="47" t="str">
        <f t="shared" si="79"/>
        <v/>
      </c>
      <c r="U618" s="1728"/>
      <c r="V618" s="48">
        <f t="shared" si="76"/>
        <v>0</v>
      </c>
      <c r="W618" s="1767"/>
      <c r="X618" s="48"/>
    </row>
    <row r="619" spans="2:24" ht="16" thickBot="1" x14ac:dyDescent="0.25">
      <c r="B619" s="1656" t="e">
        <f>SUM(#REF!)</f>
        <v>#REF!</v>
      </c>
      <c r="C619" s="161">
        <v>43707</v>
      </c>
      <c r="D619" s="680" t="s">
        <v>136</v>
      </c>
      <c r="E619" s="681"/>
      <c r="F619" s="1475" t="s">
        <v>173</v>
      </c>
      <c r="G619" s="649">
        <v>4.148148148148148E-2</v>
      </c>
      <c r="H619" s="673">
        <v>10.75</v>
      </c>
      <c r="I619" s="651">
        <f t="shared" si="77"/>
        <v>3.8587424633936261E-3</v>
      </c>
      <c r="J619" s="652">
        <v>129</v>
      </c>
      <c r="K619" s="1757"/>
      <c r="L619" s="1568">
        <v>213</v>
      </c>
      <c r="M619" s="1591"/>
      <c r="N619" s="610">
        <f t="shared" si="75"/>
        <v>1.0598986463033671</v>
      </c>
      <c r="O619" s="653" t="s">
        <v>253</v>
      </c>
      <c r="P619" s="654" t="str">
        <f>IFERROR(VLOOKUP(F619,#REF!,12,FALSE),"")</f>
        <v/>
      </c>
      <c r="Q619" s="655" t="s">
        <v>8</v>
      </c>
      <c r="R619" s="46" t="str">
        <f>IFERROR(VLOOKUP(F619,#REF!,14,FALSE),"")</f>
        <v/>
      </c>
      <c r="S619" s="47">
        <f t="shared" si="79"/>
        <v>1.6511627906976745</v>
      </c>
      <c r="U619" s="1728"/>
      <c r="V619" s="48">
        <f t="shared" si="76"/>
        <v>0</v>
      </c>
      <c r="W619" s="1767"/>
      <c r="X619" s="48"/>
    </row>
    <row r="620" spans="2:24" x14ac:dyDescent="0.2">
      <c r="B620" s="1657" t="s">
        <v>256</v>
      </c>
      <c r="C620" s="161">
        <v>43708</v>
      </c>
      <c r="D620" s="680"/>
      <c r="E620" s="681"/>
      <c r="F620" s="1475"/>
      <c r="G620" s="649"/>
      <c r="H620" s="673" t="str">
        <f>IFERROR(VLOOKUP(F620,#REF!,10,FALSE),"")</f>
        <v/>
      </c>
      <c r="I620" s="651" t="str">
        <f t="shared" si="77"/>
        <v/>
      </c>
      <c r="J620" s="652"/>
      <c r="K620" s="1757"/>
      <c r="L620" s="1568"/>
      <c r="M620" s="1591"/>
      <c r="N620" s="610" t="str">
        <f t="shared" si="75"/>
        <v/>
      </c>
      <c r="O620" s="653"/>
      <c r="P620" s="654" t="str">
        <f>IFERROR(VLOOKUP(F620,#REF!,12,FALSE),"")</f>
        <v/>
      </c>
      <c r="Q620" s="655" t="s">
        <v>8</v>
      </c>
      <c r="R620" s="46" t="str">
        <f>IFERROR(VLOOKUP(F620,#REF!,14,FALSE),"")</f>
        <v/>
      </c>
      <c r="S620" s="47" t="str">
        <f t="shared" si="79"/>
        <v/>
      </c>
      <c r="U620" s="1728"/>
      <c r="V620" s="48">
        <f t="shared" si="76"/>
        <v>0</v>
      </c>
      <c r="W620" s="1767"/>
      <c r="X620" s="48"/>
    </row>
    <row r="621" spans="2:24" ht="16" thickBot="1" x14ac:dyDescent="0.25">
      <c r="B621" s="1658" t="e">
        <f>AVERAGE(#REF!)</f>
        <v>#REF!</v>
      </c>
      <c r="C621" s="613">
        <v>43709</v>
      </c>
      <c r="D621" s="570" t="s">
        <v>137</v>
      </c>
      <c r="E621" s="682"/>
      <c r="F621" s="1476" t="s">
        <v>151</v>
      </c>
      <c r="G621" s="615">
        <v>6.33912037037037E-2</v>
      </c>
      <c r="H621" s="624">
        <v>16.86</v>
      </c>
      <c r="I621" s="625">
        <f t="shared" si="77"/>
        <v>3.7598578709195554E-3</v>
      </c>
      <c r="J621" s="626">
        <v>141</v>
      </c>
      <c r="K621" s="1757"/>
      <c r="L621" s="1570">
        <v>219</v>
      </c>
      <c r="M621" s="1594"/>
      <c r="N621" s="619">
        <f t="shared" si="75"/>
        <v>1.0618287565730069</v>
      </c>
      <c r="O621" s="620" t="s">
        <v>252</v>
      </c>
      <c r="P621" s="621" t="str">
        <f>IFERROR(VLOOKUP(F621,#REF!,12,FALSE),"")</f>
        <v/>
      </c>
      <c r="Q621" s="622" t="s">
        <v>8</v>
      </c>
      <c r="R621" s="107" t="str">
        <f>IFERROR(VLOOKUP(F621,#REF!,14,FALSE),"")</f>
        <v/>
      </c>
      <c r="S621" s="65">
        <f t="shared" si="79"/>
        <v>1.553191489361702</v>
      </c>
      <c r="U621" s="1728"/>
      <c r="V621" s="108">
        <f t="shared" si="76"/>
        <v>0</v>
      </c>
      <c r="W621" s="1768"/>
      <c r="X621" s="108"/>
    </row>
    <row r="622" spans="2:24" ht="16" thickBot="1" x14ac:dyDescent="0.25">
      <c r="B622" s="1652">
        <f>B615+1</f>
        <v>36</v>
      </c>
      <c r="C622" s="142">
        <v>43710</v>
      </c>
      <c r="D622" s="143"/>
      <c r="E622" s="144"/>
      <c r="F622" s="1477"/>
      <c r="G622" s="291"/>
      <c r="H622" s="602" t="str">
        <f>IFERROR(VLOOKUP(F622,#REF!,10,FALSE),"")</f>
        <v/>
      </c>
      <c r="I622" s="309" t="str">
        <f t="shared" si="77"/>
        <v/>
      </c>
      <c r="J622" s="295"/>
      <c r="K622" s="1757"/>
      <c r="L622" s="792"/>
      <c r="M622" s="1595"/>
      <c r="N622" s="150" t="str">
        <f t="shared" ref="N622:N685" si="80">IFERROR((L622/67)/(1/(I622*24)/3.6),"")</f>
        <v/>
      </c>
      <c r="O622" s="576"/>
      <c r="P622" s="152" t="str">
        <f>IFERROR(VLOOKUP(F622,#REF!,12,FALSE),"")</f>
        <v/>
      </c>
      <c r="Q622" s="153" t="s">
        <v>8</v>
      </c>
      <c r="R622" s="32" t="str">
        <f>IFERROR(VLOOKUP(F622,#REF!,14,FALSE),"")</f>
        <v/>
      </c>
      <c r="S622" s="33" t="str">
        <f t="shared" si="79"/>
        <v/>
      </c>
      <c r="U622" s="1728"/>
      <c r="V622" s="154">
        <f t="shared" si="76"/>
        <v>0</v>
      </c>
      <c r="W622" s="1766"/>
      <c r="X622" s="154"/>
    </row>
    <row r="623" spans="2:24" x14ac:dyDescent="0.2">
      <c r="B623" s="1653" t="s">
        <v>142</v>
      </c>
      <c r="C623" s="161">
        <v>43711</v>
      </c>
      <c r="D623" s="49"/>
      <c r="E623" s="156"/>
      <c r="F623" s="1478"/>
      <c r="G623" s="298"/>
      <c r="H623" s="299" t="str">
        <f>IFERROR(VLOOKUP(F623,#REF!,10,FALSE),"")</f>
        <v/>
      </c>
      <c r="I623" s="310" t="str">
        <f t="shared" si="77"/>
        <v/>
      </c>
      <c r="J623" s="252"/>
      <c r="K623" s="1757"/>
      <c r="L623" s="1568"/>
      <c r="M623" s="1591"/>
      <c r="N623" s="158" t="str">
        <f t="shared" si="80"/>
        <v/>
      </c>
      <c r="O623" s="577"/>
      <c r="P623" s="93" t="str">
        <f>IFERROR(VLOOKUP(F623,#REF!,12,FALSE),"")</f>
        <v/>
      </c>
      <c r="Q623" s="94" t="s">
        <v>8</v>
      </c>
      <c r="R623" s="46" t="str">
        <f>IFERROR(VLOOKUP(F623,#REF!,14,FALSE),"")</f>
        <v/>
      </c>
      <c r="S623" s="47" t="str">
        <f t="shared" si="79"/>
        <v/>
      </c>
      <c r="U623" s="1728"/>
      <c r="V623" s="160">
        <f t="shared" si="76"/>
        <v>0</v>
      </c>
      <c r="W623" s="1767"/>
      <c r="X623" s="160"/>
    </row>
    <row r="624" spans="2:24" ht="16" thickBot="1" x14ac:dyDescent="0.25">
      <c r="B624" s="1654">
        <f>SUM(H622:H628)</f>
        <v>33.78</v>
      </c>
      <c r="C624" s="161">
        <v>43712</v>
      </c>
      <c r="D624" s="49" t="s">
        <v>138</v>
      </c>
      <c r="E624" s="156"/>
      <c r="F624" s="1478" t="s">
        <v>173</v>
      </c>
      <c r="G624" s="298">
        <v>4.02662037037037E-2</v>
      </c>
      <c r="H624" s="299">
        <v>10.5</v>
      </c>
      <c r="I624" s="310">
        <f t="shared" si="77"/>
        <v>3.834876543209876E-3</v>
      </c>
      <c r="J624" s="252">
        <v>141</v>
      </c>
      <c r="K624" s="1757"/>
      <c r="L624" s="1568">
        <v>215</v>
      </c>
      <c r="M624" s="1591"/>
      <c r="N624" s="158">
        <f t="shared" si="80"/>
        <v>1.0632338308457712</v>
      </c>
      <c r="O624" s="577" t="s">
        <v>252</v>
      </c>
      <c r="P624" s="93" t="str">
        <f>IFERROR(VLOOKUP(F624,#REF!,12,FALSE),"")</f>
        <v/>
      </c>
      <c r="Q624" s="94" t="s">
        <v>8</v>
      </c>
      <c r="R624" s="46" t="str">
        <f>IFERROR(VLOOKUP(F624,#REF!,14,FALSE),"")</f>
        <v/>
      </c>
      <c r="S624" s="47">
        <f t="shared" si="79"/>
        <v>1.5248226950354611</v>
      </c>
      <c r="U624" s="1728"/>
      <c r="V624" s="160">
        <f t="shared" si="76"/>
        <v>0</v>
      </c>
      <c r="W624" s="1767"/>
      <c r="X624" s="160"/>
    </row>
    <row r="625" spans="2:24" x14ac:dyDescent="0.2">
      <c r="B625" s="1655" t="s">
        <v>144</v>
      </c>
      <c r="C625" s="161">
        <v>43713</v>
      </c>
      <c r="D625" s="49"/>
      <c r="E625" s="156"/>
      <c r="F625" s="1478"/>
      <c r="G625" s="298"/>
      <c r="H625" s="299" t="str">
        <f>IFERROR(VLOOKUP(F625,#REF!,10,FALSE),"")</f>
        <v/>
      </c>
      <c r="I625" s="310" t="str">
        <f t="shared" si="77"/>
        <v/>
      </c>
      <c r="J625" s="252"/>
      <c r="K625" s="1757"/>
      <c r="L625" s="1568"/>
      <c r="M625" s="1591"/>
      <c r="N625" s="158" t="str">
        <f t="shared" si="80"/>
        <v/>
      </c>
      <c r="O625" s="577"/>
      <c r="P625" s="93" t="str">
        <f>IFERROR(VLOOKUP(F625,#REF!,12,FALSE),"")</f>
        <v/>
      </c>
      <c r="Q625" s="94" t="s">
        <v>8</v>
      </c>
      <c r="R625" s="46" t="str">
        <f>IFERROR(VLOOKUP(F625,#REF!,14,FALSE),"")</f>
        <v/>
      </c>
      <c r="S625" s="47" t="str">
        <f t="shared" si="79"/>
        <v/>
      </c>
      <c r="U625" s="1728"/>
      <c r="V625" s="160">
        <f t="shared" si="76"/>
        <v>0</v>
      </c>
      <c r="W625" s="1767"/>
      <c r="X625" s="160"/>
    </row>
    <row r="626" spans="2:24" ht="16" thickBot="1" x14ac:dyDescent="0.25">
      <c r="B626" s="1656" t="e">
        <f>SUM(#REF!)</f>
        <v>#REF!</v>
      </c>
      <c r="C626" s="161">
        <v>43714</v>
      </c>
      <c r="D626" s="49" t="s">
        <v>139</v>
      </c>
      <c r="E626" s="156"/>
      <c r="F626" s="1478" t="s">
        <v>155</v>
      </c>
      <c r="G626" s="298">
        <v>3.5520833333333328E-2</v>
      </c>
      <c r="H626" s="299">
        <v>10.11</v>
      </c>
      <c r="I626" s="310">
        <f t="shared" si="77"/>
        <v>3.5134355423672927E-3</v>
      </c>
      <c r="J626" s="252">
        <v>147</v>
      </c>
      <c r="K626" s="1757"/>
      <c r="L626" s="1568">
        <v>231</v>
      </c>
      <c r="M626" s="1591"/>
      <c r="N626" s="158">
        <f t="shared" si="80"/>
        <v>1.0466052526684084</v>
      </c>
      <c r="O626" s="577" t="s">
        <v>253</v>
      </c>
      <c r="P626" s="93" t="str">
        <f>IFERROR(VLOOKUP(F626,#REF!,12,FALSE),"")</f>
        <v/>
      </c>
      <c r="Q626" s="94" t="s">
        <v>8</v>
      </c>
      <c r="R626" s="46" t="str">
        <f>IFERROR(VLOOKUP(F626,#REF!,14,FALSE),"")</f>
        <v/>
      </c>
      <c r="S626" s="47">
        <f t="shared" si="79"/>
        <v>1.5714285714285714</v>
      </c>
      <c r="U626" s="1728"/>
      <c r="V626" s="160">
        <f t="shared" si="76"/>
        <v>0</v>
      </c>
      <c r="W626" s="1767"/>
      <c r="X626" s="160"/>
    </row>
    <row r="627" spans="2:24" x14ac:dyDescent="0.2">
      <c r="B627" s="1657" t="s">
        <v>256</v>
      </c>
      <c r="C627" s="161">
        <v>43715</v>
      </c>
      <c r="D627" s="49"/>
      <c r="E627" s="156"/>
      <c r="F627" s="1478"/>
      <c r="G627" s="298"/>
      <c r="H627" s="299" t="str">
        <f>IFERROR(VLOOKUP(F627,#REF!,10,FALSE),"")</f>
        <v/>
      </c>
      <c r="I627" s="310" t="str">
        <f t="shared" si="77"/>
        <v/>
      </c>
      <c r="J627" s="252"/>
      <c r="K627" s="1757"/>
      <c r="L627" s="1568"/>
      <c r="M627" s="1591"/>
      <c r="N627" s="158" t="str">
        <f t="shared" si="80"/>
        <v/>
      </c>
      <c r="O627" s="577"/>
      <c r="P627" s="93" t="str">
        <f>IFERROR(VLOOKUP(F627,#REF!,12,FALSE),"")</f>
        <v/>
      </c>
      <c r="Q627" s="94" t="s">
        <v>8</v>
      </c>
      <c r="R627" s="46" t="str">
        <f>IFERROR(VLOOKUP(F627,#REF!,14,FALSE),"")</f>
        <v/>
      </c>
      <c r="S627" s="47" t="str">
        <f t="shared" si="79"/>
        <v/>
      </c>
      <c r="U627" s="1728"/>
      <c r="V627" s="160">
        <f t="shared" si="76"/>
        <v>0</v>
      </c>
      <c r="W627" s="1767"/>
      <c r="X627" s="160"/>
    </row>
    <row r="628" spans="2:24" ht="16" thickBot="1" x14ac:dyDescent="0.25">
      <c r="B628" s="1658" t="e">
        <f>AVERAGE(#REF!)</f>
        <v>#REF!</v>
      </c>
      <c r="C628" s="207">
        <v>43716</v>
      </c>
      <c r="D628" s="67" t="s">
        <v>140</v>
      </c>
      <c r="E628" s="208"/>
      <c r="F628" s="1479" t="s">
        <v>150</v>
      </c>
      <c r="G628" s="302">
        <v>5.1053240740740746E-2</v>
      </c>
      <c r="H628" s="303">
        <v>13.17</v>
      </c>
      <c r="I628" s="311">
        <f t="shared" si="77"/>
        <v>3.8764799347563209E-3</v>
      </c>
      <c r="J628" s="262">
        <v>135</v>
      </c>
      <c r="K628" s="1757"/>
      <c r="L628" s="1569">
        <v>213</v>
      </c>
      <c r="M628" s="1592"/>
      <c r="N628" s="172">
        <f t="shared" si="80"/>
        <v>1.0647706796314556</v>
      </c>
      <c r="O628" s="578" t="s">
        <v>252</v>
      </c>
      <c r="P628" s="174" t="str">
        <f>IFERROR(VLOOKUP(F628,#REF!,12,FALSE),"")</f>
        <v/>
      </c>
      <c r="Q628" s="175" t="s">
        <v>8</v>
      </c>
      <c r="R628" s="64" t="str">
        <f>IFERROR(VLOOKUP(F628,#REF!,14,FALSE),"")</f>
        <v/>
      </c>
      <c r="S628" s="65">
        <f t="shared" si="79"/>
        <v>1.5777777777777777</v>
      </c>
      <c r="U628" s="1728"/>
      <c r="V628" s="176">
        <f t="shared" si="76"/>
        <v>0</v>
      </c>
      <c r="W628" s="1768"/>
      <c r="X628" s="176"/>
    </row>
    <row r="629" spans="2:24" ht="16" thickBot="1" x14ac:dyDescent="0.25">
      <c r="B629" s="1652">
        <f>B622+1</f>
        <v>37</v>
      </c>
      <c r="C629" s="193">
        <v>43717</v>
      </c>
      <c r="D629" s="70"/>
      <c r="E629" s="71"/>
      <c r="F629" s="1480"/>
      <c r="G629" s="559"/>
      <c r="H629" s="560" t="str">
        <f>IFERROR(VLOOKUP(F629,#REF!,10,FALSE),"")</f>
        <v/>
      </c>
      <c r="I629" s="179" t="str">
        <f t="shared" si="77"/>
        <v/>
      </c>
      <c r="J629" s="269"/>
      <c r="K629" s="1757"/>
      <c r="L629" s="270"/>
      <c r="M629" s="1593"/>
      <c r="N629" s="77" t="str">
        <f t="shared" si="80"/>
        <v/>
      </c>
      <c r="O629" s="561"/>
      <c r="P629" s="224" t="str">
        <f>IFERROR(VLOOKUP(F629,#REF!,12,FALSE),"")</f>
        <v/>
      </c>
      <c r="Q629" s="80" t="s">
        <v>8</v>
      </c>
      <c r="R629" s="80" t="str">
        <f>IFERROR(VLOOKUP(F629,#REF!,14,FALSE),"")</f>
        <v/>
      </c>
      <c r="S629" s="33" t="str">
        <f t="shared" si="79"/>
        <v/>
      </c>
      <c r="U629" s="1728"/>
      <c r="V629" s="225">
        <f t="shared" si="76"/>
        <v>0</v>
      </c>
      <c r="W629" s="1766"/>
      <c r="X629" s="225"/>
    </row>
    <row r="630" spans="2:24" x14ac:dyDescent="0.2">
      <c r="B630" s="1653" t="s">
        <v>142</v>
      </c>
      <c r="C630" s="603">
        <v>43718</v>
      </c>
      <c r="D630" s="604"/>
      <c r="E630" s="605"/>
      <c r="F630" s="1475"/>
      <c r="G630" s="649"/>
      <c r="H630" s="673" t="str">
        <f>IFERROR(VLOOKUP(F630,#REF!,10,FALSE),"")</f>
        <v/>
      </c>
      <c r="I630" s="651" t="str">
        <f t="shared" si="77"/>
        <v/>
      </c>
      <c r="J630" s="652"/>
      <c r="K630" s="1757"/>
      <c r="L630" s="1568"/>
      <c r="M630" s="1591"/>
      <c r="N630" s="610" t="str">
        <f t="shared" si="80"/>
        <v/>
      </c>
      <c r="O630" s="653"/>
      <c r="P630" s="654" t="str">
        <f>IFERROR(VLOOKUP(F630,#REF!,12,FALSE),"")</f>
        <v/>
      </c>
      <c r="Q630" s="655" t="s">
        <v>8</v>
      </c>
      <c r="R630" s="46" t="str">
        <f>IFERROR(VLOOKUP(F630,#REF!,14,FALSE),"")</f>
        <v/>
      </c>
      <c r="S630" s="47" t="str">
        <f t="shared" si="79"/>
        <v/>
      </c>
      <c r="U630" s="1728"/>
      <c r="V630" s="48">
        <f t="shared" si="76"/>
        <v>0</v>
      </c>
      <c r="W630" s="1767"/>
      <c r="X630" s="48"/>
    </row>
    <row r="631" spans="2:24" ht="16" thickBot="1" x14ac:dyDescent="0.25">
      <c r="B631" s="1654">
        <f>SUM(H629:H635)</f>
        <v>20.700000000000003</v>
      </c>
      <c r="C631" s="161">
        <v>43719</v>
      </c>
      <c r="D631" s="604">
        <v>122</v>
      </c>
      <c r="E631" s="605"/>
      <c r="F631" s="1475" t="s">
        <v>173</v>
      </c>
      <c r="G631" s="649">
        <v>3.7222222222222219E-2</v>
      </c>
      <c r="H631" s="673">
        <v>9.9700000000000006</v>
      </c>
      <c r="I631" s="651">
        <f t="shared" si="77"/>
        <v>3.7334224896912955E-3</v>
      </c>
      <c r="J631" s="652">
        <v>138</v>
      </c>
      <c r="K631" s="1757"/>
      <c r="L631" s="1568">
        <v>222</v>
      </c>
      <c r="M631" s="1591"/>
      <c r="N631" s="610">
        <f t="shared" si="80"/>
        <v>1.0688064192577731</v>
      </c>
      <c r="O631" s="653" t="s">
        <v>252</v>
      </c>
      <c r="P631" s="654" t="str">
        <f>IFERROR(VLOOKUP(F631,#REF!,12,FALSE),"")</f>
        <v/>
      </c>
      <c r="Q631" s="655" t="s">
        <v>8</v>
      </c>
      <c r="R631" s="46" t="str">
        <f>IFERROR(VLOOKUP(F631,#REF!,14,FALSE),"")</f>
        <v/>
      </c>
      <c r="S631" s="47">
        <f t="shared" si="79"/>
        <v>1.6086956521739131</v>
      </c>
      <c r="U631" s="1728"/>
      <c r="V631" s="48">
        <f t="shared" si="76"/>
        <v>0</v>
      </c>
      <c r="W631" s="1767"/>
      <c r="X631" s="48"/>
    </row>
    <row r="632" spans="2:24" x14ac:dyDescent="0.2">
      <c r="B632" s="1655" t="s">
        <v>144</v>
      </c>
      <c r="C632" s="161">
        <v>43720</v>
      </c>
      <c r="D632" s="604"/>
      <c r="E632" s="605"/>
      <c r="F632" s="1475"/>
      <c r="G632" s="649"/>
      <c r="H632" s="673" t="str">
        <f>IFERROR(VLOOKUP(F632,#REF!,10,FALSE),"")</f>
        <v/>
      </c>
      <c r="I632" s="651" t="str">
        <f t="shared" si="77"/>
        <v/>
      </c>
      <c r="J632" s="652"/>
      <c r="K632" s="1757"/>
      <c r="L632" s="1568"/>
      <c r="M632" s="1591"/>
      <c r="N632" s="610" t="str">
        <f t="shared" si="80"/>
        <v/>
      </c>
      <c r="O632" s="653"/>
      <c r="P632" s="654" t="str">
        <f>IFERROR(VLOOKUP(F632,#REF!,12,FALSE),"")</f>
        <v/>
      </c>
      <c r="Q632" s="655" t="s">
        <v>8</v>
      </c>
      <c r="R632" s="46" t="str">
        <f>IFERROR(VLOOKUP(F632,#REF!,14,FALSE),"")</f>
        <v/>
      </c>
      <c r="S632" s="47" t="str">
        <f t="shared" si="79"/>
        <v/>
      </c>
      <c r="U632" s="1728"/>
      <c r="V632" s="48">
        <f t="shared" si="76"/>
        <v>0</v>
      </c>
      <c r="W632" s="1767"/>
      <c r="X632" s="48"/>
    </row>
    <row r="633" spans="2:24" ht="16" thickBot="1" x14ac:dyDescent="0.25">
      <c r="B633" s="1656" t="e">
        <f>SUM(#REF!)</f>
        <v>#REF!</v>
      </c>
      <c r="C633" s="161">
        <v>43721</v>
      </c>
      <c r="D633" s="604"/>
      <c r="E633" s="605"/>
      <c r="F633" s="1475"/>
      <c r="G633" s="649"/>
      <c r="H633" s="673" t="str">
        <f>IFERROR(VLOOKUP(F633,#REF!,10,FALSE),"")</f>
        <v/>
      </c>
      <c r="I633" s="651" t="str">
        <f t="shared" si="77"/>
        <v/>
      </c>
      <c r="J633" s="652"/>
      <c r="K633" s="1757"/>
      <c r="L633" s="1568"/>
      <c r="M633" s="1591"/>
      <c r="N633" s="610" t="str">
        <f t="shared" si="80"/>
        <v/>
      </c>
      <c r="O633" s="653"/>
      <c r="P633" s="654" t="str">
        <f>IFERROR(VLOOKUP(F633,#REF!,12,FALSE),"")</f>
        <v/>
      </c>
      <c r="Q633" s="655" t="s">
        <v>8</v>
      </c>
      <c r="R633" s="46" t="str">
        <f>IFERROR(VLOOKUP(F633,#REF!,14,FALSE),"")</f>
        <v/>
      </c>
      <c r="S633" s="47" t="str">
        <f t="shared" si="79"/>
        <v/>
      </c>
      <c r="U633" s="1728"/>
      <c r="V633" s="48">
        <f t="shared" si="76"/>
        <v>0</v>
      </c>
      <c r="W633" s="1767"/>
      <c r="X633" s="48"/>
    </row>
    <row r="634" spans="2:24" x14ac:dyDescent="0.2">
      <c r="B634" s="1657" t="s">
        <v>256</v>
      </c>
      <c r="C634" s="161">
        <v>43722</v>
      </c>
      <c r="D634" s="604" t="s">
        <v>177</v>
      </c>
      <c r="E634" s="605"/>
      <c r="F634" s="1475" t="s">
        <v>173</v>
      </c>
      <c r="G634" s="649">
        <v>3.875E-2</v>
      </c>
      <c r="H634" s="673">
        <v>10.73</v>
      </c>
      <c r="I634" s="651">
        <f t="shared" si="77"/>
        <v>3.6113699906803352E-3</v>
      </c>
      <c r="J634" s="652">
        <v>148</v>
      </c>
      <c r="K634" s="1757"/>
      <c r="L634" s="1568">
        <v>227</v>
      </c>
      <c r="M634" s="1591"/>
      <c r="N634" s="610">
        <f t="shared" si="80"/>
        <v>1.0571504082569445</v>
      </c>
      <c r="O634" s="653" t="s">
        <v>252</v>
      </c>
      <c r="P634" s="654" t="str">
        <f>IFERROR(VLOOKUP(F634,#REF!,12,FALSE),"")</f>
        <v/>
      </c>
      <c r="Q634" s="655" t="s">
        <v>8</v>
      </c>
      <c r="R634" s="46" t="str">
        <f>IFERROR(VLOOKUP(F634,#REF!,14,FALSE),"")</f>
        <v/>
      </c>
      <c r="S634" s="47">
        <f t="shared" si="79"/>
        <v>1.5337837837837838</v>
      </c>
      <c r="U634" s="1728"/>
      <c r="V634" s="48">
        <f t="shared" ref="V634:V697" si="81">U633-T633</f>
        <v>0</v>
      </c>
      <c r="W634" s="1767"/>
      <c r="X634" s="48"/>
    </row>
    <row r="635" spans="2:24" ht="16" thickBot="1" x14ac:dyDescent="0.25">
      <c r="B635" s="1658" t="e">
        <f>AVERAGE(#REF!)</f>
        <v>#REF!</v>
      </c>
      <c r="C635" s="613">
        <v>43723</v>
      </c>
      <c r="D635" s="589"/>
      <c r="E635" s="614"/>
      <c r="F635" s="1476"/>
      <c r="G635" s="615"/>
      <c r="H635" s="624" t="str">
        <f>IFERROR(VLOOKUP(F635,#REF!,10,FALSE),"")</f>
        <v/>
      </c>
      <c r="I635" s="625" t="str">
        <f t="shared" si="77"/>
        <v/>
      </c>
      <c r="J635" s="626"/>
      <c r="K635" s="1757"/>
      <c r="L635" s="1570"/>
      <c r="M635" s="1594"/>
      <c r="N635" s="619" t="str">
        <f t="shared" si="80"/>
        <v/>
      </c>
      <c r="O635" s="620"/>
      <c r="P635" s="621" t="str">
        <f>IFERROR(VLOOKUP(F635,#REF!,12,FALSE),"")</f>
        <v/>
      </c>
      <c r="Q635" s="622" t="s">
        <v>8</v>
      </c>
      <c r="R635" s="107" t="str">
        <f>IFERROR(VLOOKUP(F635,#REF!,14,FALSE),"")</f>
        <v/>
      </c>
      <c r="S635" s="65" t="str">
        <f t="shared" si="79"/>
        <v/>
      </c>
      <c r="U635" s="1728"/>
      <c r="V635" s="108">
        <f t="shared" si="81"/>
        <v>0</v>
      </c>
      <c r="W635" s="1768"/>
      <c r="X635" s="108"/>
    </row>
    <row r="636" spans="2:24" ht="16" thickBot="1" x14ac:dyDescent="0.25">
      <c r="B636" s="1652">
        <f>B629+1</f>
        <v>38</v>
      </c>
      <c r="C636" s="142">
        <v>43724</v>
      </c>
      <c r="D636" s="143"/>
      <c r="E636" s="144"/>
      <c r="F636" s="1477"/>
      <c r="G636" s="291"/>
      <c r="H636" s="602" t="str">
        <f>IFERROR(VLOOKUP(F636,#REF!,10,FALSE),"")</f>
        <v/>
      </c>
      <c r="I636" s="309" t="str">
        <f t="shared" si="77"/>
        <v/>
      </c>
      <c r="J636" s="295"/>
      <c r="K636" s="1757"/>
      <c r="L636" s="792"/>
      <c r="M636" s="1595"/>
      <c r="N636" s="150" t="str">
        <f t="shared" si="80"/>
        <v/>
      </c>
      <c r="O636" s="576"/>
      <c r="P636" s="152" t="str">
        <f>IFERROR(VLOOKUP(F636,#REF!,12,FALSE),"")</f>
        <v/>
      </c>
      <c r="Q636" s="153" t="s">
        <v>8</v>
      </c>
      <c r="R636" s="32" t="str">
        <f>IFERROR(VLOOKUP(F636,#REF!,14,FALSE),"")</f>
        <v/>
      </c>
      <c r="S636" s="33" t="str">
        <f t="shared" si="79"/>
        <v/>
      </c>
      <c r="U636" s="1728"/>
      <c r="V636" s="154">
        <f t="shared" si="81"/>
        <v>0</v>
      </c>
      <c r="W636" s="1766"/>
      <c r="X636" s="154"/>
    </row>
    <row r="637" spans="2:24" x14ac:dyDescent="0.2">
      <c r="B637" s="1653" t="s">
        <v>142</v>
      </c>
      <c r="C637" s="161">
        <v>43725</v>
      </c>
      <c r="D637" s="49" t="s">
        <v>178</v>
      </c>
      <c r="E637" s="156"/>
      <c r="F637" s="1478" t="s">
        <v>173</v>
      </c>
      <c r="G637" s="298">
        <v>3.2187500000000001E-2</v>
      </c>
      <c r="H637" s="299">
        <v>8.5299999999999994</v>
      </c>
      <c r="I637" s="310">
        <f t="shared" si="77"/>
        <v>3.773446658851114E-3</v>
      </c>
      <c r="J637" s="252">
        <v>140</v>
      </c>
      <c r="K637" s="1757"/>
      <c r="L637" s="1568">
        <v>218</v>
      </c>
      <c r="M637" s="1591"/>
      <c r="N637" s="158">
        <f t="shared" si="80"/>
        <v>1.0608003359521267</v>
      </c>
      <c r="O637" s="577" t="s">
        <v>253</v>
      </c>
      <c r="P637" s="93" t="str">
        <f>IFERROR(VLOOKUP(F637,#REF!,12,FALSE),"")</f>
        <v/>
      </c>
      <c r="Q637" s="94" t="s">
        <v>8</v>
      </c>
      <c r="R637" s="46" t="str">
        <f>IFERROR(VLOOKUP(F637,#REF!,14,FALSE),"")</f>
        <v/>
      </c>
      <c r="S637" s="47">
        <f t="shared" si="79"/>
        <v>1.5571428571428572</v>
      </c>
      <c r="U637" s="1728"/>
      <c r="V637" s="160">
        <f t="shared" si="81"/>
        <v>0</v>
      </c>
      <c r="W637" s="1767"/>
      <c r="X637" s="160"/>
    </row>
    <row r="638" spans="2:24" ht="16" thickBot="1" x14ac:dyDescent="0.25">
      <c r="B638" s="1654">
        <f>SUM(H636:H642)</f>
        <v>36.229999999999997</v>
      </c>
      <c r="C638" s="161">
        <v>43726</v>
      </c>
      <c r="D638" s="49"/>
      <c r="E638" s="156"/>
      <c r="F638" s="1478"/>
      <c r="G638" s="298"/>
      <c r="H638" s="299" t="str">
        <f>IFERROR(VLOOKUP(F638,#REF!,10,FALSE),"")</f>
        <v/>
      </c>
      <c r="I638" s="310" t="str">
        <f t="shared" si="77"/>
        <v/>
      </c>
      <c r="J638" s="252"/>
      <c r="K638" s="1757"/>
      <c r="L638" s="1568"/>
      <c r="M638" s="1591"/>
      <c r="N638" s="158" t="str">
        <f t="shared" si="80"/>
        <v/>
      </c>
      <c r="O638" s="577"/>
      <c r="P638" s="93" t="str">
        <f>IFERROR(VLOOKUP(F638,#REF!,12,FALSE),"")</f>
        <v/>
      </c>
      <c r="Q638" s="94" t="s">
        <v>8</v>
      </c>
      <c r="R638" s="46" t="str">
        <f>IFERROR(VLOOKUP(F638,#REF!,14,FALSE),"")</f>
        <v/>
      </c>
      <c r="S638" s="47" t="str">
        <f t="shared" si="79"/>
        <v/>
      </c>
      <c r="U638" s="1728"/>
      <c r="V638" s="160">
        <f t="shared" si="81"/>
        <v>0</v>
      </c>
      <c r="W638" s="1767"/>
      <c r="X638" s="160"/>
    </row>
    <row r="639" spans="2:24" x14ac:dyDescent="0.2">
      <c r="B639" s="1655" t="s">
        <v>144</v>
      </c>
      <c r="C639" s="161">
        <v>43727</v>
      </c>
      <c r="D639" s="49" t="s">
        <v>179</v>
      </c>
      <c r="E639" s="156"/>
      <c r="F639" s="1478" t="s">
        <v>173</v>
      </c>
      <c r="G639" s="298">
        <v>4.6331018518518514E-2</v>
      </c>
      <c r="H639" s="299">
        <v>12.73</v>
      </c>
      <c r="I639" s="310">
        <f t="shared" si="77"/>
        <v>3.6395144162229783E-3</v>
      </c>
      <c r="J639" s="252">
        <v>138</v>
      </c>
      <c r="K639" s="1757"/>
      <c r="L639" s="1568">
        <v>226</v>
      </c>
      <c r="M639" s="1591"/>
      <c r="N639" s="158">
        <f t="shared" si="80"/>
        <v>1.0606957357751696</v>
      </c>
      <c r="O639" s="577" t="s">
        <v>253</v>
      </c>
      <c r="P639" s="93" t="str">
        <f>IFERROR(VLOOKUP(F639,#REF!,12,FALSE),"")</f>
        <v/>
      </c>
      <c r="Q639" s="94" t="s">
        <v>8</v>
      </c>
      <c r="R639" s="46" t="str">
        <f>IFERROR(VLOOKUP(F639,#REF!,14,FALSE),"")</f>
        <v/>
      </c>
      <c r="S639" s="47">
        <f t="shared" si="79"/>
        <v>1.6376811594202898</v>
      </c>
      <c r="U639" s="1728"/>
      <c r="V639" s="160">
        <f t="shared" si="81"/>
        <v>0</v>
      </c>
      <c r="W639" s="1767"/>
      <c r="X639" s="160"/>
    </row>
    <row r="640" spans="2:24" ht="16" thickBot="1" x14ac:dyDescent="0.25">
      <c r="B640" s="1656" t="e">
        <f>SUM(#REF!)</f>
        <v>#REF!</v>
      </c>
      <c r="C640" s="161">
        <v>43728</v>
      </c>
      <c r="D640" s="49"/>
      <c r="E640" s="156"/>
      <c r="F640" s="1478"/>
      <c r="G640" s="298"/>
      <c r="H640" s="299" t="str">
        <f>IFERROR(VLOOKUP(F640,#REF!,10,FALSE),"")</f>
        <v/>
      </c>
      <c r="I640" s="310" t="str">
        <f t="shared" si="77"/>
        <v/>
      </c>
      <c r="J640" s="252"/>
      <c r="K640" s="1757"/>
      <c r="L640" s="1568"/>
      <c r="M640" s="1591"/>
      <c r="N640" s="158" t="str">
        <f t="shared" si="80"/>
        <v/>
      </c>
      <c r="O640" s="577"/>
      <c r="P640" s="93" t="str">
        <f>IFERROR(VLOOKUP(F640,#REF!,12,FALSE),"")</f>
        <v/>
      </c>
      <c r="Q640" s="94" t="s">
        <v>8</v>
      </c>
      <c r="R640" s="46" t="str">
        <f>IFERROR(VLOOKUP(F640,#REF!,14,FALSE),"")</f>
        <v/>
      </c>
      <c r="S640" s="47" t="str">
        <f t="shared" si="79"/>
        <v/>
      </c>
      <c r="U640" s="1728"/>
      <c r="V640" s="160">
        <f t="shared" si="81"/>
        <v>0</v>
      </c>
      <c r="W640" s="1767"/>
      <c r="X640" s="160"/>
    </row>
    <row r="641" spans="2:24" x14ac:dyDescent="0.2">
      <c r="B641" s="1657" t="s">
        <v>256</v>
      </c>
      <c r="C641" s="161">
        <v>43729</v>
      </c>
      <c r="D641" s="49" t="s">
        <v>180</v>
      </c>
      <c r="E641" s="156"/>
      <c r="F641" s="1478" t="s">
        <v>286</v>
      </c>
      <c r="G641" s="298">
        <v>5.1469907407407402E-2</v>
      </c>
      <c r="H641" s="299">
        <v>14.97</v>
      </c>
      <c r="I641" s="310">
        <f t="shared" si="77"/>
        <v>3.4382035676290847E-3</v>
      </c>
      <c r="J641" s="252">
        <v>150</v>
      </c>
      <c r="K641" s="1757"/>
      <c r="L641" s="1568">
        <v>237</v>
      </c>
      <c r="M641" s="1591"/>
      <c r="N641" s="158">
        <f t="shared" si="80"/>
        <v>1.0507971166213022</v>
      </c>
      <c r="O641" s="577" t="s">
        <v>175</v>
      </c>
      <c r="P641" s="93" t="str">
        <f>IFERROR(VLOOKUP(F641,#REF!,12,FALSE),"")</f>
        <v/>
      </c>
      <c r="Q641" s="94" t="s">
        <v>8</v>
      </c>
      <c r="R641" s="46" t="str">
        <f>IFERROR(VLOOKUP(F641,#REF!,14,FALSE),"")</f>
        <v/>
      </c>
      <c r="S641" s="47">
        <f t="shared" si="79"/>
        <v>1.58</v>
      </c>
      <c r="U641" s="1728"/>
      <c r="V641" s="160">
        <f t="shared" si="81"/>
        <v>0</v>
      </c>
      <c r="W641" s="1767"/>
      <c r="X641" s="160"/>
    </row>
    <row r="642" spans="2:24" ht="16" thickBot="1" x14ac:dyDescent="0.25">
      <c r="B642" s="1658" t="e">
        <f>AVERAGE(#REF!)</f>
        <v>#REF!</v>
      </c>
      <c r="C642" s="207">
        <v>43730</v>
      </c>
      <c r="D642" s="67"/>
      <c r="E642" s="208"/>
      <c r="F642" s="1479"/>
      <c r="G642" s="302"/>
      <c r="H642" s="303" t="str">
        <f>IFERROR(VLOOKUP(F642,#REF!,10,FALSE),"")</f>
        <v/>
      </c>
      <c r="I642" s="311" t="str">
        <f t="shared" si="77"/>
        <v/>
      </c>
      <c r="J642" s="262"/>
      <c r="K642" s="1757"/>
      <c r="L642" s="1569"/>
      <c r="M642" s="1592"/>
      <c r="N642" s="172" t="str">
        <f t="shared" si="80"/>
        <v/>
      </c>
      <c r="O642" s="578"/>
      <c r="P642" s="174" t="str">
        <f>IFERROR(VLOOKUP(F642,#REF!,12,FALSE),"")</f>
        <v/>
      </c>
      <c r="Q642" s="175" t="s">
        <v>8</v>
      </c>
      <c r="R642" s="64" t="str">
        <f>IFERROR(VLOOKUP(F642,#REF!,14,FALSE),"")</f>
        <v/>
      </c>
      <c r="S642" s="65" t="str">
        <f t="shared" si="79"/>
        <v/>
      </c>
      <c r="U642" s="1728"/>
      <c r="V642" s="176">
        <f t="shared" si="81"/>
        <v>0</v>
      </c>
      <c r="W642" s="1768"/>
      <c r="X642" s="176"/>
    </row>
    <row r="643" spans="2:24" ht="16" thickBot="1" x14ac:dyDescent="0.25">
      <c r="B643" s="1652">
        <f>B636+1</f>
        <v>39</v>
      </c>
      <c r="C643" s="193">
        <v>43731</v>
      </c>
      <c r="D643" s="70"/>
      <c r="E643" s="71"/>
      <c r="F643" s="1480"/>
      <c r="G643" s="559"/>
      <c r="H643" s="560" t="str">
        <f>IFERROR(VLOOKUP(F643,#REF!,10,FALSE),"")</f>
        <v/>
      </c>
      <c r="I643" s="179" t="str">
        <f t="shared" si="77"/>
        <v/>
      </c>
      <c r="J643" s="269"/>
      <c r="K643" s="1757"/>
      <c r="L643" s="270"/>
      <c r="M643" s="1593"/>
      <c r="N643" s="77" t="str">
        <f t="shared" si="80"/>
        <v/>
      </c>
      <c r="O643" s="561"/>
      <c r="P643" s="224" t="str">
        <f>IFERROR(VLOOKUP(F643,#REF!,12,FALSE),"")</f>
        <v/>
      </c>
      <c r="Q643" s="80" t="s">
        <v>8</v>
      </c>
      <c r="R643" s="80" t="str">
        <f>IFERROR(VLOOKUP(F643,#REF!,14,FALSE),"")</f>
        <v/>
      </c>
      <c r="S643" s="33" t="str">
        <f t="shared" si="79"/>
        <v/>
      </c>
      <c r="U643" s="1728"/>
      <c r="V643" s="225">
        <f t="shared" si="81"/>
        <v>0</v>
      </c>
      <c r="W643" s="1766"/>
      <c r="X643" s="225"/>
    </row>
    <row r="644" spans="2:24" x14ac:dyDescent="0.2">
      <c r="B644" s="1653" t="s">
        <v>142</v>
      </c>
      <c r="C644" s="603">
        <v>43732</v>
      </c>
      <c r="D644" s="604" t="s">
        <v>181</v>
      </c>
      <c r="E644" s="605"/>
      <c r="F644" s="1475" t="s">
        <v>173</v>
      </c>
      <c r="G644" s="649">
        <v>3.6782407407407409E-2</v>
      </c>
      <c r="H644" s="673">
        <v>10.1</v>
      </c>
      <c r="I644" s="651">
        <f t="shared" si="77"/>
        <v>3.6418225155848923E-3</v>
      </c>
      <c r="J644" s="652">
        <v>138</v>
      </c>
      <c r="K644" s="1757"/>
      <c r="L644" s="1568">
        <v>227</v>
      </c>
      <c r="M644" s="1591"/>
      <c r="N644" s="610">
        <f t="shared" si="80"/>
        <v>1.0660647258755729</v>
      </c>
      <c r="O644" s="653" t="s">
        <v>252</v>
      </c>
      <c r="P644" s="654" t="str">
        <f>IFERROR(VLOOKUP(F644,#REF!,12,FALSE),"")</f>
        <v/>
      </c>
      <c r="Q644" s="655" t="s">
        <v>8</v>
      </c>
      <c r="R644" s="46" t="str">
        <f>IFERROR(VLOOKUP(F644,#REF!,14,FALSE),"")</f>
        <v/>
      </c>
      <c r="S644" s="47">
        <f t="shared" si="79"/>
        <v>1.644927536231884</v>
      </c>
      <c r="U644" s="1728"/>
      <c r="V644" s="48">
        <f t="shared" si="81"/>
        <v>0</v>
      </c>
      <c r="W644" s="1767"/>
      <c r="X644" s="48"/>
    </row>
    <row r="645" spans="2:24" ht="16" thickBot="1" x14ac:dyDescent="0.25">
      <c r="B645" s="1654">
        <f>SUM(H643:H649)</f>
        <v>39.15</v>
      </c>
      <c r="C645" s="161">
        <v>43733</v>
      </c>
      <c r="D645" s="604"/>
      <c r="E645" s="605"/>
      <c r="F645" s="1475"/>
      <c r="G645" s="649"/>
      <c r="H645" s="673" t="str">
        <f>IFERROR(VLOOKUP(F645,#REF!,10,FALSE),"")</f>
        <v/>
      </c>
      <c r="I645" s="651" t="str">
        <f t="shared" si="77"/>
        <v/>
      </c>
      <c r="J645" s="652"/>
      <c r="K645" s="1757"/>
      <c r="L645" s="1568"/>
      <c r="M645" s="1591"/>
      <c r="N645" s="610" t="str">
        <f t="shared" si="80"/>
        <v/>
      </c>
      <c r="O645" s="653"/>
      <c r="P645" s="654" t="str">
        <f>IFERROR(VLOOKUP(F645,#REF!,12,FALSE),"")</f>
        <v/>
      </c>
      <c r="Q645" s="655" t="s">
        <v>8</v>
      </c>
      <c r="R645" s="46" t="str">
        <f>IFERROR(VLOOKUP(F645,#REF!,14,FALSE),"")</f>
        <v/>
      </c>
      <c r="S645" s="47" t="str">
        <f t="shared" si="79"/>
        <v/>
      </c>
      <c r="U645" s="1728"/>
      <c r="V645" s="48">
        <f t="shared" si="81"/>
        <v>0</v>
      </c>
      <c r="W645" s="1767"/>
      <c r="X645" s="48"/>
    </row>
    <row r="646" spans="2:24" x14ac:dyDescent="0.2">
      <c r="B646" s="1655" t="s">
        <v>144</v>
      </c>
      <c r="C646" s="161">
        <v>43734</v>
      </c>
      <c r="D646" s="604"/>
      <c r="E646" s="605"/>
      <c r="F646" s="1475"/>
      <c r="G646" s="649"/>
      <c r="H646" s="673" t="str">
        <f>IFERROR(VLOOKUP(F646,#REF!,10,FALSE),"")</f>
        <v/>
      </c>
      <c r="I646" s="651" t="str">
        <f t="shared" si="77"/>
        <v/>
      </c>
      <c r="J646" s="652"/>
      <c r="K646" s="1757"/>
      <c r="L646" s="1568"/>
      <c r="M646" s="1591"/>
      <c r="N646" s="610" t="str">
        <f t="shared" si="80"/>
        <v/>
      </c>
      <c r="O646" s="653"/>
      <c r="P646" s="654" t="str">
        <f>IFERROR(VLOOKUP(F646,#REF!,12,FALSE),"")</f>
        <v/>
      </c>
      <c r="Q646" s="655" t="s">
        <v>8</v>
      </c>
      <c r="R646" s="46" t="str">
        <f>IFERROR(VLOOKUP(F646,#REF!,14,FALSE),"")</f>
        <v/>
      </c>
      <c r="S646" s="47" t="str">
        <f t="shared" si="79"/>
        <v/>
      </c>
      <c r="U646" s="1728"/>
      <c r="V646" s="48">
        <f t="shared" si="81"/>
        <v>0</v>
      </c>
      <c r="W646" s="1767"/>
      <c r="X646" s="48"/>
    </row>
    <row r="647" spans="2:24" ht="16" thickBot="1" x14ac:dyDescent="0.25">
      <c r="B647" s="1656" t="e">
        <f>SUM(#REF!)</f>
        <v>#REF!</v>
      </c>
      <c r="C647" s="161">
        <v>43735</v>
      </c>
      <c r="D647" s="604" t="s">
        <v>182</v>
      </c>
      <c r="E647" s="605"/>
      <c r="F647" s="1475" t="s">
        <v>173</v>
      </c>
      <c r="G647" s="649">
        <v>4.1944444444444444E-2</v>
      </c>
      <c r="H647" s="673">
        <v>11.2</v>
      </c>
      <c r="I647" s="651">
        <f t="shared" si="77"/>
        <v>3.7450396825396827E-3</v>
      </c>
      <c r="J647" s="652">
        <v>140</v>
      </c>
      <c r="K647" s="1757"/>
      <c r="L647" s="1568">
        <v>220</v>
      </c>
      <c r="M647" s="1591"/>
      <c r="N647" s="610">
        <f t="shared" si="80"/>
        <v>1.0624733475479746</v>
      </c>
      <c r="O647" s="653" t="s">
        <v>253</v>
      </c>
      <c r="P647" s="654" t="str">
        <f>IFERROR(VLOOKUP(F647,#REF!,12,FALSE),"")</f>
        <v/>
      </c>
      <c r="Q647" s="655" t="s">
        <v>8</v>
      </c>
      <c r="R647" s="46" t="str">
        <f>IFERROR(VLOOKUP(F647,#REF!,14,FALSE),"")</f>
        <v/>
      </c>
      <c r="S647" s="47">
        <f t="shared" si="79"/>
        <v>1.5714285714285714</v>
      </c>
      <c r="U647" s="1728"/>
      <c r="V647" s="48">
        <f t="shared" si="81"/>
        <v>0</v>
      </c>
      <c r="W647" s="1767"/>
      <c r="X647" s="48"/>
    </row>
    <row r="648" spans="2:24" x14ac:dyDescent="0.2">
      <c r="B648" s="1657" t="s">
        <v>256</v>
      </c>
      <c r="C648" s="161">
        <v>43736</v>
      </c>
      <c r="D648" s="604"/>
      <c r="E648" s="605"/>
      <c r="F648" s="1475"/>
      <c r="G648" s="649"/>
      <c r="H648" s="673" t="str">
        <f>IFERROR(VLOOKUP(F648,#REF!,10,FALSE),"")</f>
        <v/>
      </c>
      <c r="I648" s="651" t="str">
        <f t="shared" si="77"/>
        <v/>
      </c>
      <c r="J648" s="652"/>
      <c r="K648" s="1757"/>
      <c r="L648" s="1568"/>
      <c r="M648" s="1591"/>
      <c r="N648" s="610" t="str">
        <f t="shared" si="80"/>
        <v/>
      </c>
      <c r="O648" s="653"/>
      <c r="P648" s="654" t="str">
        <f>IFERROR(VLOOKUP(F648,#REF!,12,FALSE),"")</f>
        <v/>
      </c>
      <c r="Q648" s="655" t="s">
        <v>8</v>
      </c>
      <c r="R648" s="46" t="str">
        <f>IFERROR(VLOOKUP(F648,#REF!,14,FALSE),"")</f>
        <v/>
      </c>
      <c r="S648" s="47" t="str">
        <f t="shared" si="79"/>
        <v/>
      </c>
      <c r="U648" s="1728"/>
      <c r="V648" s="48">
        <f t="shared" si="81"/>
        <v>0</v>
      </c>
      <c r="W648" s="1767"/>
      <c r="X648" s="48"/>
    </row>
    <row r="649" spans="2:24" ht="16" thickBot="1" x14ac:dyDescent="0.25">
      <c r="B649" s="1658" t="e">
        <f>AVERAGE(#REF!)</f>
        <v>#REF!</v>
      </c>
      <c r="C649" s="613">
        <v>43737</v>
      </c>
      <c r="D649" s="589" t="s">
        <v>183</v>
      </c>
      <c r="E649" s="614"/>
      <c r="F649" s="1476" t="s">
        <v>152</v>
      </c>
      <c r="G649" s="615">
        <v>6.7719907407407409E-2</v>
      </c>
      <c r="H649" s="624">
        <v>17.850000000000001</v>
      </c>
      <c r="I649" s="625">
        <f t="shared" si="77"/>
        <v>3.7938323477539164E-3</v>
      </c>
      <c r="J649" s="626">
        <v>143</v>
      </c>
      <c r="K649" s="1757"/>
      <c r="L649" s="1570">
        <v>219</v>
      </c>
      <c r="M649" s="1594"/>
      <c r="N649" s="619">
        <f t="shared" si="80"/>
        <v>1.0714235544964255</v>
      </c>
      <c r="O649" s="620" t="s">
        <v>252</v>
      </c>
      <c r="P649" s="621" t="str">
        <f>IFERROR(VLOOKUP(F649,#REF!,12,FALSE),"")</f>
        <v/>
      </c>
      <c r="Q649" s="622" t="s">
        <v>8</v>
      </c>
      <c r="R649" s="107" t="str">
        <f>IFERROR(VLOOKUP(F649,#REF!,14,FALSE),"")</f>
        <v/>
      </c>
      <c r="S649" s="65">
        <f t="shared" si="79"/>
        <v>1.5314685314685315</v>
      </c>
      <c r="U649" s="1728"/>
      <c r="V649" s="108">
        <f t="shared" si="81"/>
        <v>0</v>
      </c>
      <c r="W649" s="1768"/>
      <c r="X649" s="108"/>
    </row>
    <row r="650" spans="2:24" ht="16" thickBot="1" x14ac:dyDescent="0.25">
      <c r="B650" s="1652">
        <f>B643+1</f>
        <v>40</v>
      </c>
      <c r="C650" s="142">
        <v>43738</v>
      </c>
      <c r="D650" s="143"/>
      <c r="E650" s="144"/>
      <c r="F650" s="1477"/>
      <c r="G650" s="291"/>
      <c r="H650" s="602" t="str">
        <f>IFERROR(VLOOKUP(F650,#REF!,10,FALSE),"")</f>
        <v/>
      </c>
      <c r="I650" s="309" t="str">
        <f t="shared" si="77"/>
        <v/>
      </c>
      <c r="J650" s="295"/>
      <c r="K650" s="1757"/>
      <c r="L650" s="792"/>
      <c r="M650" s="1595"/>
      <c r="N650" s="150" t="str">
        <f t="shared" si="80"/>
        <v/>
      </c>
      <c r="O650" s="576"/>
      <c r="P650" s="152" t="str">
        <f>IFERROR(VLOOKUP(F650,#REF!,12,FALSE),"")</f>
        <v/>
      </c>
      <c r="Q650" s="153" t="s">
        <v>8</v>
      </c>
      <c r="R650" s="32" t="str">
        <f>IFERROR(VLOOKUP(F650,#REF!,14,FALSE),"")</f>
        <v/>
      </c>
      <c r="S650" s="33" t="str">
        <f t="shared" si="79"/>
        <v/>
      </c>
      <c r="U650" s="1728"/>
      <c r="V650" s="154">
        <f t="shared" si="81"/>
        <v>0</v>
      </c>
      <c r="W650" s="1766"/>
      <c r="X650" s="154"/>
    </row>
    <row r="651" spans="2:24" x14ac:dyDescent="0.2">
      <c r="B651" s="1653" t="s">
        <v>142</v>
      </c>
      <c r="C651" s="161">
        <v>43739</v>
      </c>
      <c r="D651" s="162" t="s">
        <v>184</v>
      </c>
      <c r="E651" s="163"/>
      <c r="F651" s="1478" t="s">
        <v>255</v>
      </c>
      <c r="G651" s="298">
        <v>4.2662037037037033E-2</v>
      </c>
      <c r="H651" s="299">
        <v>11.2</v>
      </c>
      <c r="I651" s="310">
        <f t="shared" si="77"/>
        <v>3.8091104497354495E-3</v>
      </c>
      <c r="J651" s="252">
        <v>132</v>
      </c>
      <c r="K651" s="1757"/>
      <c r="L651" s="1568">
        <v>218</v>
      </c>
      <c r="M651" s="1591"/>
      <c r="N651" s="158">
        <f t="shared" si="80"/>
        <v>1.0708262260127932</v>
      </c>
      <c r="O651" s="577" t="s">
        <v>253</v>
      </c>
      <c r="P651" s="93" t="str">
        <f>IFERROR(VLOOKUP(F651,#REF!,12,FALSE),"")</f>
        <v/>
      </c>
      <c r="Q651" s="94" t="s">
        <v>8</v>
      </c>
      <c r="R651" s="46" t="str">
        <f>IFERROR(VLOOKUP(F651,#REF!,14,FALSE),"")</f>
        <v/>
      </c>
      <c r="S651" s="47">
        <f t="shared" si="79"/>
        <v>1.6515151515151516</v>
      </c>
      <c r="U651" s="1728"/>
      <c r="V651" s="160">
        <f t="shared" si="81"/>
        <v>0</v>
      </c>
      <c r="W651" s="1767"/>
      <c r="X651" s="160"/>
    </row>
    <row r="652" spans="2:24" ht="16" thickBot="1" x14ac:dyDescent="0.25">
      <c r="B652" s="1654">
        <f>SUM(H650:H656)</f>
        <v>28.6</v>
      </c>
      <c r="C652" s="161">
        <v>43740</v>
      </c>
      <c r="D652" s="49"/>
      <c r="E652" s="156"/>
      <c r="F652" s="1478"/>
      <c r="G652" s="298"/>
      <c r="H652" s="299" t="str">
        <f>IFERROR(VLOOKUP(F652,#REF!,10,FALSE),"")</f>
        <v/>
      </c>
      <c r="I652" s="310" t="str">
        <f t="shared" ref="I652:I715" si="82">IFERROR(G652/H652,"")</f>
        <v/>
      </c>
      <c r="J652" s="252"/>
      <c r="K652" s="1757"/>
      <c r="L652" s="1568"/>
      <c r="M652" s="1591"/>
      <c r="N652" s="158" t="str">
        <f t="shared" si="80"/>
        <v/>
      </c>
      <c r="O652" s="577"/>
      <c r="P652" s="93" t="str">
        <f>IFERROR(VLOOKUP(F652,#REF!,12,FALSE),"")</f>
        <v/>
      </c>
      <c r="Q652" s="94" t="s">
        <v>8</v>
      </c>
      <c r="R652" s="46" t="str">
        <f>IFERROR(VLOOKUP(F652,#REF!,14,FALSE),"")</f>
        <v/>
      </c>
      <c r="S652" s="47" t="str">
        <f t="shared" si="79"/>
        <v/>
      </c>
      <c r="U652" s="1728"/>
      <c r="V652" s="160">
        <f t="shared" si="81"/>
        <v>0</v>
      </c>
      <c r="W652" s="1767"/>
      <c r="X652" s="160"/>
    </row>
    <row r="653" spans="2:24" x14ac:dyDescent="0.2">
      <c r="B653" s="1655" t="s">
        <v>144</v>
      </c>
      <c r="C653" s="161">
        <v>43741</v>
      </c>
      <c r="D653" s="49"/>
      <c r="E653" s="156"/>
      <c r="F653" s="1478"/>
      <c r="G653" s="298"/>
      <c r="H653" s="299" t="str">
        <f>IFERROR(VLOOKUP(F653,#REF!,10,FALSE),"")</f>
        <v/>
      </c>
      <c r="I653" s="310" t="str">
        <f t="shared" si="82"/>
        <v/>
      </c>
      <c r="J653" s="252"/>
      <c r="K653" s="1757"/>
      <c r="L653" s="1568"/>
      <c r="M653" s="1591"/>
      <c r="N653" s="158" t="str">
        <f t="shared" si="80"/>
        <v/>
      </c>
      <c r="O653" s="577"/>
      <c r="P653" s="93" t="str">
        <f>IFERROR(VLOOKUP(F653,#REF!,12,FALSE),"")</f>
        <v/>
      </c>
      <c r="Q653" s="94" t="s">
        <v>8</v>
      </c>
      <c r="R653" s="46" t="str">
        <f>IFERROR(VLOOKUP(F653,#REF!,14,FALSE),"")</f>
        <v/>
      </c>
      <c r="S653" s="47" t="str">
        <f t="shared" si="79"/>
        <v/>
      </c>
      <c r="U653" s="1728"/>
      <c r="V653" s="160">
        <f t="shared" si="81"/>
        <v>0</v>
      </c>
      <c r="W653" s="1767"/>
      <c r="X653" s="160"/>
    </row>
    <row r="654" spans="2:24" ht="16" thickBot="1" x14ac:dyDescent="0.25">
      <c r="B654" s="1656" t="e">
        <f>SUM(#REF!)</f>
        <v>#REF!</v>
      </c>
      <c r="C654" s="161">
        <v>43742</v>
      </c>
      <c r="D654" s="49" t="s">
        <v>185</v>
      </c>
      <c r="E654" s="156"/>
      <c r="F654" s="1478" t="s">
        <v>147</v>
      </c>
      <c r="G654" s="298">
        <v>3.2164351851851854E-2</v>
      </c>
      <c r="H654" s="299">
        <v>8.84</v>
      </c>
      <c r="I654" s="310">
        <f t="shared" si="82"/>
        <v>3.6385013407072234E-3</v>
      </c>
      <c r="J654" s="252">
        <v>138</v>
      </c>
      <c r="K654" s="1757"/>
      <c r="L654" s="1568">
        <v>224</v>
      </c>
      <c r="M654" s="1591"/>
      <c r="N654" s="158">
        <f t="shared" si="80"/>
        <v>1.0510164111568854</v>
      </c>
      <c r="O654" s="577" t="s">
        <v>253</v>
      </c>
      <c r="P654" s="93" t="str">
        <f>IFERROR(VLOOKUP(F654,#REF!,12,FALSE),"")</f>
        <v/>
      </c>
      <c r="Q654" s="94" t="s">
        <v>8</v>
      </c>
      <c r="R654" s="46" t="str">
        <f>IFERROR(VLOOKUP(F654,#REF!,14,FALSE),"")</f>
        <v/>
      </c>
      <c r="S654" s="47">
        <f t="shared" si="79"/>
        <v>1.6231884057971016</v>
      </c>
      <c r="U654" s="1728"/>
      <c r="V654" s="160">
        <f t="shared" si="81"/>
        <v>0</v>
      </c>
      <c r="W654" s="1767"/>
      <c r="X654" s="160"/>
    </row>
    <row r="655" spans="2:24" x14ac:dyDescent="0.2">
      <c r="B655" s="1657" t="s">
        <v>256</v>
      </c>
      <c r="C655" s="161">
        <v>43743</v>
      </c>
      <c r="D655" s="49"/>
      <c r="E655" s="156"/>
      <c r="F655" s="1478"/>
      <c r="G655" s="298"/>
      <c r="H655" s="299" t="str">
        <f>IFERROR(VLOOKUP(F655,#REF!,10,FALSE),"")</f>
        <v/>
      </c>
      <c r="I655" s="310"/>
      <c r="J655" s="252"/>
      <c r="K655" s="1757"/>
      <c r="L655" s="1568"/>
      <c r="M655" s="1591"/>
      <c r="N655" s="158" t="str">
        <f t="shared" si="80"/>
        <v/>
      </c>
      <c r="O655" s="577"/>
      <c r="P655" s="93" t="str">
        <f>IFERROR(VLOOKUP(F655,#REF!,12,FALSE),"")</f>
        <v/>
      </c>
      <c r="Q655" s="94" t="s">
        <v>8</v>
      </c>
      <c r="R655" s="46" t="str">
        <f>IFERROR(VLOOKUP(F655,#REF!,14,FALSE),"")</f>
        <v/>
      </c>
      <c r="S655" s="47" t="str">
        <f t="shared" si="79"/>
        <v/>
      </c>
      <c r="U655" s="1728"/>
      <c r="V655" s="160">
        <f t="shared" si="81"/>
        <v>0</v>
      </c>
      <c r="W655" s="1767"/>
      <c r="X655" s="160"/>
    </row>
    <row r="656" spans="2:24" ht="16" thickBot="1" x14ac:dyDescent="0.25">
      <c r="B656" s="1658" t="e">
        <f>AVERAGE(#REF!)</f>
        <v>#REF!</v>
      </c>
      <c r="C656" s="207">
        <v>43744</v>
      </c>
      <c r="D656" s="683" t="s">
        <v>186</v>
      </c>
      <c r="E656" s="684"/>
      <c r="F656" s="1479" t="s">
        <v>11</v>
      </c>
      <c r="G656" s="302">
        <v>3.0879629629629632E-2</v>
      </c>
      <c r="H656" s="303">
        <v>8.56</v>
      </c>
      <c r="I656" s="311">
        <f t="shared" si="82"/>
        <v>3.6074333679473867E-3</v>
      </c>
      <c r="J656" s="262">
        <v>134</v>
      </c>
      <c r="K656" s="1757"/>
      <c r="L656" s="1569">
        <v>229</v>
      </c>
      <c r="M656" s="1592"/>
      <c r="N656" s="172">
        <f t="shared" si="80"/>
        <v>1.0653019946994002</v>
      </c>
      <c r="O656" s="578" t="s">
        <v>175</v>
      </c>
      <c r="P656" s="174" t="str">
        <f>IFERROR(VLOOKUP(F656,#REF!,12,FALSE),"")</f>
        <v/>
      </c>
      <c r="Q656" s="175" t="s">
        <v>8</v>
      </c>
      <c r="R656" s="64" t="str">
        <f>IFERROR(VLOOKUP(F656,#REF!,14,FALSE),"")</f>
        <v/>
      </c>
      <c r="S656" s="65">
        <f t="shared" si="79"/>
        <v>1.708955223880597</v>
      </c>
      <c r="U656" s="1728"/>
      <c r="V656" s="176">
        <f t="shared" si="81"/>
        <v>0</v>
      </c>
      <c r="W656" s="1768"/>
      <c r="X656" s="176"/>
    </row>
    <row r="657" spans="2:24" ht="16" thickBot="1" x14ac:dyDescent="0.25">
      <c r="B657" s="1652">
        <f>B650+1</f>
        <v>41</v>
      </c>
      <c r="C657" s="193">
        <v>43745</v>
      </c>
      <c r="D657" s="70"/>
      <c r="E657" s="71"/>
      <c r="F657" s="1480"/>
      <c r="G657" s="559"/>
      <c r="H657" s="560" t="str">
        <f>IFERROR(VLOOKUP(F657,#REF!,10,FALSE),"")</f>
        <v/>
      </c>
      <c r="I657" s="179" t="str">
        <f t="shared" si="82"/>
        <v/>
      </c>
      <c r="J657" s="269"/>
      <c r="K657" s="1757"/>
      <c r="L657" s="270"/>
      <c r="M657" s="1593"/>
      <c r="N657" s="77" t="str">
        <f t="shared" si="80"/>
        <v/>
      </c>
      <c r="O657" s="561"/>
      <c r="P657" s="224" t="str">
        <f>IFERROR(VLOOKUP(F657,#REF!,12,FALSE),"")</f>
        <v/>
      </c>
      <c r="Q657" s="80" t="s">
        <v>8</v>
      </c>
      <c r="R657" s="80" t="str">
        <f>IFERROR(VLOOKUP(F657,#REF!,14,FALSE),"")</f>
        <v/>
      </c>
      <c r="S657" s="33" t="str">
        <f t="shared" si="79"/>
        <v/>
      </c>
      <c r="U657" s="1728"/>
      <c r="V657" s="225">
        <f t="shared" si="81"/>
        <v>0</v>
      </c>
      <c r="W657" s="1766"/>
      <c r="X657" s="225"/>
    </row>
    <row r="658" spans="2:24" x14ac:dyDescent="0.2">
      <c r="B658" s="1653" t="s">
        <v>142</v>
      </c>
      <c r="C658" s="603">
        <v>43746</v>
      </c>
      <c r="D658" s="604" t="s">
        <v>187</v>
      </c>
      <c r="E658" s="605"/>
      <c r="F658" s="1475" t="s">
        <v>147</v>
      </c>
      <c r="G658" s="649">
        <v>3.6030092592592593E-2</v>
      </c>
      <c r="H658" s="673">
        <v>8.84</v>
      </c>
      <c r="I658" s="651">
        <f t="shared" si="82"/>
        <v>4.0758023294788E-3</v>
      </c>
      <c r="J658" s="652">
        <v>123</v>
      </c>
      <c r="K658" s="1757"/>
      <c r="L658" s="1568">
        <v>205</v>
      </c>
      <c r="M658" s="1591"/>
      <c r="N658" s="610">
        <f t="shared" si="80"/>
        <v>1.077471803876545</v>
      </c>
      <c r="O658" s="653" t="s">
        <v>252</v>
      </c>
      <c r="P658" s="654" t="str">
        <f>IFERROR(VLOOKUP(F658,#REF!,12,FALSE),"")</f>
        <v/>
      </c>
      <c r="Q658" s="655" t="s">
        <v>8</v>
      </c>
      <c r="R658" s="46" t="str">
        <f>IFERROR(VLOOKUP(F658,#REF!,14,FALSE),"")</f>
        <v/>
      </c>
      <c r="S658" s="47">
        <f t="shared" si="79"/>
        <v>1.6666666666666667</v>
      </c>
      <c r="U658" s="1728"/>
      <c r="V658" s="48">
        <f t="shared" si="81"/>
        <v>0</v>
      </c>
      <c r="W658" s="1767"/>
      <c r="X658" s="48"/>
    </row>
    <row r="659" spans="2:24" ht="16" thickBot="1" x14ac:dyDescent="0.25">
      <c r="B659" s="1654">
        <f>SUM(H657:H663)</f>
        <v>37.03</v>
      </c>
      <c r="C659" s="161">
        <v>43747</v>
      </c>
      <c r="D659" s="604"/>
      <c r="E659" s="605"/>
      <c r="F659" s="1475"/>
      <c r="G659" s="649"/>
      <c r="H659" s="673" t="str">
        <f>IFERROR(VLOOKUP(F659,#REF!,10,FALSE),"")</f>
        <v/>
      </c>
      <c r="I659" s="651" t="str">
        <f t="shared" si="82"/>
        <v/>
      </c>
      <c r="J659" s="652"/>
      <c r="K659" s="1757"/>
      <c r="L659" s="1568"/>
      <c r="M659" s="1591"/>
      <c r="N659" s="610" t="str">
        <f t="shared" si="80"/>
        <v/>
      </c>
      <c r="O659" s="653"/>
      <c r="P659" s="654" t="str">
        <f>IFERROR(VLOOKUP(F659,#REF!,12,FALSE),"")</f>
        <v/>
      </c>
      <c r="Q659" s="655" t="s">
        <v>8</v>
      </c>
      <c r="R659" s="46" t="str">
        <f>IFERROR(VLOOKUP(F659,#REF!,14,FALSE),"")</f>
        <v/>
      </c>
      <c r="S659" s="47" t="str">
        <f t="shared" si="79"/>
        <v/>
      </c>
      <c r="U659" s="1728"/>
      <c r="V659" s="48">
        <f t="shared" si="81"/>
        <v>0</v>
      </c>
      <c r="W659" s="1767"/>
      <c r="X659" s="48"/>
    </row>
    <row r="660" spans="2:24" x14ac:dyDescent="0.2">
      <c r="B660" s="1655" t="s">
        <v>144</v>
      </c>
      <c r="C660" s="161">
        <v>43748</v>
      </c>
      <c r="D660" s="604" t="s">
        <v>188</v>
      </c>
      <c r="E660" s="605"/>
      <c r="F660" s="1475" t="s">
        <v>146</v>
      </c>
      <c r="G660" s="649">
        <v>2.7905092592592592E-2</v>
      </c>
      <c r="H660" s="673">
        <v>7.09</v>
      </c>
      <c r="I660" s="651">
        <f t="shared" si="82"/>
        <v>3.9358381653868254E-3</v>
      </c>
      <c r="J660" s="652">
        <v>126</v>
      </c>
      <c r="K660" s="1757"/>
      <c r="L660" s="1568">
        <v>209</v>
      </c>
      <c r="M660" s="1591"/>
      <c r="N660" s="610">
        <f t="shared" si="80"/>
        <v>1.0607730038102854</v>
      </c>
      <c r="O660" s="653" t="s">
        <v>253</v>
      </c>
      <c r="P660" s="654" t="str">
        <f>IFERROR(VLOOKUP(F660,#REF!,12,FALSE),"")</f>
        <v/>
      </c>
      <c r="Q660" s="655" t="s">
        <v>8</v>
      </c>
      <c r="R660" s="46" t="str">
        <f>IFERROR(VLOOKUP(F660,#REF!,14,FALSE),"")</f>
        <v/>
      </c>
      <c r="S660" s="47">
        <f t="shared" si="79"/>
        <v>1.6587301587301588</v>
      </c>
      <c r="U660" s="1728"/>
      <c r="V660" s="48">
        <f t="shared" si="81"/>
        <v>0</v>
      </c>
      <c r="W660" s="1767"/>
      <c r="X660" s="48"/>
    </row>
    <row r="661" spans="2:24" ht="16" thickBot="1" x14ac:dyDescent="0.25">
      <c r="B661" s="1656" t="e">
        <f>SUM(#REF!)</f>
        <v>#REF!</v>
      </c>
      <c r="C661" s="161">
        <v>43749</v>
      </c>
      <c r="D661" s="604"/>
      <c r="E661" s="605"/>
      <c r="F661" s="1475"/>
      <c r="G661" s="649"/>
      <c r="H661" s="673" t="str">
        <f>IFERROR(VLOOKUP(F661,#REF!,10,FALSE),"")</f>
        <v/>
      </c>
      <c r="I661" s="651" t="str">
        <f t="shared" si="82"/>
        <v/>
      </c>
      <c r="J661" s="652"/>
      <c r="K661" s="1757"/>
      <c r="L661" s="1568"/>
      <c r="M661" s="1591"/>
      <c r="N661" s="610" t="str">
        <f t="shared" si="80"/>
        <v/>
      </c>
      <c r="O661" s="653"/>
      <c r="P661" s="654" t="str">
        <f>IFERROR(VLOOKUP(F661,#REF!,12,FALSE),"")</f>
        <v/>
      </c>
      <c r="Q661" s="655" t="s">
        <v>8</v>
      </c>
      <c r="R661" s="46" t="str">
        <f>IFERROR(VLOOKUP(F661,#REF!,14,FALSE),"")</f>
        <v/>
      </c>
      <c r="S661" s="47" t="str">
        <f t="shared" si="79"/>
        <v/>
      </c>
      <c r="U661" s="1728"/>
      <c r="V661" s="48">
        <f t="shared" si="81"/>
        <v>0</v>
      </c>
      <c r="W661" s="1767"/>
      <c r="X661" s="48"/>
    </row>
    <row r="662" spans="2:24" x14ac:dyDescent="0.2">
      <c r="B662" s="1657" t="s">
        <v>256</v>
      </c>
      <c r="C662" s="161">
        <v>43750</v>
      </c>
      <c r="D662" s="604"/>
      <c r="E662" s="605"/>
      <c r="F662" s="1475"/>
      <c r="G662" s="649"/>
      <c r="H662" s="673" t="str">
        <f>IFERROR(VLOOKUP(F662,#REF!,10,FALSE),"")</f>
        <v/>
      </c>
      <c r="I662" s="651" t="str">
        <f t="shared" si="82"/>
        <v/>
      </c>
      <c r="J662" s="652"/>
      <c r="K662" s="1757"/>
      <c r="L662" s="1568"/>
      <c r="M662" s="1591"/>
      <c r="N662" s="610" t="str">
        <f t="shared" si="80"/>
        <v/>
      </c>
      <c r="O662" s="653"/>
      <c r="P662" s="654" t="str">
        <f>IFERROR(VLOOKUP(F662,#REF!,12,FALSE),"")</f>
        <v/>
      </c>
      <c r="Q662" s="655" t="s">
        <v>8</v>
      </c>
      <c r="R662" s="46" t="str">
        <f>IFERROR(VLOOKUP(F662,#REF!,14,FALSE),"")</f>
        <v/>
      </c>
      <c r="S662" s="47" t="str">
        <f t="shared" si="79"/>
        <v/>
      </c>
      <c r="U662" s="1728"/>
      <c r="V662" s="48">
        <f t="shared" si="81"/>
        <v>0</v>
      </c>
      <c r="W662" s="1767"/>
      <c r="X662" s="48"/>
    </row>
    <row r="663" spans="2:24" ht="16" thickBot="1" x14ac:dyDescent="0.25">
      <c r="B663" s="1658" t="e">
        <f>AVERAGE(#REF!)</f>
        <v>#REF!</v>
      </c>
      <c r="C663" s="685">
        <v>43751</v>
      </c>
      <c r="D663" s="686" t="s">
        <v>189</v>
      </c>
      <c r="E663" s="687"/>
      <c r="F663" s="1482" t="s">
        <v>4</v>
      </c>
      <c r="G663" s="688">
        <v>7.2962962962962966E-2</v>
      </c>
      <c r="H663" s="689">
        <v>21.1</v>
      </c>
      <c r="I663" s="690">
        <f t="shared" si="82"/>
        <v>3.4579603299982444E-3</v>
      </c>
      <c r="J663" s="691">
        <v>162</v>
      </c>
      <c r="K663" s="1757"/>
      <c r="L663" s="1573">
        <v>236</v>
      </c>
      <c r="M663" s="1598"/>
      <c r="N663" s="692">
        <f t="shared" si="80"/>
        <v>1.0523760345193462</v>
      </c>
      <c r="O663" s="693" t="s">
        <v>175</v>
      </c>
      <c r="P663" s="694" t="str">
        <f>IFERROR(VLOOKUP(F663,#REF!,12,FALSE),"")</f>
        <v/>
      </c>
      <c r="Q663" s="695" t="s">
        <v>8</v>
      </c>
      <c r="R663" s="601" t="str">
        <f>IFERROR(VLOOKUP(F663,#REF!,14,FALSE),"")</f>
        <v/>
      </c>
      <c r="S663" s="65">
        <f t="shared" si="79"/>
        <v>1.4567901234567902</v>
      </c>
      <c r="U663" s="1728"/>
      <c r="V663" s="108">
        <f t="shared" si="81"/>
        <v>0</v>
      </c>
      <c r="W663" s="1768"/>
      <c r="X663" s="108"/>
    </row>
    <row r="664" spans="2:24" ht="16" thickBot="1" x14ac:dyDescent="0.25">
      <c r="B664" s="1652">
        <f>B657+1</f>
        <v>42</v>
      </c>
      <c r="C664" s="142">
        <v>43752</v>
      </c>
      <c r="D664" s="143"/>
      <c r="E664" s="144"/>
      <c r="F664" s="1421"/>
      <c r="G664" s="291"/>
      <c r="H664" s="602" t="str">
        <f>IFERROR(VLOOKUP(F664,#REF!,10,FALSE),"")</f>
        <v/>
      </c>
      <c r="I664" s="309" t="str">
        <f t="shared" si="82"/>
        <v/>
      </c>
      <c r="J664" s="295"/>
      <c r="K664" s="1757"/>
      <c r="L664" s="792"/>
      <c r="M664" s="1595"/>
      <c r="N664" s="150" t="str">
        <f t="shared" si="80"/>
        <v/>
      </c>
      <c r="O664" s="576"/>
      <c r="P664" s="152" t="str">
        <f>IFERROR(VLOOKUP(F664,#REF!,12,FALSE),"")</f>
        <v/>
      </c>
      <c r="Q664" s="153" t="s">
        <v>8</v>
      </c>
      <c r="R664" s="32" t="str">
        <f>IFERROR(VLOOKUP(F664,#REF!,14,FALSE),"")</f>
        <v/>
      </c>
      <c r="S664" s="33" t="str">
        <f t="shared" si="79"/>
        <v/>
      </c>
      <c r="U664" s="1728"/>
      <c r="V664" s="154">
        <f t="shared" si="81"/>
        <v>0</v>
      </c>
      <c r="W664" s="1766"/>
      <c r="X664" s="154"/>
    </row>
    <row r="665" spans="2:24" x14ac:dyDescent="0.2">
      <c r="B665" s="1653" t="s">
        <v>142</v>
      </c>
      <c r="C665" s="161">
        <v>43753</v>
      </c>
      <c r="D665" s="162"/>
      <c r="E665" s="163"/>
      <c r="F665" s="1412"/>
      <c r="G665" s="298"/>
      <c r="H665" s="299" t="str">
        <f>IFERROR(VLOOKUP(F665,#REF!,10,FALSE),"")</f>
        <v/>
      </c>
      <c r="I665" s="310" t="str">
        <f t="shared" si="82"/>
        <v/>
      </c>
      <c r="J665" s="252"/>
      <c r="K665" s="1757"/>
      <c r="L665" s="1568"/>
      <c r="M665" s="1591"/>
      <c r="N665" s="158" t="str">
        <f t="shared" si="80"/>
        <v/>
      </c>
      <c r="O665" s="577"/>
      <c r="P665" s="93" t="str">
        <f>IFERROR(VLOOKUP(F665,#REF!,12,FALSE),"")</f>
        <v/>
      </c>
      <c r="Q665" s="94" t="s">
        <v>8</v>
      </c>
      <c r="R665" s="46" t="str">
        <f>IFERROR(VLOOKUP(F665,#REF!,14,FALSE),"")</f>
        <v/>
      </c>
      <c r="S665" s="47" t="str">
        <f t="shared" si="79"/>
        <v/>
      </c>
      <c r="U665" s="1728"/>
      <c r="V665" s="160">
        <f t="shared" si="81"/>
        <v>0</v>
      </c>
      <c r="W665" s="1767"/>
      <c r="X665" s="160"/>
    </row>
    <row r="666" spans="2:24" ht="16" thickBot="1" x14ac:dyDescent="0.25">
      <c r="B666" s="1654">
        <f>SUM(H664:H670)</f>
        <v>11.1</v>
      </c>
      <c r="C666" s="161">
        <v>43754</v>
      </c>
      <c r="D666" s="49"/>
      <c r="E666" s="156"/>
      <c r="F666" s="1412"/>
      <c r="G666" s="298"/>
      <c r="H666" s="299" t="str">
        <f>IFERROR(VLOOKUP(F666,#REF!,10,FALSE),"")</f>
        <v/>
      </c>
      <c r="I666" s="310" t="str">
        <f t="shared" si="82"/>
        <v/>
      </c>
      <c r="J666" s="252"/>
      <c r="K666" s="1757"/>
      <c r="L666" s="1568"/>
      <c r="M666" s="1591"/>
      <c r="N666" s="158" t="str">
        <f t="shared" si="80"/>
        <v/>
      </c>
      <c r="O666" s="577"/>
      <c r="P666" s="93" t="str">
        <f>IFERROR(VLOOKUP(F666,#REF!,12,FALSE),"")</f>
        <v/>
      </c>
      <c r="Q666" s="94" t="s">
        <v>8</v>
      </c>
      <c r="R666" s="46" t="str">
        <f>IFERROR(VLOOKUP(F666,#REF!,14,FALSE),"")</f>
        <v/>
      </c>
      <c r="S666" s="47" t="str">
        <f t="shared" si="79"/>
        <v/>
      </c>
      <c r="U666" s="1728"/>
      <c r="V666" s="160">
        <f t="shared" si="81"/>
        <v>0</v>
      </c>
      <c r="W666" s="1767"/>
      <c r="X666" s="160"/>
    </row>
    <row r="667" spans="2:24" x14ac:dyDescent="0.2">
      <c r="B667" s="1655" t="s">
        <v>144</v>
      </c>
      <c r="C667" s="161">
        <v>43755</v>
      </c>
      <c r="D667" s="49"/>
      <c r="E667" s="156"/>
      <c r="F667" s="1412"/>
      <c r="G667" s="298"/>
      <c r="H667" s="299" t="str">
        <f>IFERROR(VLOOKUP(F667,#REF!,10,FALSE),"")</f>
        <v/>
      </c>
      <c r="I667" s="310" t="str">
        <f t="shared" si="82"/>
        <v/>
      </c>
      <c r="J667" s="252"/>
      <c r="K667" s="1757"/>
      <c r="L667" s="1568"/>
      <c r="M667" s="1591"/>
      <c r="N667" s="158" t="str">
        <f t="shared" si="80"/>
        <v/>
      </c>
      <c r="O667" s="577"/>
      <c r="P667" s="93" t="str">
        <f>IFERROR(VLOOKUP(F667,#REF!,12,FALSE),"")</f>
        <v/>
      </c>
      <c r="Q667" s="94" t="s">
        <v>8</v>
      </c>
      <c r="R667" s="46" t="str">
        <f>IFERROR(VLOOKUP(F667,#REF!,14,FALSE),"")</f>
        <v/>
      </c>
      <c r="S667" s="47" t="str">
        <f t="shared" si="79"/>
        <v/>
      </c>
      <c r="U667" s="1728"/>
      <c r="V667" s="160">
        <f t="shared" si="81"/>
        <v>0</v>
      </c>
      <c r="W667" s="1767"/>
      <c r="X667" s="160"/>
    </row>
    <row r="668" spans="2:24" ht="16" thickBot="1" x14ac:dyDescent="0.25">
      <c r="B668" s="1656" t="e">
        <f>SUM(#REF!)</f>
        <v>#REF!</v>
      </c>
      <c r="C668" s="161">
        <v>43756</v>
      </c>
      <c r="D668" s="49"/>
      <c r="E668" s="156"/>
      <c r="F668" s="1412"/>
      <c r="G668" s="298"/>
      <c r="H668" s="299" t="str">
        <f>IFERROR(VLOOKUP(F668,#REF!,10,FALSE),"")</f>
        <v/>
      </c>
      <c r="I668" s="310" t="str">
        <f t="shared" si="82"/>
        <v/>
      </c>
      <c r="J668" s="252"/>
      <c r="K668" s="1757"/>
      <c r="L668" s="1568"/>
      <c r="M668" s="1591"/>
      <c r="N668" s="158" t="str">
        <f t="shared" si="80"/>
        <v/>
      </c>
      <c r="O668" s="577"/>
      <c r="P668" s="93" t="str">
        <f>IFERROR(VLOOKUP(F668,#REF!,12,FALSE),"")</f>
        <v/>
      </c>
      <c r="Q668" s="94" t="s">
        <v>8</v>
      </c>
      <c r="R668" s="46" t="str">
        <f>IFERROR(VLOOKUP(F668,#REF!,14,FALSE),"")</f>
        <v/>
      </c>
      <c r="S668" s="47" t="str">
        <f t="shared" si="79"/>
        <v/>
      </c>
      <c r="U668" s="1728"/>
      <c r="V668" s="160">
        <f t="shared" si="81"/>
        <v>0</v>
      </c>
      <c r="W668" s="1767"/>
      <c r="X668" s="160"/>
    </row>
    <row r="669" spans="2:24" x14ac:dyDescent="0.2">
      <c r="B669" s="1657" t="s">
        <v>256</v>
      </c>
      <c r="C669" s="696">
        <v>43757</v>
      </c>
      <c r="D669" s="49" t="s">
        <v>190</v>
      </c>
      <c r="E669" s="156"/>
      <c r="F669" s="1412" t="s">
        <v>255</v>
      </c>
      <c r="G669" s="298">
        <v>4.3043981481481482E-2</v>
      </c>
      <c r="H669" s="299">
        <v>11.1</v>
      </c>
      <c r="I669" s="310">
        <f t="shared" si="82"/>
        <v>3.8778361695028362E-3</v>
      </c>
      <c r="J669" s="252">
        <v>137</v>
      </c>
      <c r="K669" s="1757"/>
      <c r="L669" s="1568">
        <v>214</v>
      </c>
      <c r="M669" s="1591"/>
      <c r="N669" s="158">
        <f t="shared" si="80"/>
        <v>1.070143875218502</v>
      </c>
      <c r="O669" s="577" t="s">
        <v>253</v>
      </c>
      <c r="P669" s="93" t="str">
        <f>IFERROR(VLOOKUP(F669,#REF!,12,FALSE),"")</f>
        <v/>
      </c>
      <c r="Q669" s="94" t="s">
        <v>8</v>
      </c>
      <c r="R669" s="46" t="str">
        <f>IFERROR(VLOOKUP(F669,#REF!,14,FALSE),"")</f>
        <v/>
      </c>
      <c r="S669" s="47">
        <f t="shared" si="79"/>
        <v>1.562043795620438</v>
      </c>
      <c r="U669" s="1728"/>
      <c r="V669" s="160">
        <f t="shared" si="81"/>
        <v>0</v>
      </c>
      <c r="W669" s="1767"/>
      <c r="X669" s="160"/>
    </row>
    <row r="670" spans="2:24" ht="16" thickBot="1" x14ac:dyDescent="0.25">
      <c r="B670" s="1658" t="e">
        <f>AVERAGE(#REF!)</f>
        <v>#REF!</v>
      </c>
      <c r="C670" s="697">
        <v>43758</v>
      </c>
      <c r="D670" s="67"/>
      <c r="E670" s="208"/>
      <c r="F670" s="1405"/>
      <c r="G670" s="302"/>
      <c r="H670" s="303" t="str">
        <f>IFERROR(VLOOKUP(F670,#REF!,10,FALSE),"")</f>
        <v/>
      </c>
      <c r="I670" s="311" t="str">
        <f t="shared" si="82"/>
        <v/>
      </c>
      <c r="J670" s="262"/>
      <c r="K670" s="1757"/>
      <c r="L670" s="1569"/>
      <c r="M670" s="1592"/>
      <c r="N670" s="172" t="str">
        <f t="shared" si="80"/>
        <v/>
      </c>
      <c r="O670" s="578"/>
      <c r="P670" s="174" t="str">
        <f>IFERROR(VLOOKUP(F670,#REF!,12,FALSE),"")</f>
        <v/>
      </c>
      <c r="Q670" s="175" t="s">
        <v>8</v>
      </c>
      <c r="R670" s="64" t="str">
        <f>IFERROR(VLOOKUP(F670,#REF!,14,FALSE),"")</f>
        <v/>
      </c>
      <c r="S670" s="65" t="str">
        <f t="shared" si="79"/>
        <v/>
      </c>
      <c r="U670" s="1728"/>
      <c r="V670" s="176">
        <f t="shared" si="81"/>
        <v>0</v>
      </c>
      <c r="W670" s="1768"/>
      <c r="X670" s="176"/>
    </row>
    <row r="671" spans="2:24" ht="16" thickBot="1" x14ac:dyDescent="0.25">
      <c r="B671" s="1659">
        <f>B664+1</f>
        <v>43</v>
      </c>
      <c r="C671" s="193">
        <v>43759</v>
      </c>
      <c r="D671" s="70"/>
      <c r="E671" s="71"/>
      <c r="F671" s="1461"/>
      <c r="G671" s="559"/>
      <c r="H671" s="560" t="str">
        <f>IFERROR(VLOOKUP(F671,#REF!,10,FALSE),"")</f>
        <v/>
      </c>
      <c r="I671" s="179" t="str">
        <f t="shared" si="82"/>
        <v/>
      </c>
      <c r="J671" s="269"/>
      <c r="K671" s="1757"/>
      <c r="L671" s="270"/>
      <c r="M671" s="1593"/>
      <c r="N671" s="77" t="str">
        <f t="shared" si="80"/>
        <v/>
      </c>
      <c r="O671" s="561"/>
      <c r="P671" s="224" t="str">
        <f>IFERROR(VLOOKUP(F671,#REF!,12,FALSE),"")</f>
        <v/>
      </c>
      <c r="Q671" s="80" t="s">
        <v>8</v>
      </c>
      <c r="R671" s="80" t="str">
        <f>IFERROR(VLOOKUP(F671,#REF!,14,FALSE),"")</f>
        <v/>
      </c>
      <c r="S671" s="33" t="str">
        <f t="shared" si="79"/>
        <v/>
      </c>
      <c r="U671" s="1728"/>
      <c r="V671" s="225">
        <f t="shared" si="81"/>
        <v>0</v>
      </c>
      <c r="W671" s="1766"/>
      <c r="X671" s="225"/>
    </row>
    <row r="672" spans="2:24" x14ac:dyDescent="0.2">
      <c r="B672" s="1653" t="s">
        <v>142</v>
      </c>
      <c r="C672" s="603">
        <v>43760</v>
      </c>
      <c r="D672" s="698" t="s">
        <v>191</v>
      </c>
      <c r="E672" s="699"/>
      <c r="F672" s="1483" t="s">
        <v>255</v>
      </c>
      <c r="G672" s="649">
        <v>3.6157407407407409E-2</v>
      </c>
      <c r="H672" s="673">
        <v>9.5</v>
      </c>
      <c r="I672" s="700">
        <f t="shared" si="82"/>
        <v>3.8060428849902538E-3</v>
      </c>
      <c r="J672" s="701">
        <v>134</v>
      </c>
      <c r="K672" s="1757"/>
      <c r="L672" s="1568">
        <v>217</v>
      </c>
      <c r="M672" s="1591"/>
      <c r="N672" s="702">
        <f t="shared" si="80"/>
        <v>1.0650557737627653</v>
      </c>
      <c r="O672" s="653" t="s">
        <v>253</v>
      </c>
      <c r="P672" s="654" t="str">
        <f>IFERROR(VLOOKUP(F672,#REF!,12,FALSE),"")</f>
        <v/>
      </c>
      <c r="Q672" s="655" t="s">
        <v>8</v>
      </c>
      <c r="R672" s="46" t="str">
        <f>IFERROR(VLOOKUP(F672,#REF!,14,FALSE),"")</f>
        <v/>
      </c>
      <c r="S672" s="47">
        <f t="shared" si="79"/>
        <v>1.6194029850746268</v>
      </c>
      <c r="U672" s="1728"/>
      <c r="V672" s="48">
        <f t="shared" si="81"/>
        <v>0</v>
      </c>
      <c r="W672" s="1767"/>
      <c r="X672" s="48"/>
    </row>
    <row r="673" spans="2:24" ht="16" thickBot="1" x14ac:dyDescent="0.25">
      <c r="B673" s="1654">
        <f>SUM(H671:H677)</f>
        <v>31.04</v>
      </c>
      <c r="C673" s="161">
        <v>43761</v>
      </c>
      <c r="D673" s="698"/>
      <c r="E673" s="699"/>
      <c r="F673" s="1483"/>
      <c r="G673" s="649"/>
      <c r="H673" s="673" t="str">
        <f>IFERROR(VLOOKUP(F673,#REF!,10,FALSE),"")</f>
        <v/>
      </c>
      <c r="I673" s="700" t="str">
        <f t="shared" si="82"/>
        <v/>
      </c>
      <c r="J673" s="701"/>
      <c r="K673" s="1757"/>
      <c r="L673" s="1568"/>
      <c r="M673" s="1591"/>
      <c r="N673" s="702" t="str">
        <f t="shared" si="80"/>
        <v/>
      </c>
      <c r="O673" s="653"/>
      <c r="P673" s="654" t="str">
        <f>IFERROR(VLOOKUP(F673,#REF!,12,FALSE),"")</f>
        <v/>
      </c>
      <c r="Q673" s="655" t="s">
        <v>8</v>
      </c>
      <c r="R673" s="46" t="str">
        <f>IFERROR(VLOOKUP(F673,#REF!,14,FALSE),"")</f>
        <v/>
      </c>
      <c r="S673" s="47" t="str">
        <f t="shared" si="79"/>
        <v/>
      </c>
      <c r="U673" s="1728"/>
      <c r="V673" s="48">
        <f t="shared" si="81"/>
        <v>0</v>
      </c>
      <c r="W673" s="1767"/>
      <c r="X673" s="48"/>
    </row>
    <row r="674" spans="2:24" x14ac:dyDescent="0.2">
      <c r="B674" s="1655" t="s">
        <v>144</v>
      </c>
      <c r="C674" s="161">
        <v>43762</v>
      </c>
      <c r="D674" s="698"/>
      <c r="E674" s="699"/>
      <c r="F674" s="1483"/>
      <c r="G674" s="649"/>
      <c r="H674" s="673" t="str">
        <f>IFERROR(VLOOKUP(F674,#REF!,10,FALSE),"")</f>
        <v/>
      </c>
      <c r="I674" s="700" t="str">
        <f t="shared" si="82"/>
        <v/>
      </c>
      <c r="J674" s="701"/>
      <c r="K674" s="1757"/>
      <c r="L674" s="1568"/>
      <c r="M674" s="1591"/>
      <c r="N674" s="702" t="str">
        <f t="shared" si="80"/>
        <v/>
      </c>
      <c r="O674" s="653"/>
      <c r="P674" s="654" t="str">
        <f>IFERROR(VLOOKUP(F674,#REF!,12,FALSE),"")</f>
        <v/>
      </c>
      <c r="Q674" s="655" t="s">
        <v>8</v>
      </c>
      <c r="R674" s="46" t="str">
        <f>IFERROR(VLOOKUP(F674,#REF!,14,FALSE),"")</f>
        <v/>
      </c>
      <c r="S674" s="47" t="str">
        <f t="shared" si="79"/>
        <v/>
      </c>
      <c r="U674" s="1728"/>
      <c r="V674" s="48">
        <f t="shared" si="81"/>
        <v>0</v>
      </c>
      <c r="W674" s="1767"/>
      <c r="X674" s="48"/>
    </row>
    <row r="675" spans="2:24" ht="16" thickBot="1" x14ac:dyDescent="0.25">
      <c r="B675" s="1656" t="e">
        <f>SUM(#REF!)</f>
        <v>#REF!</v>
      </c>
      <c r="C675" s="161">
        <v>43763</v>
      </c>
      <c r="D675" s="698" t="s">
        <v>192</v>
      </c>
      <c r="E675" s="699"/>
      <c r="F675" s="1483" t="s">
        <v>255</v>
      </c>
      <c r="G675" s="649">
        <v>3.8912037037037037E-2</v>
      </c>
      <c r="H675" s="673">
        <v>9.94</v>
      </c>
      <c r="I675" s="700">
        <f t="shared" si="82"/>
        <v>3.9146918548326999E-3</v>
      </c>
      <c r="J675" s="701">
        <v>132</v>
      </c>
      <c r="K675" s="1757"/>
      <c r="L675" s="1568">
        <v>214</v>
      </c>
      <c r="M675" s="1591"/>
      <c r="N675" s="702">
        <f t="shared" si="80"/>
        <v>1.0803147241658908</v>
      </c>
      <c r="O675" s="653" t="s">
        <v>252</v>
      </c>
      <c r="P675" s="654" t="str">
        <f>IFERROR(VLOOKUP(F675,#REF!,12,FALSE),"")</f>
        <v/>
      </c>
      <c r="Q675" s="655" t="s">
        <v>8</v>
      </c>
      <c r="R675" s="46" t="str">
        <f>IFERROR(VLOOKUP(F675,#REF!,14,FALSE),"")</f>
        <v/>
      </c>
      <c r="S675" s="47">
        <f t="shared" si="79"/>
        <v>1.6212121212121211</v>
      </c>
      <c r="U675" s="1728"/>
      <c r="V675" s="48">
        <f t="shared" si="81"/>
        <v>0</v>
      </c>
      <c r="W675" s="1767"/>
      <c r="X675" s="48"/>
    </row>
    <row r="676" spans="2:24" x14ac:dyDescent="0.2">
      <c r="B676" s="1657" t="s">
        <v>256</v>
      </c>
      <c r="C676" s="161">
        <v>43764</v>
      </c>
      <c r="D676" s="698"/>
      <c r="E676" s="699"/>
      <c r="F676" s="1483"/>
      <c r="G676" s="649"/>
      <c r="H676" s="673" t="str">
        <f>IFERROR(VLOOKUP(F676,#REF!,10,FALSE),"")</f>
        <v/>
      </c>
      <c r="I676" s="700" t="str">
        <f t="shared" si="82"/>
        <v/>
      </c>
      <c r="J676" s="701"/>
      <c r="K676" s="1757"/>
      <c r="L676" s="1568"/>
      <c r="M676" s="1591"/>
      <c r="N676" s="702" t="str">
        <f t="shared" si="80"/>
        <v/>
      </c>
      <c r="O676" s="653"/>
      <c r="P676" s="654" t="str">
        <f>IFERROR(VLOOKUP(F676,#REF!,12,FALSE),"")</f>
        <v/>
      </c>
      <c r="Q676" s="655" t="s">
        <v>8</v>
      </c>
      <c r="R676" s="46" t="str">
        <f>IFERROR(VLOOKUP(F676,#REF!,14,FALSE),"")</f>
        <v/>
      </c>
      <c r="S676" s="47" t="str">
        <f t="shared" si="79"/>
        <v/>
      </c>
      <c r="U676" s="1728"/>
      <c r="V676" s="48">
        <f t="shared" si="81"/>
        <v>0</v>
      </c>
      <c r="W676" s="1767"/>
      <c r="X676" s="48"/>
    </row>
    <row r="677" spans="2:24" ht="16" thickBot="1" x14ac:dyDescent="0.25">
      <c r="B677" s="1658" t="e">
        <f>AVERAGE(#REF!)</f>
        <v>#REF!</v>
      </c>
      <c r="C677" s="141">
        <v>43765</v>
      </c>
      <c r="D677" s="589" t="s">
        <v>193</v>
      </c>
      <c r="E677" s="614"/>
      <c r="F677" s="1427" t="s">
        <v>143</v>
      </c>
      <c r="G677" s="703">
        <v>4.4074074074074071E-2</v>
      </c>
      <c r="H677" s="704">
        <v>11.6</v>
      </c>
      <c r="I677" s="705">
        <f t="shared" si="82"/>
        <v>3.7994891443167305E-3</v>
      </c>
      <c r="J677" s="706">
        <v>137</v>
      </c>
      <c r="K677" s="1757"/>
      <c r="L677" s="1570">
        <v>214</v>
      </c>
      <c r="M677" s="1594"/>
      <c r="N677" s="707">
        <f t="shared" si="80"/>
        <v>1.0485229027277407</v>
      </c>
      <c r="O677" s="708" t="s">
        <v>175</v>
      </c>
      <c r="P677" s="575" t="str">
        <f>IFERROR(VLOOKUP(F677,#REF!,12,FALSE),"")</f>
        <v/>
      </c>
      <c r="Q677" s="709" t="s">
        <v>8</v>
      </c>
      <c r="R677" s="107" t="str">
        <f>IFERROR(VLOOKUP(F677,#REF!,14,FALSE),"")</f>
        <v/>
      </c>
      <c r="S677" s="65">
        <f t="shared" si="79"/>
        <v>1.562043795620438</v>
      </c>
      <c r="U677" s="1728"/>
      <c r="V677" s="108">
        <f t="shared" si="81"/>
        <v>0</v>
      </c>
      <c r="W677" s="1768"/>
      <c r="X677" s="108"/>
    </row>
    <row r="678" spans="2:24" ht="16" thickBot="1" x14ac:dyDescent="0.25">
      <c r="B678" s="1652">
        <f>B671+1</f>
        <v>44</v>
      </c>
      <c r="C678" s="142">
        <v>43766</v>
      </c>
      <c r="D678" s="143"/>
      <c r="E678" s="144"/>
      <c r="F678" s="1425"/>
      <c r="G678" s="291"/>
      <c r="H678" s="602" t="str">
        <f>IFERROR(VLOOKUP(F678,#REF!,10,FALSE),"")</f>
        <v/>
      </c>
      <c r="I678" s="309" t="str">
        <f t="shared" si="82"/>
        <v/>
      </c>
      <c r="J678" s="295"/>
      <c r="K678" s="1757"/>
      <c r="L678" s="792"/>
      <c r="M678" s="1595"/>
      <c r="N678" s="150" t="str">
        <f t="shared" si="80"/>
        <v/>
      </c>
      <c r="O678" s="576"/>
      <c r="P678" s="152" t="str">
        <f>IFERROR(VLOOKUP(F678,#REF!,12,FALSE),"")</f>
        <v/>
      </c>
      <c r="Q678" s="153" t="s">
        <v>8</v>
      </c>
      <c r="R678" s="32" t="str">
        <f>IFERROR(VLOOKUP(F678,#REF!,14,FALSE),"")</f>
        <v/>
      </c>
      <c r="S678" s="33" t="str">
        <f t="shared" si="79"/>
        <v/>
      </c>
      <c r="U678" s="1728"/>
      <c r="V678" s="154">
        <f t="shared" si="81"/>
        <v>0</v>
      </c>
      <c r="W678" s="1766"/>
      <c r="X678" s="154"/>
    </row>
    <row r="679" spans="2:24" x14ac:dyDescent="0.2">
      <c r="B679" s="1653" t="s">
        <v>142</v>
      </c>
      <c r="C679" s="155">
        <v>43767</v>
      </c>
      <c r="D679" s="49"/>
      <c r="E679" s="156"/>
      <c r="F679" s="1426"/>
      <c r="G679" s="298"/>
      <c r="H679" s="299" t="str">
        <f>IFERROR(VLOOKUP(F679,#REF!,10,FALSE),"")</f>
        <v/>
      </c>
      <c r="I679" s="310" t="str">
        <f t="shared" si="82"/>
        <v/>
      </c>
      <c r="J679" s="252"/>
      <c r="K679" s="1757"/>
      <c r="L679" s="1568"/>
      <c r="M679" s="1591"/>
      <c r="N679" s="158" t="str">
        <f t="shared" si="80"/>
        <v/>
      </c>
      <c r="O679" s="577"/>
      <c r="P679" s="93" t="str">
        <f>IFERROR(VLOOKUP(F679,#REF!,12,FALSE),"")</f>
        <v/>
      </c>
      <c r="Q679" s="94" t="s">
        <v>8</v>
      </c>
      <c r="R679" s="46" t="str">
        <f>IFERROR(VLOOKUP(F679,#REF!,14,FALSE),"")</f>
        <v/>
      </c>
      <c r="S679" s="47" t="str">
        <f t="shared" si="79"/>
        <v/>
      </c>
      <c r="U679" s="1728"/>
      <c r="V679" s="160">
        <f t="shared" si="81"/>
        <v>0</v>
      </c>
      <c r="W679" s="1767"/>
      <c r="X679" s="160"/>
    </row>
    <row r="680" spans="2:24" ht="16" thickBot="1" x14ac:dyDescent="0.25">
      <c r="B680" s="1654">
        <f>SUM(H678:H684)</f>
        <v>21.98</v>
      </c>
      <c r="C680" s="161">
        <v>43768</v>
      </c>
      <c r="D680" s="49"/>
      <c r="E680" s="156"/>
      <c r="F680" s="1412"/>
      <c r="G680" s="298"/>
      <c r="H680" s="299"/>
      <c r="I680" s="310" t="str">
        <f t="shared" si="82"/>
        <v/>
      </c>
      <c r="J680" s="252"/>
      <c r="K680" s="1757"/>
      <c r="L680" s="1568"/>
      <c r="M680" s="1591"/>
      <c r="N680" s="158" t="str">
        <f t="shared" si="80"/>
        <v/>
      </c>
      <c r="O680" s="577"/>
      <c r="P680" s="93" t="str">
        <f>IFERROR(VLOOKUP(F680,#REF!,12,FALSE),"")</f>
        <v/>
      </c>
      <c r="Q680" s="94" t="s">
        <v>8</v>
      </c>
      <c r="R680" s="46" t="str">
        <f>IFERROR(VLOOKUP(F680,#REF!,14,FALSE),"")</f>
        <v/>
      </c>
      <c r="S680" s="47" t="str">
        <f t="shared" si="79"/>
        <v/>
      </c>
      <c r="U680" s="1728"/>
      <c r="V680" s="160">
        <f t="shared" si="81"/>
        <v>0</v>
      </c>
      <c r="W680" s="1767"/>
      <c r="X680" s="160"/>
    </row>
    <row r="681" spans="2:24" x14ac:dyDescent="0.2">
      <c r="B681" s="1655" t="s">
        <v>144</v>
      </c>
      <c r="C681" s="161">
        <v>43769</v>
      </c>
      <c r="D681" s="49" t="s">
        <v>194</v>
      </c>
      <c r="E681" s="156"/>
      <c r="F681" s="1412" t="s">
        <v>173</v>
      </c>
      <c r="G681" s="298">
        <v>3.6608796296296299E-2</v>
      </c>
      <c r="H681" s="299">
        <v>10.6</v>
      </c>
      <c r="I681" s="310">
        <f t="shared" si="82"/>
        <v>3.4536600279524814E-3</v>
      </c>
      <c r="J681" s="252">
        <v>141</v>
      </c>
      <c r="K681" s="1757"/>
      <c r="L681" s="1568">
        <v>237</v>
      </c>
      <c r="M681" s="1591"/>
      <c r="N681" s="158">
        <f t="shared" si="80"/>
        <v>1.0555209800056324</v>
      </c>
      <c r="O681" s="577" t="s">
        <v>175</v>
      </c>
      <c r="P681" s="93" t="str">
        <f>IFERROR(VLOOKUP(F681,#REF!,12,FALSE),"")</f>
        <v/>
      </c>
      <c r="Q681" s="94" t="s">
        <v>8</v>
      </c>
      <c r="R681" s="46" t="str">
        <f>IFERROR(VLOOKUP(F681,#REF!,14,FALSE),"")</f>
        <v/>
      </c>
      <c r="S681" s="47">
        <f t="shared" ref="S681:S744" si="83">IFERROR(L681/J681,"")</f>
        <v>1.6808510638297873</v>
      </c>
      <c r="U681" s="1728"/>
      <c r="V681" s="160">
        <f t="shared" si="81"/>
        <v>0</v>
      </c>
      <c r="W681" s="1767"/>
      <c r="X681" s="160"/>
    </row>
    <row r="682" spans="2:24" ht="16" thickBot="1" x14ac:dyDescent="0.25">
      <c r="B682" s="1656" t="e">
        <f>SUM(#REF!)</f>
        <v>#REF!</v>
      </c>
      <c r="C682" s="161">
        <v>43770</v>
      </c>
      <c r="D682" s="49"/>
      <c r="E682" s="156"/>
      <c r="F682" s="1412"/>
      <c r="G682" s="298"/>
      <c r="H682" s="299" t="str">
        <f>IFERROR(VLOOKUP(F682,#REF!,10,FALSE),"")</f>
        <v/>
      </c>
      <c r="I682" s="310" t="str">
        <f t="shared" si="82"/>
        <v/>
      </c>
      <c r="J682" s="252"/>
      <c r="K682" s="1757"/>
      <c r="L682" s="1568"/>
      <c r="M682" s="1591"/>
      <c r="N682" s="158" t="str">
        <f t="shared" si="80"/>
        <v/>
      </c>
      <c r="O682" s="577"/>
      <c r="P682" s="93" t="str">
        <f>IFERROR(VLOOKUP(F682,#REF!,12,FALSE),"")</f>
        <v/>
      </c>
      <c r="Q682" s="94" t="s">
        <v>8</v>
      </c>
      <c r="R682" s="46" t="str">
        <f>IFERROR(VLOOKUP(F682,#REF!,14,FALSE),"")</f>
        <v/>
      </c>
      <c r="S682" s="47" t="str">
        <f t="shared" si="83"/>
        <v/>
      </c>
      <c r="U682" s="1728"/>
      <c r="V682" s="160">
        <f t="shared" si="81"/>
        <v>0</v>
      </c>
      <c r="W682" s="1767"/>
      <c r="X682" s="160"/>
    </row>
    <row r="683" spans="2:24" x14ac:dyDescent="0.2">
      <c r="B683" s="1657" t="s">
        <v>256</v>
      </c>
      <c r="C683" s="161">
        <v>43771</v>
      </c>
      <c r="D683" s="49"/>
      <c r="E683" s="156"/>
      <c r="F683" s="1412"/>
      <c r="G683" s="298"/>
      <c r="H683" s="299" t="str">
        <f>IFERROR(VLOOKUP(F683,#REF!,10,FALSE),"")</f>
        <v/>
      </c>
      <c r="I683" s="310" t="str">
        <f t="shared" si="82"/>
        <v/>
      </c>
      <c r="J683" s="252"/>
      <c r="K683" s="1757"/>
      <c r="L683" s="1568"/>
      <c r="M683" s="1591"/>
      <c r="N683" s="158" t="str">
        <f t="shared" si="80"/>
        <v/>
      </c>
      <c r="O683" s="577"/>
      <c r="P683" s="93" t="str">
        <f>IFERROR(VLOOKUP(F683,#REF!,12,FALSE),"")</f>
        <v/>
      </c>
      <c r="Q683" s="94" t="s">
        <v>8</v>
      </c>
      <c r="R683" s="46" t="str">
        <f>IFERROR(VLOOKUP(F683,#REF!,14,FALSE),"")</f>
        <v/>
      </c>
      <c r="S683" s="47" t="str">
        <f t="shared" si="83"/>
        <v/>
      </c>
      <c r="U683" s="1728"/>
      <c r="V683" s="160">
        <f t="shared" si="81"/>
        <v>0</v>
      </c>
      <c r="W683" s="1767"/>
      <c r="X683" s="160"/>
    </row>
    <row r="684" spans="2:24" ht="16" thickBot="1" x14ac:dyDescent="0.25">
      <c r="B684" s="1658" t="e">
        <f>AVERAGE(#REF!)</f>
        <v>#REF!</v>
      </c>
      <c r="C684" s="207">
        <v>43772</v>
      </c>
      <c r="D684" s="67" t="s">
        <v>195</v>
      </c>
      <c r="E684" s="208"/>
      <c r="F684" s="1405" t="s">
        <v>173</v>
      </c>
      <c r="G684" s="302">
        <v>4.5428240740740734E-2</v>
      </c>
      <c r="H684" s="303">
        <v>11.38</v>
      </c>
      <c r="I684" s="311">
        <f t="shared" si="82"/>
        <v>3.991936796198658E-3</v>
      </c>
      <c r="J684" s="262">
        <v>138</v>
      </c>
      <c r="K684" s="1757"/>
      <c r="L684" s="1569">
        <v>208</v>
      </c>
      <c r="M684" s="1592"/>
      <c r="N684" s="172">
        <f t="shared" si="80"/>
        <v>1.0707446948036616</v>
      </c>
      <c r="O684" s="578" t="s">
        <v>253</v>
      </c>
      <c r="P684" s="710" t="str">
        <f>IFERROR(VLOOKUP(F684,#REF!,12,FALSE),"")</f>
        <v/>
      </c>
      <c r="Q684" s="711" t="s">
        <v>8</v>
      </c>
      <c r="R684" s="64" t="str">
        <f>IFERROR(VLOOKUP(F684,#REF!,14,FALSE),"")</f>
        <v/>
      </c>
      <c r="S684" s="65">
        <f t="shared" si="83"/>
        <v>1.5072463768115942</v>
      </c>
      <c r="U684" s="1728"/>
      <c r="V684" s="176">
        <f t="shared" si="81"/>
        <v>0</v>
      </c>
      <c r="W684" s="1768"/>
      <c r="X684" s="176"/>
    </row>
    <row r="685" spans="2:24" ht="16" thickBot="1" x14ac:dyDescent="0.25">
      <c r="B685" s="1652">
        <f>B678+1</f>
        <v>45</v>
      </c>
      <c r="C685" s="193">
        <v>43773</v>
      </c>
      <c r="D685" s="70"/>
      <c r="E685" s="71"/>
      <c r="F685" s="1461"/>
      <c r="G685" s="559"/>
      <c r="H685" s="560" t="str">
        <f>IFERROR(VLOOKUP(F685,#REF!,10,FALSE),"")</f>
        <v/>
      </c>
      <c r="I685" s="179" t="str">
        <f t="shared" si="82"/>
        <v/>
      </c>
      <c r="J685" s="269"/>
      <c r="K685" s="1757"/>
      <c r="L685" s="270"/>
      <c r="M685" s="1593"/>
      <c r="N685" s="77" t="str">
        <f t="shared" si="80"/>
        <v/>
      </c>
      <c r="O685" s="561"/>
      <c r="P685" s="224" t="str">
        <f>IFERROR(VLOOKUP(F685,#REF!,12,FALSE),"")</f>
        <v/>
      </c>
      <c r="Q685" s="80" t="s">
        <v>8</v>
      </c>
      <c r="R685" s="80" t="str">
        <f>IFERROR(VLOOKUP(F685,#REF!,14,FALSE),"")</f>
        <v/>
      </c>
      <c r="S685" s="33" t="str">
        <f t="shared" si="83"/>
        <v/>
      </c>
      <c r="U685" s="1728"/>
      <c r="V685" s="225">
        <f t="shared" si="81"/>
        <v>0</v>
      </c>
      <c r="W685" s="1766"/>
      <c r="X685" s="225"/>
    </row>
    <row r="686" spans="2:24" x14ac:dyDescent="0.2">
      <c r="B686" s="1653" t="s">
        <v>142</v>
      </c>
      <c r="C686" s="603">
        <v>43774</v>
      </c>
      <c r="D686" s="698"/>
      <c r="E686" s="699"/>
      <c r="F686" s="1426"/>
      <c r="G686" s="649"/>
      <c r="H686" s="673" t="str">
        <f>IFERROR(VLOOKUP(F686,#REF!,10,FALSE),"")</f>
        <v/>
      </c>
      <c r="I686" s="700" t="str">
        <f t="shared" si="82"/>
        <v/>
      </c>
      <c r="J686" s="701"/>
      <c r="K686" s="1757"/>
      <c r="L686" s="1568"/>
      <c r="M686" s="1591"/>
      <c r="N686" s="702" t="str">
        <f t="shared" ref="N686:N749" si="84">IFERROR((L686/67)/(1/(I686*24)/3.6),"")</f>
        <v/>
      </c>
      <c r="O686" s="653"/>
      <c r="P686" s="654" t="str">
        <f>IFERROR(VLOOKUP(F686,#REF!,12,FALSE),"")</f>
        <v/>
      </c>
      <c r="Q686" s="655" t="s">
        <v>8</v>
      </c>
      <c r="R686" s="46" t="str">
        <f>IFERROR(VLOOKUP(F686,#REF!,14,FALSE),"")</f>
        <v/>
      </c>
      <c r="S686" s="47" t="str">
        <f t="shared" si="83"/>
        <v/>
      </c>
      <c r="U686" s="1728"/>
      <c r="V686" s="48">
        <f t="shared" si="81"/>
        <v>0</v>
      </c>
      <c r="W686" s="1767"/>
      <c r="X686" s="48"/>
    </row>
    <row r="687" spans="2:24" ht="16" thickBot="1" x14ac:dyDescent="0.25">
      <c r="B687" s="1654">
        <f>SUM(H685:H691)</f>
        <v>36.03</v>
      </c>
      <c r="C687" s="161">
        <v>43775</v>
      </c>
      <c r="D687" s="698" t="s">
        <v>196</v>
      </c>
      <c r="E687" s="699"/>
      <c r="F687" s="1412" t="s">
        <v>173</v>
      </c>
      <c r="G687" s="649">
        <v>4.704861111111111E-2</v>
      </c>
      <c r="H687" s="673">
        <v>12.4</v>
      </c>
      <c r="I687" s="700">
        <f t="shared" si="82"/>
        <v>3.7942428315412184E-3</v>
      </c>
      <c r="J687" s="701">
        <v>138</v>
      </c>
      <c r="K687" s="1757"/>
      <c r="L687" s="1568">
        <v>220</v>
      </c>
      <c r="M687" s="1591"/>
      <c r="N687" s="702">
        <f t="shared" si="84"/>
        <v>1.076432354357246</v>
      </c>
      <c r="O687" s="653" t="s">
        <v>251</v>
      </c>
      <c r="P687" s="654" t="str">
        <f>IFERROR(VLOOKUP(F687,#REF!,12,FALSE),"")</f>
        <v/>
      </c>
      <c r="Q687" s="655" t="s">
        <v>8</v>
      </c>
      <c r="R687" s="46" t="str">
        <f>IFERROR(VLOOKUP(F687,#REF!,14,FALSE),"")</f>
        <v/>
      </c>
      <c r="S687" s="47">
        <f t="shared" si="83"/>
        <v>1.5942028985507246</v>
      </c>
      <c r="U687" s="1728"/>
      <c r="V687" s="48">
        <f t="shared" si="81"/>
        <v>0</v>
      </c>
      <c r="W687" s="1767"/>
      <c r="X687" s="48"/>
    </row>
    <row r="688" spans="2:24" x14ac:dyDescent="0.2">
      <c r="B688" s="1655" t="s">
        <v>144</v>
      </c>
      <c r="C688" s="161">
        <v>43776</v>
      </c>
      <c r="D688" s="698"/>
      <c r="E688" s="699"/>
      <c r="F688" s="1412"/>
      <c r="G688" s="649"/>
      <c r="H688" s="673" t="str">
        <f>IFERROR(VLOOKUP(F688,#REF!,10,FALSE),"")</f>
        <v/>
      </c>
      <c r="I688" s="700" t="str">
        <f t="shared" si="82"/>
        <v/>
      </c>
      <c r="J688" s="701"/>
      <c r="K688" s="1757"/>
      <c r="L688" s="1568"/>
      <c r="M688" s="1591"/>
      <c r="N688" s="702" t="str">
        <f t="shared" si="84"/>
        <v/>
      </c>
      <c r="O688" s="653"/>
      <c r="P688" s="654" t="str">
        <f>IFERROR(VLOOKUP(F688,#REF!,12,FALSE),"")</f>
        <v/>
      </c>
      <c r="Q688" s="655" t="s">
        <v>8</v>
      </c>
      <c r="R688" s="46" t="str">
        <f>IFERROR(VLOOKUP(F688,#REF!,14,FALSE),"")</f>
        <v/>
      </c>
      <c r="S688" s="47" t="str">
        <f t="shared" si="83"/>
        <v/>
      </c>
      <c r="U688" s="1728"/>
      <c r="V688" s="48">
        <f t="shared" si="81"/>
        <v>0</v>
      </c>
      <c r="W688" s="1767"/>
      <c r="X688" s="48"/>
    </row>
    <row r="689" spans="2:24" ht="16" thickBot="1" x14ac:dyDescent="0.25">
      <c r="B689" s="1656" t="e">
        <f>SUM(#REF!)</f>
        <v>#REF!</v>
      </c>
      <c r="C689" s="161">
        <v>43777</v>
      </c>
      <c r="D689" s="698" t="s">
        <v>197</v>
      </c>
      <c r="E689" s="699"/>
      <c r="F689" s="1412" t="s">
        <v>255</v>
      </c>
      <c r="G689" s="649">
        <v>3.5393518518518519E-2</v>
      </c>
      <c r="H689" s="673">
        <v>9.43</v>
      </c>
      <c r="I689" s="700">
        <f t="shared" si="82"/>
        <v>3.753289344487648E-3</v>
      </c>
      <c r="J689" s="701">
        <v>138</v>
      </c>
      <c r="K689" s="1757"/>
      <c r="L689" s="1568">
        <v>219</v>
      </c>
      <c r="M689" s="1591"/>
      <c r="N689" s="702">
        <f t="shared" si="84"/>
        <v>1.0599737262784699</v>
      </c>
      <c r="O689" s="653" t="s">
        <v>253</v>
      </c>
      <c r="P689" s="654" t="str">
        <f>IFERROR(VLOOKUP(F689,#REF!,12,FALSE),"")</f>
        <v/>
      </c>
      <c r="Q689" s="655" t="s">
        <v>8</v>
      </c>
      <c r="R689" s="46" t="str">
        <f>IFERROR(VLOOKUP(F689,#REF!,14,FALSE),"")</f>
        <v/>
      </c>
      <c r="S689" s="47">
        <f t="shared" si="83"/>
        <v>1.5869565217391304</v>
      </c>
      <c r="U689" s="1728"/>
      <c r="V689" s="48">
        <f t="shared" si="81"/>
        <v>0</v>
      </c>
      <c r="W689" s="1767"/>
      <c r="X689" s="48"/>
    </row>
    <row r="690" spans="2:24" x14ac:dyDescent="0.2">
      <c r="B690" s="1657" t="s">
        <v>256</v>
      </c>
      <c r="C690" s="161">
        <v>43778</v>
      </c>
      <c r="D690" s="698"/>
      <c r="E690" s="699"/>
      <c r="F690" s="1412"/>
      <c r="G690" s="649"/>
      <c r="H690" s="673" t="str">
        <f>IFERROR(VLOOKUP(F690,#REF!,10,FALSE),"")</f>
        <v/>
      </c>
      <c r="I690" s="700" t="str">
        <f t="shared" si="82"/>
        <v/>
      </c>
      <c r="J690" s="701"/>
      <c r="K690" s="1757"/>
      <c r="L690" s="1568"/>
      <c r="M690" s="1591"/>
      <c r="N690" s="702" t="str">
        <f t="shared" si="84"/>
        <v/>
      </c>
      <c r="O690" s="653"/>
      <c r="P690" s="654" t="str">
        <f>IFERROR(VLOOKUP(F690,#REF!,12,FALSE),"")</f>
        <v/>
      </c>
      <c r="Q690" s="655" t="s">
        <v>8</v>
      </c>
      <c r="R690" s="46" t="str">
        <f>IFERROR(VLOOKUP(F690,#REF!,14,FALSE),"")</f>
        <v/>
      </c>
      <c r="S690" s="47" t="str">
        <f t="shared" si="83"/>
        <v/>
      </c>
      <c r="U690" s="1728"/>
      <c r="V690" s="48">
        <f t="shared" si="81"/>
        <v>0</v>
      </c>
      <c r="W690" s="1767"/>
      <c r="X690" s="48"/>
    </row>
    <row r="691" spans="2:24" ht="16" thickBot="1" x14ac:dyDescent="0.25">
      <c r="B691" s="1658" t="e">
        <f>AVERAGE(#REF!)</f>
        <v>#REF!</v>
      </c>
      <c r="C691" s="141">
        <v>43779</v>
      </c>
      <c r="D691" s="181" t="s">
        <v>199</v>
      </c>
      <c r="E691" s="182"/>
      <c r="F691" s="1405" t="s">
        <v>150</v>
      </c>
      <c r="G691" s="572">
        <v>5.4155092592592595E-2</v>
      </c>
      <c r="H691" s="712">
        <v>14.2</v>
      </c>
      <c r="I691" s="713">
        <f t="shared" si="82"/>
        <v>3.8137389149713098E-3</v>
      </c>
      <c r="J691" s="714">
        <v>140</v>
      </c>
      <c r="K691" s="1757"/>
      <c r="L691" s="1570">
        <v>216</v>
      </c>
      <c r="M691" s="1594"/>
      <c r="N691" s="186">
        <f t="shared" si="84"/>
        <v>1.0622913601009041</v>
      </c>
      <c r="O691" s="574" t="s">
        <v>253</v>
      </c>
      <c r="P691" s="575" t="str">
        <f>IFERROR(VLOOKUP(F691,#REF!,12,FALSE),"")</f>
        <v/>
      </c>
      <c r="Q691" s="709" t="s">
        <v>8</v>
      </c>
      <c r="R691" s="107" t="str">
        <f>IFERROR(VLOOKUP(F691,#REF!,14,FALSE),"")</f>
        <v/>
      </c>
      <c r="S691" s="65">
        <f t="shared" si="83"/>
        <v>1.5428571428571429</v>
      </c>
      <c r="U691" s="1728"/>
      <c r="V691" s="108">
        <f t="shared" si="81"/>
        <v>0</v>
      </c>
      <c r="W691" s="1768"/>
      <c r="X691" s="108"/>
    </row>
    <row r="692" spans="2:24" ht="16" thickBot="1" x14ac:dyDescent="0.25">
      <c r="B692" s="1652">
        <f>B685+1</f>
        <v>46</v>
      </c>
      <c r="C692" s="142">
        <v>43780</v>
      </c>
      <c r="D692" s="143"/>
      <c r="E692" s="144"/>
      <c r="F692" s="1425"/>
      <c r="G692" s="291"/>
      <c r="H692" s="602" t="str">
        <f>IFERROR(VLOOKUP(F692,#REF!,10,FALSE),"")</f>
        <v/>
      </c>
      <c r="I692" s="309" t="str">
        <f t="shared" si="82"/>
        <v/>
      </c>
      <c r="J692" s="295"/>
      <c r="K692" s="1757"/>
      <c r="L692" s="792"/>
      <c r="M692" s="1595"/>
      <c r="N692" s="150" t="str">
        <f t="shared" si="84"/>
        <v/>
      </c>
      <c r="O692" s="576"/>
      <c r="P692" s="152" t="str">
        <f>IFERROR(VLOOKUP(F692,#REF!,12,FALSE),"")</f>
        <v/>
      </c>
      <c r="Q692" s="153" t="s">
        <v>8</v>
      </c>
      <c r="R692" s="32" t="str">
        <f>IFERROR(VLOOKUP(F692,#REF!,14,FALSE),"")</f>
        <v/>
      </c>
      <c r="S692" s="33" t="str">
        <f t="shared" si="83"/>
        <v/>
      </c>
      <c r="U692" s="1728"/>
      <c r="V692" s="154">
        <f t="shared" si="81"/>
        <v>0</v>
      </c>
      <c r="W692" s="1766"/>
      <c r="X692" s="154"/>
    </row>
    <row r="693" spans="2:24" x14ac:dyDescent="0.2">
      <c r="B693" s="1653" t="s">
        <v>142</v>
      </c>
      <c r="C693" s="155">
        <v>43781</v>
      </c>
      <c r="D693" s="49" t="s">
        <v>200</v>
      </c>
      <c r="E693" s="156"/>
      <c r="F693" s="1426" t="s">
        <v>255</v>
      </c>
      <c r="G693" s="298">
        <v>3.7499999999999999E-2</v>
      </c>
      <c r="H693" s="299">
        <v>9.68</v>
      </c>
      <c r="I693" s="310">
        <f t="shared" si="82"/>
        <v>3.8739669421487604E-3</v>
      </c>
      <c r="J693" s="252">
        <v>141</v>
      </c>
      <c r="K693" s="1757"/>
      <c r="L693" s="1568">
        <v>214</v>
      </c>
      <c r="M693" s="1591"/>
      <c r="N693" s="158">
        <f t="shared" si="84"/>
        <v>1.0690761070679657</v>
      </c>
      <c r="O693" s="577" t="s">
        <v>252</v>
      </c>
      <c r="P693" s="93" t="str">
        <f>IFERROR(VLOOKUP(F693,#REF!,12,FALSE),"")</f>
        <v/>
      </c>
      <c r="Q693" s="94" t="s">
        <v>8</v>
      </c>
      <c r="R693" s="46" t="str">
        <f>IFERROR(VLOOKUP(F693,#REF!,14,FALSE),"")</f>
        <v/>
      </c>
      <c r="S693" s="47">
        <f t="shared" si="83"/>
        <v>1.5177304964539007</v>
      </c>
      <c r="U693" s="1728"/>
      <c r="V693" s="160">
        <f t="shared" si="81"/>
        <v>0</v>
      </c>
      <c r="W693" s="1767"/>
      <c r="X693" s="160"/>
    </row>
    <row r="694" spans="2:24" ht="16" thickBot="1" x14ac:dyDescent="0.25">
      <c r="B694" s="1654">
        <f>SUM(H692:H698)</f>
        <v>29.869999999999997</v>
      </c>
      <c r="C694" s="161">
        <v>43782</v>
      </c>
      <c r="D694" s="49"/>
      <c r="E694" s="156"/>
      <c r="F694" s="1412"/>
      <c r="G694" s="298"/>
      <c r="H694" s="299" t="str">
        <f>IFERROR(VLOOKUP(F694,#REF!,10,FALSE),"")</f>
        <v/>
      </c>
      <c r="I694" s="310" t="str">
        <f t="shared" si="82"/>
        <v/>
      </c>
      <c r="J694" s="252"/>
      <c r="K694" s="1757"/>
      <c r="L694" s="1568"/>
      <c r="M694" s="1591"/>
      <c r="N694" s="158" t="str">
        <f t="shared" si="84"/>
        <v/>
      </c>
      <c r="O694" s="577"/>
      <c r="P694" s="93" t="str">
        <f>IFERROR(VLOOKUP(F694,#REF!,12,FALSE),"")</f>
        <v/>
      </c>
      <c r="Q694" s="94" t="s">
        <v>8</v>
      </c>
      <c r="R694" s="46" t="str">
        <f>IFERROR(VLOOKUP(F694,#REF!,14,FALSE),"")</f>
        <v/>
      </c>
      <c r="S694" s="47" t="str">
        <f t="shared" si="83"/>
        <v/>
      </c>
      <c r="U694" s="1728"/>
      <c r="V694" s="48">
        <f t="shared" si="81"/>
        <v>0</v>
      </c>
      <c r="W694" s="1767"/>
      <c r="X694" s="48"/>
    </row>
    <row r="695" spans="2:24" x14ac:dyDescent="0.2">
      <c r="B695" s="1655" t="s">
        <v>144</v>
      </c>
      <c r="C695" s="155">
        <v>43783</v>
      </c>
      <c r="D695" s="49">
        <v>146</v>
      </c>
      <c r="E695" s="156"/>
      <c r="F695" s="1412" t="s">
        <v>255</v>
      </c>
      <c r="G695" s="298">
        <v>3.6342592592592593E-2</v>
      </c>
      <c r="H695" s="299">
        <v>9.69</v>
      </c>
      <c r="I695" s="310">
        <f t="shared" si="82"/>
        <v>3.7505255513511451E-3</v>
      </c>
      <c r="J695" s="252">
        <v>140</v>
      </c>
      <c r="K695" s="1757"/>
      <c r="L695" s="1568">
        <v>219</v>
      </c>
      <c r="M695" s="1591"/>
      <c r="N695" s="158">
        <f t="shared" si="84"/>
        <v>1.0591931980962064</v>
      </c>
      <c r="O695" s="577" t="s">
        <v>252</v>
      </c>
      <c r="P695" s="93" t="str">
        <f>IFERROR(VLOOKUP(F695,#REF!,12,FALSE),"")</f>
        <v/>
      </c>
      <c r="Q695" s="94" t="s">
        <v>8</v>
      </c>
      <c r="R695" s="46" t="str">
        <f>IFERROR(VLOOKUP(F695,#REF!,14,FALSE),"")</f>
        <v/>
      </c>
      <c r="S695" s="47">
        <f t="shared" si="83"/>
        <v>1.5642857142857143</v>
      </c>
      <c r="U695" s="1728"/>
      <c r="V695" s="48">
        <f t="shared" si="81"/>
        <v>0</v>
      </c>
      <c r="W695" s="1767"/>
      <c r="X695" s="48"/>
    </row>
    <row r="696" spans="2:24" ht="16" thickBot="1" x14ac:dyDescent="0.25">
      <c r="B696" s="1656" t="e">
        <f>SUM(#REF!)</f>
        <v>#REF!</v>
      </c>
      <c r="C696" s="161">
        <v>43784</v>
      </c>
      <c r="D696" s="49"/>
      <c r="E696" s="156"/>
      <c r="F696" s="1412"/>
      <c r="G696" s="298"/>
      <c r="H696" s="299" t="str">
        <f>IFERROR(VLOOKUP(F696,#REF!,10,FALSE),"")</f>
        <v/>
      </c>
      <c r="I696" s="310" t="str">
        <f t="shared" si="82"/>
        <v/>
      </c>
      <c r="J696" s="252"/>
      <c r="K696" s="1757"/>
      <c r="L696" s="1568"/>
      <c r="M696" s="1591"/>
      <c r="N696" s="158" t="str">
        <f t="shared" si="84"/>
        <v/>
      </c>
      <c r="O696" s="577"/>
      <c r="P696" s="93" t="str">
        <f>IFERROR(VLOOKUP(F696,#REF!,12,FALSE),"")</f>
        <v/>
      </c>
      <c r="Q696" s="94" t="s">
        <v>8</v>
      </c>
      <c r="R696" s="46" t="str">
        <f>IFERROR(VLOOKUP(F696,#REF!,14,FALSE),"")</f>
        <v/>
      </c>
      <c r="S696" s="47" t="str">
        <f t="shared" si="83"/>
        <v/>
      </c>
      <c r="U696" s="1728"/>
      <c r="V696" s="48">
        <f t="shared" si="81"/>
        <v>0</v>
      </c>
      <c r="W696" s="1767"/>
      <c r="X696" s="48"/>
    </row>
    <row r="697" spans="2:24" x14ac:dyDescent="0.2">
      <c r="B697" s="1657" t="s">
        <v>256</v>
      </c>
      <c r="C697" s="161">
        <v>43785</v>
      </c>
      <c r="D697" s="49"/>
      <c r="E697" s="156"/>
      <c r="F697" s="1412"/>
      <c r="G697" s="298"/>
      <c r="H697" s="299" t="str">
        <f>IFERROR(VLOOKUP(F697,#REF!,10,FALSE),"")</f>
        <v/>
      </c>
      <c r="I697" s="310" t="str">
        <f t="shared" si="82"/>
        <v/>
      </c>
      <c r="J697" s="252"/>
      <c r="K697" s="1757"/>
      <c r="L697" s="1568"/>
      <c r="M697" s="1591"/>
      <c r="N697" s="158" t="str">
        <f t="shared" si="84"/>
        <v/>
      </c>
      <c r="O697" s="577"/>
      <c r="P697" s="93" t="str">
        <f>IFERROR(VLOOKUP(F697,#REF!,12,FALSE),"")</f>
        <v/>
      </c>
      <c r="Q697" s="94" t="s">
        <v>8</v>
      </c>
      <c r="R697" s="46" t="str">
        <f>IFERROR(VLOOKUP(F697,#REF!,14,FALSE),"")</f>
        <v/>
      </c>
      <c r="S697" s="47" t="str">
        <f t="shared" si="83"/>
        <v/>
      </c>
      <c r="U697" s="1728"/>
      <c r="V697" s="48">
        <f t="shared" si="81"/>
        <v>0</v>
      </c>
      <c r="W697" s="1767"/>
      <c r="X697" s="48"/>
    </row>
    <row r="698" spans="2:24" ht="16" thickBot="1" x14ac:dyDescent="0.25">
      <c r="B698" s="1658" t="e">
        <f>AVERAGE(#REF!)</f>
        <v>#REF!</v>
      </c>
      <c r="C698" s="207">
        <v>43786</v>
      </c>
      <c r="D698" s="67">
        <v>147</v>
      </c>
      <c r="E698" s="208"/>
      <c r="F698" s="1405" t="s">
        <v>255</v>
      </c>
      <c r="G698" s="302">
        <v>4.221064814814815E-2</v>
      </c>
      <c r="H698" s="303">
        <v>10.5</v>
      </c>
      <c r="I698" s="311">
        <f t="shared" si="82"/>
        <v>4.0200617283950623E-3</v>
      </c>
      <c r="J698" s="262">
        <v>136</v>
      </c>
      <c r="K698" s="1757"/>
      <c r="L698" s="1569">
        <v>207</v>
      </c>
      <c r="M698" s="1592"/>
      <c r="N698" s="172">
        <f t="shared" si="84"/>
        <v>1.0731044776119405</v>
      </c>
      <c r="O698" s="578" t="s">
        <v>253</v>
      </c>
      <c r="P698" s="174" t="str">
        <f>IFERROR(VLOOKUP(F698,#REF!,12,FALSE),"")</f>
        <v/>
      </c>
      <c r="Q698" s="175" t="s">
        <v>8</v>
      </c>
      <c r="R698" s="64" t="str">
        <f>IFERROR(VLOOKUP(F698,#REF!,14,FALSE),"")</f>
        <v/>
      </c>
      <c r="S698" s="65">
        <f t="shared" si="83"/>
        <v>1.5220588235294117</v>
      </c>
      <c r="U698" s="1728"/>
      <c r="V698" s="176">
        <f t="shared" ref="V698:V761" si="85">U697-T697</f>
        <v>0</v>
      </c>
      <c r="W698" s="1768"/>
      <c r="X698" s="176"/>
    </row>
    <row r="699" spans="2:24" ht="16" thickBot="1" x14ac:dyDescent="0.25">
      <c r="B699" s="1652">
        <f>B692+1</f>
        <v>47</v>
      </c>
      <c r="C699" s="193">
        <v>43787</v>
      </c>
      <c r="D699" s="70"/>
      <c r="E699" s="71"/>
      <c r="F699" s="1461"/>
      <c r="G699" s="559"/>
      <c r="H699" s="560" t="str">
        <f>IFERROR(VLOOKUP(F699,#REF!,10,FALSE),"")</f>
        <v/>
      </c>
      <c r="I699" s="179" t="str">
        <f t="shared" si="82"/>
        <v/>
      </c>
      <c r="J699" s="269"/>
      <c r="K699" s="1757"/>
      <c r="L699" s="270"/>
      <c r="M699" s="1593"/>
      <c r="N699" s="77" t="str">
        <f t="shared" si="84"/>
        <v/>
      </c>
      <c r="O699" s="561"/>
      <c r="P699" s="224" t="str">
        <f>IFERROR(VLOOKUP(F699,#REF!,12,FALSE),"")</f>
        <v/>
      </c>
      <c r="Q699" s="80" t="s">
        <v>8</v>
      </c>
      <c r="R699" s="80" t="str">
        <f>IFERROR(VLOOKUP(F699,#REF!,14,FALSE),"")</f>
        <v/>
      </c>
      <c r="S699" s="33" t="str">
        <f t="shared" si="83"/>
        <v/>
      </c>
      <c r="U699" s="1728"/>
      <c r="V699" s="225">
        <f t="shared" si="85"/>
        <v>0</v>
      </c>
      <c r="W699" s="1766"/>
      <c r="X699" s="225"/>
    </row>
    <row r="700" spans="2:24" x14ac:dyDescent="0.2">
      <c r="B700" s="1653" t="s">
        <v>142</v>
      </c>
      <c r="C700" s="603">
        <v>43788</v>
      </c>
      <c r="D700" s="698">
        <v>148</v>
      </c>
      <c r="E700" s="699"/>
      <c r="F700" s="1426" t="s">
        <v>255</v>
      </c>
      <c r="G700" s="649">
        <v>4.0509259259259259E-2</v>
      </c>
      <c r="H700" s="673">
        <v>10.6</v>
      </c>
      <c r="I700" s="700">
        <f t="shared" si="82"/>
        <v>3.8216282320055906E-3</v>
      </c>
      <c r="J700" s="701">
        <v>136</v>
      </c>
      <c r="K700" s="1757"/>
      <c r="L700" s="1568">
        <v>216</v>
      </c>
      <c r="M700" s="1591"/>
      <c r="N700" s="702">
        <f t="shared" si="84"/>
        <v>1.0644888763728528</v>
      </c>
      <c r="O700" s="653" t="s">
        <v>253</v>
      </c>
      <c r="P700" s="654" t="str">
        <f>IFERROR(VLOOKUP(F700,#REF!,12,FALSE),"")</f>
        <v/>
      </c>
      <c r="Q700" s="655" t="s">
        <v>8</v>
      </c>
      <c r="R700" s="46" t="str">
        <f>IFERROR(VLOOKUP(F700,#REF!,14,FALSE),"")</f>
        <v/>
      </c>
      <c r="S700" s="47">
        <f t="shared" si="83"/>
        <v>1.588235294117647</v>
      </c>
      <c r="U700" s="1728"/>
      <c r="V700" s="48">
        <f t="shared" si="85"/>
        <v>0</v>
      </c>
      <c r="W700" s="1767"/>
      <c r="X700" s="48"/>
    </row>
    <row r="701" spans="2:24" ht="16" thickBot="1" x14ac:dyDescent="0.25">
      <c r="B701" s="1654">
        <f>SUM(H699:H705)</f>
        <v>21.939999999999998</v>
      </c>
      <c r="C701" s="161">
        <v>43789</v>
      </c>
      <c r="D701" s="698"/>
      <c r="E701" s="699"/>
      <c r="F701" s="1412"/>
      <c r="G701" s="649"/>
      <c r="H701" s="673" t="str">
        <f>IFERROR(VLOOKUP(F701,#REF!,10,FALSE),"")</f>
        <v/>
      </c>
      <c r="I701" s="700" t="str">
        <f t="shared" si="82"/>
        <v/>
      </c>
      <c r="J701" s="701"/>
      <c r="K701" s="1757"/>
      <c r="L701" s="1568"/>
      <c r="M701" s="1591"/>
      <c r="N701" s="702" t="str">
        <f t="shared" si="84"/>
        <v/>
      </c>
      <c r="O701" s="653"/>
      <c r="P701" s="654" t="str">
        <f>IFERROR(VLOOKUP(F701,#REF!,12,FALSE),"")</f>
        <v/>
      </c>
      <c r="Q701" s="655" t="s">
        <v>8</v>
      </c>
      <c r="R701" s="46" t="str">
        <f>IFERROR(VLOOKUP(F701,#REF!,14,FALSE),"")</f>
        <v/>
      </c>
      <c r="S701" s="47" t="str">
        <f t="shared" si="83"/>
        <v/>
      </c>
      <c r="U701" s="1728"/>
      <c r="V701" s="48">
        <f t="shared" si="85"/>
        <v>0</v>
      </c>
      <c r="W701" s="1767"/>
      <c r="X701" s="48"/>
    </row>
    <row r="702" spans="2:24" x14ac:dyDescent="0.2">
      <c r="B702" s="1655" t="s">
        <v>144</v>
      </c>
      <c r="C702" s="161">
        <v>43790</v>
      </c>
      <c r="D702" s="698"/>
      <c r="E702" s="699"/>
      <c r="F702" s="1412"/>
      <c r="G702" s="649"/>
      <c r="H702" s="673" t="str">
        <f>IFERROR(VLOOKUP(F702,#REF!,10,FALSE),"")</f>
        <v/>
      </c>
      <c r="I702" s="700" t="str">
        <f t="shared" si="82"/>
        <v/>
      </c>
      <c r="J702" s="701"/>
      <c r="K702" s="1757"/>
      <c r="L702" s="1568"/>
      <c r="M702" s="1591"/>
      <c r="N702" s="702" t="str">
        <f t="shared" si="84"/>
        <v/>
      </c>
      <c r="O702" s="653"/>
      <c r="P702" s="654" t="str">
        <f>IFERROR(VLOOKUP(F702,#REF!,12,FALSE),"")</f>
        <v/>
      </c>
      <c r="Q702" s="655" t="s">
        <v>8</v>
      </c>
      <c r="R702" s="46" t="str">
        <f>IFERROR(VLOOKUP(F702,#REF!,14,FALSE),"")</f>
        <v/>
      </c>
      <c r="S702" s="47" t="str">
        <f t="shared" si="83"/>
        <v/>
      </c>
      <c r="U702" s="1728"/>
      <c r="V702" s="48">
        <f t="shared" si="85"/>
        <v>0</v>
      </c>
      <c r="W702" s="1767"/>
      <c r="X702" s="48"/>
    </row>
    <row r="703" spans="2:24" ht="16" thickBot="1" x14ac:dyDescent="0.25">
      <c r="B703" s="1656" t="e">
        <f>SUM(#REF!)</f>
        <v>#REF!</v>
      </c>
      <c r="C703" s="161">
        <v>43791</v>
      </c>
      <c r="D703" s="698"/>
      <c r="E703" s="699"/>
      <c r="F703" s="1412"/>
      <c r="G703" s="649"/>
      <c r="H703" s="673" t="str">
        <f>IFERROR(VLOOKUP(F703,#REF!,10,FALSE),"")</f>
        <v/>
      </c>
      <c r="I703" s="700" t="str">
        <f t="shared" si="82"/>
        <v/>
      </c>
      <c r="J703" s="701"/>
      <c r="K703" s="1757"/>
      <c r="L703" s="1568"/>
      <c r="M703" s="1591"/>
      <c r="N703" s="702" t="str">
        <f t="shared" si="84"/>
        <v/>
      </c>
      <c r="O703" s="653"/>
      <c r="P703" s="654" t="str">
        <f>IFERROR(VLOOKUP(F703,#REF!,12,FALSE),"")</f>
        <v/>
      </c>
      <c r="Q703" s="655" t="s">
        <v>8</v>
      </c>
      <c r="R703" s="46" t="str">
        <f>IFERROR(VLOOKUP(F703,#REF!,14,FALSE),"")</f>
        <v/>
      </c>
      <c r="S703" s="47" t="str">
        <f t="shared" si="83"/>
        <v/>
      </c>
      <c r="U703" s="1728"/>
      <c r="V703" s="48">
        <f t="shared" si="85"/>
        <v>0</v>
      </c>
      <c r="W703" s="1767"/>
      <c r="X703" s="48"/>
    </row>
    <row r="704" spans="2:24" x14ac:dyDescent="0.2">
      <c r="B704" s="1657" t="s">
        <v>256</v>
      </c>
      <c r="C704" s="161">
        <v>43792</v>
      </c>
      <c r="D704" s="698"/>
      <c r="E704" s="699"/>
      <c r="F704" s="1412"/>
      <c r="G704" s="649"/>
      <c r="H704" s="673" t="str">
        <f>IFERROR(VLOOKUP(F704,#REF!,10,FALSE),"")</f>
        <v/>
      </c>
      <c r="I704" s="700" t="str">
        <f t="shared" si="82"/>
        <v/>
      </c>
      <c r="J704" s="701"/>
      <c r="K704" s="1757"/>
      <c r="L704" s="1568"/>
      <c r="M704" s="1591"/>
      <c r="N704" s="702" t="str">
        <f t="shared" si="84"/>
        <v/>
      </c>
      <c r="O704" s="653"/>
      <c r="P704" s="654" t="str">
        <f>IFERROR(VLOOKUP(F704,#REF!,12,FALSE),"")</f>
        <v/>
      </c>
      <c r="Q704" s="655" t="s">
        <v>8</v>
      </c>
      <c r="R704" s="46" t="str">
        <f>IFERROR(VLOOKUP(F704,#REF!,14,FALSE),"")</f>
        <v/>
      </c>
      <c r="S704" s="47" t="str">
        <f t="shared" si="83"/>
        <v/>
      </c>
      <c r="U704" s="1728"/>
      <c r="V704" s="48">
        <f t="shared" si="85"/>
        <v>0</v>
      </c>
      <c r="W704" s="1767"/>
      <c r="X704" s="48"/>
    </row>
    <row r="705" spans="2:24" ht="16" thickBot="1" x14ac:dyDescent="0.25">
      <c r="B705" s="1658" t="e">
        <f>AVERAGE(#REF!)</f>
        <v>#REF!</v>
      </c>
      <c r="C705" s="141">
        <v>43793</v>
      </c>
      <c r="D705" s="181">
        <v>149</v>
      </c>
      <c r="E705" s="182"/>
      <c r="F705" s="1405" t="s">
        <v>173</v>
      </c>
      <c r="G705" s="572">
        <v>4.3240740740740739E-2</v>
      </c>
      <c r="H705" s="712">
        <v>11.34</v>
      </c>
      <c r="I705" s="713">
        <f t="shared" si="82"/>
        <v>3.8131164674374551E-3</v>
      </c>
      <c r="J705" s="714">
        <v>138</v>
      </c>
      <c r="K705" s="1757"/>
      <c r="L705" s="1570">
        <v>211</v>
      </c>
      <c r="M705" s="1594"/>
      <c r="N705" s="186">
        <f t="shared" si="84"/>
        <v>1.0375319171339072</v>
      </c>
      <c r="O705" s="574" t="s">
        <v>253</v>
      </c>
      <c r="P705" s="575" t="str">
        <f>IFERROR(VLOOKUP(F705,#REF!,12,FALSE),"")</f>
        <v/>
      </c>
      <c r="Q705" s="709" t="s">
        <v>8</v>
      </c>
      <c r="R705" s="107" t="str">
        <f>IFERROR(VLOOKUP(F705,#REF!,14,FALSE),"")</f>
        <v/>
      </c>
      <c r="S705" s="65">
        <f t="shared" si="83"/>
        <v>1.5289855072463767</v>
      </c>
      <c r="U705" s="1728"/>
      <c r="V705" s="108">
        <f t="shared" si="85"/>
        <v>0</v>
      </c>
      <c r="W705" s="1768"/>
      <c r="X705" s="108"/>
    </row>
    <row r="706" spans="2:24" ht="16" thickBot="1" x14ac:dyDescent="0.25">
      <c r="B706" s="1652">
        <f>B699+1</f>
        <v>48</v>
      </c>
      <c r="C706" s="142">
        <v>43794</v>
      </c>
      <c r="D706" s="143"/>
      <c r="E706" s="144"/>
      <c r="F706" s="1425"/>
      <c r="G706" s="291"/>
      <c r="H706" s="602" t="str">
        <f>IFERROR(VLOOKUP(F706,#REF!,10,FALSE),"")</f>
        <v/>
      </c>
      <c r="I706" s="309" t="str">
        <f t="shared" si="82"/>
        <v/>
      </c>
      <c r="J706" s="295"/>
      <c r="K706" s="1757"/>
      <c r="L706" s="792"/>
      <c r="M706" s="1595"/>
      <c r="N706" s="150" t="str">
        <f t="shared" si="84"/>
        <v/>
      </c>
      <c r="O706" s="576"/>
      <c r="P706" s="152" t="str">
        <f>IFERROR(VLOOKUP(F706,#REF!,12,FALSE),"")</f>
        <v/>
      </c>
      <c r="Q706" s="153" t="s">
        <v>8</v>
      </c>
      <c r="R706" s="32" t="str">
        <f>IFERROR(VLOOKUP(F706,#REF!,14,FALSE),"")</f>
        <v/>
      </c>
      <c r="S706" s="33" t="str">
        <f t="shared" si="83"/>
        <v/>
      </c>
      <c r="U706" s="1728"/>
      <c r="V706" s="154">
        <f t="shared" si="85"/>
        <v>0</v>
      </c>
      <c r="W706" s="1766"/>
      <c r="X706" s="154"/>
    </row>
    <row r="707" spans="2:24" x14ac:dyDescent="0.2">
      <c r="B707" s="1653" t="s">
        <v>142</v>
      </c>
      <c r="C707" s="155">
        <v>43795</v>
      </c>
      <c r="D707" s="49"/>
      <c r="E707" s="156"/>
      <c r="F707" s="1426"/>
      <c r="G707" s="298"/>
      <c r="H707" s="299" t="str">
        <f>IFERROR(VLOOKUP(F707,#REF!,10,FALSE),"")</f>
        <v/>
      </c>
      <c r="I707" s="310" t="str">
        <f t="shared" si="82"/>
        <v/>
      </c>
      <c r="J707" s="252"/>
      <c r="K707" s="1757"/>
      <c r="L707" s="1568"/>
      <c r="M707" s="1591"/>
      <c r="N707" s="158" t="str">
        <f t="shared" si="84"/>
        <v/>
      </c>
      <c r="O707" s="577"/>
      <c r="P707" s="93" t="str">
        <f>IFERROR(VLOOKUP(F707,#REF!,12,FALSE),"")</f>
        <v/>
      </c>
      <c r="Q707" s="94" t="s">
        <v>8</v>
      </c>
      <c r="R707" s="46" t="str">
        <f>IFERROR(VLOOKUP(F707,#REF!,14,FALSE),"")</f>
        <v/>
      </c>
      <c r="S707" s="47" t="str">
        <f t="shared" si="83"/>
        <v/>
      </c>
      <c r="U707" s="1728"/>
      <c r="V707" s="160">
        <f t="shared" si="85"/>
        <v>0</v>
      </c>
      <c r="W707" s="1767"/>
      <c r="X707" s="160"/>
    </row>
    <row r="708" spans="2:24" ht="16" thickBot="1" x14ac:dyDescent="0.25">
      <c r="B708" s="1654">
        <f>SUM(H706:H712)</f>
        <v>33.299999999999997</v>
      </c>
      <c r="C708" s="161">
        <v>43796</v>
      </c>
      <c r="D708" s="49">
        <v>150</v>
      </c>
      <c r="E708" s="156"/>
      <c r="F708" s="1412" t="s">
        <v>255</v>
      </c>
      <c r="G708" s="298">
        <v>4.0625000000000001E-2</v>
      </c>
      <c r="H708" s="299">
        <v>10.7</v>
      </c>
      <c r="I708" s="310">
        <f t="shared" si="82"/>
        <v>3.7967289719626172E-3</v>
      </c>
      <c r="J708" s="252">
        <v>152</v>
      </c>
      <c r="K708" s="1757"/>
      <c r="L708" s="1568">
        <v>220</v>
      </c>
      <c r="M708" s="1591"/>
      <c r="N708" s="158">
        <f t="shared" si="84"/>
        <v>1.0771376761054543</v>
      </c>
      <c r="O708" s="577" t="s">
        <v>253</v>
      </c>
      <c r="P708" s="93" t="str">
        <f>IFERROR(VLOOKUP(F708,#REF!,12,FALSE),"")</f>
        <v/>
      </c>
      <c r="Q708" s="94" t="s">
        <v>8</v>
      </c>
      <c r="R708" s="46" t="str">
        <f>IFERROR(VLOOKUP(F708,#REF!,14,FALSE),"")</f>
        <v/>
      </c>
      <c r="S708" s="47">
        <f t="shared" si="83"/>
        <v>1.4473684210526316</v>
      </c>
      <c r="U708" s="1728"/>
      <c r="V708" s="48">
        <f t="shared" si="85"/>
        <v>0</v>
      </c>
      <c r="W708" s="1767"/>
      <c r="X708" s="48"/>
    </row>
    <row r="709" spans="2:24" x14ac:dyDescent="0.2">
      <c r="B709" s="1655" t="s">
        <v>144</v>
      </c>
      <c r="C709" s="155">
        <v>43797</v>
      </c>
      <c r="D709" s="49"/>
      <c r="E709" s="156"/>
      <c r="F709" s="1412"/>
      <c r="G709" s="298"/>
      <c r="H709" s="299" t="str">
        <f>IFERROR(VLOOKUP(F709,#REF!,10,FALSE),"")</f>
        <v/>
      </c>
      <c r="I709" s="310" t="str">
        <f t="shared" si="82"/>
        <v/>
      </c>
      <c r="J709" s="252"/>
      <c r="K709" s="1757"/>
      <c r="L709" s="1568"/>
      <c r="M709" s="1591"/>
      <c r="N709" s="158" t="str">
        <f t="shared" si="84"/>
        <v/>
      </c>
      <c r="O709" s="577"/>
      <c r="P709" s="93" t="str">
        <f>IFERROR(VLOOKUP(F709,#REF!,12,FALSE),"")</f>
        <v/>
      </c>
      <c r="Q709" s="94" t="s">
        <v>8</v>
      </c>
      <c r="R709" s="46" t="str">
        <f>IFERROR(VLOOKUP(F709,#REF!,14,FALSE),"")</f>
        <v/>
      </c>
      <c r="S709" s="47" t="str">
        <f t="shared" si="83"/>
        <v/>
      </c>
      <c r="U709" s="1728"/>
      <c r="V709" s="48">
        <f t="shared" si="85"/>
        <v>0</v>
      </c>
      <c r="W709" s="1767"/>
      <c r="X709" s="48"/>
    </row>
    <row r="710" spans="2:24" ht="16" thickBot="1" x14ac:dyDescent="0.25">
      <c r="B710" s="1656" t="e">
        <f>SUM(#REF!)</f>
        <v>#REF!</v>
      </c>
      <c r="C710" s="161">
        <v>43798</v>
      </c>
      <c r="D710" s="49">
        <v>151</v>
      </c>
      <c r="E710" s="156"/>
      <c r="F710" s="1412" t="s">
        <v>255</v>
      </c>
      <c r="G710" s="298">
        <v>4.0381944444444443E-2</v>
      </c>
      <c r="H710" s="299">
        <v>10.6</v>
      </c>
      <c r="I710" s="310">
        <f t="shared" si="82"/>
        <v>3.8096174004192871E-3</v>
      </c>
      <c r="J710" s="252">
        <v>141</v>
      </c>
      <c r="K710" s="1757"/>
      <c r="L710" s="1568">
        <v>216</v>
      </c>
      <c r="M710" s="1591"/>
      <c r="N710" s="158">
        <f t="shared" si="84"/>
        <v>1.0611433399042522</v>
      </c>
      <c r="O710" s="577" t="s">
        <v>253</v>
      </c>
      <c r="P710" s="93" t="str">
        <f>IFERROR(VLOOKUP(F710,#REF!,12,FALSE),"")</f>
        <v/>
      </c>
      <c r="Q710" s="94" t="s">
        <v>8</v>
      </c>
      <c r="R710" s="46" t="str">
        <f>IFERROR(VLOOKUP(F710,#REF!,14,FALSE),"")</f>
        <v/>
      </c>
      <c r="S710" s="47">
        <f t="shared" si="83"/>
        <v>1.5319148936170213</v>
      </c>
      <c r="U710" s="1728"/>
      <c r="V710" s="48">
        <f t="shared" si="85"/>
        <v>0</v>
      </c>
      <c r="W710" s="1767"/>
      <c r="X710" s="48"/>
    </row>
    <row r="711" spans="2:24" x14ac:dyDescent="0.2">
      <c r="B711" s="1657" t="s">
        <v>256</v>
      </c>
      <c r="C711" s="161">
        <v>43799</v>
      </c>
      <c r="D711" s="49"/>
      <c r="E711" s="156"/>
      <c r="F711" s="1412"/>
      <c r="G711" s="298"/>
      <c r="H711" s="299" t="str">
        <f>IFERROR(VLOOKUP(F711,#REF!,10,FALSE),"")</f>
        <v/>
      </c>
      <c r="I711" s="310" t="str">
        <f t="shared" si="82"/>
        <v/>
      </c>
      <c r="J711" s="252"/>
      <c r="K711" s="1757"/>
      <c r="L711" s="1568"/>
      <c r="M711" s="1591"/>
      <c r="N711" s="158" t="str">
        <f t="shared" si="84"/>
        <v/>
      </c>
      <c r="O711" s="577"/>
      <c r="P711" s="93" t="str">
        <f>IFERROR(VLOOKUP(F711,#REF!,12,FALSE),"")</f>
        <v/>
      </c>
      <c r="Q711" s="94" t="s">
        <v>8</v>
      </c>
      <c r="R711" s="46" t="str">
        <f>IFERROR(VLOOKUP(F711,#REF!,14,FALSE),"")</f>
        <v/>
      </c>
      <c r="S711" s="47" t="str">
        <f t="shared" si="83"/>
        <v/>
      </c>
      <c r="U711" s="1728"/>
      <c r="V711" s="48">
        <f t="shared" si="85"/>
        <v>0</v>
      </c>
      <c r="W711" s="1767"/>
      <c r="X711" s="48"/>
    </row>
    <row r="712" spans="2:24" ht="16" thickBot="1" x14ac:dyDescent="0.25">
      <c r="B712" s="1658" t="e">
        <f>AVERAGE(#REF!)</f>
        <v>#REF!</v>
      </c>
      <c r="C712" s="207">
        <v>43800</v>
      </c>
      <c r="D712" s="67">
        <v>152</v>
      </c>
      <c r="E712" s="208"/>
      <c r="F712" s="1405" t="s">
        <v>149</v>
      </c>
      <c r="G712" s="302">
        <v>4.5694444444444447E-2</v>
      </c>
      <c r="H712" s="303">
        <v>12</v>
      </c>
      <c r="I712" s="311">
        <f t="shared" si="82"/>
        <v>3.8078703703703707E-3</v>
      </c>
      <c r="J712" s="262">
        <v>133</v>
      </c>
      <c r="K712" s="1757"/>
      <c r="L712" s="1569">
        <v>216</v>
      </c>
      <c r="M712" s="1592"/>
      <c r="N712" s="172">
        <f t="shared" si="84"/>
        <v>1.0606567164179106</v>
      </c>
      <c r="O712" s="578" t="s">
        <v>175</v>
      </c>
      <c r="P712" s="174" t="str">
        <f>IFERROR(VLOOKUP(F712,#REF!,12,FALSE),"")</f>
        <v/>
      </c>
      <c r="Q712" s="175" t="s">
        <v>8</v>
      </c>
      <c r="R712" s="64" t="str">
        <f>IFERROR(VLOOKUP(F712,#REF!,14,FALSE),"")</f>
        <v/>
      </c>
      <c r="S712" s="65">
        <f t="shared" si="83"/>
        <v>1.6240601503759398</v>
      </c>
      <c r="U712" s="1728"/>
      <c r="V712" s="176">
        <f t="shared" si="85"/>
        <v>0</v>
      </c>
      <c r="W712" s="1768"/>
      <c r="X712" s="176"/>
    </row>
    <row r="713" spans="2:24" ht="16" thickBot="1" x14ac:dyDescent="0.25">
      <c r="B713" s="1652">
        <f>B706+1</f>
        <v>49</v>
      </c>
      <c r="C713" s="193">
        <v>43801</v>
      </c>
      <c r="D713" s="70"/>
      <c r="E713" s="71"/>
      <c r="F713" s="1461"/>
      <c r="G713" s="559"/>
      <c r="H713" s="560" t="str">
        <f>IFERROR(VLOOKUP(F713,#REF!,10,FALSE),"")</f>
        <v/>
      </c>
      <c r="I713" s="179" t="str">
        <f t="shared" si="82"/>
        <v/>
      </c>
      <c r="J713" s="269"/>
      <c r="K713" s="1757"/>
      <c r="L713" s="270"/>
      <c r="M713" s="1593"/>
      <c r="N713" s="77" t="str">
        <f t="shared" si="84"/>
        <v/>
      </c>
      <c r="O713" s="561"/>
      <c r="P713" s="224" t="str">
        <f>IFERROR(VLOOKUP(F713,#REF!,12,FALSE),"")</f>
        <v/>
      </c>
      <c r="Q713" s="80" t="s">
        <v>8</v>
      </c>
      <c r="R713" s="80" t="str">
        <f>IFERROR(VLOOKUP(F713,#REF!,14,FALSE),"")</f>
        <v/>
      </c>
      <c r="S713" s="33" t="str">
        <f t="shared" si="83"/>
        <v/>
      </c>
      <c r="U713" s="1728"/>
      <c r="V713" s="225">
        <f t="shared" si="85"/>
        <v>0</v>
      </c>
      <c r="W713" s="1766"/>
      <c r="X713" s="225"/>
    </row>
    <row r="714" spans="2:24" x14ac:dyDescent="0.2">
      <c r="B714" s="1653" t="s">
        <v>142</v>
      </c>
      <c r="C714" s="603">
        <v>43802</v>
      </c>
      <c r="D714" s="715">
        <v>153</v>
      </c>
      <c r="E714" s="716"/>
      <c r="F714" s="1426" t="s">
        <v>255</v>
      </c>
      <c r="G714" s="717">
        <v>4.0196759259259258E-2</v>
      </c>
      <c r="H714" s="718">
        <v>10.68</v>
      </c>
      <c r="I714" s="719">
        <f t="shared" si="82"/>
        <v>3.7637415036759604E-3</v>
      </c>
      <c r="J714" s="720">
        <v>142</v>
      </c>
      <c r="K714" s="1757"/>
      <c r="L714" s="1568">
        <v>221</v>
      </c>
      <c r="M714" s="1591"/>
      <c r="N714" s="722">
        <f t="shared" si="84"/>
        <v>1.0726326233998547</v>
      </c>
      <c r="O714" s="723" t="s">
        <v>175</v>
      </c>
      <c r="P714" s="654" t="str">
        <f>IFERROR(VLOOKUP(F714,#REF!,12,FALSE),"")</f>
        <v/>
      </c>
      <c r="Q714" s="655" t="s">
        <v>8</v>
      </c>
      <c r="R714" s="46" t="str">
        <f>IFERROR(VLOOKUP(F714,#REF!,14,FALSE),"")</f>
        <v/>
      </c>
      <c r="S714" s="47">
        <f t="shared" si="83"/>
        <v>1.556338028169014</v>
      </c>
      <c r="U714" s="1728"/>
      <c r="V714" s="48">
        <f t="shared" si="85"/>
        <v>0</v>
      </c>
      <c r="W714" s="1767"/>
      <c r="X714" s="48"/>
    </row>
    <row r="715" spans="2:24" ht="16" thickBot="1" x14ac:dyDescent="0.25">
      <c r="B715" s="1654">
        <f>SUM(H713:H719)</f>
        <v>10.68</v>
      </c>
      <c r="C715" s="161">
        <v>43803</v>
      </c>
      <c r="D715" s="715"/>
      <c r="E715" s="716"/>
      <c r="F715" s="1412"/>
      <c r="G715" s="717"/>
      <c r="H715" s="718" t="str">
        <f>IFERROR(VLOOKUP(F715,#REF!,10,FALSE),"")</f>
        <v/>
      </c>
      <c r="I715" s="719" t="str">
        <f t="shared" si="82"/>
        <v/>
      </c>
      <c r="J715" s="720"/>
      <c r="K715" s="1757"/>
      <c r="L715" s="1568"/>
      <c r="M715" s="1591"/>
      <c r="N715" s="722" t="str">
        <f t="shared" si="84"/>
        <v/>
      </c>
      <c r="O715" s="723"/>
      <c r="P715" s="654" t="str">
        <f>IFERROR(VLOOKUP(F715,#REF!,12,FALSE),"")</f>
        <v/>
      </c>
      <c r="Q715" s="655" t="s">
        <v>8</v>
      </c>
      <c r="R715" s="46" t="str">
        <f>IFERROR(VLOOKUP(F715,#REF!,14,FALSE),"")</f>
        <v/>
      </c>
      <c r="S715" s="47" t="str">
        <f t="shared" si="83"/>
        <v/>
      </c>
      <c r="U715" s="1728"/>
      <c r="V715" s="48">
        <f t="shared" si="85"/>
        <v>0</v>
      </c>
      <c r="W715" s="1767"/>
      <c r="X715" s="48"/>
    </row>
    <row r="716" spans="2:24" x14ac:dyDescent="0.2">
      <c r="B716" s="1655" t="s">
        <v>144</v>
      </c>
      <c r="C716" s="161">
        <v>43804</v>
      </c>
      <c r="D716" s="715"/>
      <c r="E716" s="716"/>
      <c r="F716" s="1412"/>
      <c r="G716" s="717"/>
      <c r="H716" s="718" t="str">
        <f>IFERROR(VLOOKUP(F716,#REF!,10,FALSE),"")</f>
        <v/>
      </c>
      <c r="I716" s="719" t="str">
        <f t="shared" ref="I716:I742" si="86">IFERROR(G716/H716,"")</f>
        <v/>
      </c>
      <c r="J716" s="720"/>
      <c r="K716" s="1757"/>
      <c r="L716" s="1568"/>
      <c r="M716" s="1591"/>
      <c r="N716" s="722" t="str">
        <f t="shared" si="84"/>
        <v/>
      </c>
      <c r="O716" s="723"/>
      <c r="P716" s="654" t="str">
        <f>IFERROR(VLOOKUP(F716,#REF!,12,FALSE),"")</f>
        <v/>
      </c>
      <c r="Q716" s="655" t="s">
        <v>8</v>
      </c>
      <c r="R716" s="46" t="str">
        <f>IFERROR(VLOOKUP(F716,#REF!,14,FALSE),"")</f>
        <v/>
      </c>
      <c r="S716" s="47" t="str">
        <f t="shared" si="83"/>
        <v/>
      </c>
      <c r="U716" s="1728"/>
      <c r="V716" s="48">
        <f t="shared" si="85"/>
        <v>0</v>
      </c>
      <c r="W716" s="1767"/>
      <c r="X716" s="48"/>
    </row>
    <row r="717" spans="2:24" ht="16" thickBot="1" x14ac:dyDescent="0.25">
      <c r="B717" s="1656" t="e">
        <f>SUM(#REF!)</f>
        <v>#REF!</v>
      </c>
      <c r="C717" s="161">
        <v>43805</v>
      </c>
      <c r="D717" s="715"/>
      <c r="E717" s="716"/>
      <c r="F717" s="1412"/>
      <c r="G717" s="717"/>
      <c r="H717" s="718" t="str">
        <f>IFERROR(VLOOKUP(F717,#REF!,10,FALSE),"")</f>
        <v/>
      </c>
      <c r="I717" s="719" t="str">
        <f t="shared" si="86"/>
        <v/>
      </c>
      <c r="J717" s="720"/>
      <c r="K717" s="1757"/>
      <c r="L717" s="1568"/>
      <c r="M717" s="1591"/>
      <c r="N717" s="722" t="str">
        <f t="shared" si="84"/>
        <v/>
      </c>
      <c r="O717" s="723"/>
      <c r="P717" s="654" t="str">
        <f>IFERROR(VLOOKUP(F717,#REF!,12,FALSE),"")</f>
        <v/>
      </c>
      <c r="Q717" s="655" t="s">
        <v>8</v>
      </c>
      <c r="R717" s="46" t="str">
        <f>IFERROR(VLOOKUP(F717,#REF!,14,FALSE),"")</f>
        <v/>
      </c>
      <c r="S717" s="47" t="str">
        <f t="shared" si="83"/>
        <v/>
      </c>
      <c r="U717" s="1728"/>
      <c r="V717" s="48">
        <f t="shared" si="85"/>
        <v>0</v>
      </c>
      <c r="W717" s="1767"/>
      <c r="X717" s="48"/>
    </row>
    <row r="718" spans="2:24" x14ac:dyDescent="0.2">
      <c r="B718" s="1657" t="s">
        <v>256</v>
      </c>
      <c r="C718" s="161">
        <v>43806</v>
      </c>
      <c r="D718" s="715"/>
      <c r="E718" s="716"/>
      <c r="F718" s="1412"/>
      <c r="G718" s="717"/>
      <c r="H718" s="718" t="str">
        <f>IFERROR(VLOOKUP(F718,#REF!,10,FALSE),"")</f>
        <v/>
      </c>
      <c r="I718" s="719" t="str">
        <f t="shared" si="86"/>
        <v/>
      </c>
      <c r="J718" s="720"/>
      <c r="K718" s="1757"/>
      <c r="L718" s="1568"/>
      <c r="M718" s="1591"/>
      <c r="N718" s="722" t="str">
        <f t="shared" si="84"/>
        <v/>
      </c>
      <c r="O718" s="723"/>
      <c r="P718" s="654" t="str">
        <f>IFERROR(VLOOKUP(F718,#REF!,12,FALSE),"")</f>
        <v/>
      </c>
      <c r="Q718" s="655" t="s">
        <v>8</v>
      </c>
      <c r="R718" s="46" t="str">
        <f>IFERROR(VLOOKUP(F718,#REF!,14,FALSE),"")</f>
        <v/>
      </c>
      <c r="S718" s="47" t="str">
        <f t="shared" si="83"/>
        <v/>
      </c>
      <c r="U718" s="1728"/>
      <c r="V718" s="48">
        <f t="shared" si="85"/>
        <v>0</v>
      </c>
      <c r="W718" s="1767"/>
      <c r="X718" s="48"/>
    </row>
    <row r="719" spans="2:24" ht="16" thickBot="1" x14ac:dyDescent="0.25">
      <c r="B719" s="1658" t="e">
        <f>AVERAGE(#REF!)</f>
        <v>#REF!</v>
      </c>
      <c r="C719" s="724">
        <v>43807</v>
      </c>
      <c r="D719" s="725"/>
      <c r="E719" s="726"/>
      <c r="F719" s="1405"/>
      <c r="G719" s="727"/>
      <c r="H719" s="728" t="str">
        <f>IFERROR(VLOOKUP(F719,#REF!,10,FALSE),"")</f>
        <v/>
      </c>
      <c r="I719" s="729" t="str">
        <f t="shared" si="86"/>
        <v/>
      </c>
      <c r="J719" s="730"/>
      <c r="K719" s="1757"/>
      <c r="L719" s="1569"/>
      <c r="M719" s="1592"/>
      <c r="N719" s="732" t="str">
        <f t="shared" si="84"/>
        <v/>
      </c>
      <c r="O719" s="733"/>
      <c r="P719" s="734" t="str">
        <f>IFERROR(VLOOKUP(F719,#REF!,12,FALSE),"")</f>
        <v/>
      </c>
      <c r="Q719" s="735" t="s">
        <v>8</v>
      </c>
      <c r="R719" s="64" t="str">
        <f>IFERROR(VLOOKUP(F719,#REF!,14,FALSE),"")</f>
        <v/>
      </c>
      <c r="S719" s="65" t="str">
        <f t="shared" si="83"/>
        <v/>
      </c>
      <c r="U719" s="1728"/>
      <c r="V719" s="66">
        <f t="shared" si="85"/>
        <v>0</v>
      </c>
      <c r="W719" s="1768"/>
      <c r="X719" s="66"/>
    </row>
    <row r="720" spans="2:24" ht="16" thickBot="1" x14ac:dyDescent="0.25">
      <c r="B720" s="1652">
        <f>B713+1</f>
        <v>50</v>
      </c>
      <c r="C720" s="736">
        <v>43808</v>
      </c>
      <c r="D720" s="70"/>
      <c r="E720" s="71"/>
      <c r="F720" s="1484"/>
      <c r="G720" s="737"/>
      <c r="H720" s="738" t="str">
        <f>IFERROR(VLOOKUP(F720,#REF!,10,FALSE),"")</f>
        <v/>
      </c>
      <c r="I720" s="739" t="str">
        <f t="shared" si="86"/>
        <v/>
      </c>
      <c r="J720" s="740"/>
      <c r="K720" s="1757"/>
      <c r="L720" s="270"/>
      <c r="M720" s="1593"/>
      <c r="N720" s="77" t="str">
        <f t="shared" si="84"/>
        <v/>
      </c>
      <c r="O720" s="741"/>
      <c r="P720" s="79" t="str">
        <f>IFERROR(VLOOKUP(F720,#REF!,12,FALSE),"")</f>
        <v/>
      </c>
      <c r="Q720" s="80" t="s">
        <v>8</v>
      </c>
      <c r="R720" s="80" t="str">
        <f>IFERROR(VLOOKUP(F720,#REF!,14,FALSE),"")</f>
        <v/>
      </c>
      <c r="S720" s="33" t="str">
        <f t="shared" si="83"/>
        <v/>
      </c>
      <c r="U720" s="1728"/>
      <c r="V720" s="81">
        <f t="shared" si="85"/>
        <v>0</v>
      </c>
      <c r="W720" s="1766"/>
      <c r="X720" s="81"/>
    </row>
    <row r="721" spans="2:24" x14ac:dyDescent="0.2">
      <c r="B721" s="1653" t="s">
        <v>142</v>
      </c>
      <c r="C721" s="84">
        <v>43809</v>
      </c>
      <c r="D721" s="162"/>
      <c r="E721" s="163"/>
      <c r="F721" s="1426"/>
      <c r="G721" s="742"/>
      <c r="H721" s="743" t="str">
        <f>IFERROR(VLOOKUP(F721,#REF!,10,FALSE),"")</f>
        <v/>
      </c>
      <c r="I721" s="744" t="str">
        <f t="shared" si="86"/>
        <v/>
      </c>
      <c r="J721" s="745"/>
      <c r="K721" s="1757"/>
      <c r="L721" s="1568"/>
      <c r="M721" s="1591"/>
      <c r="N721" s="746" t="str">
        <f t="shared" si="84"/>
        <v/>
      </c>
      <c r="O721" s="747"/>
      <c r="P721" s="93" t="str">
        <f>IFERROR(VLOOKUP(F721,#REF!,12,FALSE),"")</f>
        <v/>
      </c>
      <c r="Q721" s="94" t="s">
        <v>8</v>
      </c>
      <c r="R721" s="46" t="str">
        <f>IFERROR(VLOOKUP(F721,#REF!,14,FALSE),"")</f>
        <v/>
      </c>
      <c r="S721" s="47" t="str">
        <f t="shared" si="83"/>
        <v/>
      </c>
      <c r="U721" s="1728"/>
      <c r="V721" s="48">
        <f t="shared" si="85"/>
        <v>0</v>
      </c>
      <c r="W721" s="1767"/>
      <c r="X721" s="48"/>
    </row>
    <row r="722" spans="2:24" ht="16" thickBot="1" x14ac:dyDescent="0.25">
      <c r="B722" s="1654">
        <f>SUM(H720:H726)</f>
        <v>17.86</v>
      </c>
      <c r="C722" s="84">
        <v>43810</v>
      </c>
      <c r="D722" s="162"/>
      <c r="E722" s="163"/>
      <c r="F722" s="1412"/>
      <c r="G722" s="742"/>
      <c r="H722" s="743" t="str">
        <f>IFERROR(VLOOKUP(F722,#REF!,10,FALSE),"")</f>
        <v/>
      </c>
      <c r="I722" s="744" t="str">
        <f t="shared" si="86"/>
        <v/>
      </c>
      <c r="J722" s="745"/>
      <c r="K722" s="1757"/>
      <c r="L722" s="1568"/>
      <c r="M722" s="1591"/>
      <c r="N722" s="746" t="str">
        <f t="shared" si="84"/>
        <v/>
      </c>
      <c r="O722" s="747"/>
      <c r="P722" s="93" t="str">
        <f>IFERROR(VLOOKUP(F722,#REF!,12,FALSE),"")</f>
        <v/>
      </c>
      <c r="Q722" s="94" t="s">
        <v>8</v>
      </c>
      <c r="R722" s="46" t="str">
        <f>IFERROR(VLOOKUP(F722,#REF!,14,FALSE),"")</f>
        <v/>
      </c>
      <c r="S722" s="47" t="str">
        <f t="shared" si="83"/>
        <v/>
      </c>
      <c r="U722" s="1728"/>
      <c r="V722" s="48">
        <f t="shared" si="85"/>
        <v>0</v>
      </c>
      <c r="W722" s="1767"/>
      <c r="X722" s="48"/>
    </row>
    <row r="723" spans="2:24" x14ac:dyDescent="0.2">
      <c r="B723" s="1655" t="s">
        <v>144</v>
      </c>
      <c r="C723" s="84">
        <v>43811</v>
      </c>
      <c r="D723" s="162"/>
      <c r="E723" s="163"/>
      <c r="F723" s="1412"/>
      <c r="G723" s="742"/>
      <c r="H723" s="743" t="str">
        <f>IFERROR(VLOOKUP(F723,#REF!,10,FALSE),"")</f>
        <v/>
      </c>
      <c r="I723" s="744" t="str">
        <f t="shared" si="86"/>
        <v/>
      </c>
      <c r="J723" s="745"/>
      <c r="K723" s="1757"/>
      <c r="L723" s="1568"/>
      <c r="M723" s="1591"/>
      <c r="N723" s="746" t="str">
        <f t="shared" si="84"/>
        <v/>
      </c>
      <c r="O723" s="747"/>
      <c r="P723" s="93" t="str">
        <f>IFERROR(VLOOKUP(F723,#REF!,12,FALSE),"")</f>
        <v/>
      </c>
      <c r="Q723" s="94" t="s">
        <v>8</v>
      </c>
      <c r="R723" s="46" t="str">
        <f>IFERROR(VLOOKUP(F723,#REF!,14,FALSE),"")</f>
        <v/>
      </c>
      <c r="S723" s="47" t="str">
        <f t="shared" si="83"/>
        <v/>
      </c>
      <c r="U723" s="1728"/>
      <c r="V723" s="48">
        <f t="shared" si="85"/>
        <v>0</v>
      </c>
      <c r="W723" s="1767"/>
      <c r="X723" s="48"/>
    </row>
    <row r="724" spans="2:24" ht="16" thickBot="1" x14ac:dyDescent="0.25">
      <c r="B724" s="1656" t="e">
        <f>SUM(#REF!)</f>
        <v>#REF!</v>
      </c>
      <c r="C724" s="84">
        <v>43812</v>
      </c>
      <c r="D724" s="162">
        <v>154</v>
      </c>
      <c r="E724" s="163"/>
      <c r="F724" s="1412" t="s">
        <v>147</v>
      </c>
      <c r="G724" s="742">
        <v>3.3263888888888891E-2</v>
      </c>
      <c r="H724" s="743">
        <v>8.33</v>
      </c>
      <c r="I724" s="744">
        <f t="shared" si="86"/>
        <v>3.993263972255569E-3</v>
      </c>
      <c r="J724" s="745">
        <v>147</v>
      </c>
      <c r="K724" s="1757"/>
      <c r="L724" s="1568">
        <v>208</v>
      </c>
      <c r="M724" s="1591"/>
      <c r="N724" s="746">
        <f t="shared" si="84"/>
        <v>1.0711006790776014</v>
      </c>
      <c r="O724" s="747" t="s">
        <v>253</v>
      </c>
      <c r="P724" s="93" t="str">
        <f>IFERROR(VLOOKUP(F724,#REF!,12,FALSE),"")</f>
        <v/>
      </c>
      <c r="Q724" s="94" t="s">
        <v>8</v>
      </c>
      <c r="R724" s="46" t="str">
        <f>IFERROR(VLOOKUP(F724,#REF!,14,FALSE),"")</f>
        <v/>
      </c>
      <c r="S724" s="47">
        <f t="shared" si="83"/>
        <v>1.4149659863945578</v>
      </c>
      <c r="U724" s="1728"/>
      <c r="V724" s="48">
        <f t="shared" si="85"/>
        <v>0</v>
      </c>
      <c r="W724" s="1767"/>
      <c r="X724" s="48"/>
    </row>
    <row r="725" spans="2:24" x14ac:dyDescent="0.2">
      <c r="B725" s="1657" t="s">
        <v>256</v>
      </c>
      <c r="C725" s="84">
        <v>43813</v>
      </c>
      <c r="D725" s="162"/>
      <c r="E725" s="163"/>
      <c r="F725" s="1412"/>
      <c r="G725" s="742"/>
      <c r="H725" s="743" t="str">
        <f>IFERROR(VLOOKUP(F725,#REF!,10,FALSE),"")</f>
        <v/>
      </c>
      <c r="I725" s="744" t="str">
        <f t="shared" si="86"/>
        <v/>
      </c>
      <c r="J725" s="745"/>
      <c r="K725" s="1757"/>
      <c r="L725" s="1568"/>
      <c r="M725" s="1591"/>
      <c r="N725" s="746" t="str">
        <f t="shared" si="84"/>
        <v/>
      </c>
      <c r="O725" s="747"/>
      <c r="P725" s="93" t="str">
        <f>IFERROR(VLOOKUP(F725,#REF!,12,FALSE),"")</f>
        <v/>
      </c>
      <c r="Q725" s="94" t="s">
        <v>8</v>
      </c>
      <c r="R725" s="46" t="str">
        <f>IFERROR(VLOOKUP(F725,#REF!,14,FALSE),"")</f>
        <v/>
      </c>
      <c r="S725" s="47" t="str">
        <f t="shared" si="83"/>
        <v/>
      </c>
      <c r="U725" s="1728"/>
      <c r="V725" s="48">
        <f t="shared" si="85"/>
        <v>0</v>
      </c>
      <c r="W725" s="1767"/>
      <c r="X725" s="48"/>
    </row>
    <row r="726" spans="2:24" ht="16" thickBot="1" x14ac:dyDescent="0.25">
      <c r="B726" s="1658" t="e">
        <f>AVERAGE(#REF!)</f>
        <v>#REF!</v>
      </c>
      <c r="C726" s="141">
        <v>43814</v>
      </c>
      <c r="D726" s="656">
        <v>155</v>
      </c>
      <c r="E726" s="748"/>
      <c r="F726" s="1405" t="s">
        <v>155</v>
      </c>
      <c r="G726" s="749">
        <v>3.4328703703703702E-2</v>
      </c>
      <c r="H726" s="750">
        <v>9.5299999999999994</v>
      </c>
      <c r="I726" s="751">
        <f t="shared" si="86"/>
        <v>3.6021724767789825E-3</v>
      </c>
      <c r="J726" s="752">
        <v>152</v>
      </c>
      <c r="K726" s="1757"/>
      <c r="L726" s="1570">
        <v>227</v>
      </c>
      <c r="M726" s="1594"/>
      <c r="N726" s="753">
        <f t="shared" si="84"/>
        <v>1.0544580351129975</v>
      </c>
      <c r="O726" s="754" t="s">
        <v>253</v>
      </c>
      <c r="P726" s="755" t="str">
        <f>IFERROR(VLOOKUP(F726,#REF!,12,FALSE),"")</f>
        <v/>
      </c>
      <c r="Q726" s="321" t="s">
        <v>8</v>
      </c>
      <c r="R726" s="107" t="str">
        <f>IFERROR(VLOOKUP(F726,#REF!,14,FALSE),"")</f>
        <v/>
      </c>
      <c r="S726" s="65">
        <f t="shared" si="83"/>
        <v>1.493421052631579</v>
      </c>
      <c r="U726" s="1728"/>
      <c r="V726" s="108">
        <f t="shared" si="85"/>
        <v>0</v>
      </c>
      <c r="W726" s="1768"/>
      <c r="X726" s="108"/>
    </row>
    <row r="727" spans="2:24" ht="16" thickBot="1" x14ac:dyDescent="0.25">
      <c r="B727" s="1652">
        <f>B720+1</f>
        <v>51</v>
      </c>
      <c r="C727" s="756">
        <v>43815</v>
      </c>
      <c r="D727" s="757"/>
      <c r="E727" s="758"/>
      <c r="F727" s="1485"/>
      <c r="G727" s="759"/>
      <c r="H727" s="760" t="str">
        <f>IFERROR(VLOOKUP(F727,#REF!,10,FALSE),"")</f>
        <v/>
      </c>
      <c r="I727" s="761" t="str">
        <f t="shared" si="86"/>
        <v/>
      </c>
      <c r="J727" s="762"/>
      <c r="K727" s="1757"/>
      <c r="L727" s="792"/>
      <c r="M727" s="1595"/>
      <c r="N727" s="763" t="str">
        <f t="shared" si="84"/>
        <v/>
      </c>
      <c r="O727" s="764"/>
      <c r="P727" s="765" t="str">
        <f>IFERROR(VLOOKUP(F727,#REF!,12,FALSE),"")</f>
        <v/>
      </c>
      <c r="Q727" s="766" t="s">
        <v>8</v>
      </c>
      <c r="R727" s="32" t="str">
        <f>IFERROR(VLOOKUP(F727,#REF!,14,FALSE),"")</f>
        <v/>
      </c>
      <c r="S727" s="33" t="str">
        <f t="shared" si="83"/>
        <v/>
      </c>
      <c r="U727" s="1728"/>
      <c r="V727" s="154">
        <f t="shared" si="85"/>
        <v>0</v>
      </c>
      <c r="W727" s="1766"/>
      <c r="X727" s="154"/>
    </row>
    <row r="728" spans="2:24" x14ac:dyDescent="0.2">
      <c r="B728" s="1653" t="s">
        <v>142</v>
      </c>
      <c r="C728" s="603">
        <v>43816</v>
      </c>
      <c r="D728" s="715"/>
      <c r="E728" s="716"/>
      <c r="F728" s="1426"/>
      <c r="G728" s="717"/>
      <c r="H728" s="718" t="str">
        <f>IFERROR(VLOOKUP(F728,#REF!,10,FALSE),"")</f>
        <v/>
      </c>
      <c r="I728" s="719" t="str">
        <f t="shared" si="86"/>
        <v/>
      </c>
      <c r="J728" s="720"/>
      <c r="K728" s="1757"/>
      <c r="L728" s="1568"/>
      <c r="M728" s="1591"/>
      <c r="N728" s="722" t="str">
        <f t="shared" si="84"/>
        <v/>
      </c>
      <c r="O728" s="723"/>
      <c r="P728" s="654" t="str">
        <f>IFERROR(VLOOKUP(F728,#REF!,12,FALSE),"")</f>
        <v/>
      </c>
      <c r="Q728" s="655" t="s">
        <v>8</v>
      </c>
      <c r="R728" s="46" t="str">
        <f>IFERROR(VLOOKUP(F728,#REF!,14,FALSE),"")</f>
        <v/>
      </c>
      <c r="S728" s="47" t="str">
        <f t="shared" si="83"/>
        <v/>
      </c>
      <c r="U728" s="1728"/>
      <c r="V728" s="48">
        <f t="shared" si="85"/>
        <v>0</v>
      </c>
      <c r="W728" s="1767"/>
      <c r="X728" s="48"/>
    </row>
    <row r="729" spans="2:24" ht="16" thickBot="1" x14ac:dyDescent="0.25">
      <c r="B729" s="1654">
        <f>SUM(H727:H733)</f>
        <v>16.899999999999999</v>
      </c>
      <c r="C729" s="161">
        <v>43817</v>
      </c>
      <c r="D729" s="715"/>
      <c r="E729" s="716"/>
      <c r="F729" s="1412"/>
      <c r="G729" s="717"/>
      <c r="H729" s="718"/>
      <c r="I729" s="719" t="str">
        <f t="shared" si="86"/>
        <v/>
      </c>
      <c r="J729" s="720"/>
      <c r="K729" s="1757"/>
      <c r="L729" s="1568"/>
      <c r="M729" s="1591"/>
      <c r="N729" s="722" t="str">
        <f t="shared" si="84"/>
        <v/>
      </c>
      <c r="O729" s="723"/>
      <c r="P729" s="654" t="str">
        <f>IFERROR(VLOOKUP(F729,#REF!,12,FALSE),"")</f>
        <v/>
      </c>
      <c r="Q729" s="655" t="s">
        <v>8</v>
      </c>
      <c r="R729" s="46" t="str">
        <f>IFERROR(VLOOKUP(F729,#REF!,14,FALSE),"")</f>
        <v/>
      </c>
      <c r="S729" s="47" t="str">
        <f t="shared" si="83"/>
        <v/>
      </c>
      <c r="U729" s="1728"/>
      <c r="V729" s="48">
        <f t="shared" si="85"/>
        <v>0</v>
      </c>
      <c r="W729" s="1767"/>
      <c r="X729" s="48"/>
    </row>
    <row r="730" spans="2:24" x14ac:dyDescent="0.2">
      <c r="B730" s="1655" t="s">
        <v>144</v>
      </c>
      <c r="C730" s="161">
        <v>43818</v>
      </c>
      <c r="D730" s="715"/>
      <c r="E730" s="716"/>
      <c r="F730" s="1412"/>
      <c r="G730" s="717"/>
      <c r="H730" s="718" t="str">
        <f>IFERROR(VLOOKUP(F730,#REF!,10,FALSE),"")</f>
        <v/>
      </c>
      <c r="I730" s="719" t="str">
        <f t="shared" si="86"/>
        <v/>
      </c>
      <c r="J730" s="720"/>
      <c r="K730" s="1757"/>
      <c r="L730" s="1568"/>
      <c r="M730" s="1591"/>
      <c r="N730" s="722" t="str">
        <f t="shared" si="84"/>
        <v/>
      </c>
      <c r="O730" s="723"/>
      <c r="P730" s="654" t="str">
        <f>IFERROR(VLOOKUP(F730,#REF!,12,FALSE),"")</f>
        <v/>
      </c>
      <c r="Q730" s="655" t="s">
        <v>8</v>
      </c>
      <c r="R730" s="46" t="str">
        <f>IFERROR(VLOOKUP(F730,#REF!,14,FALSE),"")</f>
        <v/>
      </c>
      <c r="S730" s="47" t="str">
        <f t="shared" si="83"/>
        <v/>
      </c>
      <c r="U730" s="1728"/>
      <c r="V730" s="48">
        <f t="shared" si="85"/>
        <v>0</v>
      </c>
      <c r="W730" s="1767"/>
      <c r="X730" s="48"/>
    </row>
    <row r="731" spans="2:24" ht="16" thickBot="1" x14ac:dyDescent="0.25">
      <c r="B731" s="1656" t="e">
        <f>SUM(#REF!)</f>
        <v>#REF!</v>
      </c>
      <c r="C731" s="161">
        <v>43819</v>
      </c>
      <c r="D731" s="715">
        <v>156</v>
      </c>
      <c r="E731" s="716"/>
      <c r="F731" s="1412" t="s">
        <v>147</v>
      </c>
      <c r="G731" s="717">
        <v>3.3240740740740744E-2</v>
      </c>
      <c r="H731" s="718">
        <v>8.39</v>
      </c>
      <c r="I731" s="719">
        <f t="shared" si="86"/>
        <v>3.961947644903545E-3</v>
      </c>
      <c r="J731" s="720">
        <v>141</v>
      </c>
      <c r="K731" s="1757"/>
      <c r="L731" s="1568">
        <v>210</v>
      </c>
      <c r="M731" s="1591"/>
      <c r="N731" s="722">
        <f t="shared" si="84"/>
        <v>1.0729190756586557</v>
      </c>
      <c r="O731" s="723" t="s">
        <v>253</v>
      </c>
      <c r="P731" s="654" t="str">
        <f>IFERROR(VLOOKUP(F731,#REF!,12,FALSE),"")</f>
        <v/>
      </c>
      <c r="Q731" s="655" t="s">
        <v>8</v>
      </c>
      <c r="R731" s="46" t="str">
        <f>IFERROR(VLOOKUP(F731,#REF!,14,FALSE),"")</f>
        <v/>
      </c>
      <c r="S731" s="47">
        <f t="shared" si="83"/>
        <v>1.4893617021276595</v>
      </c>
      <c r="U731" s="1728"/>
      <c r="V731" s="48">
        <f t="shared" si="85"/>
        <v>0</v>
      </c>
      <c r="W731" s="1767"/>
      <c r="X731" s="48"/>
    </row>
    <row r="732" spans="2:24" x14ac:dyDescent="0.2">
      <c r="B732" s="1657" t="s">
        <v>256</v>
      </c>
      <c r="C732" s="161">
        <v>43820</v>
      </c>
      <c r="D732" s="715"/>
      <c r="E732" s="716"/>
      <c r="F732" s="1412"/>
      <c r="G732" s="717"/>
      <c r="H732" s="718" t="str">
        <f>IFERROR(VLOOKUP(F732,#REF!,10,FALSE),"")</f>
        <v/>
      </c>
      <c r="I732" s="719" t="str">
        <f t="shared" si="86"/>
        <v/>
      </c>
      <c r="J732" s="720"/>
      <c r="K732" s="1757"/>
      <c r="L732" s="1568"/>
      <c r="M732" s="1591"/>
      <c r="N732" s="722" t="str">
        <f t="shared" si="84"/>
        <v/>
      </c>
      <c r="O732" s="723"/>
      <c r="P732" s="654" t="str">
        <f>IFERROR(VLOOKUP(F732,#REF!,12,FALSE),"")</f>
        <v/>
      </c>
      <c r="Q732" s="655" t="s">
        <v>8</v>
      </c>
      <c r="R732" s="46" t="str">
        <f>IFERROR(VLOOKUP(F732,#REF!,14,FALSE),"")</f>
        <v/>
      </c>
      <c r="S732" s="47" t="str">
        <f t="shared" si="83"/>
        <v/>
      </c>
      <c r="U732" s="1728"/>
      <c r="V732" s="48">
        <f t="shared" si="85"/>
        <v>0</v>
      </c>
      <c r="W732" s="1767"/>
      <c r="X732" s="48"/>
    </row>
    <row r="733" spans="2:24" ht="16" thickBot="1" x14ac:dyDescent="0.25">
      <c r="B733" s="1658" t="e">
        <f>AVERAGE(#REF!)</f>
        <v>#REF!</v>
      </c>
      <c r="C733" s="724">
        <v>43821</v>
      </c>
      <c r="D733" s="725">
        <v>157</v>
      </c>
      <c r="E733" s="726"/>
      <c r="F733" s="1405" t="s">
        <v>147</v>
      </c>
      <c r="G733" s="727">
        <v>3.2997685185185185E-2</v>
      </c>
      <c r="H733" s="728">
        <v>8.51</v>
      </c>
      <c r="I733" s="729">
        <f t="shared" si="86"/>
        <v>3.877518823170997E-3</v>
      </c>
      <c r="J733" s="730">
        <v>142</v>
      </c>
      <c r="K733" s="1757"/>
      <c r="L733" s="1569">
        <v>213</v>
      </c>
      <c r="M733" s="1592"/>
      <c r="N733" s="732">
        <f t="shared" si="84"/>
        <v>1.0650560359191119</v>
      </c>
      <c r="O733" s="733" t="s">
        <v>259</v>
      </c>
      <c r="P733" s="734" t="str">
        <f>IFERROR(VLOOKUP(F733,#REF!,12,FALSE),"")</f>
        <v/>
      </c>
      <c r="Q733" s="735" t="s">
        <v>8</v>
      </c>
      <c r="R733" s="64" t="str">
        <f>IFERROR(VLOOKUP(F733,#REF!,14,FALSE),"")</f>
        <v/>
      </c>
      <c r="S733" s="65">
        <f t="shared" si="83"/>
        <v>1.5</v>
      </c>
      <c r="U733" s="1728"/>
      <c r="V733" s="66">
        <f t="shared" si="85"/>
        <v>0</v>
      </c>
      <c r="W733" s="1768"/>
      <c r="X733" s="66"/>
    </row>
    <row r="734" spans="2:24" ht="16" thickBot="1" x14ac:dyDescent="0.25">
      <c r="B734" s="1652">
        <f>B727+1</f>
        <v>52</v>
      </c>
      <c r="C734" s="767">
        <v>43822</v>
      </c>
      <c r="D734" s="768"/>
      <c r="E734" s="769"/>
      <c r="F734" s="1486"/>
      <c r="G734" s="770"/>
      <c r="H734" s="771" t="str">
        <f>IFERROR(VLOOKUP(F734,#REF!,10,FALSE),"")</f>
        <v/>
      </c>
      <c r="I734" s="772" t="str">
        <f t="shared" si="86"/>
        <v/>
      </c>
      <c r="J734" s="773"/>
      <c r="K734" s="1757"/>
      <c r="L734" s="792"/>
      <c r="M734" s="1595"/>
      <c r="N734" s="774" t="str">
        <f t="shared" si="84"/>
        <v/>
      </c>
      <c r="O734" s="775"/>
      <c r="P734" s="776" t="str">
        <f>IFERROR(VLOOKUP(F734,#REF!,12,FALSE),"")</f>
        <v/>
      </c>
      <c r="Q734" s="777" t="s">
        <v>8</v>
      </c>
      <c r="R734" s="32" t="str">
        <f>IFERROR(VLOOKUP(F734,#REF!,14,FALSE),"")</f>
        <v/>
      </c>
      <c r="S734" s="33" t="str">
        <f t="shared" si="83"/>
        <v/>
      </c>
      <c r="U734" s="1728"/>
      <c r="V734" s="154">
        <f t="shared" si="85"/>
        <v>0</v>
      </c>
      <c r="W734" s="1766"/>
      <c r="X734" s="154"/>
    </row>
    <row r="735" spans="2:24" x14ac:dyDescent="0.2">
      <c r="B735" s="1653" t="s">
        <v>142</v>
      </c>
      <c r="C735" s="778">
        <v>43823</v>
      </c>
      <c r="D735" s="779"/>
      <c r="E735" s="780"/>
      <c r="F735" s="1426"/>
      <c r="G735" s="717"/>
      <c r="H735" s="718" t="str">
        <f>IFERROR(VLOOKUP(F735,#REF!,10,FALSE),"")</f>
        <v/>
      </c>
      <c r="I735" s="781" t="str">
        <f t="shared" si="86"/>
        <v/>
      </c>
      <c r="J735" s="721"/>
      <c r="K735" s="1757"/>
      <c r="L735" s="1568"/>
      <c r="M735" s="1591"/>
      <c r="N735" s="722" t="str">
        <f t="shared" si="84"/>
        <v/>
      </c>
      <c r="O735" s="723"/>
      <c r="P735" s="654" t="str">
        <f>IFERROR(VLOOKUP(F735,#REF!,12,FALSE),"")</f>
        <v/>
      </c>
      <c r="Q735" s="655" t="s">
        <v>8</v>
      </c>
      <c r="R735" s="46" t="str">
        <f>IFERROR(VLOOKUP(F735,#REF!,14,FALSE),"")</f>
        <v/>
      </c>
      <c r="S735" s="47" t="str">
        <f t="shared" si="83"/>
        <v/>
      </c>
      <c r="U735" s="1728"/>
      <c r="V735" s="48">
        <f t="shared" si="85"/>
        <v>0</v>
      </c>
      <c r="W735" s="1767"/>
      <c r="X735" s="48"/>
    </row>
    <row r="736" spans="2:24" ht="16" thickBot="1" x14ac:dyDescent="0.25">
      <c r="B736" s="1654">
        <f>SUM(H734:H740)</f>
        <v>17.619999999999997</v>
      </c>
      <c r="C736" s="778">
        <v>43824</v>
      </c>
      <c r="D736" s="715"/>
      <c r="E736" s="716"/>
      <c r="F736" s="1412"/>
      <c r="G736" s="717"/>
      <c r="H736" s="718" t="str">
        <f>IFERROR(VLOOKUP(F736,#REF!,10,FALSE),"")</f>
        <v/>
      </c>
      <c r="I736" s="781" t="str">
        <f t="shared" si="86"/>
        <v/>
      </c>
      <c r="J736" s="721"/>
      <c r="K736" s="1757"/>
      <c r="L736" s="1568"/>
      <c r="M736" s="1591"/>
      <c r="N736" s="722" t="str">
        <f t="shared" si="84"/>
        <v/>
      </c>
      <c r="O736" s="723"/>
      <c r="P736" s="654" t="str">
        <f>IFERROR(VLOOKUP(F736,#REF!,12,FALSE),"")</f>
        <v/>
      </c>
      <c r="Q736" s="655" t="s">
        <v>8</v>
      </c>
      <c r="R736" s="46" t="str">
        <f>IFERROR(VLOOKUP(F736,#REF!,14,FALSE),"")</f>
        <v/>
      </c>
      <c r="S736" s="47" t="str">
        <f t="shared" si="83"/>
        <v/>
      </c>
      <c r="U736" s="1728"/>
      <c r="V736" s="48">
        <f t="shared" si="85"/>
        <v>0</v>
      </c>
      <c r="W736" s="1767"/>
      <c r="X736" s="48"/>
    </row>
    <row r="737" spans="2:24" x14ac:dyDescent="0.2">
      <c r="B737" s="1655" t="s">
        <v>144</v>
      </c>
      <c r="C737" s="778">
        <v>43825</v>
      </c>
      <c r="D737" s="715">
        <v>158</v>
      </c>
      <c r="E737" s="716"/>
      <c r="F737" s="1412" t="s">
        <v>147</v>
      </c>
      <c r="G737" s="717">
        <v>2.9571759259259259E-2</v>
      </c>
      <c r="H737" s="718">
        <v>8.09</v>
      </c>
      <c r="I737" s="781">
        <f t="shared" si="86"/>
        <v>3.6553472508355079E-3</v>
      </c>
      <c r="J737" s="721">
        <v>147</v>
      </c>
      <c r="K737" s="1757"/>
      <c r="L737" s="1568">
        <v>226</v>
      </c>
      <c r="M737" s="1591"/>
      <c r="N737" s="722">
        <f t="shared" si="84"/>
        <v>1.0653100381897682</v>
      </c>
      <c r="O737" s="723" t="s">
        <v>259</v>
      </c>
      <c r="P737" s="654" t="str">
        <f>IFERROR(VLOOKUP(F737,#REF!,12,FALSE),"")</f>
        <v/>
      </c>
      <c r="Q737" s="655" t="s">
        <v>8</v>
      </c>
      <c r="R737" s="46" t="str">
        <f>IFERROR(VLOOKUP(F737,#REF!,14,FALSE),"")</f>
        <v/>
      </c>
      <c r="S737" s="47">
        <f t="shared" si="83"/>
        <v>1.5374149659863945</v>
      </c>
      <c r="U737" s="1728"/>
      <c r="V737" s="48">
        <f t="shared" si="85"/>
        <v>0</v>
      </c>
      <c r="W737" s="1767"/>
      <c r="X737" s="48"/>
    </row>
    <row r="738" spans="2:24" ht="16" thickBot="1" x14ac:dyDescent="0.25">
      <c r="B738" s="1656" t="e">
        <f>SUM(#REF!)</f>
        <v>#REF!</v>
      </c>
      <c r="C738" s="778">
        <v>43826</v>
      </c>
      <c r="D738" s="715"/>
      <c r="E738" s="716"/>
      <c r="F738" s="1412"/>
      <c r="G738" s="717"/>
      <c r="H738" s="718" t="str">
        <f>IFERROR(VLOOKUP(F738,#REF!,10,FALSE),"")</f>
        <v/>
      </c>
      <c r="I738" s="781" t="str">
        <f t="shared" si="86"/>
        <v/>
      </c>
      <c r="J738" s="721"/>
      <c r="K738" s="1757"/>
      <c r="L738" s="1568"/>
      <c r="M738" s="1591"/>
      <c r="N738" s="722" t="str">
        <f t="shared" si="84"/>
        <v/>
      </c>
      <c r="O738" s="723"/>
      <c r="P738" s="654" t="str">
        <f>IFERROR(VLOOKUP(F738,#REF!,12,FALSE),"")</f>
        <v/>
      </c>
      <c r="Q738" s="655" t="s">
        <v>8</v>
      </c>
      <c r="R738" s="46" t="str">
        <f>IFERROR(VLOOKUP(F738,#REF!,14,FALSE),"")</f>
        <v/>
      </c>
      <c r="S738" s="47" t="str">
        <f t="shared" si="83"/>
        <v/>
      </c>
      <c r="U738" s="1728"/>
      <c r="V738" s="48">
        <f t="shared" si="85"/>
        <v>0</v>
      </c>
      <c r="W738" s="1767"/>
      <c r="X738" s="48"/>
    </row>
    <row r="739" spans="2:24" x14ac:dyDescent="0.2">
      <c r="B739" s="1657" t="s">
        <v>256</v>
      </c>
      <c r="C739" s="778">
        <v>43827</v>
      </c>
      <c r="D739" s="715">
        <v>159</v>
      </c>
      <c r="E739" s="716"/>
      <c r="F739" s="1412" t="s">
        <v>148</v>
      </c>
      <c r="G739" s="717">
        <v>3.6006944444444446E-2</v>
      </c>
      <c r="H739" s="718">
        <v>9.5299999999999994</v>
      </c>
      <c r="I739" s="781">
        <f t="shared" si="86"/>
        <v>3.7782732890287983E-3</v>
      </c>
      <c r="J739" s="721">
        <v>142</v>
      </c>
      <c r="K739" s="1757"/>
      <c r="L739" s="1568">
        <v>220</v>
      </c>
      <c r="M739" s="1591"/>
      <c r="N739" s="722">
        <f t="shared" si="84"/>
        <v>1.0719017713113344</v>
      </c>
      <c r="O739" s="723" t="s">
        <v>259</v>
      </c>
      <c r="P739" s="654" t="str">
        <f>IFERROR(VLOOKUP(F739,#REF!,12,FALSE),"")</f>
        <v/>
      </c>
      <c r="Q739" s="655" t="s">
        <v>8</v>
      </c>
      <c r="R739" s="46" t="str">
        <f>IFERROR(VLOOKUP(F739,#REF!,14,FALSE),"")</f>
        <v/>
      </c>
      <c r="S739" s="47">
        <f t="shared" si="83"/>
        <v>1.5492957746478873</v>
      </c>
      <c r="U739" s="1728"/>
      <c r="V739" s="48">
        <f t="shared" si="85"/>
        <v>0</v>
      </c>
      <c r="W739" s="1767"/>
      <c r="X739" s="48"/>
    </row>
    <row r="740" spans="2:24" ht="16" thickBot="1" x14ac:dyDescent="0.25">
      <c r="B740" s="1658" t="e">
        <f>AVERAGE(#REF!)</f>
        <v>#REF!</v>
      </c>
      <c r="C740" s="782">
        <v>43828</v>
      </c>
      <c r="D740" s="725"/>
      <c r="E740" s="726"/>
      <c r="F740" s="1405"/>
      <c r="G740" s="727"/>
      <c r="H740" s="728" t="str">
        <f>IFERROR(VLOOKUP(F740,#REF!,10,FALSE),"")</f>
        <v/>
      </c>
      <c r="I740" s="783" t="str">
        <f t="shared" si="86"/>
        <v/>
      </c>
      <c r="J740" s="731"/>
      <c r="K740" s="1757"/>
      <c r="L740" s="1569"/>
      <c r="M740" s="1592"/>
      <c r="N740" s="732" t="str">
        <f t="shared" si="84"/>
        <v/>
      </c>
      <c r="O740" s="733"/>
      <c r="P740" s="784" t="str">
        <f>IFERROR(VLOOKUP(F740,#REF!,12,FALSE),"")</f>
        <v/>
      </c>
      <c r="Q740" s="785" t="s">
        <v>8</v>
      </c>
      <c r="R740" s="64" t="str">
        <f>IFERROR(VLOOKUP(F740,#REF!,14,FALSE),"")</f>
        <v/>
      </c>
      <c r="S740" s="65" t="str">
        <f t="shared" si="83"/>
        <v/>
      </c>
      <c r="U740" s="1728"/>
      <c r="V740" s="66">
        <f t="shared" si="85"/>
        <v>0</v>
      </c>
      <c r="W740" s="1768"/>
      <c r="X740" s="66"/>
    </row>
    <row r="741" spans="2:24" ht="16" thickBot="1" x14ac:dyDescent="0.25">
      <c r="B741" s="1652">
        <v>1</v>
      </c>
      <c r="C741" s="786">
        <v>43829</v>
      </c>
      <c r="D741" s="787"/>
      <c r="E741" s="788"/>
      <c r="F741" s="1487"/>
      <c r="G741" s="789"/>
      <c r="H741" s="790" t="str">
        <f>IFERROR(VLOOKUP(F741,#REF!,10,FALSE),"")</f>
        <v/>
      </c>
      <c r="I741" s="791" t="str">
        <f t="shared" si="86"/>
        <v/>
      </c>
      <c r="J741" s="792"/>
      <c r="K741" s="1757"/>
      <c r="L741" s="792"/>
      <c r="M741" s="1595"/>
      <c r="N741" s="793" t="str">
        <f t="shared" si="84"/>
        <v/>
      </c>
      <c r="O741" s="794"/>
      <c r="P741" s="795" t="str">
        <f>IFERROR(VLOOKUP(F741,#REF!,12,FALSE),"")</f>
        <v/>
      </c>
      <c r="Q741" s="796" t="s">
        <v>8</v>
      </c>
      <c r="R741" s="32" t="str">
        <f>IFERROR(VLOOKUP(F741,#REF!,14,FALSE),"")</f>
        <v/>
      </c>
      <c r="S741" s="33" t="str">
        <f t="shared" si="83"/>
        <v/>
      </c>
      <c r="U741" s="1728"/>
      <c r="V741" s="797">
        <f t="shared" si="85"/>
        <v>0</v>
      </c>
      <c r="W741" s="1766"/>
      <c r="X741" s="797"/>
    </row>
    <row r="742" spans="2:24" ht="16" thickBot="1" x14ac:dyDescent="0.25">
      <c r="B742" s="1653" t="s">
        <v>142</v>
      </c>
      <c r="C742" s="1774">
        <v>43830</v>
      </c>
      <c r="D742" s="798">
        <v>160</v>
      </c>
      <c r="E742" s="799"/>
      <c r="F742" s="1775" t="s">
        <v>286</v>
      </c>
      <c r="G742" s="1776">
        <v>4.4895833333333329E-2</v>
      </c>
      <c r="H742" s="1777">
        <v>12.39</v>
      </c>
      <c r="I742" s="1778">
        <f t="shared" si="86"/>
        <v>3.6235539413505512E-3</v>
      </c>
      <c r="J742" s="1779">
        <v>150</v>
      </c>
      <c r="K742" s="1780"/>
      <c r="L742" s="1779">
        <v>226</v>
      </c>
      <c r="M742" s="1781"/>
      <c r="N742" s="800">
        <f t="shared" si="84"/>
        <v>1.0560442340356329</v>
      </c>
      <c r="O742" s="1782" t="s">
        <v>253</v>
      </c>
      <c r="P742" s="1783" t="str">
        <f>IFERROR(VLOOKUP(F742,#REF!,12,FALSE),"")</f>
        <v/>
      </c>
      <c r="Q742" s="1784" t="s">
        <v>8</v>
      </c>
      <c r="R742" s="1784" t="str">
        <f>IFERROR(VLOOKUP(F742,#REF!,14,FALSE),"")</f>
        <v/>
      </c>
      <c r="S742" s="801">
        <f t="shared" si="83"/>
        <v>1.5066666666666666</v>
      </c>
      <c r="T742" s="798"/>
      <c r="U742" s="1785"/>
      <c r="V742" s="1786">
        <f t="shared" si="85"/>
        <v>0</v>
      </c>
      <c r="W742" s="1787"/>
      <c r="X742" s="1786"/>
    </row>
    <row r="743" spans="2:24" ht="17" thickTop="1" thickBot="1" x14ac:dyDescent="0.25">
      <c r="B743" s="1654">
        <f>SUM(H741:H747)</f>
        <v>32.480000000000004</v>
      </c>
      <c r="C743" s="193">
        <v>43831</v>
      </c>
      <c r="D743" s="70"/>
      <c r="E743" s="71"/>
      <c r="F743" s="1769"/>
      <c r="G743" s="559"/>
      <c r="H743" s="1150" t="str">
        <f>IFERROR(VLOOKUP(F743,#REF!,10,FALSE),"")</f>
        <v/>
      </c>
      <c r="I743" s="1770" t="str">
        <f t="shared" ref="I743:I806" si="87">IFERROR(G743/H743,"")</f>
        <v/>
      </c>
      <c r="J743" s="270"/>
      <c r="K743" s="1771"/>
      <c r="L743" s="270"/>
      <c r="M743" s="1593"/>
      <c r="N743" s="77" t="str">
        <f t="shared" si="84"/>
        <v/>
      </c>
      <c r="O743" s="561"/>
      <c r="P743" s="224" t="str">
        <f>IFERROR(VLOOKUP(F743,#REF!,12,FALSE),"")</f>
        <v/>
      </c>
      <c r="Q743" s="80" t="s">
        <v>8</v>
      </c>
      <c r="R743" s="80" t="str">
        <f>IFERROR(VLOOKUP(F743,#REF!,14,FALSE),"")</f>
        <v/>
      </c>
      <c r="S743" s="83" t="str">
        <f t="shared" si="83"/>
        <v/>
      </c>
      <c r="T743" s="194"/>
      <c r="U743" s="1772"/>
      <c r="V743" s="225">
        <f t="shared" si="85"/>
        <v>0</v>
      </c>
      <c r="W743" s="1773"/>
      <c r="X743" s="225"/>
    </row>
    <row r="744" spans="2:24" x14ac:dyDescent="0.2">
      <c r="B744" s="1655" t="s">
        <v>144</v>
      </c>
      <c r="C744" s="802">
        <v>43832</v>
      </c>
      <c r="D744" s="803">
        <v>1</v>
      </c>
      <c r="E744" s="804" t="s">
        <v>293</v>
      </c>
      <c r="F744" s="1488" t="s">
        <v>285</v>
      </c>
      <c r="G744" s="805">
        <v>3.605324074074074E-2</v>
      </c>
      <c r="H744" s="806">
        <v>9.5500000000000007</v>
      </c>
      <c r="I744" s="807">
        <f t="shared" si="87"/>
        <v>3.7752084545278259E-3</v>
      </c>
      <c r="J744" s="808">
        <v>144</v>
      </c>
      <c r="K744" s="1757"/>
      <c r="L744" s="1568">
        <v>219</v>
      </c>
      <c r="M744" s="1591"/>
      <c r="N744" s="809">
        <f t="shared" si="84"/>
        <v>1.066163944674533</v>
      </c>
      <c r="O744" s="810" t="s">
        <v>259</v>
      </c>
      <c r="P744" s="811" t="str">
        <f>IFERROR(VLOOKUP(F744,#REF!,12,FALSE),"")</f>
        <v/>
      </c>
      <c r="Q744" s="812" t="s">
        <v>8</v>
      </c>
      <c r="R744" s="46" t="str">
        <f>IFERROR(VLOOKUP(F744,#REF!,14,FALSE),"")</f>
        <v/>
      </c>
      <c r="S744" s="47">
        <f t="shared" si="83"/>
        <v>1.5208333333333333</v>
      </c>
      <c r="U744" s="1728"/>
      <c r="V744" s="815">
        <f t="shared" si="85"/>
        <v>0</v>
      </c>
      <c r="W744" s="1767"/>
      <c r="X744" s="815"/>
    </row>
    <row r="745" spans="2:24" ht="16" thickBot="1" x14ac:dyDescent="0.25">
      <c r="B745" s="1656" t="e">
        <f>SUM(#REF!)</f>
        <v>#REF!</v>
      </c>
      <c r="C745" s="802">
        <v>43833</v>
      </c>
      <c r="D745" s="803"/>
      <c r="E745" s="804"/>
      <c r="F745" s="1488"/>
      <c r="G745" s="805"/>
      <c r="H745" s="806" t="str">
        <f>IFERROR(VLOOKUP(F745,#REF!,10,FALSE),"")</f>
        <v/>
      </c>
      <c r="I745" s="807" t="str">
        <f t="shared" si="87"/>
        <v/>
      </c>
      <c r="J745" s="808"/>
      <c r="K745" s="1757"/>
      <c r="L745" s="1568"/>
      <c r="M745" s="1591"/>
      <c r="N745" s="809" t="str">
        <f t="shared" si="84"/>
        <v/>
      </c>
      <c r="O745" s="810"/>
      <c r="P745" s="811" t="str">
        <f>IFERROR(VLOOKUP(F745,#REF!,12,FALSE),"")</f>
        <v/>
      </c>
      <c r="Q745" s="812" t="s">
        <v>8</v>
      </c>
      <c r="R745" s="46" t="str">
        <f>IFERROR(VLOOKUP(F745,#REF!,14,FALSE),"")</f>
        <v/>
      </c>
      <c r="S745" s="47" t="str">
        <f t="shared" ref="S745:S808" si="88">IFERROR(L745/J745,"")</f>
        <v/>
      </c>
      <c r="U745" s="1728"/>
      <c r="V745" s="815">
        <f t="shared" si="85"/>
        <v>0</v>
      </c>
      <c r="W745" s="1767"/>
      <c r="X745" s="815"/>
    </row>
    <row r="746" spans="2:24" x14ac:dyDescent="0.2">
      <c r="B746" s="1657" t="s">
        <v>256</v>
      </c>
      <c r="C746" s="802">
        <v>43834</v>
      </c>
      <c r="D746" s="803">
        <v>2</v>
      </c>
      <c r="E746" s="804" t="s">
        <v>293</v>
      </c>
      <c r="F746" s="1488" t="s">
        <v>278</v>
      </c>
      <c r="G746" s="805">
        <v>4.0173611111111111E-2</v>
      </c>
      <c r="H746" s="806">
        <v>10.54</v>
      </c>
      <c r="I746" s="807">
        <f t="shared" si="87"/>
        <v>3.8115380560826482E-3</v>
      </c>
      <c r="J746" s="808">
        <v>147</v>
      </c>
      <c r="K746" s="1757"/>
      <c r="L746" s="1568">
        <v>216</v>
      </c>
      <c r="M746" s="1591"/>
      <c r="N746" s="809">
        <f t="shared" si="84"/>
        <v>1.0616783256393554</v>
      </c>
      <c r="O746" s="810" t="s">
        <v>259</v>
      </c>
      <c r="P746" s="811" t="str">
        <f>IFERROR(VLOOKUP(F746,#REF!,12,FALSE),"")</f>
        <v/>
      </c>
      <c r="Q746" s="812" t="s">
        <v>8</v>
      </c>
      <c r="R746" s="46" t="str">
        <f>IFERROR(VLOOKUP(F746,#REF!,14,FALSE),"")</f>
        <v/>
      </c>
      <c r="S746" s="47">
        <f t="shared" si="88"/>
        <v>1.4693877551020409</v>
      </c>
      <c r="U746" s="1728"/>
      <c r="V746" s="815">
        <f t="shared" si="85"/>
        <v>0</v>
      </c>
      <c r="W746" s="1767"/>
      <c r="X746" s="815"/>
    </row>
    <row r="747" spans="2:24" ht="16" thickBot="1" x14ac:dyDescent="0.25">
      <c r="B747" s="1658" t="e">
        <f>AVERAGE(#REF!)</f>
        <v>#REF!</v>
      </c>
      <c r="C747" s="207">
        <v>43835</v>
      </c>
      <c r="D747" s="67"/>
      <c r="E747" s="208"/>
      <c r="F747" s="1489"/>
      <c r="G747" s="816"/>
      <c r="H747" s="817" t="str">
        <f>IFERROR(VLOOKUP(F747,#REF!,10,FALSE),"")</f>
        <v/>
      </c>
      <c r="I747" s="818" t="str">
        <f t="shared" si="87"/>
        <v/>
      </c>
      <c r="J747" s="819"/>
      <c r="K747" s="1757"/>
      <c r="L747" s="1569"/>
      <c r="M747" s="1592"/>
      <c r="N747" s="172" t="str">
        <f t="shared" si="84"/>
        <v/>
      </c>
      <c r="O747" s="820"/>
      <c r="P747" s="821" t="str">
        <f>IFERROR(VLOOKUP(F747,#REF!,12,FALSE),"")</f>
        <v/>
      </c>
      <c r="Q747" s="822" t="s">
        <v>8</v>
      </c>
      <c r="R747" s="64" t="str">
        <f>IFERROR(VLOOKUP(F747,#REF!,14,FALSE),"")</f>
        <v/>
      </c>
      <c r="S747" s="65" t="str">
        <f t="shared" si="88"/>
        <v/>
      </c>
      <c r="U747" s="1728"/>
      <c r="V747" s="823">
        <f t="shared" si="85"/>
        <v>0</v>
      </c>
      <c r="W747" s="1768"/>
      <c r="X747" s="823"/>
    </row>
    <row r="748" spans="2:24" ht="16" thickBot="1" x14ac:dyDescent="0.25">
      <c r="B748" s="1660">
        <f>B741+1</f>
        <v>2</v>
      </c>
      <c r="C748" s="824">
        <v>43836</v>
      </c>
      <c r="D748" s="787">
        <v>3</v>
      </c>
      <c r="E748" s="788" t="s">
        <v>293</v>
      </c>
      <c r="F748" s="1487" t="s">
        <v>143</v>
      </c>
      <c r="G748" s="789">
        <v>3.4236111111111113E-2</v>
      </c>
      <c r="H748" s="790">
        <v>9.14</v>
      </c>
      <c r="I748" s="791">
        <f t="shared" si="87"/>
        <v>3.7457451981522004E-3</v>
      </c>
      <c r="J748" s="792">
        <v>144</v>
      </c>
      <c r="K748" s="1757"/>
      <c r="L748" s="792">
        <v>216</v>
      </c>
      <c r="M748" s="1595"/>
      <c r="N748" s="793">
        <f t="shared" si="84"/>
        <v>1.0433521669551586</v>
      </c>
      <c r="O748" s="794" t="s">
        <v>175</v>
      </c>
      <c r="P748" s="825" t="str">
        <f>IFERROR(VLOOKUP(F748,#REF!,12,FALSE),"")</f>
        <v/>
      </c>
      <c r="Q748" s="796" t="s">
        <v>8</v>
      </c>
      <c r="R748" s="32" t="str">
        <f>IFERROR(VLOOKUP(F748,#REF!,14,FALSE),"")</f>
        <v/>
      </c>
      <c r="S748" s="33">
        <f t="shared" si="88"/>
        <v>1.5</v>
      </c>
      <c r="U748" s="1728"/>
      <c r="V748" s="826">
        <f t="shared" si="85"/>
        <v>0</v>
      </c>
      <c r="W748" s="1766"/>
      <c r="X748" s="826"/>
    </row>
    <row r="749" spans="2:24" x14ac:dyDescent="0.2">
      <c r="B749" s="1653" t="s">
        <v>142</v>
      </c>
      <c r="C749" s="802">
        <v>43837</v>
      </c>
      <c r="D749" s="827"/>
      <c r="E749" s="828"/>
      <c r="F749" s="1490"/>
      <c r="G749" s="805"/>
      <c r="H749" s="806" t="str">
        <f>IFERROR(VLOOKUP(F749,#REF!,10,FALSE),"")</f>
        <v/>
      </c>
      <c r="I749" s="807" t="str">
        <f t="shared" si="87"/>
        <v/>
      </c>
      <c r="J749" s="808"/>
      <c r="K749" s="1757"/>
      <c r="L749" s="1568"/>
      <c r="M749" s="1591"/>
      <c r="N749" s="809" t="str">
        <f t="shared" si="84"/>
        <v/>
      </c>
      <c r="O749" s="810"/>
      <c r="P749" s="811" t="str">
        <f>IFERROR(VLOOKUP(F749,#REF!,12,FALSE),"")</f>
        <v/>
      </c>
      <c r="Q749" s="812" t="s">
        <v>8</v>
      </c>
      <c r="R749" s="46" t="str">
        <f>IFERROR(VLOOKUP(F749,#REF!,14,FALSE),"")</f>
        <v/>
      </c>
      <c r="S749" s="47" t="str">
        <f t="shared" si="88"/>
        <v/>
      </c>
      <c r="U749" s="1728"/>
      <c r="V749" s="815">
        <f t="shared" si="85"/>
        <v>0</v>
      </c>
      <c r="W749" s="1767"/>
      <c r="X749" s="815"/>
    </row>
    <row r="750" spans="2:24" ht="16" thickBot="1" x14ac:dyDescent="0.25">
      <c r="B750" s="1654">
        <f>SUM(H748:H754)</f>
        <v>18.66</v>
      </c>
      <c r="C750" s="802">
        <v>43838</v>
      </c>
      <c r="D750" s="803"/>
      <c r="E750" s="804"/>
      <c r="F750" s="1490"/>
      <c r="G750" s="805"/>
      <c r="H750" s="806" t="str">
        <f>IFERROR(VLOOKUP(F750,#REF!,10,FALSE),"")</f>
        <v/>
      </c>
      <c r="I750" s="807" t="str">
        <f t="shared" si="87"/>
        <v/>
      </c>
      <c r="J750" s="808"/>
      <c r="K750" s="1757"/>
      <c r="L750" s="1568"/>
      <c r="M750" s="1591"/>
      <c r="N750" s="809" t="str">
        <f t="shared" ref="N750:N813" si="89">IFERROR((L750/67)/(1/(I750*24)/3.6),"")</f>
        <v/>
      </c>
      <c r="O750" s="810"/>
      <c r="P750" s="811" t="str">
        <f>IFERROR(VLOOKUP(F750,#REF!,12,FALSE),"")</f>
        <v/>
      </c>
      <c r="Q750" s="812" t="s">
        <v>8</v>
      </c>
      <c r="R750" s="46" t="str">
        <f>IFERROR(VLOOKUP(F750,#REF!,14,FALSE),"")</f>
        <v/>
      </c>
      <c r="S750" s="47" t="str">
        <f t="shared" si="88"/>
        <v/>
      </c>
      <c r="U750" s="1728"/>
      <c r="V750" s="815">
        <f t="shared" si="85"/>
        <v>0</v>
      </c>
      <c r="W750" s="1767"/>
      <c r="X750" s="815"/>
    </row>
    <row r="751" spans="2:24" x14ac:dyDescent="0.2">
      <c r="B751" s="1655" t="s">
        <v>144</v>
      </c>
      <c r="C751" s="802">
        <v>43839</v>
      </c>
      <c r="D751" s="803"/>
      <c r="E751" s="804"/>
      <c r="F751" s="1490"/>
      <c r="G751" s="805"/>
      <c r="H751" s="806" t="str">
        <f>IFERROR(VLOOKUP(F751,#REF!,10,FALSE),"")</f>
        <v/>
      </c>
      <c r="I751" s="807" t="str">
        <f t="shared" si="87"/>
        <v/>
      </c>
      <c r="J751" s="808"/>
      <c r="K751" s="1757"/>
      <c r="L751" s="1568"/>
      <c r="M751" s="1591"/>
      <c r="N751" s="809" t="str">
        <f t="shared" si="89"/>
        <v/>
      </c>
      <c r="O751" s="810"/>
      <c r="P751" s="811" t="str">
        <f>IFERROR(VLOOKUP(F751,#REF!,12,FALSE),"")</f>
        <v/>
      </c>
      <c r="Q751" s="812" t="s">
        <v>8</v>
      </c>
      <c r="R751" s="46" t="str">
        <f>IFERROR(VLOOKUP(F751,#REF!,14,FALSE),"")</f>
        <v/>
      </c>
      <c r="S751" s="47" t="str">
        <f t="shared" si="88"/>
        <v/>
      </c>
      <c r="U751" s="1728"/>
      <c r="V751" s="815">
        <f t="shared" si="85"/>
        <v>0</v>
      </c>
      <c r="W751" s="1767"/>
      <c r="X751" s="815"/>
    </row>
    <row r="752" spans="2:24" ht="16" thickBot="1" x14ac:dyDescent="0.25">
      <c r="B752" s="1656" t="e">
        <f>SUM(#REF!)</f>
        <v>#REF!</v>
      </c>
      <c r="C752" s="802">
        <v>43840</v>
      </c>
      <c r="D752" s="803"/>
      <c r="E752" s="804"/>
      <c r="F752" s="1490"/>
      <c r="G752" s="805"/>
      <c r="H752" s="806"/>
      <c r="I752" s="807" t="str">
        <f t="shared" si="87"/>
        <v/>
      </c>
      <c r="J752" s="808"/>
      <c r="K752" s="1757"/>
      <c r="L752" s="1568"/>
      <c r="M752" s="1591"/>
      <c r="N752" s="809" t="str">
        <f t="shared" si="89"/>
        <v/>
      </c>
      <c r="O752" s="810"/>
      <c r="P752" s="811" t="str">
        <f>IFERROR(VLOOKUP(F752,#REF!,12,FALSE),"")</f>
        <v/>
      </c>
      <c r="Q752" s="812" t="s">
        <v>8</v>
      </c>
      <c r="R752" s="46" t="str">
        <f>IFERROR(VLOOKUP(F752,#REF!,14,FALSE),"")</f>
        <v/>
      </c>
      <c r="S752" s="47" t="str">
        <f t="shared" si="88"/>
        <v/>
      </c>
      <c r="U752" s="1728"/>
      <c r="V752" s="815">
        <f t="shared" si="85"/>
        <v>0</v>
      </c>
      <c r="W752" s="1767"/>
      <c r="X752" s="815"/>
    </row>
    <row r="753" spans="2:24" x14ac:dyDescent="0.2">
      <c r="B753" s="1657" t="s">
        <v>256</v>
      </c>
      <c r="C753" s="802">
        <v>43841</v>
      </c>
      <c r="D753" s="803">
        <v>4</v>
      </c>
      <c r="E753" s="804" t="s">
        <v>293</v>
      </c>
      <c r="F753" s="1490" t="s">
        <v>278</v>
      </c>
      <c r="G753" s="805">
        <v>3.6388888888888887E-2</v>
      </c>
      <c r="H753" s="806">
        <v>9.52</v>
      </c>
      <c r="I753" s="807">
        <f t="shared" si="87"/>
        <v>3.8223622782446311E-3</v>
      </c>
      <c r="J753" s="808">
        <v>139</v>
      </c>
      <c r="K753" s="1757"/>
      <c r="L753" s="1568">
        <v>216</v>
      </c>
      <c r="M753" s="1591"/>
      <c r="N753" s="809">
        <f t="shared" si="89"/>
        <v>1.0646933400225762</v>
      </c>
      <c r="O753" s="810" t="s">
        <v>259</v>
      </c>
      <c r="P753" s="811" t="str">
        <f>IFERROR(VLOOKUP(F753,#REF!,12,FALSE),"")</f>
        <v/>
      </c>
      <c r="Q753" s="812" t="s">
        <v>8</v>
      </c>
      <c r="R753" s="46" t="str">
        <f>IFERROR(VLOOKUP(F753,#REF!,14,FALSE),"")</f>
        <v/>
      </c>
      <c r="S753" s="47">
        <f t="shared" si="88"/>
        <v>1.5539568345323742</v>
      </c>
      <c r="U753" s="1728"/>
      <c r="V753" s="815">
        <f t="shared" si="85"/>
        <v>0</v>
      </c>
      <c r="W753" s="1767"/>
      <c r="X753" s="815"/>
    </row>
    <row r="754" spans="2:24" ht="16" thickBot="1" x14ac:dyDescent="0.25">
      <c r="B754" s="1658" t="e">
        <f>AVERAGE(#REF!)</f>
        <v>#REF!</v>
      </c>
      <c r="C754" s="207">
        <v>43842</v>
      </c>
      <c r="D754" s="67"/>
      <c r="E754" s="208"/>
      <c r="F754" s="1491"/>
      <c r="G754" s="816"/>
      <c r="H754" s="817" t="str">
        <f>IFERROR(VLOOKUP(F754,#REF!,10,FALSE),"")</f>
        <v/>
      </c>
      <c r="I754" s="818" t="str">
        <f t="shared" si="87"/>
        <v/>
      </c>
      <c r="J754" s="819"/>
      <c r="K754" s="1757"/>
      <c r="L754" s="1569"/>
      <c r="M754" s="1592"/>
      <c r="N754" s="172" t="str">
        <f t="shared" si="89"/>
        <v/>
      </c>
      <c r="O754" s="820"/>
      <c r="P754" s="821" t="str">
        <f>IFERROR(VLOOKUP(F754,#REF!,12,FALSE),"")</f>
        <v/>
      </c>
      <c r="Q754" s="822" t="s">
        <v>8</v>
      </c>
      <c r="R754" s="64" t="str">
        <f>IFERROR(VLOOKUP(F754,#REF!,14,FALSE),"")</f>
        <v/>
      </c>
      <c r="S754" s="65" t="str">
        <f t="shared" si="88"/>
        <v/>
      </c>
      <c r="U754" s="1728"/>
      <c r="V754" s="823">
        <f t="shared" si="85"/>
        <v>0</v>
      </c>
      <c r="W754" s="1768"/>
      <c r="X754" s="823"/>
    </row>
    <row r="755" spans="2:24" ht="16" thickBot="1" x14ac:dyDescent="0.25">
      <c r="B755" s="1660">
        <f>B748+1</f>
        <v>3</v>
      </c>
      <c r="C755" s="829">
        <v>43843</v>
      </c>
      <c r="D755" s="830"/>
      <c r="E755" s="831"/>
      <c r="F755" s="1492"/>
      <c r="G755" s="832"/>
      <c r="H755" s="833" t="str">
        <f>IFERROR(VLOOKUP(F755,#REF!,10,FALSE),"")</f>
        <v/>
      </c>
      <c r="I755" s="834" t="str">
        <f t="shared" si="87"/>
        <v/>
      </c>
      <c r="J755" s="835"/>
      <c r="K755" s="1757"/>
      <c r="L755" s="792"/>
      <c r="M755" s="1595"/>
      <c r="N755" s="836" t="str">
        <f t="shared" si="89"/>
        <v/>
      </c>
      <c r="O755" s="837"/>
      <c r="P755" s="838" t="str">
        <f>IFERROR(VLOOKUP(F755,#REF!,12,FALSE),"")</f>
        <v/>
      </c>
      <c r="Q755" s="839" t="s">
        <v>8</v>
      </c>
      <c r="R755" s="32" t="str">
        <f>IFERROR(VLOOKUP(F755,#REF!,14,FALSE),"")</f>
        <v/>
      </c>
      <c r="S755" s="33" t="str">
        <f t="shared" si="88"/>
        <v/>
      </c>
      <c r="U755" s="1728"/>
      <c r="V755" s="840">
        <f t="shared" si="85"/>
        <v>0</v>
      </c>
      <c r="W755" s="1766"/>
      <c r="X755" s="840"/>
    </row>
    <row r="756" spans="2:24" x14ac:dyDescent="0.2">
      <c r="B756" s="1653" t="s">
        <v>142</v>
      </c>
      <c r="C756" s="841">
        <v>43844</v>
      </c>
      <c r="D756" s="842">
        <v>5</v>
      </c>
      <c r="E756" s="843" t="s">
        <v>293</v>
      </c>
      <c r="F756" s="1426" t="s">
        <v>285</v>
      </c>
      <c r="G756" s="844">
        <v>3.366898148148148E-2</v>
      </c>
      <c r="H756" s="845">
        <v>8.65</v>
      </c>
      <c r="I756" s="846">
        <f t="shared" si="87"/>
        <v>3.8923678013273386E-3</v>
      </c>
      <c r="J756" s="847">
        <v>139</v>
      </c>
      <c r="K756" s="1757"/>
      <c r="L756" s="1568">
        <v>212</v>
      </c>
      <c r="M756" s="1591"/>
      <c r="N756" s="848">
        <f t="shared" si="89"/>
        <v>1.0641152618410834</v>
      </c>
      <c r="O756" s="849" t="s">
        <v>259</v>
      </c>
      <c r="P756" s="850" t="str">
        <f>IFERROR(VLOOKUP(F756,#REF!,12,FALSE),"")</f>
        <v/>
      </c>
      <c r="Q756" s="851" t="s">
        <v>8</v>
      </c>
      <c r="R756" s="46" t="str">
        <f>IFERROR(VLOOKUP(F756,#REF!,14,FALSE),"")</f>
        <v/>
      </c>
      <c r="S756" s="47">
        <f t="shared" si="88"/>
        <v>1.525179856115108</v>
      </c>
      <c r="U756" s="1728"/>
      <c r="V756" s="854">
        <f t="shared" si="85"/>
        <v>0</v>
      </c>
      <c r="W756" s="1767"/>
      <c r="X756" s="854"/>
    </row>
    <row r="757" spans="2:24" ht="16" thickBot="1" x14ac:dyDescent="0.25">
      <c r="B757" s="1654">
        <f>SUM(H755:H761)</f>
        <v>27.14</v>
      </c>
      <c r="C757" s="855">
        <v>43845</v>
      </c>
      <c r="D757" s="842"/>
      <c r="E757" s="843"/>
      <c r="F757" s="1412"/>
      <c r="G757" s="844"/>
      <c r="H757" s="845" t="str">
        <f>IFERROR(VLOOKUP(F757,#REF!,10,FALSE),"")</f>
        <v/>
      </c>
      <c r="I757" s="846" t="str">
        <f t="shared" si="87"/>
        <v/>
      </c>
      <c r="J757" s="847"/>
      <c r="K757" s="1757"/>
      <c r="L757" s="1568"/>
      <c r="M757" s="1591"/>
      <c r="N757" s="848" t="str">
        <f t="shared" si="89"/>
        <v/>
      </c>
      <c r="O757" s="849"/>
      <c r="P757" s="850" t="str">
        <f>IFERROR(VLOOKUP(F757,#REF!,12,FALSE),"")</f>
        <v/>
      </c>
      <c r="Q757" s="851" t="s">
        <v>8</v>
      </c>
      <c r="R757" s="46" t="str">
        <f>IFERROR(VLOOKUP(F757,#REF!,14,FALSE),"")</f>
        <v/>
      </c>
      <c r="S757" s="47" t="str">
        <f t="shared" si="88"/>
        <v/>
      </c>
      <c r="U757" s="1728"/>
      <c r="V757" s="854">
        <f t="shared" si="85"/>
        <v>0</v>
      </c>
      <c r="W757" s="1767"/>
      <c r="X757" s="854"/>
    </row>
    <row r="758" spans="2:24" x14ac:dyDescent="0.2">
      <c r="B758" s="1655" t="s">
        <v>144</v>
      </c>
      <c r="C758" s="855">
        <v>43846</v>
      </c>
      <c r="D758" s="842">
        <v>6</v>
      </c>
      <c r="E758" s="843" t="s">
        <v>293</v>
      </c>
      <c r="F758" s="1412" t="s">
        <v>269</v>
      </c>
      <c r="G758" s="844">
        <v>3.7534722222222219E-2</v>
      </c>
      <c r="H758" s="845">
        <v>10.130000000000001</v>
      </c>
      <c r="I758" s="846">
        <f t="shared" si="87"/>
        <v>3.7053032795875832E-3</v>
      </c>
      <c r="J758" s="847">
        <v>144</v>
      </c>
      <c r="K758" s="1757"/>
      <c r="L758" s="1568">
        <v>223</v>
      </c>
      <c r="M758" s="1591"/>
      <c r="N758" s="848">
        <f t="shared" si="89"/>
        <v>1.0655346171413416</v>
      </c>
      <c r="O758" s="849" t="s">
        <v>259</v>
      </c>
      <c r="P758" s="850" t="str">
        <f>IFERROR(VLOOKUP(F758,#REF!,12,FALSE),"")</f>
        <v/>
      </c>
      <c r="Q758" s="851" t="s">
        <v>8</v>
      </c>
      <c r="R758" s="46" t="str">
        <f>IFERROR(VLOOKUP(F758,#REF!,14,FALSE),"")</f>
        <v/>
      </c>
      <c r="S758" s="47">
        <f t="shared" si="88"/>
        <v>1.5486111111111112</v>
      </c>
      <c r="U758" s="1728"/>
      <c r="V758" s="854">
        <f t="shared" si="85"/>
        <v>0</v>
      </c>
      <c r="W758" s="1767"/>
      <c r="X758" s="854"/>
    </row>
    <row r="759" spans="2:24" ht="16" thickBot="1" x14ac:dyDescent="0.25">
      <c r="B759" s="1656" t="e">
        <f>SUM(#REF!)</f>
        <v>#REF!</v>
      </c>
      <c r="C759" s="855">
        <v>43847</v>
      </c>
      <c r="D759" s="842"/>
      <c r="E759" s="843"/>
      <c r="F759" s="1412"/>
      <c r="G759" s="844"/>
      <c r="H759" s="845" t="str">
        <f>IFERROR(VLOOKUP(F759,#REF!,10,FALSE),"")</f>
        <v/>
      </c>
      <c r="I759" s="846" t="str">
        <f t="shared" si="87"/>
        <v/>
      </c>
      <c r="J759" s="847"/>
      <c r="K759" s="1757"/>
      <c r="L759" s="1568"/>
      <c r="M759" s="1591"/>
      <c r="N759" s="848" t="str">
        <f t="shared" si="89"/>
        <v/>
      </c>
      <c r="O759" s="849"/>
      <c r="P759" s="850" t="str">
        <f>IFERROR(VLOOKUP(F759,#REF!,12,FALSE),"")</f>
        <v/>
      </c>
      <c r="Q759" s="851" t="s">
        <v>8</v>
      </c>
      <c r="R759" s="46" t="str">
        <f>IFERROR(VLOOKUP(F759,#REF!,14,FALSE),"")</f>
        <v/>
      </c>
      <c r="S759" s="47" t="str">
        <f t="shared" si="88"/>
        <v/>
      </c>
      <c r="U759" s="1728"/>
      <c r="V759" s="854">
        <f t="shared" si="85"/>
        <v>0</v>
      </c>
      <c r="W759" s="1767"/>
      <c r="X759" s="854"/>
    </row>
    <row r="760" spans="2:24" x14ac:dyDescent="0.2">
      <c r="B760" s="1657" t="s">
        <v>256</v>
      </c>
      <c r="C760" s="855">
        <v>43848</v>
      </c>
      <c r="D760" s="842"/>
      <c r="E760" s="843"/>
      <c r="F760" s="1412"/>
      <c r="G760" s="844"/>
      <c r="H760" s="845" t="str">
        <f>IFERROR(VLOOKUP(F760,#REF!,10,FALSE),"")</f>
        <v/>
      </c>
      <c r="I760" s="846" t="str">
        <f t="shared" si="87"/>
        <v/>
      </c>
      <c r="J760" s="847"/>
      <c r="K760" s="1757"/>
      <c r="L760" s="1568"/>
      <c r="M760" s="1591"/>
      <c r="N760" s="848" t="str">
        <f t="shared" si="89"/>
        <v/>
      </c>
      <c r="O760" s="849"/>
      <c r="P760" s="850" t="str">
        <f>IFERROR(VLOOKUP(F760,#REF!,12,FALSE),"")</f>
        <v/>
      </c>
      <c r="Q760" s="851" t="s">
        <v>8</v>
      </c>
      <c r="R760" s="46" t="str">
        <f>IFERROR(VLOOKUP(F760,#REF!,14,FALSE),"")</f>
        <v/>
      </c>
      <c r="S760" s="47" t="str">
        <f t="shared" si="88"/>
        <v/>
      </c>
      <c r="U760" s="1728"/>
      <c r="V760" s="854">
        <f t="shared" si="85"/>
        <v>0</v>
      </c>
      <c r="W760" s="1767"/>
      <c r="X760" s="854"/>
    </row>
    <row r="761" spans="2:24" ht="16" thickBot="1" x14ac:dyDescent="0.25">
      <c r="B761" s="1658" t="e">
        <f>AVERAGE(#REF!)</f>
        <v>#REF!</v>
      </c>
      <c r="C761" s="856">
        <v>43849</v>
      </c>
      <c r="D761" s="67">
        <v>7</v>
      </c>
      <c r="E761" s="208" t="s">
        <v>293</v>
      </c>
      <c r="F761" s="1405" t="s">
        <v>283</v>
      </c>
      <c r="G761" s="857">
        <v>3.4305555555555554E-2</v>
      </c>
      <c r="H761" s="858">
        <v>8.36</v>
      </c>
      <c r="I761" s="859">
        <f t="shared" si="87"/>
        <v>4.1035353535353539E-3</v>
      </c>
      <c r="J761" s="860">
        <v>131</v>
      </c>
      <c r="K761" s="1757"/>
      <c r="L761" s="1569">
        <v>204</v>
      </c>
      <c r="M761" s="1592"/>
      <c r="N761" s="172">
        <f t="shared" si="89"/>
        <v>1.0795115332428766</v>
      </c>
      <c r="O761" s="861" t="s">
        <v>259</v>
      </c>
      <c r="P761" s="710" t="str">
        <f>IFERROR(VLOOKUP(F761,#REF!,12,FALSE),"")</f>
        <v/>
      </c>
      <c r="Q761" s="711" t="s">
        <v>8</v>
      </c>
      <c r="R761" s="64" t="str">
        <f>IFERROR(VLOOKUP(F761,#REF!,14,FALSE),"")</f>
        <v/>
      </c>
      <c r="S761" s="65">
        <f t="shared" si="88"/>
        <v>1.5572519083969465</v>
      </c>
      <c r="U761" s="1728"/>
      <c r="V761" s="862">
        <f t="shared" si="85"/>
        <v>0</v>
      </c>
      <c r="W761" s="1768"/>
      <c r="X761" s="862"/>
    </row>
    <row r="762" spans="2:24" ht="16" thickBot="1" x14ac:dyDescent="0.25">
      <c r="B762" s="1660">
        <f>B755+1</f>
        <v>4</v>
      </c>
      <c r="C762" s="69">
        <v>43850</v>
      </c>
      <c r="D762" s="70"/>
      <c r="E762" s="71"/>
      <c r="F762" s="1461"/>
      <c r="G762" s="559"/>
      <c r="H762" s="560" t="str">
        <f>IFERROR(VLOOKUP(F762,#REF!,10,FALSE),"")</f>
        <v/>
      </c>
      <c r="I762" s="338" t="str">
        <f t="shared" si="87"/>
        <v/>
      </c>
      <c r="J762" s="270"/>
      <c r="K762" s="1757"/>
      <c r="L762" s="270"/>
      <c r="M762" s="1593"/>
      <c r="N762" s="77" t="str">
        <f t="shared" si="89"/>
        <v/>
      </c>
      <c r="O762" s="561"/>
      <c r="P762" s="224" t="str">
        <f>IFERROR(VLOOKUP(F762,#REF!,12,FALSE),"")</f>
        <v/>
      </c>
      <c r="Q762" s="80" t="s">
        <v>8</v>
      </c>
      <c r="R762" s="80" t="str">
        <f>IFERROR(VLOOKUP(F762,#REF!,14,FALSE),"")</f>
        <v/>
      </c>
      <c r="S762" s="33" t="str">
        <f t="shared" si="88"/>
        <v/>
      </c>
      <c r="U762" s="1728"/>
      <c r="V762" s="225">
        <f t="shared" ref="V762:V825" si="90">U761-T761</f>
        <v>0</v>
      </c>
      <c r="W762" s="1766"/>
      <c r="X762" s="225"/>
    </row>
    <row r="763" spans="2:24" x14ac:dyDescent="0.2">
      <c r="B763" s="1653" t="s">
        <v>142</v>
      </c>
      <c r="C763" s="863">
        <v>43851</v>
      </c>
      <c r="D763" s="864">
        <v>8</v>
      </c>
      <c r="E763" s="865" t="s">
        <v>293</v>
      </c>
      <c r="F763" s="1426" t="s">
        <v>269</v>
      </c>
      <c r="G763" s="866">
        <v>3.7835648148148153E-2</v>
      </c>
      <c r="H763" s="718">
        <v>10.01</v>
      </c>
      <c r="I763" s="781">
        <f t="shared" si="87"/>
        <v>3.7797850297850303E-3</v>
      </c>
      <c r="J763" s="867">
        <v>139</v>
      </c>
      <c r="K763" s="1757"/>
      <c r="L763" s="1568">
        <v>219</v>
      </c>
      <c r="M763" s="1591"/>
      <c r="N763" s="722">
        <f t="shared" si="89"/>
        <v>1.0674564241728424</v>
      </c>
      <c r="O763" s="868" t="s">
        <v>253</v>
      </c>
      <c r="P763" s="654" t="str">
        <f>IFERROR(VLOOKUP(F763,#REF!,12,FALSE),"")</f>
        <v/>
      </c>
      <c r="Q763" s="655" t="s">
        <v>8</v>
      </c>
      <c r="R763" s="46" t="str">
        <f>IFERROR(VLOOKUP(F763,#REF!,14,FALSE),"")</f>
        <v/>
      </c>
      <c r="S763" s="47">
        <f t="shared" si="88"/>
        <v>1.5755395683453237</v>
      </c>
      <c r="U763" s="1728"/>
      <c r="V763" s="870">
        <f t="shared" si="90"/>
        <v>0</v>
      </c>
      <c r="W763" s="1767"/>
      <c r="X763" s="870"/>
    </row>
    <row r="764" spans="2:24" ht="16" thickBot="1" x14ac:dyDescent="0.25">
      <c r="B764" s="1654">
        <f>SUM(H762:H768)</f>
        <v>32.28</v>
      </c>
      <c r="C764" s="863">
        <v>43852</v>
      </c>
      <c r="D764" s="864"/>
      <c r="E764" s="865"/>
      <c r="F764" s="1412"/>
      <c r="G764" s="866"/>
      <c r="H764" s="718" t="str">
        <f>IFERROR(VLOOKUP(F764,#REF!,10,FALSE),"")</f>
        <v/>
      </c>
      <c r="I764" s="781" t="str">
        <f t="shared" si="87"/>
        <v/>
      </c>
      <c r="J764" s="867"/>
      <c r="K764" s="1757"/>
      <c r="L764" s="1568"/>
      <c r="M764" s="1591"/>
      <c r="N764" s="722" t="str">
        <f t="shared" si="89"/>
        <v/>
      </c>
      <c r="O764" s="868"/>
      <c r="P764" s="654" t="str">
        <f>IFERROR(VLOOKUP(F764,#REF!,12,FALSE),"")</f>
        <v/>
      </c>
      <c r="Q764" s="655" t="s">
        <v>8</v>
      </c>
      <c r="R764" s="46" t="str">
        <f>IFERROR(VLOOKUP(F764,#REF!,14,FALSE),"")</f>
        <v/>
      </c>
      <c r="S764" s="47" t="str">
        <f t="shared" si="88"/>
        <v/>
      </c>
      <c r="U764" s="1728"/>
      <c r="V764" s="870">
        <f t="shared" si="90"/>
        <v>0</v>
      </c>
      <c r="W764" s="1767"/>
      <c r="X764" s="870"/>
    </row>
    <row r="765" spans="2:24" x14ac:dyDescent="0.2">
      <c r="B765" s="1655" t="s">
        <v>144</v>
      </c>
      <c r="C765" s="863">
        <v>43853</v>
      </c>
      <c r="D765" s="864"/>
      <c r="E765" s="865"/>
      <c r="F765" s="1412"/>
      <c r="G765" s="866"/>
      <c r="H765" s="718" t="str">
        <f>IFERROR(VLOOKUP(F765,#REF!,10,FALSE),"")</f>
        <v/>
      </c>
      <c r="I765" s="781" t="str">
        <f t="shared" si="87"/>
        <v/>
      </c>
      <c r="J765" s="867"/>
      <c r="K765" s="1757"/>
      <c r="L765" s="1568"/>
      <c r="M765" s="1591"/>
      <c r="N765" s="722" t="str">
        <f t="shared" si="89"/>
        <v/>
      </c>
      <c r="O765" s="868"/>
      <c r="P765" s="654" t="str">
        <f>IFERROR(VLOOKUP(F765,#REF!,12,FALSE),"")</f>
        <v/>
      </c>
      <c r="Q765" s="655" t="s">
        <v>8</v>
      </c>
      <c r="R765" s="46" t="str">
        <f>IFERROR(VLOOKUP(F765,#REF!,14,FALSE),"")</f>
        <v/>
      </c>
      <c r="S765" s="47" t="str">
        <f t="shared" si="88"/>
        <v/>
      </c>
      <c r="U765" s="1728"/>
      <c r="V765" s="870">
        <f t="shared" si="90"/>
        <v>0</v>
      </c>
      <c r="W765" s="1767"/>
      <c r="X765" s="870"/>
    </row>
    <row r="766" spans="2:24" ht="16" thickBot="1" x14ac:dyDescent="0.25">
      <c r="B766" s="1656" t="e">
        <f>SUM(#REF!)</f>
        <v>#REF!</v>
      </c>
      <c r="C766" s="863">
        <v>43854</v>
      </c>
      <c r="D766" s="864">
        <v>9</v>
      </c>
      <c r="E766" s="865" t="s">
        <v>293</v>
      </c>
      <c r="F766" s="1412" t="s">
        <v>286</v>
      </c>
      <c r="G766" s="866">
        <v>3.6793981481481483E-2</v>
      </c>
      <c r="H766" s="718">
        <v>10.84</v>
      </c>
      <c r="I766" s="781">
        <f t="shared" si="87"/>
        <v>3.3942787344540112E-3</v>
      </c>
      <c r="J766" s="867">
        <v>152</v>
      </c>
      <c r="K766" s="1757"/>
      <c r="L766" s="1568">
        <v>238</v>
      </c>
      <c r="M766" s="1591"/>
      <c r="N766" s="722">
        <f t="shared" si="89"/>
        <v>1.0417497383929062</v>
      </c>
      <c r="O766" s="868" t="s">
        <v>253</v>
      </c>
      <c r="P766" s="654" t="str">
        <f>IFERROR(VLOOKUP(F766,#REF!,12,FALSE),"")</f>
        <v/>
      </c>
      <c r="Q766" s="655" t="s">
        <v>8</v>
      </c>
      <c r="R766" s="46" t="str">
        <f>IFERROR(VLOOKUP(F766,#REF!,14,FALSE),"")</f>
        <v/>
      </c>
      <c r="S766" s="47">
        <f t="shared" si="88"/>
        <v>1.5657894736842106</v>
      </c>
      <c r="U766" s="1728"/>
      <c r="V766" s="870">
        <f t="shared" si="90"/>
        <v>0</v>
      </c>
      <c r="W766" s="1767"/>
      <c r="X766" s="870"/>
    </row>
    <row r="767" spans="2:24" x14ac:dyDescent="0.2">
      <c r="B767" s="1657" t="s">
        <v>256</v>
      </c>
      <c r="C767" s="863">
        <v>43855</v>
      </c>
      <c r="D767" s="864"/>
      <c r="E767" s="865"/>
      <c r="F767" s="1412"/>
      <c r="G767" s="866"/>
      <c r="H767" s="718" t="str">
        <f>IFERROR(VLOOKUP(F767,#REF!,10,FALSE),"")</f>
        <v/>
      </c>
      <c r="I767" s="781" t="str">
        <f t="shared" si="87"/>
        <v/>
      </c>
      <c r="J767" s="867"/>
      <c r="K767" s="1757"/>
      <c r="L767" s="1568"/>
      <c r="M767" s="1591"/>
      <c r="N767" s="722" t="str">
        <f t="shared" si="89"/>
        <v/>
      </c>
      <c r="O767" s="868"/>
      <c r="P767" s="654" t="str">
        <f>IFERROR(VLOOKUP(F767,#REF!,12,FALSE),"")</f>
        <v/>
      </c>
      <c r="Q767" s="655" t="s">
        <v>8</v>
      </c>
      <c r="R767" s="46" t="str">
        <f>IFERROR(VLOOKUP(F767,#REF!,14,FALSE),"")</f>
        <v/>
      </c>
      <c r="S767" s="47" t="str">
        <f t="shared" si="88"/>
        <v/>
      </c>
      <c r="U767" s="1728"/>
      <c r="V767" s="870">
        <f t="shared" si="90"/>
        <v>0</v>
      </c>
      <c r="W767" s="1767"/>
      <c r="X767" s="870"/>
    </row>
    <row r="768" spans="2:24" ht="16" thickBot="1" x14ac:dyDescent="0.25">
      <c r="B768" s="1658" t="e">
        <f>AVERAGE(#REF!)</f>
        <v>#REF!</v>
      </c>
      <c r="C768" s="207">
        <v>43856</v>
      </c>
      <c r="D768" s="871">
        <v>10</v>
      </c>
      <c r="E768" s="872" t="s">
        <v>293</v>
      </c>
      <c r="F768" s="1493" t="s">
        <v>278</v>
      </c>
      <c r="G768" s="873">
        <v>4.3391203703703703E-2</v>
      </c>
      <c r="H768" s="874">
        <v>11.43</v>
      </c>
      <c r="I768" s="875">
        <f t="shared" si="87"/>
        <v>3.7962557921000614E-3</v>
      </c>
      <c r="J768" s="876">
        <v>137</v>
      </c>
      <c r="K768" s="1757"/>
      <c r="L768" s="1570">
        <v>219</v>
      </c>
      <c r="M768" s="1594"/>
      <c r="N768" s="877">
        <f t="shared" si="89"/>
        <v>1.0721079641164257</v>
      </c>
      <c r="O768" s="878" t="s">
        <v>259</v>
      </c>
      <c r="P768" s="879" t="str">
        <f>IFERROR(VLOOKUP(F768,#REF!,12,FALSE),"")</f>
        <v/>
      </c>
      <c r="Q768" s="107" t="s">
        <v>8</v>
      </c>
      <c r="R768" s="107" t="str">
        <f>IFERROR(VLOOKUP(F768,#REF!,14,FALSE),"")</f>
        <v/>
      </c>
      <c r="S768" s="65">
        <f t="shared" si="88"/>
        <v>1.5985401459854014</v>
      </c>
      <c r="U768" s="1728"/>
      <c r="V768" s="880">
        <f t="shared" si="90"/>
        <v>0</v>
      </c>
      <c r="W768" s="1768"/>
      <c r="X768" s="880"/>
    </row>
    <row r="769" spans="2:24" ht="16" thickBot="1" x14ac:dyDescent="0.25">
      <c r="B769" s="1660">
        <f>B762+1</f>
        <v>5</v>
      </c>
      <c r="C769" s="193">
        <v>43857</v>
      </c>
      <c r="D769" s="881"/>
      <c r="E769" s="882"/>
      <c r="F769" s="1494"/>
      <c r="G769" s="883"/>
      <c r="H769" s="884" t="str">
        <f>IFERROR(VLOOKUP(F769,#REF!,10,FALSE),"")</f>
        <v/>
      </c>
      <c r="I769" s="885" t="str">
        <f t="shared" si="87"/>
        <v/>
      </c>
      <c r="J769" s="886"/>
      <c r="K769" s="1757"/>
      <c r="L769" s="792"/>
      <c r="M769" s="1595"/>
      <c r="N769" s="887" t="str">
        <f t="shared" si="89"/>
        <v/>
      </c>
      <c r="O769" s="888"/>
      <c r="P769" s="889" t="str">
        <f>IFERROR(VLOOKUP(F769,#REF!,12,FALSE),"")</f>
        <v/>
      </c>
      <c r="Q769" s="32" t="s">
        <v>8</v>
      </c>
      <c r="R769" s="32" t="str">
        <f>IFERROR(VLOOKUP(F769,#REF!,14,FALSE),"")</f>
        <v/>
      </c>
      <c r="S769" s="33" t="str">
        <f t="shared" si="88"/>
        <v/>
      </c>
      <c r="U769" s="1728"/>
      <c r="V769" s="225">
        <f t="shared" si="90"/>
        <v>0</v>
      </c>
      <c r="W769" s="1766"/>
      <c r="X769" s="225"/>
    </row>
    <row r="770" spans="2:24" x14ac:dyDescent="0.2">
      <c r="B770" s="1653" t="s">
        <v>142</v>
      </c>
      <c r="C770" s="863">
        <v>43858</v>
      </c>
      <c r="D770" s="890">
        <v>11</v>
      </c>
      <c r="E770" s="891" t="s">
        <v>293</v>
      </c>
      <c r="F770" s="1495" t="s">
        <v>281</v>
      </c>
      <c r="G770" s="892">
        <v>4.5648148148148153E-2</v>
      </c>
      <c r="H770" s="893">
        <v>11.44</v>
      </c>
      <c r="I770" s="894">
        <f t="shared" si="87"/>
        <v>3.9902227402227406E-3</v>
      </c>
      <c r="J770" s="895">
        <v>132</v>
      </c>
      <c r="K770" s="1757"/>
      <c r="L770" s="1568">
        <v>208</v>
      </c>
      <c r="M770" s="1591"/>
      <c r="N770" s="896">
        <f t="shared" si="89"/>
        <v>1.0702849389416556</v>
      </c>
      <c r="O770" s="897" t="s">
        <v>253</v>
      </c>
      <c r="P770" s="850" t="str">
        <f>IFERROR(VLOOKUP(F770,#REF!,12,FALSE),"")</f>
        <v/>
      </c>
      <c r="Q770" s="851" t="s">
        <v>8</v>
      </c>
      <c r="R770" s="46" t="str">
        <f>IFERROR(VLOOKUP(F770,#REF!,14,FALSE),"")</f>
        <v/>
      </c>
      <c r="S770" s="47">
        <f t="shared" si="88"/>
        <v>1.5757575757575757</v>
      </c>
      <c r="U770" s="1728"/>
      <c r="V770" s="870">
        <f t="shared" si="90"/>
        <v>0</v>
      </c>
      <c r="W770" s="1767"/>
      <c r="X770" s="870"/>
    </row>
    <row r="771" spans="2:24" ht="16" thickBot="1" x14ac:dyDescent="0.25">
      <c r="B771" s="1654">
        <f>SUM(H769:H775)</f>
        <v>41.72</v>
      </c>
      <c r="C771" s="863">
        <v>43859</v>
      </c>
      <c r="D771" s="890">
        <v>12</v>
      </c>
      <c r="E771" s="891" t="s">
        <v>293</v>
      </c>
      <c r="F771" s="1495" t="s">
        <v>268</v>
      </c>
      <c r="G771" s="892">
        <v>3.1481481481481485E-2</v>
      </c>
      <c r="H771" s="893">
        <v>8.42</v>
      </c>
      <c r="I771" s="894">
        <f t="shared" si="87"/>
        <v>3.738893287586875E-3</v>
      </c>
      <c r="J771" s="895">
        <v>136</v>
      </c>
      <c r="K771" s="1757"/>
      <c r="L771" s="1568">
        <v>220</v>
      </c>
      <c r="M771" s="1591"/>
      <c r="N771" s="896">
        <f t="shared" si="89"/>
        <v>1.0607296061261393</v>
      </c>
      <c r="O771" s="897" t="s">
        <v>259</v>
      </c>
      <c r="P771" s="850" t="str">
        <f>IFERROR(VLOOKUP(F771,#REF!,12,FALSE),"")</f>
        <v/>
      </c>
      <c r="Q771" s="851" t="s">
        <v>8</v>
      </c>
      <c r="R771" s="46" t="str">
        <f>IFERROR(VLOOKUP(F771,#REF!,14,FALSE),"")</f>
        <v/>
      </c>
      <c r="S771" s="47">
        <f t="shared" si="88"/>
        <v>1.6176470588235294</v>
      </c>
      <c r="U771" s="1728"/>
      <c r="V771" s="870">
        <f t="shared" si="90"/>
        <v>0</v>
      </c>
      <c r="W771" s="1767"/>
      <c r="X771" s="870"/>
    </row>
    <row r="772" spans="2:24" x14ac:dyDescent="0.2">
      <c r="B772" s="1655" t="s">
        <v>144</v>
      </c>
      <c r="C772" s="863">
        <v>43860</v>
      </c>
      <c r="D772" s="890"/>
      <c r="E772" s="891"/>
      <c r="F772" s="1495"/>
      <c r="G772" s="892"/>
      <c r="H772" s="893" t="str">
        <f>IFERROR(VLOOKUP(F772,#REF!,10,FALSE),"")</f>
        <v/>
      </c>
      <c r="I772" s="894" t="str">
        <f t="shared" si="87"/>
        <v/>
      </c>
      <c r="J772" s="895"/>
      <c r="K772" s="1757"/>
      <c r="L772" s="1568"/>
      <c r="M772" s="1591"/>
      <c r="N772" s="896" t="str">
        <f t="shared" si="89"/>
        <v/>
      </c>
      <c r="O772" s="897"/>
      <c r="P772" s="850" t="str">
        <f>IFERROR(VLOOKUP(F772,#REF!,12,FALSE),"")</f>
        <v/>
      </c>
      <c r="Q772" s="851" t="s">
        <v>8</v>
      </c>
      <c r="R772" s="46" t="str">
        <f>IFERROR(VLOOKUP(F772,#REF!,14,FALSE),"")</f>
        <v/>
      </c>
      <c r="S772" s="47" t="str">
        <f t="shared" si="88"/>
        <v/>
      </c>
      <c r="U772" s="1728"/>
      <c r="V772" s="870">
        <f t="shared" si="90"/>
        <v>0</v>
      </c>
      <c r="W772" s="1767"/>
      <c r="X772" s="870"/>
    </row>
    <row r="773" spans="2:24" ht="16" thickBot="1" x14ac:dyDescent="0.25">
      <c r="B773" s="1656" t="e">
        <f>SUM(#REF!)</f>
        <v>#REF!</v>
      </c>
      <c r="C773" s="863">
        <v>43861</v>
      </c>
      <c r="D773" s="890">
        <v>13</v>
      </c>
      <c r="E773" s="891" t="s">
        <v>293</v>
      </c>
      <c r="F773" s="1496" t="s">
        <v>286</v>
      </c>
      <c r="G773" s="892">
        <v>4.2754629629629635E-2</v>
      </c>
      <c r="H773" s="893">
        <v>11.46</v>
      </c>
      <c r="I773" s="894">
        <f t="shared" si="87"/>
        <v>3.7307704737896711E-3</v>
      </c>
      <c r="J773" s="895">
        <v>150</v>
      </c>
      <c r="K773" s="1757"/>
      <c r="L773" s="1568">
        <v>218</v>
      </c>
      <c r="M773" s="1591"/>
      <c r="N773" s="896">
        <f t="shared" si="89"/>
        <v>1.0488031048943762</v>
      </c>
      <c r="O773" s="897" t="s">
        <v>253</v>
      </c>
      <c r="P773" s="850" t="str">
        <f>IFERROR(VLOOKUP(F773,#REF!,12,FALSE),"")</f>
        <v/>
      </c>
      <c r="Q773" s="851" t="s">
        <v>8</v>
      </c>
      <c r="R773" s="46" t="str">
        <f>IFERROR(VLOOKUP(F773,#REF!,14,FALSE),"")</f>
        <v/>
      </c>
      <c r="S773" s="47">
        <f t="shared" si="88"/>
        <v>1.4533333333333334</v>
      </c>
      <c r="U773" s="1728"/>
      <c r="V773" s="870">
        <f t="shared" si="90"/>
        <v>0</v>
      </c>
      <c r="W773" s="1767"/>
      <c r="X773" s="870"/>
    </row>
    <row r="774" spans="2:24" x14ac:dyDescent="0.2">
      <c r="B774" s="1657" t="s">
        <v>256</v>
      </c>
      <c r="C774" s="863">
        <v>43862</v>
      </c>
      <c r="D774" s="890"/>
      <c r="E774" s="891"/>
      <c r="F774" s="1497"/>
      <c r="G774" s="892"/>
      <c r="H774" s="893" t="str">
        <f>IFERROR(VLOOKUP(F774,#REF!,10,FALSE),"")</f>
        <v/>
      </c>
      <c r="I774" s="894" t="str">
        <f t="shared" si="87"/>
        <v/>
      </c>
      <c r="J774" s="895"/>
      <c r="K774" s="1757"/>
      <c r="L774" s="1568"/>
      <c r="M774" s="1591"/>
      <c r="N774" s="896" t="str">
        <f t="shared" si="89"/>
        <v/>
      </c>
      <c r="O774" s="897"/>
      <c r="P774" s="850" t="str">
        <f>IFERROR(VLOOKUP(F774,#REF!,12,FALSE),"")</f>
        <v/>
      </c>
      <c r="Q774" s="851" t="s">
        <v>8</v>
      </c>
      <c r="R774" s="46" t="str">
        <f>IFERROR(VLOOKUP(F774,#REF!,14,FALSE),"")</f>
        <v/>
      </c>
      <c r="S774" s="47" t="str">
        <f t="shared" si="88"/>
        <v/>
      </c>
      <c r="U774" s="1728"/>
      <c r="V774" s="870">
        <f t="shared" si="90"/>
        <v>0</v>
      </c>
      <c r="W774" s="1767"/>
      <c r="X774" s="870"/>
    </row>
    <row r="775" spans="2:24" ht="16" thickBot="1" x14ac:dyDescent="0.25">
      <c r="B775" s="1658" t="e">
        <f>AVERAGE(#REF!)</f>
        <v>#REF!</v>
      </c>
      <c r="C775" s="898">
        <v>43863</v>
      </c>
      <c r="D775" s="899">
        <v>14</v>
      </c>
      <c r="E775" s="900" t="s">
        <v>293</v>
      </c>
      <c r="F775" s="1498" t="s">
        <v>269</v>
      </c>
      <c r="G775" s="901">
        <v>3.7673611111111109E-2</v>
      </c>
      <c r="H775" s="902">
        <v>10.4</v>
      </c>
      <c r="I775" s="903">
        <f t="shared" si="87"/>
        <v>3.6224626068376065E-3</v>
      </c>
      <c r="J775" s="904">
        <v>139</v>
      </c>
      <c r="K775" s="1757"/>
      <c r="L775" s="1569">
        <v>226</v>
      </c>
      <c r="M775" s="1592"/>
      <c r="N775" s="172">
        <f t="shared" si="89"/>
        <v>1.0557261768082664</v>
      </c>
      <c r="O775" s="905" t="s">
        <v>259</v>
      </c>
      <c r="P775" s="710" t="str">
        <f>IFERROR(VLOOKUP(F775,#REF!,12,FALSE),"")</f>
        <v/>
      </c>
      <c r="Q775" s="711" t="s">
        <v>8</v>
      </c>
      <c r="R775" s="64" t="str">
        <f>IFERROR(VLOOKUP(F775,#REF!,14,FALSE),"")</f>
        <v/>
      </c>
      <c r="S775" s="65">
        <f t="shared" si="88"/>
        <v>1.6258992805755397</v>
      </c>
      <c r="U775" s="1728"/>
      <c r="V775" s="869">
        <f t="shared" si="90"/>
        <v>0</v>
      </c>
      <c r="W775" s="1768"/>
      <c r="X775" s="869"/>
    </row>
    <row r="776" spans="2:24" ht="16" thickBot="1" x14ac:dyDescent="0.25">
      <c r="B776" s="1660">
        <f>B769+1</f>
        <v>6</v>
      </c>
      <c r="C776" s="786">
        <v>43864</v>
      </c>
      <c r="D776" s="225"/>
      <c r="E776" s="337"/>
      <c r="F776" s="1499"/>
      <c r="G776" s="559"/>
      <c r="H776" s="560" t="str">
        <f>IFERROR(VLOOKUP(F776,#REF!,10,FALSE),"")</f>
        <v/>
      </c>
      <c r="I776" s="338" t="str">
        <f t="shared" si="87"/>
        <v/>
      </c>
      <c r="J776" s="270"/>
      <c r="K776" s="1759"/>
      <c r="L776" s="270"/>
      <c r="M776" s="1593"/>
      <c r="N776" s="77" t="str">
        <f t="shared" si="89"/>
        <v/>
      </c>
      <c r="O776" s="561"/>
      <c r="P776" s="224" t="str">
        <f>IFERROR(VLOOKUP(F776,#REF!,12,FALSE),"")</f>
        <v/>
      </c>
      <c r="Q776" s="80" t="s">
        <v>8</v>
      </c>
      <c r="R776" s="80" t="str">
        <f>IFERROR(VLOOKUP(F776,#REF!,14,FALSE),"")</f>
        <v/>
      </c>
      <c r="S776" s="33" t="str">
        <f t="shared" si="88"/>
        <v/>
      </c>
      <c r="U776" s="1728"/>
      <c r="V776" s="826">
        <f t="shared" si="90"/>
        <v>0</v>
      </c>
      <c r="W776" s="1766"/>
      <c r="X776" s="826"/>
    </row>
    <row r="777" spans="2:24" x14ac:dyDescent="0.2">
      <c r="B777" s="1653" t="s">
        <v>142</v>
      </c>
      <c r="C777" s="906">
        <v>43865</v>
      </c>
      <c r="D777" s="890">
        <v>15</v>
      </c>
      <c r="E777" s="891" t="s">
        <v>293</v>
      </c>
      <c r="F777" s="1497" t="s">
        <v>269</v>
      </c>
      <c r="G777" s="866">
        <v>3.7326388888888888E-2</v>
      </c>
      <c r="H777" s="718">
        <v>10.16</v>
      </c>
      <c r="I777" s="781">
        <f t="shared" si="87"/>
        <v>3.673857174103237E-3</v>
      </c>
      <c r="J777" s="867">
        <v>141</v>
      </c>
      <c r="K777" s="1759"/>
      <c r="L777" s="1568">
        <v>223</v>
      </c>
      <c r="M777" s="1591"/>
      <c r="N777" s="722">
        <f t="shared" si="89"/>
        <v>1.0564916558937596</v>
      </c>
      <c r="O777" s="868" t="s">
        <v>259</v>
      </c>
      <c r="P777" s="654" t="str">
        <f>IFERROR(VLOOKUP(F777,#REF!,12,FALSE),"")</f>
        <v/>
      </c>
      <c r="Q777" s="655" t="s">
        <v>8</v>
      </c>
      <c r="R777" s="46" t="str">
        <f>IFERROR(VLOOKUP(F777,#REF!,14,FALSE),"")</f>
        <v/>
      </c>
      <c r="S777" s="47">
        <f t="shared" si="88"/>
        <v>1.5815602836879432</v>
      </c>
      <c r="U777" s="1728"/>
      <c r="V777" s="870">
        <f t="shared" si="90"/>
        <v>0</v>
      </c>
      <c r="W777" s="1767"/>
      <c r="X777" s="870"/>
    </row>
    <row r="778" spans="2:24" ht="16" thickBot="1" x14ac:dyDescent="0.25">
      <c r="B778" s="1654">
        <f>SUM(H776:H782)</f>
        <v>30.740000000000002</v>
      </c>
      <c r="C778" s="863">
        <v>43866</v>
      </c>
      <c r="D778" s="890"/>
      <c r="E778" s="891"/>
      <c r="F778" s="1497"/>
      <c r="G778" s="866"/>
      <c r="H778" s="718" t="str">
        <f>IFERROR(VLOOKUP(F778,#REF!,10,FALSE),"")</f>
        <v/>
      </c>
      <c r="I778" s="781" t="str">
        <f t="shared" si="87"/>
        <v/>
      </c>
      <c r="J778" s="867"/>
      <c r="K778" s="1759"/>
      <c r="L778" s="1568"/>
      <c r="M778" s="1591"/>
      <c r="N778" s="722" t="str">
        <f t="shared" si="89"/>
        <v/>
      </c>
      <c r="O778" s="868"/>
      <c r="P778" s="654" t="str">
        <f>IFERROR(VLOOKUP(F778,#REF!,12,FALSE),"")</f>
        <v/>
      </c>
      <c r="Q778" s="655" t="s">
        <v>8</v>
      </c>
      <c r="R778" s="46" t="str">
        <f>IFERROR(VLOOKUP(F778,#REF!,14,FALSE),"")</f>
        <v/>
      </c>
      <c r="S778" s="47" t="str">
        <f t="shared" si="88"/>
        <v/>
      </c>
      <c r="U778" s="1728"/>
      <c r="V778" s="870">
        <f t="shared" si="90"/>
        <v>0</v>
      </c>
      <c r="W778" s="1767"/>
      <c r="X778" s="870"/>
    </row>
    <row r="779" spans="2:24" x14ac:dyDescent="0.2">
      <c r="B779" s="1655" t="s">
        <v>144</v>
      </c>
      <c r="C779" s="863">
        <v>43867</v>
      </c>
      <c r="D779" s="890">
        <v>16</v>
      </c>
      <c r="E779" s="891" t="s">
        <v>293</v>
      </c>
      <c r="F779" s="1497" t="s">
        <v>269</v>
      </c>
      <c r="G779" s="866">
        <v>3.7002314814814814E-2</v>
      </c>
      <c r="H779" s="718">
        <v>10.050000000000001</v>
      </c>
      <c r="I779" s="781">
        <f t="shared" si="87"/>
        <v>3.6818223696333148E-3</v>
      </c>
      <c r="J779" s="867">
        <v>140</v>
      </c>
      <c r="K779" s="1759"/>
      <c r="L779" s="1568">
        <v>223</v>
      </c>
      <c r="M779" s="1591"/>
      <c r="N779" s="722">
        <f t="shared" si="89"/>
        <v>1.0587822083611791</v>
      </c>
      <c r="O779" s="868" t="s">
        <v>253</v>
      </c>
      <c r="P779" s="654" t="str">
        <f>IFERROR(VLOOKUP(F779,#REF!,12,FALSE),"")</f>
        <v/>
      </c>
      <c r="Q779" s="655" t="s">
        <v>8</v>
      </c>
      <c r="R779" s="46" t="str">
        <f>IFERROR(VLOOKUP(F779,#REF!,14,FALSE),"")</f>
        <v/>
      </c>
      <c r="S779" s="47">
        <f t="shared" si="88"/>
        <v>1.5928571428571427</v>
      </c>
      <c r="U779" s="1728"/>
      <c r="V779" s="870">
        <f t="shared" si="90"/>
        <v>0</v>
      </c>
      <c r="W779" s="1767"/>
      <c r="X779" s="870"/>
    </row>
    <row r="780" spans="2:24" ht="16" thickBot="1" x14ac:dyDescent="0.25">
      <c r="B780" s="1656" t="e">
        <f>SUM(#REF!)</f>
        <v>#REF!</v>
      </c>
      <c r="C780" s="863">
        <v>43868</v>
      </c>
      <c r="D780" s="890"/>
      <c r="E780" s="891"/>
      <c r="F780" s="1497"/>
      <c r="G780" s="866"/>
      <c r="H780" s="718" t="str">
        <f>IFERROR(VLOOKUP(F780,#REF!,10,FALSE),"")</f>
        <v/>
      </c>
      <c r="I780" s="781" t="str">
        <f t="shared" si="87"/>
        <v/>
      </c>
      <c r="J780" s="867"/>
      <c r="K780" s="1759"/>
      <c r="L780" s="1568"/>
      <c r="M780" s="1591"/>
      <c r="N780" s="722" t="str">
        <f t="shared" si="89"/>
        <v/>
      </c>
      <c r="O780" s="868"/>
      <c r="P780" s="654" t="str">
        <f>IFERROR(VLOOKUP(F780,#REF!,12,FALSE),"")</f>
        <v/>
      </c>
      <c r="Q780" s="655" t="s">
        <v>8</v>
      </c>
      <c r="R780" s="46" t="str">
        <f>IFERROR(VLOOKUP(F780,#REF!,14,FALSE),"")</f>
        <v/>
      </c>
      <c r="S780" s="47" t="str">
        <f t="shared" si="88"/>
        <v/>
      </c>
      <c r="U780" s="1728"/>
      <c r="V780" s="870">
        <f t="shared" si="90"/>
        <v>0</v>
      </c>
      <c r="W780" s="1767"/>
      <c r="X780" s="870"/>
    </row>
    <row r="781" spans="2:24" x14ac:dyDescent="0.2">
      <c r="B781" s="1657" t="s">
        <v>256</v>
      </c>
      <c r="C781" s="863">
        <v>43869</v>
      </c>
      <c r="D781" s="890">
        <v>17</v>
      </c>
      <c r="E781" s="891" t="s">
        <v>293</v>
      </c>
      <c r="F781" s="1497" t="s">
        <v>279</v>
      </c>
      <c r="G781" s="866">
        <v>3.8715277777777779E-2</v>
      </c>
      <c r="H781" s="718">
        <v>10.53</v>
      </c>
      <c r="I781" s="781">
        <f t="shared" si="87"/>
        <v>3.6766645562941861E-3</v>
      </c>
      <c r="J781" s="867">
        <v>136</v>
      </c>
      <c r="K781" s="1759"/>
      <c r="L781" s="1568">
        <v>222</v>
      </c>
      <c r="M781" s="1591"/>
      <c r="N781" s="722">
        <f t="shared" si="89"/>
        <v>1.0525577241995152</v>
      </c>
      <c r="O781" s="868" t="s">
        <v>259</v>
      </c>
      <c r="P781" s="654" t="str">
        <f>IFERROR(VLOOKUP(F781,#REF!,12,FALSE),"")</f>
        <v/>
      </c>
      <c r="Q781" s="655" t="s">
        <v>8</v>
      </c>
      <c r="R781" s="46" t="str">
        <f>IFERROR(VLOOKUP(F781,#REF!,14,FALSE),"")</f>
        <v/>
      </c>
      <c r="S781" s="47">
        <f t="shared" si="88"/>
        <v>1.6323529411764706</v>
      </c>
      <c r="U781" s="1728"/>
      <c r="V781" s="870">
        <f t="shared" si="90"/>
        <v>0</v>
      </c>
      <c r="W781" s="1767"/>
      <c r="X781" s="870"/>
    </row>
    <row r="782" spans="2:24" ht="16" thickBot="1" x14ac:dyDescent="0.25">
      <c r="B782" s="1658" t="e">
        <f>AVERAGE(#REF!)</f>
        <v>#REF!</v>
      </c>
      <c r="C782" s="207">
        <v>43870</v>
      </c>
      <c r="D782" s="853"/>
      <c r="E782" s="907"/>
      <c r="F782" s="1498"/>
      <c r="G782" s="908"/>
      <c r="H782" s="909" t="str">
        <f>IFERROR(VLOOKUP(F782,#REF!,10,FALSE),"")</f>
        <v/>
      </c>
      <c r="I782" s="910" t="str">
        <f t="shared" si="87"/>
        <v/>
      </c>
      <c r="J782" s="911"/>
      <c r="K782" s="1759"/>
      <c r="L782" s="1570"/>
      <c r="M782" s="1594"/>
      <c r="N782" s="912" t="str">
        <f t="shared" si="89"/>
        <v/>
      </c>
      <c r="O782" s="913"/>
      <c r="P782" s="879" t="str">
        <f>IFERROR(VLOOKUP(F782,#REF!,12,FALSE),"")</f>
        <v/>
      </c>
      <c r="Q782" s="107" t="s">
        <v>8</v>
      </c>
      <c r="R782" s="107" t="str">
        <f>IFERROR(VLOOKUP(F782,#REF!,14,FALSE),"")</f>
        <v/>
      </c>
      <c r="S782" s="65" t="str">
        <f t="shared" si="88"/>
        <v/>
      </c>
      <c r="U782" s="1728"/>
      <c r="V782" s="880">
        <f t="shared" si="90"/>
        <v>0</v>
      </c>
      <c r="W782" s="1768"/>
      <c r="X782" s="880"/>
    </row>
    <row r="783" spans="2:24" ht="16" thickBot="1" x14ac:dyDescent="0.25">
      <c r="B783" s="1660">
        <f>B776+1</f>
        <v>7</v>
      </c>
      <c r="C783" s="786">
        <v>43871</v>
      </c>
      <c r="D783" s="914"/>
      <c r="E783" s="915"/>
      <c r="F783" s="1499"/>
      <c r="G783" s="883"/>
      <c r="H783" s="884" t="str">
        <f>IFERROR(VLOOKUP(F783,#REF!,10,FALSE),"")</f>
        <v/>
      </c>
      <c r="I783" s="885" t="str">
        <f t="shared" si="87"/>
        <v/>
      </c>
      <c r="J783" s="886"/>
      <c r="K783" s="1759"/>
      <c r="L783" s="792"/>
      <c r="M783" s="1595"/>
      <c r="N783" s="887" t="str">
        <f t="shared" si="89"/>
        <v/>
      </c>
      <c r="O783" s="888"/>
      <c r="P783" s="889" t="str">
        <f>IFERROR(VLOOKUP(F783,#REF!,12,FALSE),"")</f>
        <v/>
      </c>
      <c r="Q783" s="32" t="s">
        <v>8</v>
      </c>
      <c r="R783" s="32" t="str">
        <f>IFERROR(VLOOKUP(F783,#REF!,14,FALSE),"")</f>
        <v/>
      </c>
      <c r="S783" s="33" t="str">
        <f t="shared" si="88"/>
        <v/>
      </c>
      <c r="U783" s="1728"/>
      <c r="V783" s="826">
        <f t="shared" si="90"/>
        <v>0</v>
      </c>
      <c r="W783" s="1766"/>
      <c r="X783" s="826"/>
    </row>
    <row r="784" spans="2:24" x14ac:dyDescent="0.2">
      <c r="B784" s="1653" t="s">
        <v>142</v>
      </c>
      <c r="C784" s="863">
        <v>43872</v>
      </c>
      <c r="D784" s="890">
        <v>18</v>
      </c>
      <c r="E784" s="891" t="s">
        <v>293</v>
      </c>
      <c r="F784" s="1497" t="s">
        <v>269</v>
      </c>
      <c r="G784" s="916">
        <v>3.6655092592592593E-2</v>
      </c>
      <c r="H784" s="917">
        <v>10.17</v>
      </c>
      <c r="I784" s="918">
        <f t="shared" si="87"/>
        <v>3.6042372264102843E-3</v>
      </c>
      <c r="J784" s="919">
        <v>140</v>
      </c>
      <c r="K784" s="1759"/>
      <c r="L784" s="1568">
        <v>225</v>
      </c>
      <c r="M784" s="1591"/>
      <c r="N784" s="848">
        <f t="shared" si="89"/>
        <v>1.0457667415136707</v>
      </c>
      <c r="O784" s="920" t="s">
        <v>259</v>
      </c>
      <c r="P784" s="850" t="str">
        <f>IFERROR(VLOOKUP(F784,#REF!,12,FALSE),"")</f>
        <v/>
      </c>
      <c r="Q784" s="851" t="s">
        <v>8</v>
      </c>
      <c r="R784" s="46" t="str">
        <f>IFERROR(VLOOKUP(F784,#REF!,14,FALSE),"")</f>
        <v/>
      </c>
      <c r="S784" s="47">
        <f t="shared" si="88"/>
        <v>1.6071428571428572</v>
      </c>
      <c r="U784" s="1728"/>
      <c r="V784" s="870">
        <f t="shared" si="90"/>
        <v>0</v>
      </c>
      <c r="W784" s="1767"/>
      <c r="X784" s="870"/>
    </row>
    <row r="785" spans="2:24" ht="16" thickBot="1" x14ac:dyDescent="0.25">
      <c r="B785" s="1654">
        <f>SUM(H783:H789)</f>
        <v>39.71</v>
      </c>
      <c r="C785" s="863">
        <v>43873</v>
      </c>
      <c r="D785" s="890"/>
      <c r="E785" s="891"/>
      <c r="F785" s="1497"/>
      <c r="G785" s="916"/>
      <c r="H785" s="917" t="str">
        <f>IFERROR(VLOOKUP(F785,#REF!,10,FALSE),"")</f>
        <v/>
      </c>
      <c r="I785" s="918" t="str">
        <f t="shared" si="87"/>
        <v/>
      </c>
      <c r="J785" s="919"/>
      <c r="K785" s="1759"/>
      <c r="L785" s="1568"/>
      <c r="M785" s="1591"/>
      <c r="N785" s="848" t="str">
        <f t="shared" si="89"/>
        <v/>
      </c>
      <c r="O785" s="920"/>
      <c r="P785" s="850" t="str">
        <f>IFERROR(VLOOKUP(F785,#REF!,12,FALSE),"")</f>
        <v/>
      </c>
      <c r="Q785" s="851" t="s">
        <v>8</v>
      </c>
      <c r="R785" s="46" t="str">
        <f>IFERROR(VLOOKUP(F785,#REF!,14,FALSE),"")</f>
        <v/>
      </c>
      <c r="S785" s="47" t="str">
        <f t="shared" si="88"/>
        <v/>
      </c>
      <c r="U785" s="1728"/>
      <c r="V785" s="870">
        <f t="shared" si="90"/>
        <v>0</v>
      </c>
      <c r="W785" s="1767"/>
      <c r="X785" s="870"/>
    </row>
    <row r="786" spans="2:24" x14ac:dyDescent="0.2">
      <c r="B786" s="1655" t="s">
        <v>144</v>
      </c>
      <c r="C786" s="863">
        <v>43874</v>
      </c>
      <c r="D786" s="890">
        <v>19</v>
      </c>
      <c r="E786" s="891" t="s">
        <v>293</v>
      </c>
      <c r="F786" s="1497" t="s">
        <v>268</v>
      </c>
      <c r="G786" s="916">
        <v>3.0115740740740738E-2</v>
      </c>
      <c r="H786" s="917">
        <v>8.7100000000000009</v>
      </c>
      <c r="I786" s="918">
        <f t="shared" si="87"/>
        <v>3.4576051367096136E-3</v>
      </c>
      <c r="J786" s="919">
        <v>145</v>
      </c>
      <c r="K786" s="1759"/>
      <c r="L786" s="1568">
        <v>237</v>
      </c>
      <c r="M786" s="1591"/>
      <c r="N786" s="848">
        <f t="shared" si="89"/>
        <v>1.0567266994533646</v>
      </c>
      <c r="O786" s="920" t="s">
        <v>259</v>
      </c>
      <c r="P786" s="850" t="str">
        <f>IFERROR(VLOOKUP(F786,#REF!,12,FALSE),"")</f>
        <v/>
      </c>
      <c r="Q786" s="851" t="s">
        <v>8</v>
      </c>
      <c r="R786" s="46" t="str">
        <f>IFERROR(VLOOKUP(F786,#REF!,14,FALSE),"")</f>
        <v/>
      </c>
      <c r="S786" s="47">
        <f t="shared" si="88"/>
        <v>1.6344827586206896</v>
      </c>
      <c r="U786" s="1728"/>
      <c r="V786" s="870">
        <f t="shared" si="90"/>
        <v>0</v>
      </c>
      <c r="W786" s="1767"/>
      <c r="X786" s="870"/>
    </row>
    <row r="787" spans="2:24" ht="16" thickBot="1" x14ac:dyDescent="0.25">
      <c r="B787" s="1656" t="e">
        <f>SUM(#REF!)</f>
        <v>#REF!</v>
      </c>
      <c r="C787" s="863">
        <v>43875</v>
      </c>
      <c r="D787" s="890">
        <v>20</v>
      </c>
      <c r="E787" s="891" t="s">
        <v>293</v>
      </c>
      <c r="F787" s="1497" t="s">
        <v>269</v>
      </c>
      <c r="G787" s="916">
        <v>3.4201388888888885E-2</v>
      </c>
      <c r="H787" s="917">
        <v>9.43</v>
      </c>
      <c r="I787" s="918">
        <f t="shared" si="87"/>
        <v>3.6268705078355127E-3</v>
      </c>
      <c r="J787" s="919">
        <v>137</v>
      </c>
      <c r="K787" s="1759"/>
      <c r="L787" s="1568">
        <v>226</v>
      </c>
      <c r="M787" s="1591"/>
      <c r="N787" s="848">
        <f t="shared" si="89"/>
        <v>1.0570108102119307</v>
      </c>
      <c r="O787" s="920" t="s">
        <v>253</v>
      </c>
      <c r="P787" s="850" t="str">
        <f>IFERROR(VLOOKUP(F787,#REF!,12,FALSE),"")</f>
        <v/>
      </c>
      <c r="Q787" s="851" t="s">
        <v>8</v>
      </c>
      <c r="R787" s="46" t="str">
        <f>IFERROR(VLOOKUP(F787,#REF!,14,FALSE),"")</f>
        <v/>
      </c>
      <c r="S787" s="47">
        <f t="shared" si="88"/>
        <v>1.6496350364963503</v>
      </c>
      <c r="U787" s="1728"/>
      <c r="V787" s="870">
        <f t="shared" si="90"/>
        <v>0</v>
      </c>
      <c r="W787" s="1767"/>
      <c r="X787" s="870"/>
    </row>
    <row r="788" spans="2:24" x14ac:dyDescent="0.2">
      <c r="B788" s="1657" t="s">
        <v>256</v>
      </c>
      <c r="C788" s="863">
        <v>43876</v>
      </c>
      <c r="D788" s="890"/>
      <c r="E788" s="891"/>
      <c r="F788" s="1497"/>
      <c r="G788" s="916"/>
      <c r="H788" s="917" t="str">
        <f>IFERROR(VLOOKUP(F788,#REF!,10,FALSE),"")</f>
        <v/>
      </c>
      <c r="I788" s="918" t="str">
        <f t="shared" si="87"/>
        <v/>
      </c>
      <c r="J788" s="919"/>
      <c r="K788" s="1759"/>
      <c r="L788" s="1568"/>
      <c r="M788" s="1591"/>
      <c r="N788" s="848" t="str">
        <f t="shared" si="89"/>
        <v/>
      </c>
      <c r="O788" s="920"/>
      <c r="P788" s="850" t="str">
        <f>IFERROR(VLOOKUP(F788,#REF!,12,FALSE),"")</f>
        <v/>
      </c>
      <c r="Q788" s="851" t="s">
        <v>8</v>
      </c>
      <c r="R788" s="46" t="str">
        <f>IFERROR(VLOOKUP(F788,#REF!,14,FALSE),"")</f>
        <v/>
      </c>
      <c r="S788" s="47" t="str">
        <f t="shared" si="88"/>
        <v/>
      </c>
      <c r="U788" s="1728"/>
      <c r="V788" s="870">
        <f t="shared" si="90"/>
        <v>0</v>
      </c>
      <c r="W788" s="1767"/>
      <c r="X788" s="870"/>
    </row>
    <row r="789" spans="2:24" ht="16" thickBot="1" x14ac:dyDescent="0.25">
      <c r="B789" s="1658" t="e">
        <f>AVERAGE(#REF!)</f>
        <v>#REF!</v>
      </c>
      <c r="C789" s="207">
        <v>43877</v>
      </c>
      <c r="D789" s="921">
        <v>21</v>
      </c>
      <c r="E789" s="922" t="s">
        <v>293</v>
      </c>
      <c r="F789" s="1498" t="s">
        <v>286</v>
      </c>
      <c r="G789" s="923">
        <v>3.9548611111111111E-2</v>
      </c>
      <c r="H789" s="924">
        <v>11.4</v>
      </c>
      <c r="I789" s="925">
        <f t="shared" si="87"/>
        <v>3.4691764132553605E-3</v>
      </c>
      <c r="J789" s="926">
        <v>149</v>
      </c>
      <c r="K789" s="1759"/>
      <c r="L789" s="1569">
        <v>234</v>
      </c>
      <c r="M789" s="1592"/>
      <c r="N789" s="172">
        <f t="shared" si="89"/>
        <v>1.0468421052631578</v>
      </c>
      <c r="O789" s="927" t="s">
        <v>259</v>
      </c>
      <c r="P789" s="928" t="str">
        <f>IFERROR(VLOOKUP(F789,#REF!,12,FALSE),"")</f>
        <v/>
      </c>
      <c r="Q789" s="929" t="s">
        <v>8</v>
      </c>
      <c r="R789" s="64" t="str">
        <f>IFERROR(VLOOKUP(F789,#REF!,14,FALSE),"")</f>
        <v/>
      </c>
      <c r="S789" s="65">
        <f t="shared" si="88"/>
        <v>1.5704697986577181</v>
      </c>
      <c r="U789" s="1728"/>
      <c r="V789" s="880">
        <f t="shared" si="90"/>
        <v>0</v>
      </c>
      <c r="W789" s="1768"/>
      <c r="X789" s="880"/>
    </row>
    <row r="790" spans="2:24" ht="16" thickBot="1" x14ac:dyDescent="0.25">
      <c r="B790" s="1660">
        <f>B783+1</f>
        <v>8</v>
      </c>
      <c r="C790" s="786">
        <v>43878</v>
      </c>
      <c r="D790" s="225"/>
      <c r="E790" s="337"/>
      <c r="F790" s="1499"/>
      <c r="G790" s="559"/>
      <c r="H790" s="560" t="str">
        <f>IFERROR(VLOOKUP(F790,#REF!,10,FALSE),"")</f>
        <v/>
      </c>
      <c r="I790" s="338" t="str">
        <f t="shared" si="87"/>
        <v/>
      </c>
      <c r="J790" s="270"/>
      <c r="K790" s="1759"/>
      <c r="L790" s="270"/>
      <c r="M790" s="1593"/>
      <c r="N790" s="77" t="str">
        <f t="shared" si="89"/>
        <v/>
      </c>
      <c r="O790" s="561"/>
      <c r="P790" s="224" t="str">
        <f>IFERROR(VLOOKUP(F790,#REF!,12,FALSE),"")</f>
        <v/>
      </c>
      <c r="Q790" s="80" t="s">
        <v>8</v>
      </c>
      <c r="R790" s="80" t="str">
        <f>IFERROR(VLOOKUP(F790,#REF!,14,FALSE),"")</f>
        <v/>
      </c>
      <c r="S790" s="33" t="str">
        <f t="shared" si="88"/>
        <v/>
      </c>
      <c r="U790" s="1728"/>
      <c r="V790" s="826">
        <f t="shared" si="90"/>
        <v>0</v>
      </c>
      <c r="W790" s="1766"/>
      <c r="X790" s="826"/>
    </row>
    <row r="791" spans="2:24" x14ac:dyDescent="0.2">
      <c r="B791" s="1653" t="s">
        <v>142</v>
      </c>
      <c r="C791" s="863">
        <v>43879</v>
      </c>
      <c r="D791" s="890">
        <v>22</v>
      </c>
      <c r="E791" s="891" t="s">
        <v>293</v>
      </c>
      <c r="F791" s="1497" t="s">
        <v>268</v>
      </c>
      <c r="G791" s="866">
        <v>3.1145833333333334E-2</v>
      </c>
      <c r="H791" s="718">
        <v>8.41</v>
      </c>
      <c r="I791" s="781">
        <f t="shared" si="87"/>
        <v>3.7034284581847006E-3</v>
      </c>
      <c r="J791" s="867">
        <v>133</v>
      </c>
      <c r="K791" s="1759"/>
      <c r="L791" s="1568">
        <v>222</v>
      </c>
      <c r="M791" s="1591"/>
      <c r="N791" s="722">
        <f t="shared" si="89"/>
        <v>1.0602197100111808</v>
      </c>
      <c r="O791" s="868" t="s">
        <v>259</v>
      </c>
      <c r="P791" s="654" t="str">
        <f>IFERROR(VLOOKUP(F791,#REF!,12,FALSE),"")</f>
        <v/>
      </c>
      <c r="Q791" s="655" t="s">
        <v>8</v>
      </c>
      <c r="R791" s="46" t="str">
        <f>IFERROR(VLOOKUP(F791,#REF!,14,FALSE),"")</f>
        <v/>
      </c>
      <c r="S791" s="47">
        <f t="shared" si="88"/>
        <v>1.6691729323308271</v>
      </c>
      <c r="U791" s="1728"/>
      <c r="V791" s="870">
        <f t="shared" si="90"/>
        <v>0</v>
      </c>
      <c r="W791" s="1767"/>
      <c r="X791" s="870"/>
    </row>
    <row r="792" spans="2:24" ht="16" thickBot="1" x14ac:dyDescent="0.25">
      <c r="B792" s="1654">
        <f>SUM(H790:H796)</f>
        <v>19.78</v>
      </c>
      <c r="C792" s="863">
        <v>43880</v>
      </c>
      <c r="D792" s="890"/>
      <c r="E792" s="891"/>
      <c r="F792" s="1497"/>
      <c r="G792" s="866"/>
      <c r="H792" s="718" t="str">
        <f>IFERROR(VLOOKUP(F792,#REF!,10,FALSE),"")</f>
        <v/>
      </c>
      <c r="I792" s="781" t="str">
        <f t="shared" si="87"/>
        <v/>
      </c>
      <c r="J792" s="867"/>
      <c r="K792" s="1759"/>
      <c r="L792" s="1568"/>
      <c r="M792" s="1591"/>
      <c r="N792" s="722" t="str">
        <f t="shared" si="89"/>
        <v/>
      </c>
      <c r="O792" s="868"/>
      <c r="P792" s="654" t="str">
        <f>IFERROR(VLOOKUP(F792,#REF!,12,FALSE),"")</f>
        <v/>
      </c>
      <c r="Q792" s="655" t="s">
        <v>8</v>
      </c>
      <c r="R792" s="46" t="str">
        <f>IFERROR(VLOOKUP(F792,#REF!,14,FALSE),"")</f>
        <v/>
      </c>
      <c r="S792" s="47" t="str">
        <f t="shared" si="88"/>
        <v/>
      </c>
      <c r="U792" s="1728"/>
      <c r="V792" s="870">
        <f t="shared" si="90"/>
        <v>0</v>
      </c>
      <c r="W792" s="1767"/>
      <c r="X792" s="870"/>
    </row>
    <row r="793" spans="2:24" x14ac:dyDescent="0.2">
      <c r="B793" s="1655" t="s">
        <v>144</v>
      </c>
      <c r="C793" s="863">
        <v>43881</v>
      </c>
      <c r="D793" s="890"/>
      <c r="E793" s="891"/>
      <c r="F793" s="1497"/>
      <c r="G793" s="866"/>
      <c r="H793" s="718" t="str">
        <f>IFERROR(VLOOKUP(F793,#REF!,10,FALSE),"")</f>
        <v/>
      </c>
      <c r="I793" s="781" t="str">
        <f t="shared" si="87"/>
        <v/>
      </c>
      <c r="J793" s="867"/>
      <c r="K793" s="1759"/>
      <c r="L793" s="1568"/>
      <c r="M793" s="1591"/>
      <c r="N793" s="722" t="str">
        <f t="shared" si="89"/>
        <v/>
      </c>
      <c r="O793" s="868"/>
      <c r="P793" s="654" t="str">
        <f>IFERROR(VLOOKUP(F793,#REF!,12,FALSE),"")</f>
        <v/>
      </c>
      <c r="Q793" s="655" t="s">
        <v>8</v>
      </c>
      <c r="R793" s="46" t="str">
        <f>IFERROR(VLOOKUP(F793,#REF!,14,FALSE),"")</f>
        <v/>
      </c>
      <c r="S793" s="47" t="str">
        <f t="shared" si="88"/>
        <v/>
      </c>
      <c r="U793" s="1728"/>
      <c r="V793" s="870">
        <f t="shared" si="90"/>
        <v>0</v>
      </c>
      <c r="W793" s="1767"/>
      <c r="X793" s="870"/>
    </row>
    <row r="794" spans="2:24" ht="16" thickBot="1" x14ac:dyDescent="0.25">
      <c r="B794" s="1656" t="e">
        <f>SUM(#REF!)</f>
        <v>#REF!</v>
      </c>
      <c r="C794" s="863">
        <v>43882</v>
      </c>
      <c r="D794" s="890"/>
      <c r="E794" s="891"/>
      <c r="F794" s="1497"/>
      <c r="G794" s="866"/>
      <c r="H794" s="718" t="str">
        <f>IFERROR(VLOOKUP(F794,#REF!,10,FALSE),"")</f>
        <v/>
      </c>
      <c r="I794" s="781" t="str">
        <f t="shared" si="87"/>
        <v/>
      </c>
      <c r="J794" s="867"/>
      <c r="K794" s="1759"/>
      <c r="L794" s="1568"/>
      <c r="M794" s="1591"/>
      <c r="N794" s="722" t="str">
        <f t="shared" si="89"/>
        <v/>
      </c>
      <c r="O794" s="868"/>
      <c r="P794" s="654" t="str">
        <f>IFERROR(VLOOKUP(F794,#REF!,12,FALSE),"")</f>
        <v/>
      </c>
      <c r="Q794" s="655" t="s">
        <v>8</v>
      </c>
      <c r="R794" s="46" t="str">
        <f>IFERROR(VLOOKUP(F794,#REF!,14,FALSE),"")</f>
        <v/>
      </c>
      <c r="S794" s="47" t="str">
        <f t="shared" si="88"/>
        <v/>
      </c>
      <c r="U794" s="1728"/>
      <c r="V794" s="870">
        <f t="shared" si="90"/>
        <v>0</v>
      </c>
      <c r="W794" s="1767"/>
      <c r="X794" s="870"/>
    </row>
    <row r="795" spans="2:24" x14ac:dyDescent="0.2">
      <c r="B795" s="1657" t="s">
        <v>256</v>
      </c>
      <c r="C795" s="863">
        <v>43883</v>
      </c>
      <c r="D795" s="890"/>
      <c r="E795" s="891"/>
      <c r="F795" s="1497"/>
      <c r="G795" s="866"/>
      <c r="H795" s="718" t="str">
        <f>IFERROR(VLOOKUP(F795,#REF!,10,FALSE),"")</f>
        <v/>
      </c>
      <c r="I795" s="781" t="str">
        <f t="shared" si="87"/>
        <v/>
      </c>
      <c r="J795" s="867"/>
      <c r="K795" s="1759"/>
      <c r="L795" s="1568"/>
      <c r="M795" s="1591"/>
      <c r="N795" s="722" t="str">
        <f t="shared" si="89"/>
        <v/>
      </c>
      <c r="O795" s="868"/>
      <c r="P795" s="654" t="str">
        <f>IFERROR(VLOOKUP(F795,#REF!,12,FALSE),"")</f>
        <v/>
      </c>
      <c r="Q795" s="655" t="s">
        <v>8</v>
      </c>
      <c r="R795" s="46" t="str">
        <f>IFERROR(VLOOKUP(F795,#REF!,14,FALSE),"")</f>
        <v/>
      </c>
      <c r="S795" s="47" t="str">
        <f t="shared" si="88"/>
        <v/>
      </c>
      <c r="U795" s="1728"/>
      <c r="V795" s="870">
        <f t="shared" si="90"/>
        <v>0</v>
      </c>
      <c r="W795" s="1767"/>
      <c r="X795" s="870"/>
    </row>
    <row r="796" spans="2:24" ht="16" thickBot="1" x14ac:dyDescent="0.25">
      <c r="B796" s="1658" t="e">
        <f>AVERAGE(#REF!)</f>
        <v>#REF!</v>
      </c>
      <c r="C796" s="207">
        <v>43884</v>
      </c>
      <c r="D796" s="853">
        <v>23</v>
      </c>
      <c r="E796" s="907" t="s">
        <v>293</v>
      </c>
      <c r="F796" s="1498" t="s">
        <v>278</v>
      </c>
      <c r="G796" s="908">
        <v>4.2905092592592592E-2</v>
      </c>
      <c r="H796" s="909">
        <v>11.37</v>
      </c>
      <c r="I796" s="910">
        <f t="shared" si="87"/>
        <v>3.7735349685657517E-3</v>
      </c>
      <c r="J796" s="911">
        <v>135</v>
      </c>
      <c r="K796" s="1759"/>
      <c r="L796" s="1570">
        <v>219</v>
      </c>
      <c r="M796" s="1594"/>
      <c r="N796" s="912">
        <f t="shared" si="89"/>
        <v>1.0656913322569213</v>
      </c>
      <c r="O796" s="913" t="s">
        <v>259</v>
      </c>
      <c r="P796" s="879" t="str">
        <f>IFERROR(VLOOKUP(F796,#REF!,12,FALSE),"")</f>
        <v/>
      </c>
      <c r="Q796" s="107" t="s">
        <v>8</v>
      </c>
      <c r="R796" s="107" t="str">
        <f>IFERROR(VLOOKUP(F796,#REF!,14,FALSE),"")</f>
        <v/>
      </c>
      <c r="S796" s="65">
        <f t="shared" si="88"/>
        <v>1.6222222222222222</v>
      </c>
      <c r="U796" s="1728"/>
      <c r="V796" s="880">
        <f t="shared" si="90"/>
        <v>0</v>
      </c>
      <c r="W796" s="1768"/>
      <c r="X796" s="880"/>
    </row>
    <row r="797" spans="2:24" ht="16" thickBot="1" x14ac:dyDescent="0.25">
      <c r="B797" s="1660">
        <f>B790+1</f>
        <v>9</v>
      </c>
      <c r="C797" s="193">
        <v>43885</v>
      </c>
      <c r="D797" s="914"/>
      <c r="E797" s="915"/>
      <c r="F797" s="1499"/>
      <c r="G797" s="883"/>
      <c r="H797" s="884" t="str">
        <f>IFERROR(VLOOKUP(F797,#REF!,10,FALSE),"")</f>
        <v/>
      </c>
      <c r="I797" s="885" t="str">
        <f t="shared" si="87"/>
        <v/>
      </c>
      <c r="J797" s="886"/>
      <c r="K797" s="1759"/>
      <c r="L797" s="792"/>
      <c r="M797" s="1595"/>
      <c r="N797" s="887" t="str">
        <f t="shared" si="89"/>
        <v/>
      </c>
      <c r="O797" s="888"/>
      <c r="P797" s="889" t="str">
        <f>IFERROR(VLOOKUP(F797,#REF!,12,FALSE),"")</f>
        <v/>
      </c>
      <c r="Q797" s="32" t="s">
        <v>8</v>
      </c>
      <c r="R797" s="32" t="str">
        <f>IFERROR(VLOOKUP(F797,#REF!,14,FALSE),"")</f>
        <v/>
      </c>
      <c r="S797" s="33" t="str">
        <f t="shared" si="88"/>
        <v/>
      </c>
      <c r="U797" s="1728"/>
      <c r="V797" s="225">
        <f t="shared" si="90"/>
        <v>0</v>
      </c>
      <c r="W797" s="1766"/>
      <c r="X797" s="225"/>
    </row>
    <row r="798" spans="2:24" x14ac:dyDescent="0.2">
      <c r="B798" s="1653" t="s">
        <v>142</v>
      </c>
      <c r="C798" s="161">
        <v>43886</v>
      </c>
      <c r="D798" s="890"/>
      <c r="E798" s="891"/>
      <c r="F798" s="1500"/>
      <c r="G798" s="916"/>
      <c r="H798" s="917" t="str">
        <f>IFERROR(VLOOKUP(F798,#REF!,10,FALSE),"")</f>
        <v/>
      </c>
      <c r="I798" s="918" t="str">
        <f t="shared" si="87"/>
        <v/>
      </c>
      <c r="J798" s="919"/>
      <c r="K798" s="1759"/>
      <c r="L798" s="1568"/>
      <c r="M798" s="1591"/>
      <c r="N798" s="848" t="str">
        <f t="shared" si="89"/>
        <v/>
      </c>
      <c r="O798" s="920"/>
      <c r="P798" s="850" t="str">
        <f>IFERROR(VLOOKUP(F798,#REF!,12,FALSE),"")</f>
        <v/>
      </c>
      <c r="Q798" s="851" t="s">
        <v>8</v>
      </c>
      <c r="R798" s="46" t="str">
        <f>IFERROR(VLOOKUP(F798,#REF!,14,FALSE),"")</f>
        <v/>
      </c>
      <c r="S798" s="47" t="str">
        <f t="shared" si="88"/>
        <v/>
      </c>
      <c r="U798" s="1728"/>
      <c r="V798" s="48">
        <f t="shared" si="90"/>
        <v>0</v>
      </c>
      <c r="W798" s="1767"/>
      <c r="X798" s="48"/>
    </row>
    <row r="799" spans="2:24" ht="16" thickBot="1" x14ac:dyDescent="0.25">
      <c r="B799" s="1654">
        <f>SUM(H797:H803)</f>
        <v>21.73</v>
      </c>
      <c r="C799" s="161">
        <v>43887</v>
      </c>
      <c r="D799" s="890">
        <v>24</v>
      </c>
      <c r="E799" s="891" t="s">
        <v>293</v>
      </c>
      <c r="F799" s="1500" t="s">
        <v>278</v>
      </c>
      <c r="G799" s="916">
        <v>3.695601851851852E-2</v>
      </c>
      <c r="H799" s="917">
        <v>10.18</v>
      </c>
      <c r="I799" s="918">
        <f t="shared" si="87"/>
        <v>3.630257221858401E-3</v>
      </c>
      <c r="J799" s="919">
        <v>137</v>
      </c>
      <c r="K799" s="1759"/>
      <c r="L799" s="1568">
        <v>225</v>
      </c>
      <c r="M799" s="1591"/>
      <c r="N799" s="848">
        <f t="shared" si="89"/>
        <v>1.0533164237750345</v>
      </c>
      <c r="O799" s="920" t="s">
        <v>259</v>
      </c>
      <c r="P799" s="850" t="str">
        <f>IFERROR(VLOOKUP(F799,#REF!,12,FALSE),"")</f>
        <v/>
      </c>
      <c r="Q799" s="851" t="s">
        <v>8</v>
      </c>
      <c r="R799" s="46" t="str">
        <f>IFERROR(VLOOKUP(F799,#REF!,14,FALSE),"")</f>
        <v/>
      </c>
      <c r="S799" s="47">
        <f t="shared" si="88"/>
        <v>1.6423357664233578</v>
      </c>
      <c r="U799" s="1728"/>
      <c r="V799" s="48">
        <f t="shared" si="90"/>
        <v>0</v>
      </c>
      <c r="W799" s="1767"/>
      <c r="X799" s="48"/>
    </row>
    <row r="800" spans="2:24" x14ac:dyDescent="0.2">
      <c r="B800" s="1655" t="s">
        <v>144</v>
      </c>
      <c r="C800" s="161">
        <v>43888</v>
      </c>
      <c r="D800" s="890"/>
      <c r="E800" s="891"/>
      <c r="F800" s="1500"/>
      <c r="G800" s="916"/>
      <c r="H800" s="917" t="str">
        <f>IFERROR(VLOOKUP(F800,#REF!,10,FALSE),"")</f>
        <v/>
      </c>
      <c r="I800" s="918" t="str">
        <f t="shared" si="87"/>
        <v/>
      </c>
      <c r="J800" s="919"/>
      <c r="K800" s="1759"/>
      <c r="L800" s="1568"/>
      <c r="M800" s="1591"/>
      <c r="N800" s="848" t="str">
        <f t="shared" si="89"/>
        <v/>
      </c>
      <c r="O800" s="920"/>
      <c r="P800" s="850" t="str">
        <f>IFERROR(VLOOKUP(F800,#REF!,12,FALSE),"")</f>
        <v/>
      </c>
      <c r="Q800" s="851" t="s">
        <v>8</v>
      </c>
      <c r="R800" s="46" t="str">
        <f>IFERROR(VLOOKUP(F800,#REF!,14,FALSE),"")</f>
        <v/>
      </c>
      <c r="S800" s="47" t="str">
        <f t="shared" si="88"/>
        <v/>
      </c>
      <c r="U800" s="1728"/>
      <c r="V800" s="48">
        <f t="shared" si="90"/>
        <v>0</v>
      </c>
      <c r="W800" s="1767"/>
      <c r="X800" s="48"/>
    </row>
    <row r="801" spans="2:24" ht="16" thickBot="1" x14ac:dyDescent="0.25">
      <c r="B801" s="1656" t="e">
        <f>SUM(#REF!)</f>
        <v>#REF!</v>
      </c>
      <c r="C801" s="161">
        <v>43889</v>
      </c>
      <c r="D801" s="890"/>
      <c r="E801" s="891"/>
      <c r="F801" s="1500"/>
      <c r="G801" s="916"/>
      <c r="H801" s="917" t="str">
        <f>IFERROR(VLOOKUP(F801,#REF!,10,FALSE),"")</f>
        <v/>
      </c>
      <c r="I801" s="918" t="str">
        <f t="shared" si="87"/>
        <v/>
      </c>
      <c r="J801" s="919"/>
      <c r="K801" s="1759"/>
      <c r="L801" s="1568"/>
      <c r="M801" s="1591"/>
      <c r="N801" s="848" t="str">
        <f t="shared" si="89"/>
        <v/>
      </c>
      <c r="O801" s="920"/>
      <c r="P801" s="850" t="str">
        <f>IFERROR(VLOOKUP(F801,#REF!,12,FALSE),"")</f>
        <v/>
      </c>
      <c r="Q801" s="851" t="s">
        <v>8</v>
      </c>
      <c r="R801" s="46" t="str">
        <f>IFERROR(VLOOKUP(F801,#REF!,14,FALSE),"")</f>
        <v/>
      </c>
      <c r="S801" s="47" t="str">
        <f t="shared" si="88"/>
        <v/>
      </c>
      <c r="U801" s="1728"/>
      <c r="V801" s="48">
        <f t="shared" si="90"/>
        <v>0</v>
      </c>
      <c r="W801" s="1767"/>
      <c r="X801" s="48"/>
    </row>
    <row r="802" spans="2:24" x14ac:dyDescent="0.2">
      <c r="B802" s="1657" t="s">
        <v>256</v>
      </c>
      <c r="C802" s="161">
        <v>43890</v>
      </c>
      <c r="D802" s="890"/>
      <c r="E802" s="891"/>
      <c r="F802" s="1500"/>
      <c r="G802" s="916"/>
      <c r="H802" s="917" t="str">
        <f>IFERROR(VLOOKUP(F802,#REF!,10,FALSE),"")</f>
        <v/>
      </c>
      <c r="I802" s="918" t="str">
        <f t="shared" si="87"/>
        <v/>
      </c>
      <c r="J802" s="919"/>
      <c r="K802" s="1759"/>
      <c r="L802" s="1568"/>
      <c r="M802" s="1591"/>
      <c r="N802" s="848" t="str">
        <f t="shared" si="89"/>
        <v/>
      </c>
      <c r="O802" s="920"/>
      <c r="P802" s="850" t="str">
        <f>IFERROR(VLOOKUP(F802,#REF!,12,FALSE),"")</f>
        <v/>
      </c>
      <c r="Q802" s="851" t="s">
        <v>8</v>
      </c>
      <c r="R802" s="46" t="str">
        <f>IFERROR(VLOOKUP(F802,#REF!,14,FALSE),"")</f>
        <v/>
      </c>
      <c r="S802" s="47" t="str">
        <f t="shared" si="88"/>
        <v/>
      </c>
      <c r="U802" s="1728"/>
      <c r="V802" s="48">
        <f t="shared" si="90"/>
        <v>0</v>
      </c>
      <c r="W802" s="1767"/>
      <c r="X802" s="48"/>
    </row>
    <row r="803" spans="2:24" ht="16" thickBot="1" x14ac:dyDescent="0.25">
      <c r="B803" s="1658" t="e">
        <f>AVERAGE(#REF!)</f>
        <v>#REF!</v>
      </c>
      <c r="C803" s="930">
        <v>43891</v>
      </c>
      <c r="D803" s="921">
        <v>25</v>
      </c>
      <c r="E803" s="922" t="s">
        <v>293</v>
      </c>
      <c r="F803" s="1501" t="s">
        <v>270</v>
      </c>
      <c r="G803" s="923">
        <v>4.6689814814814816E-2</v>
      </c>
      <c r="H803" s="924">
        <v>11.55</v>
      </c>
      <c r="I803" s="925">
        <f t="shared" si="87"/>
        <v>4.0424082090748754E-3</v>
      </c>
      <c r="J803" s="926">
        <v>128</v>
      </c>
      <c r="K803" s="1759"/>
      <c r="L803" s="1569">
        <v>203</v>
      </c>
      <c r="M803" s="1592"/>
      <c r="N803" s="172">
        <f t="shared" si="89"/>
        <v>1.0582180009045681</v>
      </c>
      <c r="O803" s="927" t="s">
        <v>259</v>
      </c>
      <c r="P803" s="928" t="str">
        <f>IFERROR(VLOOKUP(F803,#REF!,12,FALSE),"")</f>
        <v/>
      </c>
      <c r="Q803" s="929" t="s">
        <v>8</v>
      </c>
      <c r="R803" s="64" t="str">
        <f>IFERROR(VLOOKUP(F803,#REF!,14,FALSE),"")</f>
        <v/>
      </c>
      <c r="S803" s="65">
        <f t="shared" si="88"/>
        <v>1.5859375</v>
      </c>
      <c r="U803" s="1728"/>
      <c r="V803" s="814">
        <f t="shared" si="90"/>
        <v>0</v>
      </c>
      <c r="W803" s="1768"/>
      <c r="X803" s="814"/>
    </row>
    <row r="804" spans="2:24" ht="16" thickBot="1" x14ac:dyDescent="0.25">
      <c r="B804" s="1660">
        <f>B797+1</f>
        <v>10</v>
      </c>
      <c r="C804" s="786">
        <v>43892</v>
      </c>
      <c r="D804" s="81"/>
      <c r="E804" s="931"/>
      <c r="F804" s="1499"/>
      <c r="G804" s="559"/>
      <c r="H804" s="560" t="str">
        <f>IFERROR(VLOOKUP(F804,#REF!,10,FALSE),"")</f>
        <v/>
      </c>
      <c r="I804" s="338" t="str">
        <f t="shared" si="87"/>
        <v/>
      </c>
      <c r="J804" s="270"/>
      <c r="K804" s="1759"/>
      <c r="L804" s="270"/>
      <c r="M804" s="1593"/>
      <c r="N804" s="77" t="str">
        <f t="shared" si="89"/>
        <v/>
      </c>
      <c r="O804" s="561"/>
      <c r="P804" s="224" t="str">
        <f>IFERROR(VLOOKUP(F804,#REF!,12,FALSE),"")</f>
        <v/>
      </c>
      <c r="Q804" s="80" t="s">
        <v>8</v>
      </c>
      <c r="R804" s="80" t="str">
        <f>IFERROR(VLOOKUP(F804,#REF!,14,FALSE),"")</f>
        <v/>
      </c>
      <c r="S804" s="33" t="str">
        <f t="shared" si="88"/>
        <v/>
      </c>
      <c r="U804" s="1728"/>
      <c r="V804" s="826">
        <f t="shared" si="90"/>
        <v>0</v>
      </c>
      <c r="W804" s="1766"/>
      <c r="X804" s="826"/>
    </row>
    <row r="805" spans="2:24" x14ac:dyDescent="0.2">
      <c r="B805" s="1653" t="s">
        <v>142</v>
      </c>
      <c r="C805" s="802">
        <v>43893</v>
      </c>
      <c r="D805" s="932"/>
      <c r="E805" s="933"/>
      <c r="F805" s="1497"/>
      <c r="G805" s="934"/>
      <c r="H805" s="718" t="str">
        <f>IFERROR(VLOOKUP(F805,#REF!,10,FALSE),"")</f>
        <v/>
      </c>
      <c r="I805" s="781" t="str">
        <f t="shared" si="87"/>
        <v/>
      </c>
      <c r="J805" s="935"/>
      <c r="K805" s="1759"/>
      <c r="L805" s="1568"/>
      <c r="M805" s="1591"/>
      <c r="N805" s="722" t="str">
        <f t="shared" si="89"/>
        <v/>
      </c>
      <c r="O805" s="936"/>
      <c r="P805" s="654" t="str">
        <f>IFERROR(VLOOKUP(F805,#REF!,12,FALSE),"")</f>
        <v/>
      </c>
      <c r="Q805" s="655" t="s">
        <v>8</v>
      </c>
      <c r="R805" s="46" t="str">
        <f>IFERROR(VLOOKUP(F805,#REF!,14,FALSE),"")</f>
        <v/>
      </c>
      <c r="S805" s="47" t="str">
        <f t="shared" si="88"/>
        <v/>
      </c>
      <c r="U805" s="1728"/>
      <c r="V805" s="815">
        <f t="shared" si="90"/>
        <v>0</v>
      </c>
      <c r="W805" s="1767"/>
      <c r="X805" s="815"/>
    </row>
    <row r="806" spans="2:24" ht="16" thickBot="1" x14ac:dyDescent="0.25">
      <c r="B806" s="1654">
        <f>SUM(H804:H810)</f>
        <v>35.199999999999996</v>
      </c>
      <c r="C806" s="802">
        <v>43894</v>
      </c>
      <c r="D806" s="932">
        <v>26</v>
      </c>
      <c r="E806" s="933" t="s">
        <v>293</v>
      </c>
      <c r="F806" s="1497" t="s">
        <v>278</v>
      </c>
      <c r="G806" s="934">
        <v>4.0462962962962964E-2</v>
      </c>
      <c r="H806" s="718">
        <v>11.11</v>
      </c>
      <c r="I806" s="781">
        <f t="shared" si="87"/>
        <v>3.6420308697536425E-3</v>
      </c>
      <c r="J806" s="935">
        <v>140</v>
      </c>
      <c r="K806" s="1759"/>
      <c r="L806" s="1568">
        <v>226</v>
      </c>
      <c r="M806" s="1591"/>
      <c r="N806" s="722">
        <f t="shared" si="89"/>
        <v>1.0614291279874259</v>
      </c>
      <c r="O806" s="936" t="s">
        <v>259</v>
      </c>
      <c r="P806" s="654" t="str">
        <f>IFERROR(VLOOKUP(F806,#REF!,12,FALSE),"")</f>
        <v/>
      </c>
      <c r="Q806" s="655" t="s">
        <v>8</v>
      </c>
      <c r="R806" s="46" t="str">
        <f>IFERROR(VLOOKUP(F806,#REF!,14,FALSE),"")</f>
        <v/>
      </c>
      <c r="S806" s="47">
        <f t="shared" si="88"/>
        <v>1.6142857142857143</v>
      </c>
      <c r="U806" s="1728"/>
      <c r="V806" s="815">
        <f t="shared" si="90"/>
        <v>0</v>
      </c>
      <c r="W806" s="1767"/>
      <c r="X806" s="815"/>
    </row>
    <row r="807" spans="2:24" x14ac:dyDescent="0.2">
      <c r="B807" s="1655" t="s">
        <v>144</v>
      </c>
      <c r="C807" s="802">
        <v>43895</v>
      </c>
      <c r="D807" s="932"/>
      <c r="E807" s="933"/>
      <c r="F807" s="1497"/>
      <c r="G807" s="934"/>
      <c r="H807" s="718" t="str">
        <f>IFERROR(VLOOKUP(F807,#REF!,10,FALSE),"")</f>
        <v/>
      </c>
      <c r="I807" s="781" t="str">
        <f t="shared" ref="I807:I870" si="91">IFERROR(G807/H807,"")</f>
        <v/>
      </c>
      <c r="J807" s="935"/>
      <c r="K807" s="1759"/>
      <c r="L807" s="1568"/>
      <c r="M807" s="1591"/>
      <c r="N807" s="722" t="str">
        <f t="shared" si="89"/>
        <v/>
      </c>
      <c r="O807" s="936"/>
      <c r="P807" s="654" t="str">
        <f>IFERROR(VLOOKUP(F807,#REF!,12,FALSE),"")</f>
        <v/>
      </c>
      <c r="Q807" s="655" t="s">
        <v>8</v>
      </c>
      <c r="R807" s="46" t="str">
        <f>IFERROR(VLOOKUP(F807,#REF!,14,FALSE),"")</f>
        <v/>
      </c>
      <c r="S807" s="47" t="str">
        <f t="shared" si="88"/>
        <v/>
      </c>
      <c r="U807" s="1728"/>
      <c r="V807" s="815">
        <f t="shared" si="90"/>
        <v>0</v>
      </c>
      <c r="W807" s="1767"/>
      <c r="X807" s="815"/>
    </row>
    <row r="808" spans="2:24" ht="16" thickBot="1" x14ac:dyDescent="0.25">
      <c r="B808" s="1656" t="e">
        <f>SUM(#REF!)</f>
        <v>#REF!</v>
      </c>
      <c r="C808" s="802">
        <v>43896</v>
      </c>
      <c r="D808" s="932">
        <v>27</v>
      </c>
      <c r="E808" s="933" t="s">
        <v>293</v>
      </c>
      <c r="F808" s="1497" t="s">
        <v>269</v>
      </c>
      <c r="G808" s="934">
        <v>3.408564814814815E-2</v>
      </c>
      <c r="H808" s="718">
        <v>9.26</v>
      </c>
      <c r="I808" s="781">
        <f t="shared" si="91"/>
        <v>3.6809555235581158E-3</v>
      </c>
      <c r="J808" s="935">
        <v>141</v>
      </c>
      <c r="K808" s="1759"/>
      <c r="L808" s="1568">
        <v>222</v>
      </c>
      <c r="M808" s="1591"/>
      <c r="N808" s="722">
        <f t="shared" si="89"/>
        <v>1.0537861448696044</v>
      </c>
      <c r="O808" s="936" t="s">
        <v>259</v>
      </c>
      <c r="P808" s="654" t="str">
        <f>IFERROR(VLOOKUP(F808,#REF!,12,FALSE),"")</f>
        <v/>
      </c>
      <c r="Q808" s="655" t="s">
        <v>8</v>
      </c>
      <c r="R808" s="46" t="str">
        <f>IFERROR(VLOOKUP(F808,#REF!,14,FALSE),"")</f>
        <v/>
      </c>
      <c r="S808" s="47">
        <f t="shared" si="88"/>
        <v>1.574468085106383</v>
      </c>
      <c r="U808" s="1728"/>
      <c r="V808" s="815">
        <f t="shared" si="90"/>
        <v>0</v>
      </c>
      <c r="W808" s="1767"/>
      <c r="X808" s="815"/>
    </row>
    <row r="809" spans="2:24" x14ac:dyDescent="0.2">
      <c r="B809" s="1657" t="s">
        <v>256</v>
      </c>
      <c r="C809" s="802">
        <v>43897</v>
      </c>
      <c r="D809" s="932"/>
      <c r="E809" s="933"/>
      <c r="F809" s="1497"/>
      <c r="G809" s="934"/>
      <c r="H809" s="718" t="str">
        <f>IFERROR(VLOOKUP(F809,#REF!,10,FALSE),"")</f>
        <v/>
      </c>
      <c r="I809" s="781" t="str">
        <f t="shared" si="91"/>
        <v/>
      </c>
      <c r="J809" s="935"/>
      <c r="K809" s="1759"/>
      <c r="L809" s="1568"/>
      <c r="M809" s="1591"/>
      <c r="N809" s="722" t="str">
        <f t="shared" si="89"/>
        <v/>
      </c>
      <c r="O809" s="936"/>
      <c r="P809" s="654" t="str">
        <f>IFERROR(VLOOKUP(F809,#REF!,12,FALSE),"")</f>
        <v/>
      </c>
      <c r="Q809" s="655" t="s">
        <v>8</v>
      </c>
      <c r="R809" s="46" t="str">
        <f>IFERROR(VLOOKUP(F809,#REF!,14,FALSE),"")</f>
        <v/>
      </c>
      <c r="S809" s="47" t="str">
        <f t="shared" ref="S809:S872" si="92">IFERROR(L809/J809,"")</f>
        <v/>
      </c>
      <c r="U809" s="1728"/>
      <c r="V809" s="815">
        <f t="shared" si="90"/>
        <v>0</v>
      </c>
      <c r="W809" s="1767"/>
      <c r="X809" s="815"/>
    </row>
    <row r="810" spans="2:24" ht="16" thickBot="1" x14ac:dyDescent="0.25">
      <c r="B810" s="1658" t="e">
        <f>AVERAGE(#REF!)</f>
        <v>#REF!</v>
      </c>
      <c r="C810" s="207">
        <v>43898</v>
      </c>
      <c r="D810" s="937">
        <v>28</v>
      </c>
      <c r="E810" s="938" t="s">
        <v>293</v>
      </c>
      <c r="F810" s="1498" t="s">
        <v>271</v>
      </c>
      <c r="G810" s="939">
        <v>5.4363425925925933E-2</v>
      </c>
      <c r="H810" s="940">
        <v>14.83</v>
      </c>
      <c r="I810" s="941">
        <f t="shared" si="91"/>
        <v>3.6657738318223825E-3</v>
      </c>
      <c r="J810" s="942">
        <v>142</v>
      </c>
      <c r="K810" s="1759"/>
      <c r="L810" s="1570">
        <v>225</v>
      </c>
      <c r="M810" s="1594"/>
      <c r="N810" s="943">
        <f t="shared" si="89"/>
        <v>1.063621541651151</v>
      </c>
      <c r="O810" s="944" t="s">
        <v>253</v>
      </c>
      <c r="P810" s="879" t="str">
        <f>IFERROR(VLOOKUP(F810,#REF!,12,FALSE),"")</f>
        <v/>
      </c>
      <c r="Q810" s="107" t="s">
        <v>8</v>
      </c>
      <c r="R810" s="107" t="str">
        <f>IFERROR(VLOOKUP(F810,#REF!,14,FALSE),"")</f>
        <v/>
      </c>
      <c r="S810" s="65">
        <f t="shared" si="92"/>
        <v>1.5845070422535212</v>
      </c>
      <c r="U810" s="1728"/>
      <c r="V810" s="945">
        <f t="shared" si="90"/>
        <v>0</v>
      </c>
      <c r="W810" s="1768"/>
      <c r="X810" s="945"/>
    </row>
    <row r="811" spans="2:24" ht="16" thickBot="1" x14ac:dyDescent="0.25">
      <c r="B811" s="1660">
        <f>B804+1</f>
        <v>11</v>
      </c>
      <c r="C811" s="786">
        <v>43899</v>
      </c>
      <c r="D811" s="946">
        <v>29</v>
      </c>
      <c r="E811" s="947" t="s">
        <v>293</v>
      </c>
      <c r="F811" s="1499" t="s">
        <v>282</v>
      </c>
      <c r="G811" s="883">
        <v>3.7071759259259256E-2</v>
      </c>
      <c r="H811" s="884">
        <v>9.19</v>
      </c>
      <c r="I811" s="885">
        <f t="shared" si="91"/>
        <v>4.0339237496473624E-3</v>
      </c>
      <c r="J811" s="886">
        <v>132</v>
      </c>
      <c r="K811" s="1759"/>
      <c r="L811" s="792">
        <v>206</v>
      </c>
      <c r="M811" s="1595"/>
      <c r="N811" s="887">
        <f t="shared" si="89"/>
        <v>1.071602812921248</v>
      </c>
      <c r="O811" s="888" t="s">
        <v>253</v>
      </c>
      <c r="P811" s="889" t="str">
        <f>IFERROR(VLOOKUP(F811,#REF!,12,FALSE),"")</f>
        <v/>
      </c>
      <c r="Q811" s="32" t="s">
        <v>8</v>
      </c>
      <c r="R811" s="32" t="str">
        <f>IFERROR(VLOOKUP(F811,#REF!,14,FALSE),"")</f>
        <v/>
      </c>
      <c r="S811" s="33">
        <f t="shared" si="92"/>
        <v>1.5606060606060606</v>
      </c>
      <c r="U811" s="1728"/>
      <c r="V811" s="826">
        <f t="shared" si="90"/>
        <v>0</v>
      </c>
      <c r="W811" s="1766"/>
      <c r="X811" s="826"/>
    </row>
    <row r="812" spans="2:24" x14ac:dyDescent="0.2">
      <c r="B812" s="1653" t="s">
        <v>142</v>
      </c>
      <c r="C812" s="802">
        <v>43900</v>
      </c>
      <c r="D812" s="948"/>
      <c r="E812" s="949"/>
      <c r="F812" s="1497"/>
      <c r="G812" s="950"/>
      <c r="H812" s="951" t="str">
        <f>IFERROR(VLOOKUP(F812,#REF!,10,FALSE),"")</f>
        <v/>
      </c>
      <c r="I812" s="952" t="str">
        <f t="shared" si="91"/>
        <v/>
      </c>
      <c r="J812" s="953"/>
      <c r="K812" s="1759"/>
      <c r="L812" s="1568"/>
      <c r="M812" s="1591"/>
      <c r="N812" s="954" t="str">
        <f t="shared" si="89"/>
        <v/>
      </c>
      <c r="O812" s="955"/>
      <c r="P812" s="850" t="str">
        <f>IFERROR(VLOOKUP(F812,#REF!,12,FALSE),"")</f>
        <v/>
      </c>
      <c r="Q812" s="851" t="s">
        <v>8</v>
      </c>
      <c r="R812" s="46" t="str">
        <f>IFERROR(VLOOKUP(F812,#REF!,14,FALSE),"")</f>
        <v/>
      </c>
      <c r="S812" s="47" t="str">
        <f t="shared" si="92"/>
        <v/>
      </c>
      <c r="U812" s="1728"/>
      <c r="V812" s="815">
        <f t="shared" si="90"/>
        <v>0</v>
      </c>
      <c r="W812" s="1767"/>
      <c r="X812" s="815"/>
    </row>
    <row r="813" spans="2:24" ht="16" thickBot="1" x14ac:dyDescent="0.25">
      <c r="B813" s="1654">
        <f>SUM(H811:H817)</f>
        <v>42.069999999999993</v>
      </c>
      <c r="C813" s="802">
        <v>43901</v>
      </c>
      <c r="D813" s="948">
        <v>30</v>
      </c>
      <c r="E813" s="949" t="s">
        <v>293</v>
      </c>
      <c r="F813" s="1497" t="s">
        <v>285</v>
      </c>
      <c r="G813" s="950">
        <v>3.2685185185185185E-2</v>
      </c>
      <c r="H813" s="951">
        <v>9.2899999999999991</v>
      </c>
      <c r="I813" s="952">
        <f t="shared" si="91"/>
        <v>3.5183191803213336E-3</v>
      </c>
      <c r="J813" s="953">
        <v>139</v>
      </c>
      <c r="K813" s="1759"/>
      <c r="L813" s="1568">
        <v>230</v>
      </c>
      <c r="M813" s="1591"/>
      <c r="N813" s="954">
        <f t="shared" si="89"/>
        <v>1.0435229664379932</v>
      </c>
      <c r="O813" s="955" t="s">
        <v>280</v>
      </c>
      <c r="P813" s="850" t="str">
        <f>IFERROR(VLOOKUP(F813,#REF!,12,FALSE),"")</f>
        <v/>
      </c>
      <c r="Q813" s="851" t="s">
        <v>8</v>
      </c>
      <c r="R813" s="46" t="str">
        <f>IFERROR(VLOOKUP(F813,#REF!,14,FALSE),"")</f>
        <v/>
      </c>
      <c r="S813" s="47">
        <f t="shared" si="92"/>
        <v>1.6546762589928057</v>
      </c>
      <c r="U813" s="1728"/>
      <c r="V813" s="815">
        <f t="shared" si="90"/>
        <v>0</v>
      </c>
      <c r="W813" s="1767"/>
      <c r="X813" s="815"/>
    </row>
    <row r="814" spans="2:24" x14ac:dyDescent="0.2">
      <c r="B814" s="1655" t="s">
        <v>144</v>
      </c>
      <c r="C814" s="802">
        <v>43902</v>
      </c>
      <c r="D814" s="948"/>
      <c r="E814" s="949"/>
      <c r="F814" s="1497"/>
      <c r="G814" s="950"/>
      <c r="H814" s="951" t="str">
        <f>IFERROR(VLOOKUP(F814,#REF!,10,FALSE),"")</f>
        <v/>
      </c>
      <c r="I814" s="952" t="str">
        <f t="shared" si="91"/>
        <v/>
      </c>
      <c r="J814" s="953"/>
      <c r="K814" s="1759"/>
      <c r="L814" s="1568"/>
      <c r="M814" s="1591"/>
      <c r="N814" s="954" t="str">
        <f t="shared" ref="N814:N877" si="93">IFERROR((L814/67)/(1/(I814*24)/3.6),"")</f>
        <v/>
      </c>
      <c r="O814" s="955"/>
      <c r="P814" s="850" t="str">
        <f>IFERROR(VLOOKUP(F814,#REF!,12,FALSE),"")</f>
        <v/>
      </c>
      <c r="Q814" s="851" t="s">
        <v>8</v>
      </c>
      <c r="R814" s="46" t="str">
        <f>IFERROR(VLOOKUP(F814,#REF!,14,FALSE),"")</f>
        <v/>
      </c>
      <c r="S814" s="47" t="str">
        <f t="shared" si="92"/>
        <v/>
      </c>
      <c r="U814" s="1728"/>
      <c r="V814" s="815">
        <f t="shared" si="90"/>
        <v>0</v>
      </c>
      <c r="W814" s="1767"/>
      <c r="X814" s="815"/>
    </row>
    <row r="815" spans="2:24" ht="16" thickBot="1" x14ac:dyDescent="0.25">
      <c r="B815" s="1656" t="e">
        <f>SUM(#REF!)</f>
        <v>#REF!</v>
      </c>
      <c r="C815" s="802">
        <v>43903</v>
      </c>
      <c r="D815" s="948">
        <v>31</v>
      </c>
      <c r="E815" s="949" t="s">
        <v>292</v>
      </c>
      <c r="F815" s="1497" t="s">
        <v>284</v>
      </c>
      <c r="G815" s="950">
        <v>3.0671296296296294E-2</v>
      </c>
      <c r="H815" s="951">
        <v>8.65</v>
      </c>
      <c r="I815" s="952">
        <f t="shared" si="91"/>
        <v>3.5458146007278949E-3</v>
      </c>
      <c r="J815" s="953">
        <v>142</v>
      </c>
      <c r="K815" s="1759"/>
      <c r="L815" s="1568">
        <v>228</v>
      </c>
      <c r="M815" s="1591"/>
      <c r="N815" s="954">
        <f t="shared" si="93"/>
        <v>1.0425329997411783</v>
      </c>
      <c r="O815" s="955" t="s">
        <v>280</v>
      </c>
      <c r="P815" s="850" t="str">
        <f>IFERROR(VLOOKUP(F815,#REF!,12,FALSE),"")</f>
        <v/>
      </c>
      <c r="Q815" s="851" t="s">
        <v>8</v>
      </c>
      <c r="R815" s="46" t="str">
        <f>IFERROR(VLOOKUP(F815,#REF!,14,FALSE),"")</f>
        <v/>
      </c>
      <c r="S815" s="47">
        <f t="shared" si="92"/>
        <v>1.6056338028169015</v>
      </c>
      <c r="U815" s="1728"/>
      <c r="V815" s="815">
        <f t="shared" si="90"/>
        <v>0</v>
      </c>
      <c r="W815" s="1767"/>
      <c r="X815" s="815"/>
    </row>
    <row r="816" spans="2:24" x14ac:dyDescent="0.2">
      <c r="B816" s="1657" t="s">
        <v>256</v>
      </c>
      <c r="C816" s="802">
        <v>43904</v>
      </c>
      <c r="D816" s="948"/>
      <c r="E816" s="949"/>
      <c r="F816" s="1497"/>
      <c r="G816" s="950"/>
      <c r="H816" s="951"/>
      <c r="I816" s="952" t="str">
        <f t="shared" si="91"/>
        <v/>
      </c>
      <c r="J816" s="953"/>
      <c r="K816" s="1759"/>
      <c r="L816" s="1568"/>
      <c r="M816" s="1591"/>
      <c r="N816" s="954" t="str">
        <f t="shared" si="93"/>
        <v/>
      </c>
      <c r="O816" s="955"/>
      <c r="P816" s="850" t="str">
        <f>IFERROR(VLOOKUP(F816,#REF!,12,FALSE),"")</f>
        <v/>
      </c>
      <c r="Q816" s="851" t="s">
        <v>8</v>
      </c>
      <c r="R816" s="46" t="str">
        <f>IFERROR(VLOOKUP(F816,#REF!,14,FALSE),"")</f>
        <v/>
      </c>
      <c r="S816" s="47" t="str">
        <f t="shared" si="92"/>
        <v/>
      </c>
      <c r="U816" s="1728"/>
      <c r="V816" s="815">
        <f t="shared" si="90"/>
        <v>0</v>
      </c>
      <c r="W816" s="1767"/>
      <c r="X816" s="815"/>
    </row>
    <row r="817" spans="2:24" ht="16" thickBot="1" x14ac:dyDescent="0.25">
      <c r="B817" s="1658" t="e">
        <f>AVERAGE(#REF!)</f>
        <v>#REF!</v>
      </c>
      <c r="C817" s="956">
        <v>43905</v>
      </c>
      <c r="D817" s="957">
        <v>32</v>
      </c>
      <c r="E817" s="958" t="s">
        <v>292</v>
      </c>
      <c r="F817" s="1498" t="s">
        <v>271</v>
      </c>
      <c r="G817" s="959">
        <v>5.5682870370370369E-2</v>
      </c>
      <c r="H817" s="960">
        <v>14.94</v>
      </c>
      <c r="I817" s="961">
        <f t="shared" si="91"/>
        <v>3.7270997570529028E-3</v>
      </c>
      <c r="J817" s="962">
        <v>141</v>
      </c>
      <c r="K817" s="1759"/>
      <c r="L817" s="1569">
        <v>217.7</v>
      </c>
      <c r="M817" s="1592"/>
      <c r="N817" s="172">
        <f t="shared" si="93"/>
        <v>1.0463292972886571</v>
      </c>
      <c r="O817" s="963" t="s">
        <v>253</v>
      </c>
      <c r="P817" s="964" t="str">
        <f>IFERROR(VLOOKUP(F817,#REF!,12,FALSE),"")</f>
        <v/>
      </c>
      <c r="Q817" s="965" t="s">
        <v>8</v>
      </c>
      <c r="R817" s="64" t="str">
        <f>IFERROR(VLOOKUP(F817,#REF!,14,FALSE),"")</f>
        <v/>
      </c>
      <c r="S817" s="65">
        <f t="shared" si="92"/>
        <v>1.5439716312056737</v>
      </c>
      <c r="U817" s="1728"/>
      <c r="V817" s="945">
        <f t="shared" si="90"/>
        <v>0</v>
      </c>
      <c r="W817" s="1768"/>
      <c r="X817" s="945"/>
    </row>
    <row r="818" spans="2:24" ht="16" thickBot="1" x14ac:dyDescent="0.25">
      <c r="B818" s="1660">
        <f>B811+1</f>
        <v>12</v>
      </c>
      <c r="C818" s="786">
        <v>43906</v>
      </c>
      <c r="D818" s="225"/>
      <c r="E818" s="337"/>
      <c r="F818" s="1499"/>
      <c r="G818" s="559"/>
      <c r="H818" s="560" t="str">
        <f>IFERROR(VLOOKUP(F818,#REF!,10,FALSE),"")</f>
        <v/>
      </c>
      <c r="I818" s="338" t="str">
        <f t="shared" si="91"/>
        <v/>
      </c>
      <c r="J818" s="270"/>
      <c r="K818" s="1759"/>
      <c r="L818" s="270"/>
      <c r="M818" s="1593"/>
      <c r="N818" s="77" t="str">
        <f t="shared" si="93"/>
        <v/>
      </c>
      <c r="O818" s="561"/>
      <c r="P818" s="224" t="str">
        <f>IFERROR(VLOOKUP(F818,#REF!,12,FALSE),"")</f>
        <v/>
      </c>
      <c r="Q818" s="80" t="s">
        <v>8</v>
      </c>
      <c r="R818" s="80" t="str">
        <f>IFERROR(VLOOKUP(F818,#REF!,14,FALSE),"")</f>
        <v/>
      </c>
      <c r="S818" s="33" t="str">
        <f t="shared" si="92"/>
        <v/>
      </c>
      <c r="U818" s="1728"/>
      <c r="V818" s="826">
        <f t="shared" si="90"/>
        <v>0</v>
      </c>
      <c r="W818" s="1766"/>
      <c r="X818" s="826"/>
    </row>
    <row r="819" spans="2:24" x14ac:dyDescent="0.2">
      <c r="B819" s="1653" t="s">
        <v>142</v>
      </c>
      <c r="C819" s="802">
        <v>43907</v>
      </c>
      <c r="D819" s="948">
        <v>33</v>
      </c>
      <c r="E819" s="949" t="s">
        <v>293</v>
      </c>
      <c r="F819" s="1497" t="s">
        <v>290</v>
      </c>
      <c r="G819" s="805">
        <v>3.3287037037037039E-2</v>
      </c>
      <c r="H819" s="718">
        <v>10.09</v>
      </c>
      <c r="I819" s="781">
        <f t="shared" si="91"/>
        <v>3.2990125903901921E-3</v>
      </c>
      <c r="J819" s="808">
        <v>148</v>
      </c>
      <c r="K819" s="1759"/>
      <c r="L819" s="1568">
        <v>242</v>
      </c>
      <c r="M819" s="1591"/>
      <c r="N819" s="722">
        <f t="shared" si="93"/>
        <v>1.0295282753723949</v>
      </c>
      <c r="O819" s="810" t="s">
        <v>280</v>
      </c>
      <c r="P819" s="654" t="str">
        <f>IFERROR(VLOOKUP(F819,#REF!,12,FALSE),"")</f>
        <v/>
      </c>
      <c r="Q819" s="655" t="s">
        <v>8</v>
      </c>
      <c r="R819" s="46" t="str">
        <f>IFERROR(VLOOKUP(F819,#REF!,14,FALSE),"")</f>
        <v/>
      </c>
      <c r="S819" s="47">
        <f t="shared" si="92"/>
        <v>1.6351351351351351</v>
      </c>
      <c r="U819" s="1728"/>
      <c r="V819" s="815">
        <f t="shared" si="90"/>
        <v>0</v>
      </c>
      <c r="W819" s="1767"/>
      <c r="X819" s="815"/>
    </row>
    <row r="820" spans="2:24" ht="16" thickBot="1" x14ac:dyDescent="0.25">
      <c r="B820" s="1654">
        <f>SUM(H818:H824)</f>
        <v>43.18</v>
      </c>
      <c r="C820" s="802">
        <v>43908</v>
      </c>
      <c r="D820" s="948"/>
      <c r="E820" s="949"/>
      <c r="F820" s="1497"/>
      <c r="G820" s="805"/>
      <c r="H820" s="718" t="str">
        <f>IFERROR(VLOOKUP(F820,#REF!,10,FALSE),"")</f>
        <v/>
      </c>
      <c r="I820" s="781" t="str">
        <f t="shared" si="91"/>
        <v/>
      </c>
      <c r="J820" s="808"/>
      <c r="K820" s="1759"/>
      <c r="L820" s="1568"/>
      <c r="M820" s="1591"/>
      <c r="N820" s="722" t="str">
        <f t="shared" si="93"/>
        <v/>
      </c>
      <c r="O820" s="810"/>
      <c r="P820" s="654" t="str">
        <f>IFERROR(VLOOKUP(F820,#REF!,12,FALSE),"")</f>
        <v/>
      </c>
      <c r="Q820" s="655" t="s">
        <v>8</v>
      </c>
      <c r="R820" s="46" t="str">
        <f>IFERROR(VLOOKUP(F820,#REF!,14,FALSE),"")</f>
        <v/>
      </c>
      <c r="S820" s="47" t="str">
        <f t="shared" si="92"/>
        <v/>
      </c>
      <c r="U820" s="1728"/>
      <c r="V820" s="815">
        <f t="shared" si="90"/>
        <v>0</v>
      </c>
      <c r="W820" s="1767"/>
      <c r="X820" s="815"/>
    </row>
    <row r="821" spans="2:24" x14ac:dyDescent="0.2">
      <c r="B821" s="1655" t="s">
        <v>144</v>
      </c>
      <c r="C821" s="802">
        <v>43909</v>
      </c>
      <c r="D821" s="948">
        <v>34</v>
      </c>
      <c r="E821" s="949" t="s">
        <v>292</v>
      </c>
      <c r="F821" s="1497" t="s">
        <v>285</v>
      </c>
      <c r="G821" s="805">
        <v>3.498842592592593E-2</v>
      </c>
      <c r="H821" s="718">
        <v>9.35</v>
      </c>
      <c r="I821" s="781">
        <f t="shared" si="91"/>
        <v>3.7420776391364633E-3</v>
      </c>
      <c r="J821" s="808">
        <v>145</v>
      </c>
      <c r="K821" s="1759"/>
      <c r="L821" s="1568">
        <v>217</v>
      </c>
      <c r="M821" s="1591"/>
      <c r="N821" s="722">
        <f t="shared" si="93"/>
        <v>1.0471561976215182</v>
      </c>
      <c r="O821" s="810" t="s">
        <v>259</v>
      </c>
      <c r="P821" s="654" t="str">
        <f>IFERROR(VLOOKUP(F821,#REF!,12,FALSE),"")</f>
        <v/>
      </c>
      <c r="Q821" s="655" t="s">
        <v>8</v>
      </c>
      <c r="R821" s="46" t="str">
        <f>IFERROR(VLOOKUP(F821,#REF!,14,FALSE),"")</f>
        <v/>
      </c>
      <c r="S821" s="47">
        <f t="shared" si="92"/>
        <v>1.4965517241379311</v>
      </c>
      <c r="U821" s="1728"/>
      <c r="V821" s="815">
        <f t="shared" si="90"/>
        <v>0</v>
      </c>
      <c r="W821" s="1767"/>
      <c r="X821" s="815"/>
    </row>
    <row r="822" spans="2:24" ht="16" thickBot="1" x14ac:dyDescent="0.25">
      <c r="B822" s="1656" t="e">
        <f>SUM(#REF!)</f>
        <v>#REF!</v>
      </c>
      <c r="C822" s="802">
        <v>43910</v>
      </c>
      <c r="D822" s="948">
        <v>35</v>
      </c>
      <c r="E822" s="949" t="s">
        <v>292</v>
      </c>
      <c r="F822" s="1497" t="s">
        <v>282</v>
      </c>
      <c r="G822" s="805">
        <v>3.1354166666666662E-2</v>
      </c>
      <c r="H822" s="718">
        <v>7.96</v>
      </c>
      <c r="I822" s="781">
        <f t="shared" si="91"/>
        <v>3.9389656616415402E-3</v>
      </c>
      <c r="J822" s="808">
        <v>134</v>
      </c>
      <c r="K822" s="1759"/>
      <c r="L822" s="1568">
        <v>207.6</v>
      </c>
      <c r="M822" s="1591"/>
      <c r="N822" s="722">
        <f t="shared" si="93"/>
        <v>1.0545046126153153</v>
      </c>
      <c r="O822" s="810" t="s">
        <v>259</v>
      </c>
      <c r="P822" s="654" t="str">
        <f>IFERROR(VLOOKUP(F822,#REF!,12,FALSE),"")</f>
        <v/>
      </c>
      <c r="Q822" s="655" t="s">
        <v>8</v>
      </c>
      <c r="R822" s="46" t="str">
        <f>IFERROR(VLOOKUP(F822,#REF!,14,FALSE),"")</f>
        <v/>
      </c>
      <c r="S822" s="47">
        <f t="shared" si="92"/>
        <v>1.5492537313432835</v>
      </c>
      <c r="U822" s="1728"/>
      <c r="V822" s="815">
        <f t="shared" si="90"/>
        <v>0</v>
      </c>
      <c r="W822" s="1767"/>
      <c r="X822" s="815"/>
    </row>
    <row r="823" spans="2:24" x14ac:dyDescent="0.2">
      <c r="B823" s="1657" t="s">
        <v>256</v>
      </c>
      <c r="C823" s="802">
        <v>43911</v>
      </c>
      <c r="D823" s="948"/>
      <c r="E823" s="949"/>
      <c r="F823" s="1497"/>
      <c r="G823" s="805"/>
      <c r="H823" s="718" t="str">
        <f>IFERROR(VLOOKUP(F823,#REF!,10,FALSE),"")</f>
        <v/>
      </c>
      <c r="I823" s="781" t="str">
        <f t="shared" si="91"/>
        <v/>
      </c>
      <c r="J823" s="808"/>
      <c r="K823" s="1759"/>
      <c r="L823" s="1568"/>
      <c r="M823" s="1591"/>
      <c r="N823" s="722" t="str">
        <f t="shared" si="93"/>
        <v/>
      </c>
      <c r="O823" s="810"/>
      <c r="P823" s="654" t="str">
        <f>IFERROR(VLOOKUP(F823,#REF!,12,FALSE),"")</f>
        <v/>
      </c>
      <c r="Q823" s="655" t="s">
        <v>8</v>
      </c>
      <c r="R823" s="46" t="str">
        <f>IFERROR(VLOOKUP(F823,#REF!,14,FALSE),"")</f>
        <v/>
      </c>
      <c r="S823" s="47" t="str">
        <f t="shared" si="92"/>
        <v/>
      </c>
      <c r="U823" s="1728"/>
      <c r="V823" s="815">
        <f t="shared" si="90"/>
        <v>0</v>
      </c>
      <c r="W823" s="1767"/>
      <c r="X823" s="815"/>
    </row>
    <row r="824" spans="2:24" ht="16" thickBot="1" x14ac:dyDescent="0.25">
      <c r="B824" s="1658" t="e">
        <f>AVERAGE(#REF!)</f>
        <v>#REF!</v>
      </c>
      <c r="C824" s="956">
        <v>43912</v>
      </c>
      <c r="D824" s="853">
        <v>36</v>
      </c>
      <c r="E824" s="907" t="s">
        <v>292</v>
      </c>
      <c r="F824" s="1498" t="s">
        <v>272</v>
      </c>
      <c r="G824" s="939">
        <v>5.8854166666666673E-2</v>
      </c>
      <c r="H824" s="940">
        <v>15.78</v>
      </c>
      <c r="I824" s="941">
        <f t="shared" si="91"/>
        <v>3.7296683565694977E-3</v>
      </c>
      <c r="J824" s="942">
        <v>140</v>
      </c>
      <c r="K824" s="1759"/>
      <c r="L824" s="1570">
        <v>218.7</v>
      </c>
      <c r="M824" s="1594"/>
      <c r="N824" s="943">
        <f t="shared" si="93"/>
        <v>1.051859996594972</v>
      </c>
      <c r="O824" s="944" t="s">
        <v>253</v>
      </c>
      <c r="P824" s="879" t="str">
        <f>IFERROR(VLOOKUP(F824,#REF!,12,FALSE),"")</f>
        <v/>
      </c>
      <c r="Q824" s="107" t="s">
        <v>8</v>
      </c>
      <c r="R824" s="107" t="str">
        <f>IFERROR(VLOOKUP(F824,#REF!,14,FALSE),"")</f>
        <v/>
      </c>
      <c r="S824" s="65">
        <f t="shared" si="92"/>
        <v>1.5621428571428571</v>
      </c>
      <c r="U824" s="1728"/>
      <c r="V824" s="945">
        <f t="shared" si="90"/>
        <v>0</v>
      </c>
      <c r="W824" s="1768"/>
      <c r="X824" s="945"/>
    </row>
    <row r="825" spans="2:24" ht="16" thickBot="1" x14ac:dyDescent="0.25">
      <c r="B825" s="1660">
        <f>B818+1</f>
        <v>13</v>
      </c>
      <c r="C825" s="786">
        <v>43913</v>
      </c>
      <c r="D825" s="914"/>
      <c r="E825" s="915"/>
      <c r="F825" s="1499"/>
      <c r="G825" s="883"/>
      <c r="H825" s="884" t="str">
        <f>IFERROR(VLOOKUP(F825,#REF!,10,FALSE),"")</f>
        <v/>
      </c>
      <c r="I825" s="885" t="str">
        <f t="shared" si="91"/>
        <v/>
      </c>
      <c r="J825" s="886"/>
      <c r="K825" s="1759"/>
      <c r="L825" s="792"/>
      <c r="M825" s="1595"/>
      <c r="N825" s="887" t="str">
        <f t="shared" si="93"/>
        <v/>
      </c>
      <c r="O825" s="888"/>
      <c r="P825" s="889" t="str">
        <f>IFERROR(VLOOKUP(F825,#REF!,12,FALSE),"")</f>
        <v/>
      </c>
      <c r="Q825" s="32" t="s">
        <v>8</v>
      </c>
      <c r="R825" s="32" t="str">
        <f>IFERROR(VLOOKUP(F825,#REF!,14,FALSE),"")</f>
        <v/>
      </c>
      <c r="S825" s="33" t="str">
        <f t="shared" si="92"/>
        <v/>
      </c>
      <c r="U825" s="1728"/>
      <c r="V825" s="826">
        <f t="shared" si="90"/>
        <v>0</v>
      </c>
      <c r="W825" s="1766"/>
      <c r="X825" s="826"/>
    </row>
    <row r="826" spans="2:24" x14ac:dyDescent="0.2">
      <c r="B826" s="1653" t="s">
        <v>142</v>
      </c>
      <c r="C826" s="802">
        <v>43914</v>
      </c>
      <c r="D826" s="948">
        <v>37</v>
      </c>
      <c r="E826" s="949" t="s">
        <v>292</v>
      </c>
      <c r="F826" s="1497" t="s">
        <v>285</v>
      </c>
      <c r="G826" s="950">
        <v>3.4004629629629628E-2</v>
      </c>
      <c r="H826" s="951">
        <v>9.33</v>
      </c>
      <c r="I826" s="952">
        <f t="shared" si="91"/>
        <v>3.6446548370449761E-3</v>
      </c>
      <c r="J826" s="953">
        <v>137</v>
      </c>
      <c r="K826" s="1759"/>
      <c r="L826" s="1568">
        <v>222.1</v>
      </c>
      <c r="M826" s="1591"/>
      <c r="N826" s="954">
        <f t="shared" si="93"/>
        <v>1.0438639599430501</v>
      </c>
      <c r="O826" s="955" t="s">
        <v>259</v>
      </c>
      <c r="P826" s="850" t="str">
        <f>IFERROR(VLOOKUP(F826,#REF!,12,FALSE),"")</f>
        <v/>
      </c>
      <c r="Q826" s="851" t="s">
        <v>8</v>
      </c>
      <c r="R826" s="46" t="str">
        <f>IFERROR(VLOOKUP(F826,#REF!,14,FALSE),"")</f>
        <v/>
      </c>
      <c r="S826" s="47">
        <f t="shared" si="92"/>
        <v>1.6211678832116787</v>
      </c>
      <c r="U826" s="1728"/>
      <c r="V826" s="815">
        <f t="shared" ref="V826:V889" si="94">U825-T825</f>
        <v>0</v>
      </c>
      <c r="W826" s="1767"/>
      <c r="X826" s="815"/>
    </row>
    <row r="827" spans="2:24" ht="16" thickBot="1" x14ac:dyDescent="0.25">
      <c r="B827" s="1654">
        <f>SUM(H825:H831)</f>
        <v>49.27</v>
      </c>
      <c r="C827" s="802">
        <v>43915</v>
      </c>
      <c r="D827" s="948"/>
      <c r="E827" s="949"/>
      <c r="F827" s="1497"/>
      <c r="G827" s="950"/>
      <c r="H827" s="951" t="str">
        <f>IFERROR(VLOOKUP(F827,#REF!,10,FALSE),"")</f>
        <v/>
      </c>
      <c r="I827" s="952" t="str">
        <f t="shared" si="91"/>
        <v/>
      </c>
      <c r="J827" s="953"/>
      <c r="K827" s="1759"/>
      <c r="L827" s="1568"/>
      <c r="M827" s="1591"/>
      <c r="N827" s="954" t="str">
        <f t="shared" si="93"/>
        <v/>
      </c>
      <c r="O827" s="955"/>
      <c r="P827" s="850" t="str">
        <f>IFERROR(VLOOKUP(F827,#REF!,12,FALSE),"")</f>
        <v/>
      </c>
      <c r="Q827" s="851" t="s">
        <v>8</v>
      </c>
      <c r="R827" s="46" t="str">
        <f>IFERROR(VLOOKUP(F827,#REF!,14,FALSE),"")</f>
        <v/>
      </c>
      <c r="S827" s="47" t="str">
        <f t="shared" si="92"/>
        <v/>
      </c>
      <c r="U827" s="1728"/>
      <c r="V827" s="815">
        <f t="shared" si="94"/>
        <v>0</v>
      </c>
      <c r="W827" s="1767"/>
      <c r="X827" s="815"/>
    </row>
    <row r="828" spans="2:24" x14ac:dyDescent="0.2">
      <c r="B828" s="1655" t="s">
        <v>144</v>
      </c>
      <c r="C828" s="802">
        <v>43916</v>
      </c>
      <c r="D828" s="948">
        <v>38</v>
      </c>
      <c r="E828" s="949" t="s">
        <v>293</v>
      </c>
      <c r="F828" s="1497" t="s">
        <v>286</v>
      </c>
      <c r="G828" s="950">
        <v>2.8576388888888887E-2</v>
      </c>
      <c r="H828" s="951">
        <v>8.84</v>
      </c>
      <c r="I828" s="952">
        <f t="shared" si="91"/>
        <v>3.2326231774761184E-3</v>
      </c>
      <c r="J828" s="953">
        <v>151</v>
      </c>
      <c r="K828" s="1759"/>
      <c r="L828" s="1568">
        <v>249.2</v>
      </c>
      <c r="M828" s="1591"/>
      <c r="N828" s="954">
        <f t="shared" si="93"/>
        <v>1.0388242047680152</v>
      </c>
      <c r="O828" s="955" t="s">
        <v>280</v>
      </c>
      <c r="P828" s="850" t="str">
        <f>IFERROR(VLOOKUP(F828,#REF!,12,FALSE),"")</f>
        <v/>
      </c>
      <c r="Q828" s="851" t="s">
        <v>8</v>
      </c>
      <c r="R828" s="46" t="str">
        <f>IFERROR(VLOOKUP(F828,#REF!,14,FALSE),"")</f>
        <v/>
      </c>
      <c r="S828" s="47">
        <f t="shared" si="92"/>
        <v>1.6503311258278146</v>
      </c>
      <c r="U828" s="1728"/>
      <c r="V828" s="815">
        <f t="shared" si="94"/>
        <v>0</v>
      </c>
      <c r="W828" s="1767"/>
      <c r="X828" s="815"/>
    </row>
    <row r="829" spans="2:24" ht="16" thickBot="1" x14ac:dyDescent="0.25">
      <c r="B829" s="1656" t="e">
        <f>SUM(#REF!)</f>
        <v>#REF!</v>
      </c>
      <c r="C829" s="802">
        <v>43917</v>
      </c>
      <c r="D829" s="948">
        <v>39</v>
      </c>
      <c r="E829" s="949" t="s">
        <v>292</v>
      </c>
      <c r="F829" s="1497" t="s">
        <v>282</v>
      </c>
      <c r="G829" s="950">
        <v>3.5428240740740739E-2</v>
      </c>
      <c r="H829" s="951">
        <v>9.16</v>
      </c>
      <c r="I829" s="952">
        <f t="shared" si="91"/>
        <v>3.867711871259906E-3</v>
      </c>
      <c r="J829" s="953">
        <v>135</v>
      </c>
      <c r="K829" s="1759"/>
      <c r="L829" s="1568">
        <v>211.4</v>
      </c>
      <c r="M829" s="1591"/>
      <c r="N829" s="954">
        <f t="shared" si="93"/>
        <v>1.0543821286580199</v>
      </c>
      <c r="O829" s="955" t="s">
        <v>259</v>
      </c>
      <c r="P829" s="850" t="str">
        <f>IFERROR(VLOOKUP(F829,#REF!,12,FALSE),"")</f>
        <v/>
      </c>
      <c r="Q829" s="851" t="s">
        <v>8</v>
      </c>
      <c r="R829" s="46" t="str">
        <f>IFERROR(VLOOKUP(F829,#REF!,14,FALSE),"")</f>
        <v/>
      </c>
      <c r="S829" s="47">
        <f t="shared" si="92"/>
        <v>1.5659259259259259</v>
      </c>
      <c r="U829" s="1728"/>
      <c r="V829" s="815">
        <f t="shared" si="94"/>
        <v>0</v>
      </c>
      <c r="W829" s="1767"/>
      <c r="X829" s="815"/>
    </row>
    <row r="830" spans="2:24" x14ac:dyDescent="0.2">
      <c r="B830" s="1657" t="s">
        <v>256</v>
      </c>
      <c r="C830" s="802">
        <v>43918</v>
      </c>
      <c r="D830" s="966">
        <v>40</v>
      </c>
      <c r="E830" s="967" t="s">
        <v>292</v>
      </c>
      <c r="F830" s="1497" t="s">
        <v>269</v>
      </c>
      <c r="G830" s="950">
        <v>3.876157407407408E-2</v>
      </c>
      <c r="H830" s="951">
        <v>10.37</v>
      </c>
      <c r="I830" s="952">
        <f t="shared" si="91"/>
        <v>3.7378567091681855E-3</v>
      </c>
      <c r="J830" s="953">
        <v>136</v>
      </c>
      <c r="K830" s="1759"/>
      <c r="L830" s="1568">
        <v>217.9</v>
      </c>
      <c r="M830" s="1591"/>
      <c r="N830" s="954">
        <f t="shared" si="93"/>
        <v>1.0503131881575734</v>
      </c>
      <c r="O830" s="955" t="s">
        <v>259</v>
      </c>
      <c r="P830" s="850" t="str">
        <f>IFERROR(VLOOKUP(F830,#REF!,12,FALSE),"")</f>
        <v/>
      </c>
      <c r="Q830" s="851" t="s">
        <v>8</v>
      </c>
      <c r="R830" s="46" t="str">
        <f>IFERROR(VLOOKUP(F830,#REF!,14,FALSE),"")</f>
        <v/>
      </c>
      <c r="S830" s="47">
        <f t="shared" si="92"/>
        <v>1.6022058823529413</v>
      </c>
      <c r="U830" s="1728"/>
      <c r="V830" s="815">
        <f t="shared" si="94"/>
        <v>0</v>
      </c>
      <c r="W830" s="1767"/>
      <c r="X830" s="815"/>
    </row>
    <row r="831" spans="2:24" ht="16" thickBot="1" x14ac:dyDescent="0.25">
      <c r="B831" s="1658" t="e">
        <f>AVERAGE(#REF!)</f>
        <v>#REF!</v>
      </c>
      <c r="C831" s="956">
        <v>43919</v>
      </c>
      <c r="D831" s="899">
        <v>41</v>
      </c>
      <c r="E831" s="900" t="s">
        <v>292</v>
      </c>
      <c r="F831" s="1498" t="s">
        <v>269</v>
      </c>
      <c r="G831" s="959">
        <v>4.2905092592592592E-2</v>
      </c>
      <c r="H831" s="960">
        <v>11.57</v>
      </c>
      <c r="I831" s="961">
        <f t="shared" si="91"/>
        <v>3.7083053234738626E-3</v>
      </c>
      <c r="J831" s="962">
        <v>138</v>
      </c>
      <c r="K831" s="1759"/>
      <c r="L831" s="1569">
        <v>219.5</v>
      </c>
      <c r="M831" s="1592"/>
      <c r="N831" s="172">
        <f t="shared" si="93"/>
        <v>1.0496607283375687</v>
      </c>
      <c r="O831" s="963" t="s">
        <v>253</v>
      </c>
      <c r="P831" s="964" t="str">
        <f>IFERROR(VLOOKUP(F831,#REF!,12,FALSE),"")</f>
        <v/>
      </c>
      <c r="Q831" s="965" t="s">
        <v>8</v>
      </c>
      <c r="R831" s="64" t="str">
        <f>IFERROR(VLOOKUP(F831,#REF!,14,FALSE),"")</f>
        <v/>
      </c>
      <c r="S831" s="65">
        <f t="shared" si="92"/>
        <v>1.5905797101449275</v>
      </c>
      <c r="U831" s="1728"/>
      <c r="V831" s="945">
        <f t="shared" si="94"/>
        <v>0</v>
      </c>
      <c r="W831" s="1768"/>
      <c r="X831" s="945"/>
    </row>
    <row r="832" spans="2:24" ht="16" thickBot="1" x14ac:dyDescent="0.25">
      <c r="B832" s="1660">
        <f>B825+1</f>
        <v>14</v>
      </c>
      <c r="C832" s="786">
        <v>43920</v>
      </c>
      <c r="D832" s="225"/>
      <c r="E832" s="337"/>
      <c r="F832" s="1499"/>
      <c r="G832" s="420"/>
      <c r="H832" s="671" t="str">
        <f>IFERROR(VLOOKUP(F832,#REF!,10,FALSE),"")</f>
        <v/>
      </c>
      <c r="I832" s="338" t="str">
        <f t="shared" si="91"/>
        <v/>
      </c>
      <c r="J832" s="76"/>
      <c r="K832" s="1759"/>
      <c r="L832" s="76"/>
      <c r="M832" s="1587"/>
      <c r="N832" s="77" t="str">
        <f t="shared" si="93"/>
        <v/>
      </c>
      <c r="O832" s="672"/>
      <c r="P832" s="224" t="str">
        <f>IFERROR(VLOOKUP(F832,#REF!,12,FALSE),"")</f>
        <v/>
      </c>
      <c r="Q832" s="80" t="s">
        <v>8</v>
      </c>
      <c r="R832" s="80" t="str">
        <f>IFERROR(VLOOKUP(F832,#REF!,14,FALSE),"")</f>
        <v/>
      </c>
      <c r="S832" s="33" t="str">
        <f t="shared" si="92"/>
        <v/>
      </c>
      <c r="U832" s="1728"/>
      <c r="V832" s="826">
        <f t="shared" si="94"/>
        <v>0</v>
      </c>
      <c r="W832" s="1766"/>
      <c r="X832" s="826"/>
    </row>
    <row r="833" spans="2:24" x14ac:dyDescent="0.2">
      <c r="B833" s="1653" t="s">
        <v>142</v>
      </c>
      <c r="C833" s="802">
        <v>43921</v>
      </c>
      <c r="D833" s="968"/>
      <c r="E833" s="969"/>
      <c r="F833" s="1497"/>
      <c r="G833" s="970"/>
      <c r="H833" s="971" t="str">
        <f>IFERROR(VLOOKUP(F833,#REF!,10,FALSE),"")</f>
        <v/>
      </c>
      <c r="I833" s="781" t="str">
        <f t="shared" si="91"/>
        <v/>
      </c>
      <c r="J833" s="972"/>
      <c r="K833" s="1759"/>
      <c r="L833" s="1563"/>
      <c r="M833" s="1585"/>
      <c r="N833" s="722" t="str">
        <f t="shared" si="93"/>
        <v/>
      </c>
      <c r="O833" s="973"/>
      <c r="P833" s="654" t="str">
        <f>IFERROR(VLOOKUP(F833,#REF!,12,FALSE),"")</f>
        <v/>
      </c>
      <c r="Q833" s="655" t="s">
        <v>8</v>
      </c>
      <c r="R833" s="46" t="str">
        <f>IFERROR(VLOOKUP(F833,#REF!,14,FALSE),"")</f>
        <v/>
      </c>
      <c r="S833" s="47" t="str">
        <f t="shared" si="92"/>
        <v/>
      </c>
      <c r="U833" s="1728"/>
      <c r="V833" s="815">
        <f t="shared" si="94"/>
        <v>0</v>
      </c>
      <c r="W833" s="1767"/>
      <c r="X833" s="815"/>
    </row>
    <row r="834" spans="2:24" ht="16" thickBot="1" x14ac:dyDescent="0.25">
      <c r="B834" s="1654">
        <f>SUM(H832:H838)</f>
        <v>33.950000000000003</v>
      </c>
      <c r="C834" s="802">
        <v>43922</v>
      </c>
      <c r="D834" s="968">
        <v>42</v>
      </c>
      <c r="E834" s="969" t="s">
        <v>292</v>
      </c>
      <c r="F834" s="1497" t="s">
        <v>285</v>
      </c>
      <c r="G834" s="970">
        <v>3.5335648148148151E-2</v>
      </c>
      <c r="H834" s="971">
        <v>9.64</v>
      </c>
      <c r="I834" s="781">
        <f t="shared" si="91"/>
        <v>3.6655236668203472E-3</v>
      </c>
      <c r="J834" s="972">
        <v>142</v>
      </c>
      <c r="K834" s="1759"/>
      <c r="L834" s="1563">
        <v>222</v>
      </c>
      <c r="M834" s="1585"/>
      <c r="N834" s="722">
        <f t="shared" si="93"/>
        <v>1.0493683037096673</v>
      </c>
      <c r="O834" s="973" t="s">
        <v>259</v>
      </c>
      <c r="P834" s="654" t="str">
        <f>IFERROR(VLOOKUP(F834,#REF!,12,FALSE),"")</f>
        <v/>
      </c>
      <c r="Q834" s="655" t="s">
        <v>8</v>
      </c>
      <c r="R834" s="46" t="str">
        <f>IFERROR(VLOOKUP(F834,#REF!,14,FALSE),"")</f>
        <v/>
      </c>
      <c r="S834" s="47">
        <f t="shared" si="92"/>
        <v>1.5633802816901408</v>
      </c>
      <c r="U834" s="1728"/>
      <c r="V834" s="815">
        <f t="shared" si="94"/>
        <v>0</v>
      </c>
      <c r="W834" s="1767"/>
      <c r="X834" s="815"/>
    </row>
    <row r="835" spans="2:24" x14ac:dyDescent="0.2">
      <c r="B835" s="1655" t="s">
        <v>144</v>
      </c>
      <c r="C835" s="802">
        <v>43923</v>
      </c>
      <c r="D835" s="968"/>
      <c r="E835" s="969"/>
      <c r="F835" s="1497"/>
      <c r="G835" s="805"/>
      <c r="H835" s="718" t="str">
        <f>IFERROR(VLOOKUP(F835,#REF!,10,FALSE),"")</f>
        <v/>
      </c>
      <c r="I835" s="781" t="str">
        <f t="shared" si="91"/>
        <v/>
      </c>
      <c r="J835" s="808"/>
      <c r="K835" s="1759"/>
      <c r="L835" s="1568"/>
      <c r="M835" s="1591"/>
      <c r="N835" s="722" t="str">
        <f t="shared" si="93"/>
        <v/>
      </c>
      <c r="O835" s="810"/>
      <c r="P835" s="654" t="str">
        <f>IFERROR(VLOOKUP(F835,#REF!,12,FALSE),"")</f>
        <v/>
      </c>
      <c r="Q835" s="655" t="s">
        <v>8</v>
      </c>
      <c r="R835" s="46" t="str">
        <f>IFERROR(VLOOKUP(F835,#REF!,14,FALSE),"")</f>
        <v/>
      </c>
      <c r="S835" s="47" t="str">
        <f t="shared" si="92"/>
        <v/>
      </c>
      <c r="U835" s="1728"/>
      <c r="V835" s="815">
        <f t="shared" si="94"/>
        <v>0</v>
      </c>
      <c r="W835" s="1767"/>
      <c r="X835" s="815"/>
    </row>
    <row r="836" spans="2:24" ht="16" thickBot="1" x14ac:dyDescent="0.25">
      <c r="B836" s="1656" t="e">
        <f>SUM(#REF!)</f>
        <v>#REF!</v>
      </c>
      <c r="C836" s="802">
        <v>43924</v>
      </c>
      <c r="D836" s="968">
        <v>43</v>
      </c>
      <c r="E836" s="969" t="s">
        <v>293</v>
      </c>
      <c r="F836" s="1497" t="s">
        <v>285</v>
      </c>
      <c r="G836" s="805">
        <v>3.4305555555555554E-2</v>
      </c>
      <c r="H836" s="718">
        <v>9.7100000000000009</v>
      </c>
      <c r="I836" s="781">
        <f t="shared" si="91"/>
        <v>3.5330129305412516E-3</v>
      </c>
      <c r="J836" s="808">
        <v>141</v>
      </c>
      <c r="K836" s="1759"/>
      <c r="L836" s="1568">
        <v>231.3</v>
      </c>
      <c r="M836" s="1591"/>
      <c r="N836" s="722">
        <f t="shared" si="93"/>
        <v>1.0538038950458828</v>
      </c>
      <c r="O836" s="810" t="s">
        <v>259</v>
      </c>
      <c r="P836" s="654" t="str">
        <f>IFERROR(VLOOKUP(F836,#REF!,12,FALSE),"")</f>
        <v/>
      </c>
      <c r="Q836" s="655" t="s">
        <v>8</v>
      </c>
      <c r="R836" s="46" t="str">
        <f>IFERROR(VLOOKUP(F836,#REF!,14,FALSE),"")</f>
        <v/>
      </c>
      <c r="S836" s="47">
        <f t="shared" si="92"/>
        <v>1.6404255319148937</v>
      </c>
      <c r="U836" s="1728"/>
      <c r="V836" s="815">
        <f t="shared" si="94"/>
        <v>0</v>
      </c>
      <c r="W836" s="1767"/>
      <c r="X836" s="815"/>
    </row>
    <row r="837" spans="2:24" x14ac:dyDescent="0.2">
      <c r="B837" s="1657" t="s">
        <v>256</v>
      </c>
      <c r="C837" s="802">
        <v>43925</v>
      </c>
      <c r="D837" s="968"/>
      <c r="E837" s="969"/>
      <c r="F837" s="1497"/>
      <c r="G837" s="805"/>
      <c r="H837" s="718" t="str">
        <f>IFERROR(VLOOKUP(F837,#REF!,10,FALSE),"")</f>
        <v/>
      </c>
      <c r="I837" s="781" t="str">
        <f t="shared" si="91"/>
        <v/>
      </c>
      <c r="J837" s="808"/>
      <c r="K837" s="1759"/>
      <c r="L837" s="1568"/>
      <c r="M837" s="1591"/>
      <c r="N837" s="722" t="str">
        <f t="shared" si="93"/>
        <v/>
      </c>
      <c r="O837" s="810"/>
      <c r="P837" s="654" t="str">
        <f>IFERROR(VLOOKUP(F837,#REF!,12,FALSE),"")</f>
        <v/>
      </c>
      <c r="Q837" s="655" t="s">
        <v>8</v>
      </c>
      <c r="R837" s="46" t="str">
        <f>IFERROR(VLOOKUP(F837,#REF!,14,FALSE),"")</f>
        <v/>
      </c>
      <c r="S837" s="47" t="str">
        <f t="shared" si="92"/>
        <v/>
      </c>
      <c r="U837" s="1728"/>
      <c r="V837" s="815">
        <f t="shared" si="94"/>
        <v>0</v>
      </c>
      <c r="W837" s="1767"/>
      <c r="X837" s="815"/>
    </row>
    <row r="838" spans="2:24" ht="16" thickBot="1" x14ac:dyDescent="0.25">
      <c r="B838" s="1658" t="e">
        <f>AVERAGE(#REF!)</f>
        <v>#REF!</v>
      </c>
      <c r="C838" s="956">
        <v>43926</v>
      </c>
      <c r="D838" s="974">
        <v>44</v>
      </c>
      <c r="E838" s="975" t="s">
        <v>292</v>
      </c>
      <c r="F838" s="1498" t="s">
        <v>271</v>
      </c>
      <c r="G838" s="939">
        <v>5.4201388888888889E-2</v>
      </c>
      <c r="H838" s="940">
        <v>14.6</v>
      </c>
      <c r="I838" s="941">
        <f t="shared" si="91"/>
        <v>3.7124238964992393E-3</v>
      </c>
      <c r="J838" s="942">
        <v>136</v>
      </c>
      <c r="K838" s="1759"/>
      <c r="L838" s="1570">
        <v>219</v>
      </c>
      <c r="M838" s="1594"/>
      <c r="N838" s="943">
        <f t="shared" si="93"/>
        <v>1.0484328358208956</v>
      </c>
      <c r="O838" s="944" t="s">
        <v>253</v>
      </c>
      <c r="P838" s="879" t="str">
        <f>IFERROR(VLOOKUP(F838,#REF!,12,FALSE),"")</f>
        <v/>
      </c>
      <c r="Q838" s="107" t="s">
        <v>8</v>
      </c>
      <c r="R838" s="107" t="str">
        <f>IFERROR(VLOOKUP(F838,#REF!,14,FALSE),"")</f>
        <v/>
      </c>
      <c r="S838" s="65">
        <f t="shared" si="92"/>
        <v>1.6102941176470589</v>
      </c>
      <c r="U838" s="1728"/>
      <c r="V838" s="945">
        <f t="shared" si="94"/>
        <v>0</v>
      </c>
      <c r="W838" s="1768"/>
      <c r="X838" s="945"/>
    </row>
    <row r="839" spans="2:24" ht="16" thickBot="1" x14ac:dyDescent="0.25">
      <c r="B839" s="1660">
        <f>B832+1</f>
        <v>15</v>
      </c>
      <c r="C839" s="786">
        <v>43927</v>
      </c>
      <c r="D839" s="914"/>
      <c r="E839" s="915"/>
      <c r="F839" s="1499"/>
      <c r="G839" s="883"/>
      <c r="H839" s="976" t="str">
        <f>IFERROR(VLOOKUP(F839,#REF!,10,FALSE),"")</f>
        <v/>
      </c>
      <c r="I839" s="885" t="str">
        <f t="shared" si="91"/>
        <v/>
      </c>
      <c r="J839" s="886"/>
      <c r="K839" s="1759"/>
      <c r="L839" s="792"/>
      <c r="M839" s="1595"/>
      <c r="N839" s="887" t="str">
        <f t="shared" si="93"/>
        <v/>
      </c>
      <c r="O839" s="888"/>
      <c r="P839" s="889" t="str">
        <f>IFERROR(VLOOKUP(F839,#REF!,12,FALSE),"")</f>
        <v/>
      </c>
      <c r="Q839" s="32" t="s">
        <v>8</v>
      </c>
      <c r="R839" s="32" t="str">
        <f>IFERROR(VLOOKUP(F839,#REF!,14,FALSE),"")</f>
        <v/>
      </c>
      <c r="S839" s="33" t="str">
        <f t="shared" si="92"/>
        <v/>
      </c>
      <c r="U839" s="1728"/>
      <c r="V839" s="826">
        <f t="shared" si="94"/>
        <v>0</v>
      </c>
      <c r="W839" s="1766"/>
      <c r="X839" s="826"/>
    </row>
    <row r="840" spans="2:24" x14ac:dyDescent="0.2">
      <c r="B840" s="1653" t="s">
        <v>142</v>
      </c>
      <c r="C840" s="802">
        <v>43928</v>
      </c>
      <c r="D840" s="977">
        <v>45</v>
      </c>
      <c r="E840" s="978" t="s">
        <v>292</v>
      </c>
      <c r="F840" s="1497" t="s">
        <v>285</v>
      </c>
      <c r="G840" s="950">
        <v>3.5995370370370372E-2</v>
      </c>
      <c r="H840" s="979">
        <v>9.6999999999999993</v>
      </c>
      <c r="I840" s="952">
        <f t="shared" si="91"/>
        <v>3.7108629247804511E-3</v>
      </c>
      <c r="J840" s="953"/>
      <c r="K840" s="1759"/>
      <c r="L840" s="1568">
        <v>218</v>
      </c>
      <c r="M840" s="1591"/>
      <c r="N840" s="954">
        <f t="shared" si="93"/>
        <v>1.0432066471764891</v>
      </c>
      <c r="O840" s="955" t="s">
        <v>259</v>
      </c>
      <c r="P840" s="850" t="str">
        <f>IFERROR(VLOOKUP(F840,#REF!,12,FALSE),"")</f>
        <v/>
      </c>
      <c r="Q840" s="851" t="s">
        <v>8</v>
      </c>
      <c r="R840" s="46" t="str">
        <f>IFERROR(VLOOKUP(F840,#REF!,14,FALSE),"")</f>
        <v/>
      </c>
      <c r="S840" s="47" t="str">
        <f t="shared" si="92"/>
        <v/>
      </c>
      <c r="U840" s="1728"/>
      <c r="V840" s="815">
        <f t="shared" si="94"/>
        <v>0</v>
      </c>
      <c r="W840" s="1767"/>
      <c r="X840" s="815"/>
    </row>
    <row r="841" spans="2:24" ht="16" thickBot="1" x14ac:dyDescent="0.25">
      <c r="B841" s="1654">
        <f>SUM(H839:H845)</f>
        <v>45.7</v>
      </c>
      <c r="C841" s="802">
        <v>43929</v>
      </c>
      <c r="D841" s="977"/>
      <c r="E841" s="978"/>
      <c r="F841" s="1497"/>
      <c r="G841" s="950"/>
      <c r="H841" s="979" t="str">
        <f>IFERROR(VLOOKUP(F841,#REF!,10,FALSE),"")</f>
        <v/>
      </c>
      <c r="I841" s="952" t="str">
        <f t="shared" si="91"/>
        <v/>
      </c>
      <c r="J841" s="953"/>
      <c r="K841" s="1759"/>
      <c r="L841" s="1568"/>
      <c r="M841" s="1591"/>
      <c r="N841" s="954" t="str">
        <f t="shared" si="93"/>
        <v/>
      </c>
      <c r="O841" s="955"/>
      <c r="P841" s="850" t="str">
        <f>IFERROR(VLOOKUP(F841,#REF!,12,FALSE),"")</f>
        <v/>
      </c>
      <c r="Q841" s="851" t="s">
        <v>8</v>
      </c>
      <c r="R841" s="46" t="str">
        <f>IFERROR(VLOOKUP(F841,#REF!,14,FALSE),"")</f>
        <v/>
      </c>
      <c r="S841" s="47" t="str">
        <f t="shared" si="92"/>
        <v/>
      </c>
      <c r="U841" s="1728"/>
      <c r="V841" s="815">
        <f t="shared" si="94"/>
        <v>0</v>
      </c>
      <c r="W841" s="1767"/>
      <c r="X841" s="815"/>
    </row>
    <row r="842" spans="2:24" x14ac:dyDescent="0.2">
      <c r="B842" s="1655" t="s">
        <v>144</v>
      </c>
      <c r="C842" s="802">
        <v>43930</v>
      </c>
      <c r="D842" s="977">
        <v>46</v>
      </c>
      <c r="E842" s="978" t="s">
        <v>293</v>
      </c>
      <c r="F842" s="1497" t="s">
        <v>286</v>
      </c>
      <c r="G842" s="950">
        <v>3.0706018518518521E-2</v>
      </c>
      <c r="H842" s="979">
        <v>9.73</v>
      </c>
      <c r="I842" s="952">
        <f t="shared" si="91"/>
        <v>3.1558086863842259E-3</v>
      </c>
      <c r="J842" s="953">
        <v>156</v>
      </c>
      <c r="K842" s="1759"/>
      <c r="L842" s="1568">
        <v>253.6</v>
      </c>
      <c r="M842" s="1591"/>
      <c r="N842" s="954">
        <f t="shared" si="93"/>
        <v>1.032045527756899</v>
      </c>
      <c r="O842" s="955" t="s">
        <v>280</v>
      </c>
      <c r="P842" s="850" t="str">
        <f>IFERROR(VLOOKUP(F842,#REF!,12,FALSE),"")</f>
        <v/>
      </c>
      <c r="Q842" s="851" t="s">
        <v>8</v>
      </c>
      <c r="R842" s="46" t="str">
        <f>IFERROR(VLOOKUP(F842,#REF!,14,FALSE),"")</f>
        <v/>
      </c>
      <c r="S842" s="47">
        <f t="shared" si="92"/>
        <v>1.6256410256410256</v>
      </c>
      <c r="U842" s="1728"/>
      <c r="V842" s="815">
        <f t="shared" si="94"/>
        <v>0</v>
      </c>
      <c r="W842" s="1767"/>
      <c r="X842" s="815"/>
    </row>
    <row r="843" spans="2:24" ht="16" thickBot="1" x14ac:dyDescent="0.25">
      <c r="B843" s="1656" t="e">
        <f>SUM(#REF!)</f>
        <v>#REF!</v>
      </c>
      <c r="C843" s="802">
        <v>43931</v>
      </c>
      <c r="D843" s="977">
        <v>47</v>
      </c>
      <c r="E843" s="978" t="s">
        <v>292</v>
      </c>
      <c r="F843" s="1497" t="s">
        <v>285</v>
      </c>
      <c r="G843" s="950">
        <v>3.6284722222222225E-2</v>
      </c>
      <c r="H843" s="979">
        <v>9.56</v>
      </c>
      <c r="I843" s="952">
        <f t="shared" si="91"/>
        <v>3.7954730357973037E-3</v>
      </c>
      <c r="J843" s="953">
        <v>141</v>
      </c>
      <c r="K843" s="1759"/>
      <c r="L843" s="1568">
        <v>216</v>
      </c>
      <c r="M843" s="1591"/>
      <c r="N843" s="954">
        <f t="shared" si="93"/>
        <v>1.0572035221382627</v>
      </c>
      <c r="O843" s="955" t="s">
        <v>259</v>
      </c>
      <c r="P843" s="850" t="str">
        <f>IFERROR(VLOOKUP(F843,#REF!,12,FALSE),"")</f>
        <v/>
      </c>
      <c r="Q843" s="851" t="s">
        <v>8</v>
      </c>
      <c r="R843" s="46" t="str">
        <f>IFERROR(VLOOKUP(F843,#REF!,14,FALSE),"")</f>
        <v/>
      </c>
      <c r="S843" s="47">
        <f t="shared" si="92"/>
        <v>1.5319148936170213</v>
      </c>
      <c r="U843" s="1728"/>
      <c r="V843" s="815">
        <f t="shared" si="94"/>
        <v>0</v>
      </c>
      <c r="W843" s="1767"/>
      <c r="X843" s="815"/>
    </row>
    <row r="844" spans="2:24" x14ac:dyDescent="0.2">
      <c r="B844" s="1657" t="s">
        <v>256</v>
      </c>
      <c r="C844" s="802">
        <v>43932</v>
      </c>
      <c r="D844" s="977"/>
      <c r="E844" s="978"/>
      <c r="F844" s="1497"/>
      <c r="G844" s="950"/>
      <c r="H844" s="979" t="str">
        <f>IFERROR(VLOOKUP(F844,#REF!,10,FALSE),"")</f>
        <v/>
      </c>
      <c r="I844" s="952" t="str">
        <f t="shared" si="91"/>
        <v/>
      </c>
      <c r="J844" s="953"/>
      <c r="K844" s="1759"/>
      <c r="L844" s="1568"/>
      <c r="M844" s="1591"/>
      <c r="N844" s="954" t="str">
        <f t="shared" si="93"/>
        <v/>
      </c>
      <c r="O844" s="955"/>
      <c r="P844" s="850" t="str">
        <f>IFERROR(VLOOKUP(F844,#REF!,12,FALSE),"")</f>
        <v/>
      </c>
      <c r="Q844" s="851" t="s">
        <v>8</v>
      </c>
      <c r="R844" s="46" t="str">
        <f>IFERROR(VLOOKUP(F844,#REF!,14,FALSE),"")</f>
        <v/>
      </c>
      <c r="S844" s="47" t="str">
        <f t="shared" si="92"/>
        <v/>
      </c>
      <c r="U844" s="1728"/>
      <c r="V844" s="815">
        <f t="shared" si="94"/>
        <v>0</v>
      </c>
      <c r="W844" s="1767"/>
      <c r="X844" s="815"/>
    </row>
    <row r="845" spans="2:24" ht="16" thickBot="1" x14ac:dyDescent="0.25">
      <c r="B845" s="1658" t="e">
        <f>AVERAGE(#REF!)</f>
        <v>#REF!</v>
      </c>
      <c r="C845" s="956">
        <v>43933</v>
      </c>
      <c r="D845" s="980">
        <v>48</v>
      </c>
      <c r="E845" s="981" t="s">
        <v>292</v>
      </c>
      <c r="F845" s="1498" t="s">
        <v>273</v>
      </c>
      <c r="G845" s="959">
        <v>6.3495370370370369E-2</v>
      </c>
      <c r="H845" s="982">
        <v>16.71</v>
      </c>
      <c r="I845" s="961">
        <f t="shared" si="91"/>
        <v>3.7998426313806321E-3</v>
      </c>
      <c r="J845" s="962">
        <v>140</v>
      </c>
      <c r="K845" s="1759"/>
      <c r="L845" s="1569">
        <v>214</v>
      </c>
      <c r="M845" s="1592"/>
      <c r="N845" s="172">
        <f t="shared" si="93"/>
        <v>1.0486204524951541</v>
      </c>
      <c r="O845" s="963" t="s">
        <v>253</v>
      </c>
      <c r="P845" s="964" t="str">
        <f>IFERROR(VLOOKUP(F845,#REF!,12,FALSE),"")</f>
        <v/>
      </c>
      <c r="Q845" s="965" t="s">
        <v>8</v>
      </c>
      <c r="R845" s="64" t="str">
        <f>IFERROR(VLOOKUP(F845,#REF!,14,FALSE),"")</f>
        <v/>
      </c>
      <c r="S845" s="65">
        <f t="shared" si="92"/>
        <v>1.5285714285714285</v>
      </c>
      <c r="U845" s="1728"/>
      <c r="V845" s="945">
        <f t="shared" si="94"/>
        <v>0</v>
      </c>
      <c r="W845" s="1768"/>
      <c r="X845" s="945"/>
    </row>
    <row r="846" spans="2:24" ht="16" thickBot="1" x14ac:dyDescent="0.25">
      <c r="B846" s="1660">
        <f>B839+1</f>
        <v>16</v>
      </c>
      <c r="C846" s="786">
        <v>43934</v>
      </c>
      <c r="D846" s="70"/>
      <c r="E846" s="71"/>
      <c r="F846" s="1499"/>
      <c r="G846" s="559"/>
      <c r="H846" s="560" t="str">
        <f>IFERROR(VLOOKUP(F846,#REF!,10,FALSE),"")</f>
        <v/>
      </c>
      <c r="I846" s="338" t="str">
        <f t="shared" si="91"/>
        <v/>
      </c>
      <c r="J846" s="270"/>
      <c r="K846" s="1759"/>
      <c r="L846" s="270"/>
      <c r="M846" s="1593"/>
      <c r="N846" s="77" t="str">
        <f t="shared" si="93"/>
        <v/>
      </c>
      <c r="O846" s="561"/>
      <c r="P846" s="224" t="str">
        <f>IFERROR(VLOOKUP(F846,#REF!,12,FALSE),"")</f>
        <v/>
      </c>
      <c r="Q846" s="80" t="s">
        <v>8</v>
      </c>
      <c r="R846" s="80" t="str">
        <f>IFERROR(VLOOKUP(F846,#REF!,14,FALSE),"")</f>
        <v/>
      </c>
      <c r="S846" s="33" t="str">
        <f t="shared" si="92"/>
        <v/>
      </c>
      <c r="U846" s="1728"/>
      <c r="V846" s="826">
        <f t="shared" si="94"/>
        <v>0</v>
      </c>
      <c r="W846" s="1766"/>
      <c r="X846" s="826"/>
    </row>
    <row r="847" spans="2:24" x14ac:dyDescent="0.2">
      <c r="B847" s="1653" t="s">
        <v>142</v>
      </c>
      <c r="C847" s="983">
        <v>43935</v>
      </c>
      <c r="D847" s="842">
        <v>49</v>
      </c>
      <c r="E847" s="843" t="s">
        <v>292</v>
      </c>
      <c r="F847" s="1497" t="s">
        <v>285</v>
      </c>
      <c r="G847" s="934">
        <v>3.6249999999999998E-2</v>
      </c>
      <c r="H847" s="718">
        <v>9.83</v>
      </c>
      <c r="I847" s="781">
        <f t="shared" si="91"/>
        <v>3.687690742624618E-3</v>
      </c>
      <c r="J847" s="935">
        <v>138</v>
      </c>
      <c r="K847" s="1759"/>
      <c r="L847" s="1568">
        <v>219</v>
      </c>
      <c r="M847" s="1591"/>
      <c r="N847" s="722">
        <f t="shared" si="93"/>
        <v>1.0414478978454622</v>
      </c>
      <c r="O847" s="936" t="s">
        <v>259</v>
      </c>
      <c r="P847" s="654" t="str">
        <f>IFERROR(VLOOKUP(F847,#REF!,12,FALSE),"")</f>
        <v/>
      </c>
      <c r="Q847" s="655" t="s">
        <v>8</v>
      </c>
      <c r="R847" s="46" t="str">
        <f>IFERROR(VLOOKUP(F847,#REF!,14,FALSE),"")</f>
        <v/>
      </c>
      <c r="S847" s="47">
        <f t="shared" si="92"/>
        <v>1.5869565217391304</v>
      </c>
      <c r="U847" s="1728"/>
      <c r="V847" s="815">
        <f t="shared" si="94"/>
        <v>0</v>
      </c>
      <c r="W847" s="1767"/>
      <c r="X847" s="815"/>
    </row>
    <row r="848" spans="2:24" ht="16" thickBot="1" x14ac:dyDescent="0.25">
      <c r="B848" s="1654">
        <f>SUM(H846:H852)</f>
        <v>45.7</v>
      </c>
      <c r="C848" s="802">
        <v>43936</v>
      </c>
      <c r="D848" s="842"/>
      <c r="E848" s="843"/>
      <c r="F848" s="1497"/>
      <c r="G848" s="934"/>
      <c r="H848" s="718" t="str">
        <f>IFERROR(VLOOKUP(F848,#REF!,10,FALSE),"")</f>
        <v/>
      </c>
      <c r="I848" s="781" t="str">
        <f t="shared" si="91"/>
        <v/>
      </c>
      <c r="J848" s="935"/>
      <c r="K848" s="1759"/>
      <c r="L848" s="1568"/>
      <c r="M848" s="1591"/>
      <c r="N848" s="722" t="str">
        <f t="shared" si="93"/>
        <v/>
      </c>
      <c r="O848" s="936"/>
      <c r="P848" s="654" t="str">
        <f>IFERROR(VLOOKUP(F848,#REF!,12,FALSE),"")</f>
        <v/>
      </c>
      <c r="Q848" s="655" t="s">
        <v>8</v>
      </c>
      <c r="R848" s="46" t="str">
        <f>IFERROR(VLOOKUP(F848,#REF!,14,FALSE),"")</f>
        <v/>
      </c>
      <c r="S848" s="47" t="str">
        <f t="shared" si="92"/>
        <v/>
      </c>
      <c r="U848" s="1728"/>
      <c r="V848" s="815">
        <f t="shared" si="94"/>
        <v>0</v>
      </c>
      <c r="W848" s="1767"/>
      <c r="X848" s="815"/>
    </row>
    <row r="849" spans="2:24" x14ac:dyDescent="0.2">
      <c r="B849" s="1655" t="s">
        <v>144</v>
      </c>
      <c r="C849" s="802">
        <v>43937</v>
      </c>
      <c r="D849" s="842">
        <v>50</v>
      </c>
      <c r="E849" s="843" t="s">
        <v>293</v>
      </c>
      <c r="F849" s="1497" t="s">
        <v>286</v>
      </c>
      <c r="G849" s="934">
        <v>2.9814814814814811E-2</v>
      </c>
      <c r="H849" s="718">
        <v>9.44</v>
      </c>
      <c r="I849" s="781">
        <f t="shared" si="91"/>
        <v>3.1583490269930948E-3</v>
      </c>
      <c r="J849" s="935">
        <v>155</v>
      </c>
      <c r="K849" s="1759"/>
      <c r="L849" s="1568">
        <v>256.60000000000002</v>
      </c>
      <c r="M849" s="1591"/>
      <c r="N849" s="722">
        <f t="shared" si="93"/>
        <v>1.0450948646597522</v>
      </c>
      <c r="O849" s="936" t="s">
        <v>280</v>
      </c>
      <c r="P849" s="654" t="str">
        <f>IFERROR(VLOOKUP(F849,#REF!,12,FALSE),"")</f>
        <v/>
      </c>
      <c r="Q849" s="655" t="s">
        <v>8</v>
      </c>
      <c r="R849" s="46" t="str">
        <f>IFERROR(VLOOKUP(F849,#REF!,14,FALSE),"")</f>
        <v/>
      </c>
      <c r="S849" s="47">
        <f t="shared" si="92"/>
        <v>1.6554838709677422</v>
      </c>
      <c r="U849" s="1728"/>
      <c r="V849" s="815">
        <f t="shared" si="94"/>
        <v>0</v>
      </c>
      <c r="W849" s="1767"/>
      <c r="X849" s="815"/>
    </row>
    <row r="850" spans="2:24" ht="16" thickBot="1" x14ac:dyDescent="0.25">
      <c r="B850" s="1656" t="e">
        <f>SUM(#REF!)</f>
        <v>#REF!</v>
      </c>
      <c r="C850" s="802">
        <v>43938</v>
      </c>
      <c r="D850" s="842">
        <v>51</v>
      </c>
      <c r="E850" s="843" t="s">
        <v>292</v>
      </c>
      <c r="F850" s="1497" t="s">
        <v>282</v>
      </c>
      <c r="G850" s="934">
        <v>3.9837962962962964E-2</v>
      </c>
      <c r="H850" s="718">
        <v>9.75</v>
      </c>
      <c r="I850" s="781">
        <f t="shared" si="91"/>
        <v>4.0859449192782527E-3</v>
      </c>
      <c r="J850" s="935">
        <v>138</v>
      </c>
      <c r="K850" s="1759"/>
      <c r="L850" s="1568">
        <v>204.4</v>
      </c>
      <c r="M850" s="1591"/>
      <c r="N850" s="722">
        <f t="shared" si="93"/>
        <v>1.07699165709912</v>
      </c>
      <c r="O850" s="936" t="s">
        <v>259</v>
      </c>
      <c r="P850" s="654" t="str">
        <f>IFERROR(VLOOKUP(F850,#REF!,12,FALSE),"")</f>
        <v/>
      </c>
      <c r="Q850" s="655" t="s">
        <v>8</v>
      </c>
      <c r="R850" s="46" t="str">
        <f>IFERROR(VLOOKUP(F850,#REF!,14,FALSE),"")</f>
        <v/>
      </c>
      <c r="S850" s="47">
        <f t="shared" si="92"/>
        <v>1.481159420289855</v>
      </c>
      <c r="U850" s="1728"/>
      <c r="V850" s="815">
        <f t="shared" si="94"/>
        <v>0</v>
      </c>
      <c r="W850" s="1767"/>
      <c r="X850" s="815"/>
    </row>
    <row r="851" spans="2:24" x14ac:dyDescent="0.2">
      <c r="B851" s="1657" t="s">
        <v>256</v>
      </c>
      <c r="C851" s="802">
        <v>43939</v>
      </c>
      <c r="D851" s="842"/>
      <c r="E851" s="843"/>
      <c r="F851" s="1497"/>
      <c r="G851" s="934"/>
      <c r="H851" s="718" t="str">
        <f>IFERROR(VLOOKUP(F851,#REF!,10,FALSE),"")</f>
        <v/>
      </c>
      <c r="I851" s="781" t="str">
        <f t="shared" si="91"/>
        <v/>
      </c>
      <c r="J851" s="935"/>
      <c r="K851" s="1759"/>
      <c r="L851" s="1568"/>
      <c r="M851" s="1591"/>
      <c r="N851" s="722" t="str">
        <f t="shared" si="93"/>
        <v/>
      </c>
      <c r="O851" s="936"/>
      <c r="P851" s="654" t="str">
        <f>IFERROR(VLOOKUP(F851,#REF!,12,FALSE),"")</f>
        <v/>
      </c>
      <c r="Q851" s="655" t="s">
        <v>8</v>
      </c>
      <c r="R851" s="46" t="str">
        <f>IFERROR(VLOOKUP(F851,#REF!,14,FALSE),"")</f>
        <v/>
      </c>
      <c r="S851" s="47" t="str">
        <f t="shared" si="92"/>
        <v/>
      </c>
      <c r="U851" s="1728"/>
      <c r="V851" s="815">
        <f t="shared" si="94"/>
        <v>0</v>
      </c>
      <c r="W851" s="1767"/>
      <c r="X851" s="815"/>
    </row>
    <row r="852" spans="2:24" ht="16" thickBot="1" x14ac:dyDescent="0.25">
      <c r="B852" s="1658" t="e">
        <f>AVERAGE(#REF!)</f>
        <v>#REF!</v>
      </c>
      <c r="C852" s="255">
        <v>43940</v>
      </c>
      <c r="D852" s="984">
        <v>52</v>
      </c>
      <c r="E852" s="985" t="s">
        <v>292</v>
      </c>
      <c r="F852" s="1498" t="s">
        <v>273</v>
      </c>
      <c r="G852" s="939">
        <v>6.4097222222222222E-2</v>
      </c>
      <c r="H852" s="940">
        <v>16.68</v>
      </c>
      <c r="I852" s="986">
        <f t="shared" si="91"/>
        <v>3.8427591260325072E-3</v>
      </c>
      <c r="J852" s="942">
        <v>141</v>
      </c>
      <c r="K852" s="1759"/>
      <c r="L852" s="1570">
        <v>213.7</v>
      </c>
      <c r="M852" s="1594"/>
      <c r="N852" s="987">
        <f t="shared" si="93"/>
        <v>1.0589772361215504</v>
      </c>
      <c r="O852" s="944" t="s">
        <v>253</v>
      </c>
      <c r="P852" s="879" t="str">
        <f>IFERROR(VLOOKUP(F852,#REF!,12,FALSE),"")</f>
        <v/>
      </c>
      <c r="Q852" s="107" t="s">
        <v>8</v>
      </c>
      <c r="R852" s="107" t="str">
        <f>IFERROR(VLOOKUP(F852,#REF!,14,FALSE),"")</f>
        <v/>
      </c>
      <c r="S852" s="65">
        <f t="shared" si="92"/>
        <v>1.5156028368794325</v>
      </c>
      <c r="U852" s="1728"/>
      <c r="V852" s="988">
        <f t="shared" si="94"/>
        <v>0</v>
      </c>
      <c r="W852" s="1768"/>
      <c r="X852" s="988"/>
    </row>
    <row r="853" spans="2:24" ht="16" thickBot="1" x14ac:dyDescent="0.25">
      <c r="B853" s="1660">
        <f>B846+1</f>
        <v>17</v>
      </c>
      <c r="C853" s="989">
        <v>43941</v>
      </c>
      <c r="D853" s="990"/>
      <c r="E853" s="991"/>
      <c r="F853" s="1499"/>
      <c r="G853" s="883"/>
      <c r="H853" s="884" t="str">
        <f>IFERROR(VLOOKUP(F853,#REF!,10,FALSE),"")</f>
        <v/>
      </c>
      <c r="I853" s="992" t="str">
        <f t="shared" si="91"/>
        <v/>
      </c>
      <c r="J853" s="886"/>
      <c r="K853" s="1759"/>
      <c r="L853" s="792"/>
      <c r="M853" s="1595"/>
      <c r="N853" s="993" t="str">
        <f t="shared" si="93"/>
        <v/>
      </c>
      <c r="O853" s="888"/>
      <c r="P853" s="889" t="str">
        <f>IFERROR(VLOOKUP(F853,#REF!,12,FALSE),"")</f>
        <v/>
      </c>
      <c r="Q853" s="32" t="s">
        <v>8</v>
      </c>
      <c r="R853" s="32" t="str">
        <f>IFERROR(VLOOKUP(F853,#REF!,14,FALSE),"")</f>
        <v/>
      </c>
      <c r="S853" s="33" t="str">
        <f t="shared" si="92"/>
        <v/>
      </c>
      <c r="U853" s="1728"/>
      <c r="V853" s="994">
        <f t="shared" si="94"/>
        <v>0</v>
      </c>
      <c r="W853" s="1766"/>
      <c r="X853" s="994"/>
    </row>
    <row r="854" spans="2:24" x14ac:dyDescent="0.2">
      <c r="B854" s="1653" t="s">
        <v>142</v>
      </c>
      <c r="C854" s="995">
        <v>43942</v>
      </c>
      <c r="D854" s="996">
        <v>53</v>
      </c>
      <c r="E854" s="997" t="s">
        <v>293</v>
      </c>
      <c r="F854" s="1497" t="s">
        <v>278</v>
      </c>
      <c r="G854" s="950">
        <v>4.2106481481481488E-2</v>
      </c>
      <c r="H854" s="951">
        <v>11.27</v>
      </c>
      <c r="I854" s="998">
        <f t="shared" si="91"/>
        <v>3.7361562982681003E-3</v>
      </c>
      <c r="J854" s="953">
        <v>144</v>
      </c>
      <c r="K854" s="1759"/>
      <c r="L854" s="1568">
        <v>219.3</v>
      </c>
      <c r="M854" s="1591"/>
      <c r="N854" s="999">
        <f t="shared" si="93"/>
        <v>1.0565805400680717</v>
      </c>
      <c r="O854" s="955" t="s">
        <v>259</v>
      </c>
      <c r="P854" s="850" t="str">
        <f>IFERROR(VLOOKUP(F854,#REF!,12,FALSE),"")</f>
        <v/>
      </c>
      <c r="Q854" s="851" t="s">
        <v>8</v>
      </c>
      <c r="R854" s="46" t="str">
        <f>IFERROR(VLOOKUP(F854,#REF!,14,FALSE),"")</f>
        <v/>
      </c>
      <c r="S854" s="47">
        <f t="shared" si="92"/>
        <v>1.5229166666666667</v>
      </c>
      <c r="U854" s="1728"/>
      <c r="V854" s="1000">
        <f t="shared" si="94"/>
        <v>0</v>
      </c>
      <c r="W854" s="1767"/>
      <c r="X854" s="1000"/>
    </row>
    <row r="855" spans="2:24" ht="16" thickBot="1" x14ac:dyDescent="0.25">
      <c r="B855" s="1654">
        <f>SUM(H853:H859)</f>
        <v>51.15</v>
      </c>
      <c r="C855" s="995">
        <v>43943</v>
      </c>
      <c r="D855" s="996"/>
      <c r="E855" s="997"/>
      <c r="F855" s="1497"/>
      <c r="G855" s="950"/>
      <c r="H855" s="951" t="str">
        <f>IFERROR(VLOOKUP(F855,#REF!,10,FALSE),"")</f>
        <v/>
      </c>
      <c r="I855" s="998" t="str">
        <f t="shared" si="91"/>
        <v/>
      </c>
      <c r="J855" s="953"/>
      <c r="K855" s="1759"/>
      <c r="L855" s="1568"/>
      <c r="M855" s="1591"/>
      <c r="N855" s="999" t="str">
        <f t="shared" si="93"/>
        <v/>
      </c>
      <c r="O855" s="955"/>
      <c r="P855" s="850" t="str">
        <f>IFERROR(VLOOKUP(F855,#REF!,12,FALSE),"")</f>
        <v/>
      </c>
      <c r="Q855" s="851" t="s">
        <v>8</v>
      </c>
      <c r="R855" s="46" t="str">
        <f>IFERROR(VLOOKUP(F855,#REF!,14,FALSE),"")</f>
        <v/>
      </c>
      <c r="S855" s="47" t="str">
        <f t="shared" si="92"/>
        <v/>
      </c>
      <c r="U855" s="1728"/>
      <c r="V855" s="1000">
        <f t="shared" si="94"/>
        <v>0</v>
      </c>
      <c r="W855" s="1767"/>
      <c r="X855" s="1000"/>
    </row>
    <row r="856" spans="2:24" x14ac:dyDescent="0.2">
      <c r="B856" s="1655" t="s">
        <v>144</v>
      </c>
      <c r="C856" s="995">
        <v>43944</v>
      </c>
      <c r="D856" s="1001">
        <v>54</v>
      </c>
      <c r="E856" s="1002" t="s">
        <v>293</v>
      </c>
      <c r="F856" s="1497" t="s">
        <v>286</v>
      </c>
      <c r="G856" s="950">
        <v>3.3148148148148149E-2</v>
      </c>
      <c r="H856" s="951">
        <v>10.32</v>
      </c>
      <c r="I856" s="998">
        <f t="shared" si="91"/>
        <v>3.2120298593166811E-3</v>
      </c>
      <c r="J856" s="953">
        <v>156</v>
      </c>
      <c r="K856" s="1759"/>
      <c r="L856" s="1568">
        <v>250.6</v>
      </c>
      <c r="M856" s="1591"/>
      <c r="N856" s="999">
        <f t="shared" si="93"/>
        <v>1.0380053222260788</v>
      </c>
      <c r="O856" s="955" t="s">
        <v>280</v>
      </c>
      <c r="P856" s="850" t="str">
        <f>IFERROR(VLOOKUP(F856,#REF!,12,FALSE),"")</f>
        <v/>
      </c>
      <c r="Q856" s="851" t="s">
        <v>8</v>
      </c>
      <c r="R856" s="46" t="str">
        <f>IFERROR(VLOOKUP(F856,#REF!,14,FALSE),"")</f>
        <v/>
      </c>
      <c r="S856" s="47">
        <f t="shared" si="92"/>
        <v>1.6064102564102565</v>
      </c>
      <c r="U856" s="1728"/>
      <c r="V856" s="1000">
        <f t="shared" si="94"/>
        <v>0</v>
      </c>
      <c r="W856" s="1767"/>
      <c r="X856" s="1000"/>
    </row>
    <row r="857" spans="2:24" ht="16" thickBot="1" x14ac:dyDescent="0.25">
      <c r="B857" s="1656" t="e">
        <f>SUM(#REF!)</f>
        <v>#REF!</v>
      </c>
      <c r="C857" s="995">
        <v>43945</v>
      </c>
      <c r="D857" s="1001">
        <v>55</v>
      </c>
      <c r="E857" s="1002" t="s">
        <v>293</v>
      </c>
      <c r="F857" s="1497" t="s">
        <v>282</v>
      </c>
      <c r="G857" s="950">
        <v>3.9456018518518522E-2</v>
      </c>
      <c r="H857" s="951">
        <v>9.8800000000000008</v>
      </c>
      <c r="I857" s="998">
        <f t="shared" si="91"/>
        <v>3.9935241415504572E-3</v>
      </c>
      <c r="J857" s="953">
        <v>128</v>
      </c>
      <c r="K857" s="1757"/>
      <c r="L857" s="1568">
        <v>209</v>
      </c>
      <c r="M857" s="1591"/>
      <c r="N857" s="999">
        <f t="shared" si="93"/>
        <v>1.0763203214695751</v>
      </c>
      <c r="O857" s="955" t="s">
        <v>259</v>
      </c>
      <c r="P857" s="850" t="str">
        <f>IFERROR(VLOOKUP(F857,#REF!,12,FALSE),"")</f>
        <v/>
      </c>
      <c r="Q857" s="851" t="s">
        <v>8</v>
      </c>
      <c r="R857" s="46" t="str">
        <f>IFERROR(VLOOKUP(F857,#REF!,14,FALSE),"")</f>
        <v/>
      </c>
      <c r="S857" s="47">
        <f t="shared" si="92"/>
        <v>1.6328125</v>
      </c>
      <c r="U857" s="1728"/>
      <c r="V857" s="1000">
        <f t="shared" si="94"/>
        <v>0</v>
      </c>
      <c r="W857" s="1767"/>
      <c r="X857" s="1000"/>
    </row>
    <row r="858" spans="2:24" x14ac:dyDescent="0.2">
      <c r="B858" s="1657" t="s">
        <v>256</v>
      </c>
      <c r="C858" s="802">
        <v>43946</v>
      </c>
      <c r="D858" s="977"/>
      <c r="E858" s="978"/>
      <c r="F858" s="1497"/>
      <c r="G858" s="950"/>
      <c r="H858" s="951" t="str">
        <f>IFERROR(VLOOKUP(F858,#REF!,10,FALSE),"")</f>
        <v/>
      </c>
      <c r="I858" s="952" t="str">
        <f t="shared" si="91"/>
        <v/>
      </c>
      <c r="J858" s="953"/>
      <c r="K858" s="1757"/>
      <c r="L858" s="1568"/>
      <c r="M858" s="1591"/>
      <c r="N858" s="954" t="str">
        <f t="shared" si="93"/>
        <v/>
      </c>
      <c r="O858" s="955"/>
      <c r="P858" s="850" t="str">
        <f>IFERROR(VLOOKUP(F858,#REF!,12,FALSE),"")</f>
        <v/>
      </c>
      <c r="Q858" s="851" t="s">
        <v>8</v>
      </c>
      <c r="R858" s="46" t="str">
        <f>IFERROR(VLOOKUP(F858,#REF!,14,FALSE),"")</f>
        <v/>
      </c>
      <c r="S858" s="47" t="str">
        <f t="shared" si="92"/>
        <v/>
      </c>
      <c r="U858" s="1728"/>
      <c r="V858" s="815">
        <f t="shared" si="94"/>
        <v>0</v>
      </c>
      <c r="W858" s="1767"/>
      <c r="X858" s="815"/>
    </row>
    <row r="859" spans="2:24" ht="16" thickBot="1" x14ac:dyDescent="0.25">
      <c r="B859" s="1658" t="e">
        <f>AVERAGE(#REF!)</f>
        <v>#REF!</v>
      </c>
      <c r="C859" s="207">
        <v>43947</v>
      </c>
      <c r="D859" s="67">
        <v>56</v>
      </c>
      <c r="E859" s="208" t="s">
        <v>292</v>
      </c>
      <c r="F859" s="1498" t="s">
        <v>275</v>
      </c>
      <c r="G859" s="959">
        <v>7.633101851851852E-2</v>
      </c>
      <c r="H859" s="960">
        <v>19.68</v>
      </c>
      <c r="I859" s="961">
        <f t="shared" si="91"/>
        <v>3.878608664558868E-3</v>
      </c>
      <c r="J859" s="962">
        <v>138</v>
      </c>
      <c r="K859" s="1757"/>
      <c r="L859" s="1569">
        <v>212</v>
      </c>
      <c r="M859" s="1592"/>
      <c r="N859" s="172">
        <f t="shared" si="93"/>
        <v>1.0603537192088337</v>
      </c>
      <c r="O859" s="963" t="s">
        <v>253</v>
      </c>
      <c r="P859" s="964" t="str">
        <f>IFERROR(VLOOKUP(F859,#REF!,12,FALSE),"")</f>
        <v/>
      </c>
      <c r="Q859" s="965" t="s">
        <v>8</v>
      </c>
      <c r="R859" s="64" t="str">
        <f>IFERROR(VLOOKUP(F859,#REF!,14,FALSE),"")</f>
        <v/>
      </c>
      <c r="S859" s="65">
        <f t="shared" si="92"/>
        <v>1.536231884057971</v>
      </c>
      <c r="U859" s="1728"/>
      <c r="V859" s="945">
        <f t="shared" si="94"/>
        <v>0</v>
      </c>
      <c r="W859" s="1768"/>
      <c r="X859" s="945"/>
    </row>
    <row r="860" spans="2:24" ht="16" thickBot="1" x14ac:dyDescent="0.25">
      <c r="B860" s="1660">
        <f>B853+1</f>
        <v>18</v>
      </c>
      <c r="C860" s="786">
        <v>43948</v>
      </c>
      <c r="D860" s="70"/>
      <c r="E860" s="71"/>
      <c r="F860" s="1499"/>
      <c r="G860" s="559"/>
      <c r="H860" s="560" t="str">
        <f>IFERROR(VLOOKUP(F860,#REF!,10,FALSE),"")</f>
        <v/>
      </c>
      <c r="I860" s="338" t="str">
        <f t="shared" si="91"/>
        <v/>
      </c>
      <c r="J860" s="270"/>
      <c r="K860" s="1757"/>
      <c r="L860" s="270"/>
      <c r="M860" s="1593"/>
      <c r="N860" s="77" t="str">
        <f t="shared" si="93"/>
        <v/>
      </c>
      <c r="O860" s="561"/>
      <c r="P860" s="224" t="str">
        <f>IFERROR(VLOOKUP(F860,#REF!,12,FALSE),"")</f>
        <v/>
      </c>
      <c r="Q860" s="80" t="s">
        <v>8</v>
      </c>
      <c r="R860" s="80" t="str">
        <f>IFERROR(VLOOKUP(F860,#REF!,14,FALSE),"")</f>
        <v/>
      </c>
      <c r="S860" s="33" t="str">
        <f t="shared" si="92"/>
        <v/>
      </c>
      <c r="U860" s="1728"/>
      <c r="V860" s="826">
        <f t="shared" si="94"/>
        <v>0</v>
      </c>
      <c r="W860" s="1766"/>
      <c r="X860" s="826"/>
    </row>
    <row r="861" spans="2:24" x14ac:dyDescent="0.2">
      <c r="B861" s="1653" t="s">
        <v>142</v>
      </c>
      <c r="C861" s="802">
        <v>43949</v>
      </c>
      <c r="D861" s="842"/>
      <c r="E861" s="843"/>
      <c r="F861" s="1497"/>
      <c r="G861" s="805"/>
      <c r="H861" s="718" t="str">
        <f>IFERROR(VLOOKUP(F861,#REF!,10,FALSE),"")</f>
        <v/>
      </c>
      <c r="I861" s="781" t="str">
        <f t="shared" si="91"/>
        <v/>
      </c>
      <c r="J861" s="808"/>
      <c r="K861" s="1757"/>
      <c r="L861" s="1568"/>
      <c r="M861" s="1591"/>
      <c r="N861" s="722" t="str">
        <f t="shared" si="93"/>
        <v/>
      </c>
      <c r="O861" s="810"/>
      <c r="P861" s="654" t="str">
        <f>IFERROR(VLOOKUP(F861,#REF!,12,FALSE),"")</f>
        <v/>
      </c>
      <c r="Q861" s="655" t="s">
        <v>8</v>
      </c>
      <c r="R861" s="46" t="str">
        <f>IFERROR(VLOOKUP(F861,#REF!,14,FALSE),"")</f>
        <v/>
      </c>
      <c r="S861" s="47" t="str">
        <f t="shared" si="92"/>
        <v/>
      </c>
      <c r="U861" s="1728"/>
      <c r="V861" s="815">
        <f t="shared" si="94"/>
        <v>0</v>
      </c>
      <c r="W861" s="1767"/>
      <c r="X861" s="815"/>
    </row>
    <row r="862" spans="2:24" ht="16" thickBot="1" x14ac:dyDescent="0.25">
      <c r="B862" s="1654">
        <f>SUM(H860:H866)</f>
        <v>33.75</v>
      </c>
      <c r="C862" s="802">
        <v>43950</v>
      </c>
      <c r="D862" s="842">
        <v>57</v>
      </c>
      <c r="E862" s="843" t="s">
        <v>292</v>
      </c>
      <c r="F862" s="1497" t="s">
        <v>282</v>
      </c>
      <c r="G862" s="805">
        <v>4.1006944444444443E-2</v>
      </c>
      <c r="H862" s="718">
        <v>9.81</v>
      </c>
      <c r="I862" s="781">
        <f t="shared" si="91"/>
        <v>4.1801166610035108E-3</v>
      </c>
      <c r="J862" s="808">
        <v>132</v>
      </c>
      <c r="K862" s="1757"/>
      <c r="L862" s="1568">
        <v>197</v>
      </c>
      <c r="M862" s="1591"/>
      <c r="N862" s="722">
        <f t="shared" si="93"/>
        <v>1.0619243233374411</v>
      </c>
      <c r="O862" s="810" t="s">
        <v>259</v>
      </c>
      <c r="P862" s="654" t="str">
        <f>IFERROR(VLOOKUP(F862,#REF!,12,FALSE),"")</f>
        <v/>
      </c>
      <c r="Q862" s="655" t="s">
        <v>8</v>
      </c>
      <c r="R862" s="46" t="str">
        <f>IFERROR(VLOOKUP(F862,#REF!,14,FALSE),"")</f>
        <v/>
      </c>
      <c r="S862" s="47">
        <f t="shared" si="92"/>
        <v>1.4924242424242424</v>
      </c>
      <c r="U862" s="1728"/>
      <c r="V862" s="815">
        <f t="shared" si="94"/>
        <v>0</v>
      </c>
      <c r="W862" s="1767"/>
      <c r="X862" s="815"/>
    </row>
    <row r="863" spans="2:24" x14ac:dyDescent="0.2">
      <c r="B863" s="1655" t="s">
        <v>144</v>
      </c>
      <c r="C863" s="802">
        <v>43951</v>
      </c>
      <c r="D863" s="842"/>
      <c r="E863" s="843"/>
      <c r="F863" s="1497"/>
      <c r="G863" s="805"/>
      <c r="H863" s="718" t="str">
        <f>IFERROR(VLOOKUP(F863,#REF!,10,FALSE),"")</f>
        <v/>
      </c>
      <c r="I863" s="781" t="str">
        <f t="shared" si="91"/>
        <v/>
      </c>
      <c r="J863" s="808"/>
      <c r="K863" s="1757"/>
      <c r="L863" s="1568"/>
      <c r="M863" s="1591"/>
      <c r="N863" s="722" t="str">
        <f t="shared" si="93"/>
        <v/>
      </c>
      <c r="O863" s="810"/>
      <c r="P863" s="654" t="str">
        <f>IFERROR(VLOOKUP(F863,#REF!,12,FALSE),"")</f>
        <v/>
      </c>
      <c r="Q863" s="655" t="s">
        <v>8</v>
      </c>
      <c r="R863" s="46" t="str">
        <f>IFERROR(VLOOKUP(F863,#REF!,14,FALSE),"")</f>
        <v/>
      </c>
      <c r="S863" s="47" t="str">
        <f t="shared" si="92"/>
        <v/>
      </c>
      <c r="U863" s="1728"/>
      <c r="V863" s="815">
        <f t="shared" si="94"/>
        <v>0</v>
      </c>
      <c r="W863" s="1767"/>
      <c r="X863" s="815"/>
    </row>
    <row r="864" spans="2:24" ht="16" thickBot="1" x14ac:dyDescent="0.25">
      <c r="B864" s="1656" t="e">
        <f>SUM(#REF!)</f>
        <v>#REF!</v>
      </c>
      <c r="C864" s="802">
        <v>43952</v>
      </c>
      <c r="D864" s="842">
        <v>58</v>
      </c>
      <c r="E864" s="843" t="s">
        <v>292</v>
      </c>
      <c r="F864" s="1497" t="s">
        <v>285</v>
      </c>
      <c r="G864" s="805">
        <v>3.9918981481481479E-2</v>
      </c>
      <c r="H864" s="718">
        <v>10.32</v>
      </c>
      <c r="I864" s="781">
        <f t="shared" si="91"/>
        <v>3.8681183606086703E-3</v>
      </c>
      <c r="J864" s="808">
        <v>140</v>
      </c>
      <c r="K864" s="1757"/>
      <c r="L864" s="1568">
        <v>211</v>
      </c>
      <c r="M864" s="1591"/>
      <c r="N864" s="722">
        <f t="shared" si="93"/>
        <v>1.0524976859886614</v>
      </c>
      <c r="O864" s="810" t="s">
        <v>259</v>
      </c>
      <c r="P864" s="654" t="str">
        <f>IFERROR(VLOOKUP(F864,#REF!,12,FALSE),"")</f>
        <v/>
      </c>
      <c r="Q864" s="655" t="s">
        <v>8</v>
      </c>
      <c r="R864" s="46" t="str">
        <f>IFERROR(VLOOKUP(F864,#REF!,14,FALSE),"")</f>
        <v/>
      </c>
      <c r="S864" s="47">
        <f t="shared" si="92"/>
        <v>1.5071428571428571</v>
      </c>
      <c r="U864" s="1728"/>
      <c r="V864" s="815">
        <f t="shared" si="94"/>
        <v>0</v>
      </c>
      <c r="W864" s="1767"/>
      <c r="X864" s="815"/>
    </row>
    <row r="865" spans="2:24" x14ac:dyDescent="0.2">
      <c r="B865" s="1657" t="s">
        <v>256</v>
      </c>
      <c r="C865" s="802">
        <v>43953</v>
      </c>
      <c r="D865" s="842"/>
      <c r="E865" s="843"/>
      <c r="F865" s="1497"/>
      <c r="G865" s="805"/>
      <c r="H865" s="718" t="str">
        <f>IFERROR(VLOOKUP(F865,#REF!,10,FALSE),"")</f>
        <v/>
      </c>
      <c r="I865" s="781" t="str">
        <f t="shared" si="91"/>
        <v/>
      </c>
      <c r="J865" s="808"/>
      <c r="K865" s="1757"/>
      <c r="L865" s="1568"/>
      <c r="M865" s="1591"/>
      <c r="N865" s="722" t="str">
        <f t="shared" si="93"/>
        <v/>
      </c>
      <c r="O865" s="810"/>
      <c r="P865" s="654" t="str">
        <f>IFERROR(VLOOKUP(F865,#REF!,12,FALSE),"")</f>
        <v/>
      </c>
      <c r="Q865" s="655" t="s">
        <v>8</v>
      </c>
      <c r="R865" s="46" t="str">
        <f>IFERROR(VLOOKUP(F865,#REF!,14,FALSE),"")</f>
        <v/>
      </c>
      <c r="S865" s="47" t="str">
        <f t="shared" si="92"/>
        <v/>
      </c>
      <c r="U865" s="1728"/>
      <c r="V865" s="815">
        <f t="shared" si="94"/>
        <v>0</v>
      </c>
      <c r="W865" s="1767"/>
      <c r="X865" s="815"/>
    </row>
    <row r="866" spans="2:24" ht="16" thickBot="1" x14ac:dyDescent="0.25">
      <c r="B866" s="1658" t="e">
        <f>AVERAGE(#REF!)</f>
        <v>#REF!</v>
      </c>
      <c r="C866" s="930">
        <v>43954</v>
      </c>
      <c r="D866" s="813">
        <v>59</v>
      </c>
      <c r="E866" s="1003" t="s">
        <v>292</v>
      </c>
      <c r="F866" s="1498" t="s">
        <v>271</v>
      </c>
      <c r="G866" s="1004">
        <v>5.7592592592592591E-2</v>
      </c>
      <c r="H866" s="1005">
        <v>13.62</v>
      </c>
      <c r="I866" s="1006">
        <f t="shared" si="91"/>
        <v>4.2285310273562846E-3</v>
      </c>
      <c r="J866" s="1007">
        <v>138</v>
      </c>
      <c r="K866" s="1757"/>
      <c r="L866" s="1570">
        <v>194</v>
      </c>
      <c r="M866" s="1594"/>
      <c r="N866" s="1008">
        <f t="shared" si="93"/>
        <v>1.0578648607184344</v>
      </c>
      <c r="O866" s="1009" t="s">
        <v>253</v>
      </c>
      <c r="P866" s="1010" t="str">
        <f>IFERROR(VLOOKUP(F866,#REF!,12,FALSE),"")</f>
        <v/>
      </c>
      <c r="Q866" s="107" t="s">
        <v>8</v>
      </c>
      <c r="R866" s="107" t="str">
        <f>IFERROR(VLOOKUP(F866,#REF!,14,FALSE),"")</f>
        <v/>
      </c>
      <c r="S866" s="65">
        <f t="shared" si="92"/>
        <v>1.4057971014492754</v>
      </c>
      <c r="U866" s="1728"/>
      <c r="V866" s="814">
        <f t="shared" si="94"/>
        <v>0</v>
      </c>
      <c r="W866" s="1768"/>
      <c r="X866" s="814"/>
    </row>
    <row r="867" spans="2:24" ht="16" thickBot="1" x14ac:dyDescent="0.25">
      <c r="B867" s="1660">
        <f>B860+1</f>
        <v>19</v>
      </c>
      <c r="C867" s="824">
        <v>43955</v>
      </c>
      <c r="D867" s="787"/>
      <c r="E867" s="788"/>
      <c r="F867" s="1499"/>
      <c r="G867" s="789"/>
      <c r="H867" s="790" t="str">
        <f>IFERROR(VLOOKUP(F867,#REF!,10,FALSE),"")</f>
        <v/>
      </c>
      <c r="I867" s="791" t="str">
        <f t="shared" si="91"/>
        <v/>
      </c>
      <c r="J867" s="792"/>
      <c r="K867" s="1757"/>
      <c r="L867" s="792"/>
      <c r="M867" s="1595"/>
      <c r="N867" s="793" t="str">
        <f t="shared" si="93"/>
        <v/>
      </c>
      <c r="O867" s="794"/>
      <c r="P867" s="825" t="str">
        <f>IFERROR(VLOOKUP(F867,#REF!,12,FALSE),"")</f>
        <v/>
      </c>
      <c r="Q867" s="796" t="s">
        <v>8</v>
      </c>
      <c r="R867" s="32" t="str">
        <f>IFERROR(VLOOKUP(F867,#REF!,14,FALSE),"")</f>
        <v/>
      </c>
      <c r="S867" s="33" t="str">
        <f t="shared" si="92"/>
        <v/>
      </c>
      <c r="U867" s="1728"/>
      <c r="V867" s="826">
        <f t="shared" si="94"/>
        <v>0</v>
      </c>
      <c r="W867" s="1766"/>
      <c r="X867" s="826"/>
    </row>
    <row r="868" spans="2:24" x14ac:dyDescent="0.2">
      <c r="B868" s="1653" t="s">
        <v>142</v>
      </c>
      <c r="C868" s="841">
        <v>43956</v>
      </c>
      <c r="D868" s="842">
        <v>60</v>
      </c>
      <c r="E868" s="843" t="s">
        <v>292</v>
      </c>
      <c r="F868" s="1497" t="s">
        <v>285</v>
      </c>
      <c r="G868" s="805">
        <v>3.8217592592592588E-2</v>
      </c>
      <c r="H868" s="806">
        <v>9.8000000000000007</v>
      </c>
      <c r="I868" s="807">
        <f t="shared" si="91"/>
        <v>3.899754346182917E-3</v>
      </c>
      <c r="J868" s="808">
        <v>142</v>
      </c>
      <c r="K868" s="1757"/>
      <c r="L868" s="1568">
        <v>210</v>
      </c>
      <c r="M868" s="1591"/>
      <c r="N868" s="848">
        <f t="shared" si="93"/>
        <v>1.0560767590618336</v>
      </c>
      <c r="O868" s="810" t="s">
        <v>259</v>
      </c>
      <c r="P868" s="811" t="str">
        <f>IFERROR(VLOOKUP(F868,#REF!,12,FALSE),"")</f>
        <v/>
      </c>
      <c r="Q868" s="812" t="s">
        <v>8</v>
      </c>
      <c r="R868" s="46" t="str">
        <f>IFERROR(VLOOKUP(F868,#REF!,14,FALSE),"")</f>
        <v/>
      </c>
      <c r="S868" s="47">
        <f t="shared" si="92"/>
        <v>1.4788732394366197</v>
      </c>
      <c r="U868" s="1728"/>
      <c r="V868" s="815">
        <f t="shared" si="94"/>
        <v>0</v>
      </c>
      <c r="W868" s="1767"/>
      <c r="X868" s="815"/>
    </row>
    <row r="869" spans="2:24" ht="16" thickBot="1" x14ac:dyDescent="0.25">
      <c r="B869" s="1654">
        <f>SUM(H867:H873)</f>
        <v>50.620000000000005</v>
      </c>
      <c r="C869" s="802">
        <v>43957</v>
      </c>
      <c r="D869" s="842"/>
      <c r="E869" s="843"/>
      <c r="F869" s="1497"/>
      <c r="G869" s="805"/>
      <c r="H869" s="806" t="str">
        <f>IFERROR(VLOOKUP(F869,#REF!,10,FALSE),"")</f>
        <v/>
      </c>
      <c r="I869" s="807" t="str">
        <f t="shared" si="91"/>
        <v/>
      </c>
      <c r="J869" s="808"/>
      <c r="K869" s="1757"/>
      <c r="L869" s="1568"/>
      <c r="M869" s="1591"/>
      <c r="N869" s="848" t="str">
        <f t="shared" si="93"/>
        <v/>
      </c>
      <c r="O869" s="810"/>
      <c r="P869" s="811" t="str">
        <f>IFERROR(VLOOKUP(F869,#REF!,12,FALSE),"")</f>
        <v/>
      </c>
      <c r="Q869" s="812" t="s">
        <v>8</v>
      </c>
      <c r="R869" s="46" t="str">
        <f>IFERROR(VLOOKUP(F869,#REF!,14,FALSE),"")</f>
        <v/>
      </c>
      <c r="S869" s="47" t="str">
        <f t="shared" si="92"/>
        <v/>
      </c>
      <c r="U869" s="1728"/>
      <c r="V869" s="815">
        <f t="shared" si="94"/>
        <v>0</v>
      </c>
      <c r="W869" s="1767"/>
      <c r="X869" s="815"/>
    </row>
    <row r="870" spans="2:24" x14ac:dyDescent="0.2">
      <c r="B870" s="1655" t="s">
        <v>144</v>
      </c>
      <c r="C870" s="802">
        <v>43958</v>
      </c>
      <c r="D870" s="842">
        <v>61</v>
      </c>
      <c r="E870" s="843" t="s">
        <v>293</v>
      </c>
      <c r="F870" s="1497" t="s">
        <v>286</v>
      </c>
      <c r="G870" s="805">
        <v>3.1863425925925927E-2</v>
      </c>
      <c r="H870" s="806">
        <v>9.7899999999999991</v>
      </c>
      <c r="I870" s="807">
        <f t="shared" si="91"/>
        <v>3.2546911058147017E-3</v>
      </c>
      <c r="J870" s="808">
        <v>154</v>
      </c>
      <c r="K870" s="1757"/>
      <c r="L870" s="1568">
        <v>248</v>
      </c>
      <c r="M870" s="1591"/>
      <c r="N870" s="848">
        <f t="shared" si="93"/>
        <v>1.0408793621270565</v>
      </c>
      <c r="O870" s="810" t="s">
        <v>280</v>
      </c>
      <c r="P870" s="811" t="str">
        <f>IFERROR(VLOOKUP(F870,#REF!,12,FALSE),"")</f>
        <v/>
      </c>
      <c r="Q870" s="812" t="s">
        <v>8</v>
      </c>
      <c r="R870" s="46" t="str">
        <f>IFERROR(VLOOKUP(F870,#REF!,14,FALSE),"")</f>
        <v/>
      </c>
      <c r="S870" s="47">
        <f t="shared" si="92"/>
        <v>1.6103896103896105</v>
      </c>
      <c r="U870" s="1728"/>
      <c r="V870" s="815">
        <f t="shared" si="94"/>
        <v>0</v>
      </c>
      <c r="W870" s="1767"/>
      <c r="X870" s="815"/>
    </row>
    <row r="871" spans="2:24" ht="16" thickBot="1" x14ac:dyDescent="0.25">
      <c r="B871" s="1656" t="e">
        <f>SUM(#REF!)</f>
        <v>#REF!</v>
      </c>
      <c r="C871" s="802">
        <v>43959</v>
      </c>
      <c r="D871" s="842">
        <v>62</v>
      </c>
      <c r="E871" s="843" t="s">
        <v>292</v>
      </c>
      <c r="F871" s="1497" t="s">
        <v>282</v>
      </c>
      <c r="G871" s="805">
        <v>3.9629629629629633E-2</v>
      </c>
      <c r="H871" s="806">
        <v>9.65</v>
      </c>
      <c r="I871" s="807">
        <f t="shared" ref="I871:I934" si="95">IFERROR(G871/H871,"")</f>
        <v>4.1066973709460754E-3</v>
      </c>
      <c r="J871" s="808">
        <v>133</v>
      </c>
      <c r="K871" s="1757"/>
      <c r="L871" s="1568">
        <v>203</v>
      </c>
      <c r="M871" s="1591"/>
      <c r="N871" s="848">
        <f t="shared" si="93"/>
        <v>1.075047560126827</v>
      </c>
      <c r="O871" s="810" t="s">
        <v>295</v>
      </c>
      <c r="P871" s="811" t="str">
        <f>IFERROR(VLOOKUP(F871,#REF!,12,FALSE),"")</f>
        <v/>
      </c>
      <c r="Q871" s="812" t="s">
        <v>8</v>
      </c>
      <c r="R871" s="46" t="str">
        <f>IFERROR(VLOOKUP(F871,#REF!,14,FALSE),"")</f>
        <v/>
      </c>
      <c r="S871" s="47">
        <f t="shared" si="92"/>
        <v>1.5263157894736843</v>
      </c>
      <c r="U871" s="1728"/>
      <c r="V871" s="815">
        <f t="shared" si="94"/>
        <v>0</v>
      </c>
      <c r="W871" s="1767"/>
      <c r="X871" s="815"/>
    </row>
    <row r="872" spans="2:24" x14ac:dyDescent="0.2">
      <c r="B872" s="1657" t="s">
        <v>256</v>
      </c>
      <c r="C872" s="802">
        <v>43960</v>
      </c>
      <c r="D872" s="842"/>
      <c r="E872" s="843"/>
      <c r="F872" s="1497"/>
      <c r="G872" s="805"/>
      <c r="H872" s="806" t="str">
        <f>IFERROR(VLOOKUP(F872,#REF!,10,FALSE),"")</f>
        <v/>
      </c>
      <c r="I872" s="807" t="str">
        <f t="shared" si="95"/>
        <v/>
      </c>
      <c r="J872" s="808"/>
      <c r="K872" s="1757"/>
      <c r="L872" s="1568"/>
      <c r="M872" s="1591"/>
      <c r="N872" s="848" t="str">
        <f t="shared" si="93"/>
        <v/>
      </c>
      <c r="O872" s="810"/>
      <c r="P872" s="811" t="str">
        <f>IFERROR(VLOOKUP(F872,#REF!,12,FALSE),"")</f>
        <v/>
      </c>
      <c r="Q872" s="812" t="s">
        <v>8</v>
      </c>
      <c r="R872" s="46" t="str">
        <f>IFERROR(VLOOKUP(F872,#REF!,14,FALSE),"")</f>
        <v/>
      </c>
      <c r="S872" s="47" t="str">
        <f t="shared" si="92"/>
        <v/>
      </c>
      <c r="U872" s="1728"/>
      <c r="V872" s="815">
        <f t="shared" si="94"/>
        <v>0</v>
      </c>
      <c r="W872" s="1767"/>
      <c r="X872" s="815"/>
    </row>
    <row r="873" spans="2:24" ht="16" thickBot="1" x14ac:dyDescent="0.25">
      <c r="B873" s="1658" t="e">
        <f>AVERAGE(#REF!)</f>
        <v>#REF!</v>
      </c>
      <c r="C873" s="207">
        <v>43961</v>
      </c>
      <c r="D873" s="67">
        <v>63</v>
      </c>
      <c r="E873" s="208" t="s">
        <v>292</v>
      </c>
      <c r="F873" s="1498" t="s">
        <v>275</v>
      </c>
      <c r="G873" s="816">
        <v>8.3182870370370365E-2</v>
      </c>
      <c r="H873" s="817">
        <v>21.38</v>
      </c>
      <c r="I873" s="818">
        <f t="shared" si="95"/>
        <v>3.8906861726085299E-3</v>
      </c>
      <c r="J873" s="819">
        <v>140</v>
      </c>
      <c r="K873" s="1757"/>
      <c r="L873" s="1569">
        <v>212.2</v>
      </c>
      <c r="M873" s="1592"/>
      <c r="N873" s="172">
        <f t="shared" si="93"/>
        <v>1.0646589782611731</v>
      </c>
      <c r="O873" s="820" t="s">
        <v>295</v>
      </c>
      <c r="P873" s="821" t="str">
        <f>IFERROR(VLOOKUP(F873,#REF!,12,FALSE),"")</f>
        <v/>
      </c>
      <c r="Q873" s="822" t="s">
        <v>8</v>
      </c>
      <c r="R873" s="64" t="str">
        <f>IFERROR(VLOOKUP(F873,#REF!,14,FALSE),"")</f>
        <v/>
      </c>
      <c r="S873" s="65">
        <f t="shared" ref="S873:S936" si="96">IFERROR(L873/J873,"")</f>
        <v>1.5157142857142856</v>
      </c>
      <c r="U873" s="1728"/>
      <c r="V873" s="823">
        <f t="shared" si="94"/>
        <v>0</v>
      </c>
      <c r="W873" s="1768"/>
      <c r="X873" s="823"/>
    </row>
    <row r="874" spans="2:24" ht="16" thickBot="1" x14ac:dyDescent="0.25">
      <c r="B874" s="1660">
        <f>B867+1</f>
        <v>20</v>
      </c>
      <c r="C874" s="69">
        <v>43962</v>
      </c>
      <c r="D874" s="70"/>
      <c r="E874" s="71"/>
      <c r="F874" s="1499"/>
      <c r="G874" s="559"/>
      <c r="H874" s="560" t="str">
        <f>IFERROR(VLOOKUP(F874,#REF!,10,FALSE),"")</f>
        <v/>
      </c>
      <c r="I874" s="338" t="str">
        <f t="shared" si="95"/>
        <v/>
      </c>
      <c r="J874" s="270"/>
      <c r="K874" s="1757"/>
      <c r="L874" s="270"/>
      <c r="M874" s="1593"/>
      <c r="N874" s="77" t="str">
        <f t="shared" si="93"/>
        <v/>
      </c>
      <c r="O874" s="561"/>
      <c r="P874" s="224" t="str">
        <f>IFERROR(VLOOKUP(F874,#REF!,12,FALSE),"")</f>
        <v/>
      </c>
      <c r="Q874" s="80" t="s">
        <v>8</v>
      </c>
      <c r="R874" s="80" t="str">
        <f>IFERROR(VLOOKUP(F874,#REF!,14,FALSE),"")</f>
        <v/>
      </c>
      <c r="S874" s="33" t="str">
        <f t="shared" si="96"/>
        <v/>
      </c>
      <c r="U874" s="1728"/>
      <c r="V874" s="225">
        <f t="shared" si="94"/>
        <v>0</v>
      </c>
      <c r="W874" s="1766"/>
      <c r="X874" s="225"/>
    </row>
    <row r="875" spans="2:24" x14ac:dyDescent="0.2">
      <c r="B875" s="1653" t="s">
        <v>142</v>
      </c>
      <c r="C875" s="161">
        <v>43963</v>
      </c>
      <c r="D875" s="715">
        <v>64</v>
      </c>
      <c r="E875" s="716" t="s">
        <v>293</v>
      </c>
      <c r="F875" s="1497" t="s">
        <v>285</v>
      </c>
      <c r="G875" s="717">
        <v>3.4895833333333334E-2</v>
      </c>
      <c r="H875" s="718">
        <v>9.85</v>
      </c>
      <c r="I875" s="781">
        <f t="shared" si="95"/>
        <v>3.5427241962774961E-3</v>
      </c>
      <c r="J875" s="721">
        <v>141</v>
      </c>
      <c r="K875" s="1757"/>
      <c r="L875" s="1568">
        <v>231.5</v>
      </c>
      <c r="M875" s="1591"/>
      <c r="N875" s="722">
        <f t="shared" si="93"/>
        <v>1.0576142131979698</v>
      </c>
      <c r="O875" s="723" t="s">
        <v>259</v>
      </c>
      <c r="P875" s="654" t="str">
        <f>IFERROR(VLOOKUP(F875,#REF!,12,FALSE),"")</f>
        <v/>
      </c>
      <c r="Q875" s="655" t="s">
        <v>8</v>
      </c>
      <c r="R875" s="46" t="str">
        <f>IFERROR(VLOOKUP(F875,#REF!,14,FALSE),"")</f>
        <v/>
      </c>
      <c r="S875" s="47">
        <f t="shared" si="96"/>
        <v>1.6418439716312057</v>
      </c>
      <c r="U875" s="1728"/>
      <c r="V875" s="48">
        <f t="shared" si="94"/>
        <v>0</v>
      </c>
      <c r="W875" s="1767"/>
      <c r="X875" s="48"/>
    </row>
    <row r="876" spans="2:24" ht="16" thickBot="1" x14ac:dyDescent="0.25">
      <c r="B876" s="1654">
        <f>SUM(H874:H880)</f>
        <v>51.71</v>
      </c>
      <c r="C876" s="161">
        <v>43964</v>
      </c>
      <c r="D876" s="715"/>
      <c r="E876" s="716"/>
      <c r="F876" s="1497"/>
      <c r="G876" s="717"/>
      <c r="H876" s="718" t="str">
        <f>IFERROR(VLOOKUP(F876,#REF!,10,FALSE),"")</f>
        <v/>
      </c>
      <c r="I876" s="781" t="str">
        <f t="shared" si="95"/>
        <v/>
      </c>
      <c r="J876" s="721"/>
      <c r="K876" s="1757"/>
      <c r="L876" s="1568"/>
      <c r="M876" s="1591"/>
      <c r="N876" s="722" t="str">
        <f t="shared" si="93"/>
        <v/>
      </c>
      <c r="O876" s="723"/>
      <c r="P876" s="654" t="str">
        <f>IFERROR(VLOOKUP(F876,#REF!,12,FALSE),"")</f>
        <v/>
      </c>
      <c r="Q876" s="655" t="s">
        <v>8</v>
      </c>
      <c r="R876" s="46" t="str">
        <f>IFERROR(VLOOKUP(F876,#REF!,14,FALSE),"")</f>
        <v/>
      </c>
      <c r="S876" s="47" t="str">
        <f t="shared" si="96"/>
        <v/>
      </c>
      <c r="U876" s="1728"/>
      <c r="V876" s="48">
        <f t="shared" si="94"/>
        <v>0</v>
      </c>
      <c r="W876" s="1767"/>
      <c r="X876" s="48"/>
    </row>
    <row r="877" spans="2:24" x14ac:dyDescent="0.2">
      <c r="B877" s="1655" t="s">
        <v>144</v>
      </c>
      <c r="C877" s="161">
        <v>43965</v>
      </c>
      <c r="D877" s="715">
        <v>65</v>
      </c>
      <c r="E877" s="716" t="s">
        <v>293</v>
      </c>
      <c r="F877" s="1497" t="s">
        <v>287</v>
      </c>
      <c r="G877" s="717">
        <v>3.7430555555555557E-2</v>
      </c>
      <c r="H877" s="718">
        <v>11.63</v>
      </c>
      <c r="I877" s="781">
        <f t="shared" si="95"/>
        <v>3.2184484570555076E-3</v>
      </c>
      <c r="J877" s="721">
        <v>156</v>
      </c>
      <c r="K877" s="1757"/>
      <c r="L877" s="1568">
        <v>249</v>
      </c>
      <c r="M877" s="1591"/>
      <c r="N877" s="722">
        <f t="shared" si="93"/>
        <v>1.0334389959061099</v>
      </c>
      <c r="O877" s="723" t="s">
        <v>280</v>
      </c>
      <c r="P877" s="654" t="str">
        <f>IFERROR(VLOOKUP(F877,#REF!,12,FALSE),"")</f>
        <v/>
      </c>
      <c r="Q877" s="655" t="s">
        <v>8</v>
      </c>
      <c r="R877" s="46" t="str">
        <f>IFERROR(VLOOKUP(F877,#REF!,14,FALSE),"")</f>
        <v/>
      </c>
      <c r="S877" s="47">
        <f t="shared" si="96"/>
        <v>1.5961538461538463</v>
      </c>
      <c r="U877" s="1728"/>
      <c r="V877" s="48">
        <f t="shared" si="94"/>
        <v>0</v>
      </c>
      <c r="W877" s="1767"/>
      <c r="X877" s="48"/>
    </row>
    <row r="878" spans="2:24" ht="16" thickBot="1" x14ac:dyDescent="0.25">
      <c r="B878" s="1656" t="e">
        <f>SUM(#REF!)</f>
        <v>#REF!</v>
      </c>
      <c r="C878" s="161">
        <v>43966</v>
      </c>
      <c r="D878" s="715">
        <v>66</v>
      </c>
      <c r="E878" s="716" t="s">
        <v>293</v>
      </c>
      <c r="F878" s="1497" t="s">
        <v>282</v>
      </c>
      <c r="G878" s="717">
        <v>3.5555555555555556E-2</v>
      </c>
      <c r="H878" s="718">
        <v>8.82</v>
      </c>
      <c r="I878" s="781">
        <f t="shared" si="95"/>
        <v>4.0312421264802212E-3</v>
      </c>
      <c r="J878" s="721">
        <v>131</v>
      </c>
      <c r="K878" s="1757"/>
      <c r="L878" s="1568">
        <v>203</v>
      </c>
      <c r="M878" s="1591"/>
      <c r="N878" s="722">
        <f t="shared" ref="N878:N923" si="97">IFERROR((L878/67)/(1/(I878*24)/3.6),"")</f>
        <v>1.0552949538024163</v>
      </c>
      <c r="O878" s="723" t="s">
        <v>253</v>
      </c>
      <c r="P878" s="654" t="str">
        <f>IFERROR(VLOOKUP(F878,#REF!,12,FALSE),"")</f>
        <v/>
      </c>
      <c r="Q878" s="655" t="s">
        <v>8</v>
      </c>
      <c r="R878" s="46" t="str">
        <f>IFERROR(VLOOKUP(F878,#REF!,14,FALSE),"")</f>
        <v/>
      </c>
      <c r="S878" s="47">
        <f t="shared" si="96"/>
        <v>1.5496183206106871</v>
      </c>
      <c r="U878" s="1728"/>
      <c r="V878" s="48">
        <f t="shared" si="94"/>
        <v>0</v>
      </c>
      <c r="W878" s="1767"/>
      <c r="X878" s="48"/>
    </row>
    <row r="879" spans="2:24" x14ac:dyDescent="0.2">
      <c r="B879" s="1657" t="s">
        <v>256</v>
      </c>
      <c r="C879" s="161">
        <v>43967</v>
      </c>
      <c r="D879" s="715"/>
      <c r="E879" s="716"/>
      <c r="F879" s="1497"/>
      <c r="G879" s="717"/>
      <c r="H879" s="718" t="str">
        <f>IFERROR(VLOOKUP(F879,#REF!,10,FALSE),"")</f>
        <v/>
      </c>
      <c r="I879" s="781" t="str">
        <f t="shared" si="95"/>
        <v/>
      </c>
      <c r="J879" s="721"/>
      <c r="K879" s="1757"/>
      <c r="L879" s="1568"/>
      <c r="M879" s="1591"/>
      <c r="N879" s="722" t="str">
        <f t="shared" si="97"/>
        <v/>
      </c>
      <c r="O879" s="723"/>
      <c r="P879" s="654" t="str">
        <f>IFERROR(VLOOKUP(F879,#REF!,12,FALSE),"")</f>
        <v/>
      </c>
      <c r="Q879" s="655" t="s">
        <v>8</v>
      </c>
      <c r="R879" s="46" t="str">
        <f>IFERROR(VLOOKUP(F879,#REF!,14,FALSE),"")</f>
        <v/>
      </c>
      <c r="S879" s="47" t="str">
        <f t="shared" si="96"/>
        <v/>
      </c>
      <c r="U879" s="1728"/>
      <c r="V879" s="48">
        <f t="shared" si="94"/>
        <v>0</v>
      </c>
      <c r="W879" s="1767"/>
      <c r="X879" s="48"/>
    </row>
    <row r="880" spans="2:24" ht="16" thickBot="1" x14ac:dyDescent="0.25">
      <c r="B880" s="1658" t="e">
        <f>AVERAGE(#REF!)</f>
        <v>#REF!</v>
      </c>
      <c r="C880" s="1011">
        <v>43968</v>
      </c>
      <c r="D880" s="1012">
        <v>67</v>
      </c>
      <c r="E880" s="1013" t="s">
        <v>292</v>
      </c>
      <c r="F880" s="1498" t="s">
        <v>275</v>
      </c>
      <c r="G880" s="939">
        <v>8.3703703703703711E-2</v>
      </c>
      <c r="H880" s="718">
        <v>21.41</v>
      </c>
      <c r="I880" s="781">
        <f t="shared" ref="I880" si="98">IFERROR(G880/H880,"")</f>
        <v>3.909561125815213E-3</v>
      </c>
      <c r="J880" s="721">
        <v>135</v>
      </c>
      <c r="K880" s="1757"/>
      <c r="L880" s="1568">
        <v>210.2</v>
      </c>
      <c r="M880" s="1591"/>
      <c r="N880" s="722">
        <f t="shared" si="97"/>
        <v>1.0597408101947061</v>
      </c>
      <c r="O880" s="723" t="s">
        <v>295</v>
      </c>
      <c r="P880" s="654" t="str">
        <f>IFERROR(VLOOKUP(F880,#REF!,12,FALSE),"")</f>
        <v/>
      </c>
      <c r="Q880" s="655" t="s">
        <v>8</v>
      </c>
      <c r="R880" s="46" t="str">
        <f>IFERROR(VLOOKUP(F880,#REF!,14,FALSE),"")</f>
        <v/>
      </c>
      <c r="S880" s="65">
        <f t="shared" si="96"/>
        <v>1.557037037037037</v>
      </c>
      <c r="U880" s="1728"/>
      <c r="V880" s="1014">
        <f t="shared" si="94"/>
        <v>0</v>
      </c>
      <c r="W880" s="1768"/>
      <c r="X880" s="1014"/>
    </row>
    <row r="881" spans="2:24" ht="16" thickBot="1" x14ac:dyDescent="0.25">
      <c r="B881" s="1660">
        <f>B874+1</f>
        <v>21</v>
      </c>
      <c r="C881" s="1015">
        <v>43969</v>
      </c>
      <c r="D881" s="946"/>
      <c r="E881" s="947"/>
      <c r="F881" s="1499"/>
      <c r="G881" s="883"/>
      <c r="H881" s="884" t="str">
        <f>IFERROR(VLOOKUP(F881,#REF!,10,FALSE),"")</f>
        <v/>
      </c>
      <c r="I881" s="885" t="str">
        <f t="shared" si="95"/>
        <v/>
      </c>
      <c r="J881" s="886"/>
      <c r="K881" s="1757"/>
      <c r="L881" s="792"/>
      <c r="M881" s="1595"/>
      <c r="N881" s="887" t="str">
        <f t="shared" si="97"/>
        <v/>
      </c>
      <c r="O881" s="888"/>
      <c r="P881" s="889" t="str">
        <f>IFERROR(VLOOKUP(F881,#REF!,12,FALSE),"")</f>
        <v/>
      </c>
      <c r="Q881" s="32" t="s">
        <v>8</v>
      </c>
      <c r="R881" s="32" t="str">
        <f>IFERROR(VLOOKUP(F881,#REF!,14,FALSE),"")</f>
        <v/>
      </c>
      <c r="S881" s="33" t="str">
        <f t="shared" si="96"/>
        <v/>
      </c>
      <c r="U881" s="1728"/>
      <c r="V881" s="881">
        <f t="shared" si="94"/>
        <v>0</v>
      </c>
      <c r="W881" s="1766"/>
      <c r="X881" s="881"/>
    </row>
    <row r="882" spans="2:24" x14ac:dyDescent="0.2">
      <c r="B882" s="1653" t="s">
        <v>142</v>
      </c>
      <c r="C882" s="1016">
        <v>43970</v>
      </c>
      <c r="D882" s="977">
        <v>68</v>
      </c>
      <c r="E882" s="978" t="s">
        <v>293</v>
      </c>
      <c r="F882" s="1497" t="s">
        <v>285</v>
      </c>
      <c r="G882" s="950">
        <v>3.366898148148148E-2</v>
      </c>
      <c r="H882" s="951">
        <v>9.8000000000000007</v>
      </c>
      <c r="I882" s="952">
        <f t="shared" si="95"/>
        <v>3.4356103552532122E-3</v>
      </c>
      <c r="J882" s="953">
        <v>148</v>
      </c>
      <c r="K882" s="1757"/>
      <c r="L882" s="1568">
        <v>236.7</v>
      </c>
      <c r="M882" s="1591"/>
      <c r="N882" s="954">
        <f t="shared" si="97"/>
        <v>1.048675449284191</v>
      </c>
      <c r="O882" s="955" t="s">
        <v>259</v>
      </c>
      <c r="P882" s="850" t="str">
        <f>IFERROR(VLOOKUP(F882,#REF!,12,FALSE),"")</f>
        <v/>
      </c>
      <c r="Q882" s="851" t="s">
        <v>8</v>
      </c>
      <c r="R882" s="46" t="str">
        <f>IFERROR(VLOOKUP(F882,#REF!,14,FALSE),"")</f>
        <v/>
      </c>
      <c r="S882" s="47">
        <f t="shared" si="96"/>
        <v>1.5993243243243243</v>
      </c>
      <c r="U882" s="1728"/>
      <c r="V882" s="854">
        <f t="shared" si="94"/>
        <v>0</v>
      </c>
      <c r="W882" s="1767"/>
      <c r="X882" s="854"/>
    </row>
    <row r="883" spans="2:24" ht="16" thickBot="1" x14ac:dyDescent="0.25">
      <c r="B883" s="1654">
        <f>SUM(H881:H887)</f>
        <v>55.129999999999995</v>
      </c>
      <c r="C883" s="855">
        <v>43971</v>
      </c>
      <c r="D883" s="977"/>
      <c r="E883" s="978"/>
      <c r="F883" s="1497"/>
      <c r="G883" s="950"/>
      <c r="H883" s="951" t="str">
        <f>IFERROR(VLOOKUP(F883,#REF!,10,FALSE),"")</f>
        <v/>
      </c>
      <c r="I883" s="952" t="str">
        <f t="shared" si="95"/>
        <v/>
      </c>
      <c r="J883" s="953"/>
      <c r="K883" s="1757"/>
      <c r="L883" s="1568"/>
      <c r="M883" s="1591"/>
      <c r="N883" s="954" t="str">
        <f t="shared" si="97"/>
        <v/>
      </c>
      <c r="O883" s="955"/>
      <c r="P883" s="850" t="str">
        <f>IFERROR(VLOOKUP(F883,#REF!,12,FALSE),"")</f>
        <v/>
      </c>
      <c r="Q883" s="851" t="s">
        <v>8</v>
      </c>
      <c r="R883" s="46" t="str">
        <f>IFERROR(VLOOKUP(F883,#REF!,14,FALSE),"")</f>
        <v/>
      </c>
      <c r="S883" s="47" t="str">
        <f t="shared" si="96"/>
        <v/>
      </c>
      <c r="U883" s="1728"/>
      <c r="V883" s="854">
        <f t="shared" si="94"/>
        <v>0</v>
      </c>
      <c r="W883" s="1767"/>
      <c r="X883" s="854"/>
    </row>
    <row r="884" spans="2:24" x14ac:dyDescent="0.2">
      <c r="B884" s="1655" t="s">
        <v>144</v>
      </c>
      <c r="C884" s="855">
        <v>43972</v>
      </c>
      <c r="D884" s="977"/>
      <c r="E884" s="978"/>
      <c r="F884" s="1497"/>
      <c r="G884" s="950"/>
      <c r="H884" s="951" t="str">
        <f>IFERROR(VLOOKUP(F884,#REF!,10,FALSE),"")</f>
        <v/>
      </c>
      <c r="I884" s="952" t="str">
        <f t="shared" si="95"/>
        <v/>
      </c>
      <c r="J884" s="953"/>
      <c r="K884" s="1757"/>
      <c r="L884" s="1568"/>
      <c r="M884" s="1591"/>
      <c r="N884" s="954" t="str">
        <f t="shared" si="97"/>
        <v/>
      </c>
      <c r="O884" s="955"/>
      <c r="P884" s="850" t="str">
        <f>IFERROR(VLOOKUP(F884,#REF!,12,FALSE),"")</f>
        <v/>
      </c>
      <c r="Q884" s="851" t="s">
        <v>8</v>
      </c>
      <c r="R884" s="46" t="str">
        <f>IFERROR(VLOOKUP(F884,#REF!,14,FALSE),"")</f>
        <v/>
      </c>
      <c r="S884" s="47" t="str">
        <f t="shared" si="96"/>
        <v/>
      </c>
      <c r="U884" s="1728"/>
      <c r="V884" s="854">
        <f t="shared" si="94"/>
        <v>0</v>
      </c>
      <c r="W884" s="1767"/>
      <c r="X884" s="854"/>
    </row>
    <row r="885" spans="2:24" ht="16" thickBot="1" x14ac:dyDescent="0.25">
      <c r="B885" s="1656" t="e">
        <f>SUM(#REF!)</f>
        <v>#REF!</v>
      </c>
      <c r="C885" s="855">
        <v>43973</v>
      </c>
      <c r="D885" s="977">
        <v>69</v>
      </c>
      <c r="E885" s="978" t="s">
        <v>293</v>
      </c>
      <c r="F885" s="1497" t="s">
        <v>278</v>
      </c>
      <c r="G885" s="950">
        <v>4.3969907407407409E-2</v>
      </c>
      <c r="H885" s="951">
        <v>11.95</v>
      </c>
      <c r="I885" s="952">
        <f t="shared" si="95"/>
        <v>3.6794901596156832E-3</v>
      </c>
      <c r="J885" s="953">
        <v>144</v>
      </c>
      <c r="K885" s="1757"/>
      <c r="L885" s="1568">
        <v>222.8</v>
      </c>
      <c r="M885" s="1591"/>
      <c r="N885" s="954">
        <f t="shared" si="97"/>
        <v>1.0571625554237185</v>
      </c>
      <c r="O885" s="955" t="s">
        <v>295</v>
      </c>
      <c r="P885" s="850" t="str">
        <f>IFERROR(VLOOKUP(F885,#REF!,12,FALSE),"")</f>
        <v/>
      </c>
      <c r="Q885" s="851" t="s">
        <v>8</v>
      </c>
      <c r="R885" s="46" t="str">
        <f>IFERROR(VLOOKUP(F885,#REF!,14,FALSE),"")</f>
        <v/>
      </c>
      <c r="S885" s="47">
        <f t="shared" si="96"/>
        <v>1.5472222222222223</v>
      </c>
      <c r="U885" s="1728"/>
      <c r="V885" s="854">
        <f t="shared" si="94"/>
        <v>0</v>
      </c>
      <c r="W885" s="1767"/>
      <c r="X885" s="854"/>
    </row>
    <row r="886" spans="2:24" x14ac:dyDescent="0.2">
      <c r="B886" s="1657" t="s">
        <v>256</v>
      </c>
      <c r="C886" s="855">
        <v>43974</v>
      </c>
      <c r="D886" s="977">
        <v>70</v>
      </c>
      <c r="E886" s="978" t="s">
        <v>292</v>
      </c>
      <c r="F886" s="1497" t="s">
        <v>282</v>
      </c>
      <c r="G886" s="950">
        <v>4.6388888888888889E-2</v>
      </c>
      <c r="H886" s="951">
        <v>11.27</v>
      </c>
      <c r="I886" s="952">
        <f t="shared" si="95"/>
        <v>4.1161392093069116E-3</v>
      </c>
      <c r="J886" s="953">
        <v>135</v>
      </c>
      <c r="K886" s="1757"/>
      <c r="L886" s="1568">
        <v>199.5</v>
      </c>
      <c r="M886" s="1591"/>
      <c r="N886" s="954">
        <f t="shared" si="97"/>
        <v>1.0589413182534533</v>
      </c>
      <c r="O886" s="955" t="s">
        <v>253</v>
      </c>
      <c r="P886" s="850" t="str">
        <f>IFERROR(VLOOKUP(F886,#REF!,12,FALSE),"")</f>
        <v/>
      </c>
      <c r="Q886" s="851" t="s">
        <v>8</v>
      </c>
      <c r="R886" s="46" t="str">
        <f>IFERROR(VLOOKUP(F886,#REF!,14,FALSE),"")</f>
        <v/>
      </c>
      <c r="S886" s="47">
        <f t="shared" si="96"/>
        <v>1.4777777777777779</v>
      </c>
      <c r="U886" s="1728"/>
      <c r="V886" s="854">
        <f t="shared" si="94"/>
        <v>0</v>
      </c>
      <c r="W886" s="1767"/>
      <c r="X886" s="854"/>
    </row>
    <row r="887" spans="2:24" ht="16" thickBot="1" x14ac:dyDescent="0.25">
      <c r="B887" s="1658" t="e">
        <f>AVERAGE(#REF!)</f>
        <v>#REF!</v>
      </c>
      <c r="C887" s="1017">
        <v>43975</v>
      </c>
      <c r="D887" s="67">
        <v>71</v>
      </c>
      <c r="E887" s="208" t="s">
        <v>292</v>
      </c>
      <c r="F887" s="1498" t="s">
        <v>276</v>
      </c>
      <c r="G887" s="923">
        <v>8.4305555555555564E-2</v>
      </c>
      <c r="H887" s="924">
        <v>22.11</v>
      </c>
      <c r="I887" s="925">
        <f t="shared" si="95"/>
        <v>3.8130056786773209E-3</v>
      </c>
      <c r="J887" s="926">
        <v>140</v>
      </c>
      <c r="K887" s="1757"/>
      <c r="L887" s="1569">
        <v>214.7</v>
      </c>
      <c r="M887" s="1592"/>
      <c r="N887" s="172">
        <f t="shared" si="97"/>
        <v>1.055694931043561</v>
      </c>
      <c r="O887" s="927" t="s">
        <v>295</v>
      </c>
      <c r="P887" s="928" t="str">
        <f>IFERROR(VLOOKUP(F887,#REF!,12,FALSE),"")</f>
        <v/>
      </c>
      <c r="Q887" s="929" t="s">
        <v>8</v>
      </c>
      <c r="R887" s="64" t="str">
        <f>IFERROR(VLOOKUP(F887,#REF!,14,FALSE),"")</f>
        <v/>
      </c>
      <c r="S887" s="65">
        <f t="shared" si="96"/>
        <v>1.5335714285714286</v>
      </c>
      <c r="U887" s="1728"/>
      <c r="V887" s="1018">
        <f t="shared" si="94"/>
        <v>0</v>
      </c>
      <c r="W887" s="1768"/>
      <c r="X887" s="1018"/>
    </row>
    <row r="888" spans="2:24" ht="16" thickBot="1" x14ac:dyDescent="0.25">
      <c r="B888" s="1660">
        <f>B881+1</f>
        <v>22</v>
      </c>
      <c r="C888" s="193">
        <v>43976</v>
      </c>
      <c r="D888" s="70"/>
      <c r="E888" s="71"/>
      <c r="F888" s="1499"/>
      <c r="G888" s="559"/>
      <c r="H888" s="560" t="str">
        <f>IFERROR(VLOOKUP(F888,#REF!,10,FALSE),"")</f>
        <v/>
      </c>
      <c r="I888" s="338" t="str">
        <f t="shared" si="95"/>
        <v/>
      </c>
      <c r="J888" s="270"/>
      <c r="K888" s="1757"/>
      <c r="L888" s="270"/>
      <c r="M888" s="1593"/>
      <c r="N888" s="77" t="str">
        <f t="shared" si="97"/>
        <v/>
      </c>
      <c r="O888" s="561"/>
      <c r="P888" s="224" t="str">
        <f>IFERROR(VLOOKUP(F888,#REF!,12,FALSE),"")</f>
        <v/>
      </c>
      <c r="Q888" s="80" t="s">
        <v>8</v>
      </c>
      <c r="R888" s="80" t="str">
        <f>IFERROR(VLOOKUP(F888,#REF!,14,FALSE),"")</f>
        <v/>
      </c>
      <c r="S888" s="33" t="str">
        <f t="shared" si="96"/>
        <v/>
      </c>
      <c r="U888" s="1728"/>
      <c r="V888" s="225">
        <f t="shared" si="94"/>
        <v>0</v>
      </c>
      <c r="W888" s="1766"/>
      <c r="X888" s="225"/>
    </row>
    <row r="889" spans="2:24" x14ac:dyDescent="0.2">
      <c r="B889" s="1653" t="s">
        <v>142</v>
      </c>
      <c r="C889" s="161">
        <v>43977</v>
      </c>
      <c r="D889" s="715">
        <v>72</v>
      </c>
      <c r="E889" s="716" t="s">
        <v>293</v>
      </c>
      <c r="F889" s="1497" t="s">
        <v>277</v>
      </c>
      <c r="G889" s="717">
        <v>4.2094907407407407E-2</v>
      </c>
      <c r="H889" s="718">
        <v>10.79</v>
      </c>
      <c r="I889" s="781">
        <f t="shared" si="95"/>
        <v>3.9012889163491577E-3</v>
      </c>
      <c r="J889" s="721">
        <v>129</v>
      </c>
      <c r="K889" s="1757"/>
      <c r="L889" s="1568">
        <v>212</v>
      </c>
      <c r="M889" s="1591"/>
      <c r="N889" s="722">
        <f t="shared" si="97"/>
        <v>1.0665541615370784</v>
      </c>
      <c r="O889" s="723" t="s">
        <v>259</v>
      </c>
      <c r="P889" s="654" t="str">
        <f>IFERROR(VLOOKUP(F889,#REF!,12,FALSE),"")</f>
        <v/>
      </c>
      <c r="Q889" s="655" t="s">
        <v>8</v>
      </c>
      <c r="R889" s="46" t="str">
        <f>IFERROR(VLOOKUP(F889,#REF!,14,FALSE),"")</f>
        <v/>
      </c>
      <c r="S889" s="47">
        <f t="shared" si="96"/>
        <v>1.6434108527131783</v>
      </c>
      <c r="U889" s="1728"/>
      <c r="V889" s="48">
        <f t="shared" si="94"/>
        <v>0</v>
      </c>
      <c r="W889" s="1767"/>
      <c r="X889" s="48"/>
    </row>
    <row r="890" spans="2:24" ht="16" thickBot="1" x14ac:dyDescent="0.25">
      <c r="B890" s="1654">
        <f>SUM(H888:H894)</f>
        <v>35.18</v>
      </c>
      <c r="C890" s="161">
        <v>43978</v>
      </c>
      <c r="D890" s="715"/>
      <c r="E890" s="716"/>
      <c r="F890" s="1497"/>
      <c r="G890" s="717"/>
      <c r="H890" s="718" t="str">
        <f>IFERROR(VLOOKUP(F890,#REF!,10,FALSE),"")</f>
        <v/>
      </c>
      <c r="I890" s="781" t="str">
        <f t="shared" si="95"/>
        <v/>
      </c>
      <c r="J890" s="721"/>
      <c r="K890" s="1757"/>
      <c r="L890" s="1568"/>
      <c r="M890" s="1591"/>
      <c r="N890" s="722" t="str">
        <f t="shared" si="97"/>
        <v/>
      </c>
      <c r="O890" s="723"/>
      <c r="P890" s="654" t="str">
        <f>IFERROR(VLOOKUP(F890,#REF!,12,FALSE),"")</f>
        <v/>
      </c>
      <c r="Q890" s="655" t="s">
        <v>8</v>
      </c>
      <c r="R890" s="46" t="str">
        <f>IFERROR(VLOOKUP(F890,#REF!,14,FALSE),"")</f>
        <v/>
      </c>
      <c r="S890" s="47" t="str">
        <f t="shared" si="96"/>
        <v/>
      </c>
      <c r="U890" s="1728"/>
      <c r="V890" s="48">
        <f t="shared" ref="V890:V953" si="99">U889-T889</f>
        <v>0</v>
      </c>
      <c r="W890" s="1767"/>
      <c r="X890" s="48"/>
    </row>
    <row r="891" spans="2:24" x14ac:dyDescent="0.2">
      <c r="B891" s="1655" t="s">
        <v>144</v>
      </c>
      <c r="C891" s="161">
        <v>43979</v>
      </c>
      <c r="D891" s="715">
        <v>73</v>
      </c>
      <c r="E891" s="716" t="s">
        <v>293</v>
      </c>
      <c r="F891" s="1497" t="s">
        <v>285</v>
      </c>
      <c r="G891" s="717">
        <v>3.4976851851851849E-2</v>
      </c>
      <c r="H891" s="718">
        <v>9.8800000000000008</v>
      </c>
      <c r="I891" s="781">
        <f t="shared" si="95"/>
        <v>3.5401671914829804E-3</v>
      </c>
      <c r="J891" s="721">
        <v>141</v>
      </c>
      <c r="K891" s="1757"/>
      <c r="L891" s="1568">
        <v>231.8</v>
      </c>
      <c r="M891" s="1591"/>
      <c r="N891" s="722">
        <f t="shared" si="97"/>
        <v>1.0582204362801375</v>
      </c>
      <c r="O891" s="723" t="s">
        <v>259</v>
      </c>
      <c r="P891" s="654" t="str">
        <f>IFERROR(VLOOKUP(F891,#REF!,12,FALSE),"")</f>
        <v/>
      </c>
      <c r="Q891" s="655" t="s">
        <v>8</v>
      </c>
      <c r="R891" s="46" t="str">
        <f>IFERROR(VLOOKUP(F891,#REF!,14,FALSE),"")</f>
        <v/>
      </c>
      <c r="S891" s="47">
        <f t="shared" si="96"/>
        <v>1.6439716312056738</v>
      </c>
      <c r="U891" s="1728"/>
      <c r="V891" s="48">
        <f t="shared" si="99"/>
        <v>0</v>
      </c>
      <c r="W891" s="1767"/>
      <c r="X891" s="48"/>
    </row>
    <row r="892" spans="2:24" ht="16" thickBot="1" x14ac:dyDescent="0.25">
      <c r="B892" s="1656" t="e">
        <f>SUM(#REF!)</f>
        <v>#REF!</v>
      </c>
      <c r="C892" s="161">
        <v>43980</v>
      </c>
      <c r="D892" s="715"/>
      <c r="E892" s="716"/>
      <c r="F892" s="1497"/>
      <c r="G892" s="717"/>
      <c r="H892" s="718" t="str">
        <f>IFERROR(VLOOKUP(F892,#REF!,10,FALSE),"")</f>
        <v/>
      </c>
      <c r="I892" s="781" t="str">
        <f t="shared" si="95"/>
        <v/>
      </c>
      <c r="J892" s="721"/>
      <c r="K892" s="1757"/>
      <c r="L892" s="1568"/>
      <c r="M892" s="1591"/>
      <c r="N892" s="722" t="str">
        <f t="shared" si="97"/>
        <v/>
      </c>
      <c r="O892" s="723"/>
      <c r="P892" s="654" t="str">
        <f>IFERROR(VLOOKUP(F892,#REF!,12,FALSE),"")</f>
        <v/>
      </c>
      <c r="Q892" s="655" t="s">
        <v>8</v>
      </c>
      <c r="R892" s="46" t="str">
        <f>IFERROR(VLOOKUP(F892,#REF!,14,FALSE),"")</f>
        <v/>
      </c>
      <c r="S892" s="47" t="str">
        <f t="shared" si="96"/>
        <v/>
      </c>
      <c r="U892" s="1728"/>
      <c r="V892" s="48">
        <f t="shared" si="99"/>
        <v>0</v>
      </c>
      <c r="W892" s="1767"/>
      <c r="X892" s="48"/>
    </row>
    <row r="893" spans="2:24" x14ac:dyDescent="0.2">
      <c r="B893" s="1657" t="s">
        <v>256</v>
      </c>
      <c r="C893" s="161">
        <v>43981</v>
      </c>
      <c r="D893" s="715">
        <v>74</v>
      </c>
      <c r="E893" s="716" t="s">
        <v>293</v>
      </c>
      <c r="F893" s="1497" t="s">
        <v>271</v>
      </c>
      <c r="G893" s="717">
        <v>5.5821759259259258E-2</v>
      </c>
      <c r="H893" s="718">
        <v>14.51</v>
      </c>
      <c r="I893" s="781">
        <f t="shared" si="95"/>
        <v>3.8471233121474334E-3</v>
      </c>
      <c r="J893" s="721">
        <v>133</v>
      </c>
      <c r="K893" s="1757"/>
      <c r="L893" s="1568">
        <v>215.4</v>
      </c>
      <c r="M893" s="1591"/>
      <c r="N893" s="722">
        <f t="shared" si="97"/>
        <v>1.0686137198226648</v>
      </c>
      <c r="O893" s="723" t="s">
        <v>295</v>
      </c>
      <c r="P893" s="654" t="str">
        <f>IFERROR(VLOOKUP(F893,#REF!,12,FALSE),"")</f>
        <v/>
      </c>
      <c r="Q893" s="655" t="s">
        <v>8</v>
      </c>
      <c r="R893" s="46" t="str">
        <f>IFERROR(VLOOKUP(F893,#REF!,14,FALSE),"")</f>
        <v/>
      </c>
      <c r="S893" s="47">
        <f t="shared" si="96"/>
        <v>1.6195488721804512</v>
      </c>
      <c r="U893" s="1728"/>
      <c r="V893" s="48">
        <f t="shared" si="99"/>
        <v>0</v>
      </c>
      <c r="W893" s="1767"/>
      <c r="X893" s="48"/>
    </row>
    <row r="894" spans="2:24" ht="16" thickBot="1" x14ac:dyDescent="0.25">
      <c r="B894" s="1658" t="e">
        <f>AVERAGE(#REF!)</f>
        <v>#REF!</v>
      </c>
      <c r="C894" s="1019">
        <v>43982</v>
      </c>
      <c r="D894" s="852"/>
      <c r="E894" s="1020"/>
      <c r="F894" s="1498"/>
      <c r="G894" s="939"/>
      <c r="H894" s="940" t="str">
        <f>IFERROR(VLOOKUP(F894,#REF!,10,FALSE),"")</f>
        <v/>
      </c>
      <c r="I894" s="941" t="str">
        <f t="shared" si="95"/>
        <v/>
      </c>
      <c r="J894" s="942"/>
      <c r="K894" s="1757"/>
      <c r="L894" s="1570"/>
      <c r="M894" s="1594"/>
      <c r="N894" s="943" t="str">
        <f t="shared" si="97"/>
        <v/>
      </c>
      <c r="O894" s="944"/>
      <c r="P894" s="879" t="str">
        <f>IFERROR(VLOOKUP(F894,#REF!,12,FALSE),"")</f>
        <v/>
      </c>
      <c r="Q894" s="107" t="s">
        <v>8</v>
      </c>
      <c r="R894" s="107" t="str">
        <f>IFERROR(VLOOKUP(F894,#REF!,14,FALSE),"")</f>
        <v/>
      </c>
      <c r="S894" s="65" t="str">
        <f t="shared" si="96"/>
        <v/>
      </c>
      <c r="U894" s="1728"/>
      <c r="V894" s="853">
        <f t="shared" si="99"/>
        <v>0</v>
      </c>
      <c r="W894" s="1768"/>
      <c r="X894" s="853"/>
    </row>
    <row r="895" spans="2:24" ht="16" thickBot="1" x14ac:dyDescent="0.25">
      <c r="B895" s="1660">
        <f>B888+1</f>
        <v>23</v>
      </c>
      <c r="C895" s="1015">
        <v>43983</v>
      </c>
      <c r="D895" s="914">
        <v>75</v>
      </c>
      <c r="E895" s="915" t="s">
        <v>293</v>
      </c>
      <c r="F895" s="1499" t="s">
        <v>278</v>
      </c>
      <c r="G895" s="1021">
        <v>3.5960648148148151E-2</v>
      </c>
      <c r="H895" s="884">
        <v>9.49</v>
      </c>
      <c r="I895" s="885">
        <f t="shared" si="95"/>
        <v>3.7893201420598683E-3</v>
      </c>
      <c r="J895" s="886">
        <v>132</v>
      </c>
      <c r="K895" s="1757"/>
      <c r="L895" s="792">
        <v>216.1</v>
      </c>
      <c r="M895" s="1595"/>
      <c r="N895" s="887">
        <f t="shared" si="97"/>
        <v>1.0559783275403805</v>
      </c>
      <c r="O895" s="888" t="s">
        <v>253</v>
      </c>
      <c r="P895" s="889" t="str">
        <f>IFERROR(VLOOKUP(F895,#REF!,12,FALSE),"")</f>
        <v/>
      </c>
      <c r="Q895" s="32" t="s">
        <v>8</v>
      </c>
      <c r="R895" s="32" t="str">
        <f>IFERROR(VLOOKUP(F895,#REF!,14,FALSE),"")</f>
        <v/>
      </c>
      <c r="S895" s="33">
        <f t="shared" si="96"/>
        <v>1.637121212121212</v>
      </c>
      <c r="U895" s="1728"/>
      <c r="V895" s="881">
        <f t="shared" si="99"/>
        <v>0</v>
      </c>
      <c r="W895" s="1766"/>
      <c r="X895" s="881"/>
    </row>
    <row r="896" spans="2:24" x14ac:dyDescent="0.2">
      <c r="B896" s="1653" t="s">
        <v>142</v>
      </c>
      <c r="C896" s="1016">
        <v>43984</v>
      </c>
      <c r="D896" s="1022"/>
      <c r="E896" s="1023"/>
      <c r="F896" s="1497"/>
      <c r="G896" s="1024"/>
      <c r="H896" s="951" t="str">
        <f>IFERROR(VLOOKUP(F896,#REF!,10,FALSE),"")</f>
        <v/>
      </c>
      <c r="I896" s="952" t="str">
        <f t="shared" si="95"/>
        <v/>
      </c>
      <c r="J896" s="953"/>
      <c r="K896" s="1757"/>
      <c r="L896" s="1568"/>
      <c r="M896" s="1591"/>
      <c r="N896" s="848" t="str">
        <f t="shared" si="97"/>
        <v/>
      </c>
      <c r="O896" s="955"/>
      <c r="P896" s="850" t="str">
        <f>IFERROR(VLOOKUP(F896,#REF!,12,FALSE),"")</f>
        <v/>
      </c>
      <c r="Q896" s="851" t="s">
        <v>8</v>
      </c>
      <c r="R896" s="46" t="str">
        <f>IFERROR(VLOOKUP(F896,#REF!,14,FALSE),"")</f>
        <v/>
      </c>
      <c r="S896" s="47" t="str">
        <f t="shared" si="96"/>
        <v/>
      </c>
      <c r="U896" s="1728"/>
      <c r="V896" s="854">
        <f t="shared" si="99"/>
        <v>0</v>
      </c>
      <c r="W896" s="1767"/>
      <c r="X896" s="854"/>
    </row>
    <row r="897" spans="2:24" ht="16" thickBot="1" x14ac:dyDescent="0.25">
      <c r="B897" s="1654">
        <f>SUM(H895:H901)</f>
        <v>54.41</v>
      </c>
      <c r="C897" s="855">
        <v>43985</v>
      </c>
      <c r="D897" s="1022">
        <v>76</v>
      </c>
      <c r="E897" s="1023" t="s">
        <v>292</v>
      </c>
      <c r="F897" s="1497" t="s">
        <v>278</v>
      </c>
      <c r="G897" s="1024">
        <v>3.8842592592592588E-2</v>
      </c>
      <c r="H897" s="951">
        <v>10.56</v>
      </c>
      <c r="I897" s="952">
        <f t="shared" si="95"/>
        <v>3.6782758136924797E-3</v>
      </c>
      <c r="J897" s="953">
        <v>138</v>
      </c>
      <c r="K897" s="1757"/>
      <c r="L897" s="1568">
        <v>221.1</v>
      </c>
      <c r="M897" s="1591"/>
      <c r="N897" s="848">
        <f t="shared" si="97"/>
        <v>1.0487499999999998</v>
      </c>
      <c r="O897" s="955" t="s">
        <v>259</v>
      </c>
      <c r="P897" s="850" t="str">
        <f>IFERROR(VLOOKUP(F897,#REF!,12,FALSE),"")</f>
        <v/>
      </c>
      <c r="Q897" s="851" t="s">
        <v>8</v>
      </c>
      <c r="R897" s="46" t="str">
        <f>IFERROR(VLOOKUP(F897,#REF!,14,FALSE),"")</f>
        <v/>
      </c>
      <c r="S897" s="47">
        <f t="shared" si="96"/>
        <v>1.6021739130434782</v>
      </c>
      <c r="U897" s="1728"/>
      <c r="V897" s="854">
        <f t="shared" si="99"/>
        <v>0</v>
      </c>
      <c r="W897" s="1767"/>
      <c r="X897" s="854"/>
    </row>
    <row r="898" spans="2:24" x14ac:dyDescent="0.2">
      <c r="B898" s="1655" t="s">
        <v>144</v>
      </c>
      <c r="C898" s="855">
        <v>43986</v>
      </c>
      <c r="D898" s="1022"/>
      <c r="E898" s="1023"/>
      <c r="F898" s="1497"/>
      <c r="G898" s="1024"/>
      <c r="H898" s="951" t="str">
        <f>IFERROR(VLOOKUP(F898,#REF!,10,FALSE),"")</f>
        <v/>
      </c>
      <c r="I898" s="952" t="str">
        <f t="shared" si="95"/>
        <v/>
      </c>
      <c r="J898" s="953"/>
      <c r="K898" s="1757"/>
      <c r="L898" s="1568"/>
      <c r="M898" s="1591"/>
      <c r="N898" s="848" t="str">
        <f t="shared" si="97"/>
        <v/>
      </c>
      <c r="O898" s="955"/>
      <c r="P898" s="850" t="str">
        <f>IFERROR(VLOOKUP(F898,#REF!,12,FALSE),"")</f>
        <v/>
      </c>
      <c r="Q898" s="851" t="s">
        <v>8</v>
      </c>
      <c r="R898" s="46" t="str">
        <f>IFERROR(VLOOKUP(F898,#REF!,14,FALSE),"")</f>
        <v/>
      </c>
      <c r="S898" s="47" t="str">
        <f t="shared" si="96"/>
        <v/>
      </c>
      <c r="U898" s="1728"/>
      <c r="V898" s="854">
        <f t="shared" si="99"/>
        <v>0</v>
      </c>
      <c r="W898" s="1767"/>
      <c r="X898" s="854"/>
    </row>
    <row r="899" spans="2:24" ht="16" thickBot="1" x14ac:dyDescent="0.25">
      <c r="B899" s="1656" t="e">
        <f>SUM(#REF!)</f>
        <v>#REF!</v>
      </c>
      <c r="C899" s="855">
        <v>43987</v>
      </c>
      <c r="D899" s="1022">
        <v>77</v>
      </c>
      <c r="E899" s="1023" t="s">
        <v>292</v>
      </c>
      <c r="F899" s="1497" t="s">
        <v>278</v>
      </c>
      <c r="G899" s="1024">
        <v>4.3819444444444446E-2</v>
      </c>
      <c r="H899" s="951">
        <v>11.41</v>
      </c>
      <c r="I899" s="952">
        <f t="shared" si="95"/>
        <v>3.8404421073132732E-3</v>
      </c>
      <c r="J899" s="953">
        <v>139</v>
      </c>
      <c r="K899" s="1757"/>
      <c r="L899" s="1568">
        <v>214.3</v>
      </c>
      <c r="M899" s="1591"/>
      <c r="N899" s="848">
        <f t="shared" si="97"/>
        <v>1.0613101887582248</v>
      </c>
      <c r="O899" s="955" t="s">
        <v>295</v>
      </c>
      <c r="P899" s="850" t="str">
        <f>IFERROR(VLOOKUP(F899,#REF!,12,FALSE),"")</f>
        <v/>
      </c>
      <c r="Q899" s="851" t="s">
        <v>8</v>
      </c>
      <c r="R899" s="46" t="str">
        <f>IFERROR(VLOOKUP(F899,#REF!,14,FALSE),"")</f>
        <v/>
      </c>
      <c r="S899" s="47">
        <f t="shared" si="96"/>
        <v>1.541726618705036</v>
      </c>
      <c r="U899" s="1728"/>
      <c r="V899" s="854">
        <f t="shared" si="99"/>
        <v>0</v>
      </c>
      <c r="W899" s="1767"/>
      <c r="X899" s="854"/>
    </row>
    <row r="900" spans="2:24" x14ac:dyDescent="0.2">
      <c r="B900" s="1657" t="s">
        <v>256</v>
      </c>
      <c r="C900" s="855">
        <v>43988</v>
      </c>
      <c r="D900" s="1022"/>
      <c r="E900" s="1023"/>
      <c r="F900" s="1497"/>
      <c r="G900" s="1024"/>
      <c r="H900" s="951" t="str">
        <f>IFERROR(VLOOKUP(F900,#REF!,10,FALSE),"")</f>
        <v/>
      </c>
      <c r="I900" s="952" t="str">
        <f t="shared" si="95"/>
        <v/>
      </c>
      <c r="J900" s="953"/>
      <c r="K900" s="1757"/>
      <c r="L900" s="1568"/>
      <c r="M900" s="1591"/>
      <c r="N900" s="848" t="str">
        <f t="shared" si="97"/>
        <v/>
      </c>
      <c r="O900" s="955"/>
      <c r="P900" s="850" t="str">
        <f>IFERROR(VLOOKUP(F900,#REF!,12,FALSE),"")</f>
        <v/>
      </c>
      <c r="Q900" s="851" t="s">
        <v>8</v>
      </c>
      <c r="R900" s="46" t="str">
        <f>IFERROR(VLOOKUP(F900,#REF!,14,FALSE),"")</f>
        <v/>
      </c>
      <c r="S900" s="47" t="str">
        <f t="shared" si="96"/>
        <v/>
      </c>
      <c r="U900" s="1728"/>
      <c r="V900" s="854">
        <f t="shared" si="99"/>
        <v>0</v>
      </c>
      <c r="W900" s="1767"/>
      <c r="X900" s="854"/>
    </row>
    <row r="901" spans="2:24" ht="16" thickBot="1" x14ac:dyDescent="0.25">
      <c r="B901" s="1658" t="e">
        <f>AVERAGE(#REF!)</f>
        <v>#REF!</v>
      </c>
      <c r="C901" s="856">
        <v>43989</v>
      </c>
      <c r="D901" s="1025">
        <v>78</v>
      </c>
      <c r="E901" s="1026" t="s">
        <v>292</v>
      </c>
      <c r="F901" s="1498" t="s">
        <v>276</v>
      </c>
      <c r="G901" s="1027">
        <v>8.7037037037037038E-2</v>
      </c>
      <c r="H901" s="902">
        <v>22.95</v>
      </c>
      <c r="I901" s="903">
        <f t="shared" si="95"/>
        <v>3.7924634874525942E-3</v>
      </c>
      <c r="J901" s="904">
        <v>139</v>
      </c>
      <c r="K901" s="1757"/>
      <c r="L901" s="1569">
        <v>216.9</v>
      </c>
      <c r="M901" s="1592"/>
      <c r="N901" s="172">
        <f t="shared" si="97"/>
        <v>1.0607667544629791</v>
      </c>
      <c r="O901" s="905" t="s">
        <v>295</v>
      </c>
      <c r="P901" s="710" t="str">
        <f>IFERROR(VLOOKUP(F901,#REF!,12,FALSE),"")</f>
        <v/>
      </c>
      <c r="Q901" s="711" t="s">
        <v>8</v>
      </c>
      <c r="R901" s="64" t="str">
        <f>IFERROR(VLOOKUP(F901,#REF!,14,FALSE),"")</f>
        <v/>
      </c>
      <c r="S901" s="65">
        <f t="shared" si="96"/>
        <v>1.5604316546762591</v>
      </c>
      <c r="U901" s="1728"/>
      <c r="V901" s="862">
        <f t="shared" si="99"/>
        <v>0</v>
      </c>
      <c r="W901" s="1768"/>
      <c r="X901" s="862"/>
    </row>
    <row r="902" spans="2:24" ht="16" thickBot="1" x14ac:dyDescent="0.25">
      <c r="B902" s="1660">
        <f>B895+1</f>
        <v>24</v>
      </c>
      <c r="C902" s="193">
        <v>43990</v>
      </c>
      <c r="D902" s="225"/>
      <c r="E902" s="337"/>
      <c r="F902" s="1499"/>
      <c r="G902" s="559"/>
      <c r="H902" s="560" t="str">
        <f>IFERROR(VLOOKUP(F902,#REF!,10,FALSE),"")</f>
        <v/>
      </c>
      <c r="I902" s="338" t="str">
        <f t="shared" si="95"/>
        <v/>
      </c>
      <c r="J902" s="270"/>
      <c r="K902" s="1757"/>
      <c r="L902" s="270"/>
      <c r="M902" s="1593"/>
      <c r="N902" s="77" t="str">
        <f t="shared" si="97"/>
        <v/>
      </c>
      <c r="O902" s="561"/>
      <c r="P902" s="224" t="str">
        <f>IFERROR(VLOOKUP(F902,#REF!,12,FALSE),"")</f>
        <v/>
      </c>
      <c r="Q902" s="80" t="s">
        <v>8</v>
      </c>
      <c r="R902" s="80" t="str">
        <f>IFERROR(VLOOKUP(F902,#REF!,14,FALSE),"")</f>
        <v/>
      </c>
      <c r="S902" s="33" t="str">
        <f t="shared" si="96"/>
        <v/>
      </c>
      <c r="U902" s="1728"/>
      <c r="V902" s="225">
        <f t="shared" si="99"/>
        <v>0</v>
      </c>
      <c r="W902" s="1766"/>
      <c r="X902" s="225"/>
    </row>
    <row r="903" spans="2:24" x14ac:dyDescent="0.2">
      <c r="B903" s="1653" t="s">
        <v>142</v>
      </c>
      <c r="C903" s="161">
        <v>43991</v>
      </c>
      <c r="D903" s="1022">
        <v>79</v>
      </c>
      <c r="E903" s="1023" t="s">
        <v>293</v>
      </c>
      <c r="F903" s="1497" t="s">
        <v>288</v>
      </c>
      <c r="G903" s="717">
        <v>4.9826388888888885E-2</v>
      </c>
      <c r="H903" s="718">
        <v>15.08</v>
      </c>
      <c r="I903" s="781">
        <f t="shared" si="95"/>
        <v>3.3041371942234008E-3</v>
      </c>
      <c r="J903" s="721">
        <v>153</v>
      </c>
      <c r="K903" s="1757"/>
      <c r="L903" s="1568">
        <v>245</v>
      </c>
      <c r="M903" s="1591"/>
      <c r="N903" s="722">
        <f t="shared" si="97"/>
        <v>1.0439100914525516</v>
      </c>
      <c r="O903" s="723" t="s">
        <v>280</v>
      </c>
      <c r="P903" s="654" t="str">
        <f>IFERROR(VLOOKUP(F903,#REF!,12,FALSE),"")</f>
        <v/>
      </c>
      <c r="Q903" s="655" t="s">
        <v>8</v>
      </c>
      <c r="R903" s="46" t="str">
        <f>IFERROR(VLOOKUP(F903,#REF!,14,FALSE),"")</f>
        <v/>
      </c>
      <c r="S903" s="47">
        <f t="shared" si="96"/>
        <v>1.6013071895424837</v>
      </c>
      <c r="U903" s="1728"/>
      <c r="V903" s="48">
        <f t="shared" si="99"/>
        <v>0</v>
      </c>
      <c r="W903" s="1767"/>
      <c r="X903" s="48"/>
    </row>
    <row r="904" spans="2:24" ht="16" thickBot="1" x14ac:dyDescent="0.25">
      <c r="B904" s="1654">
        <f>SUM(H902:H908)</f>
        <v>57.16</v>
      </c>
      <c r="C904" s="161">
        <v>43992</v>
      </c>
      <c r="D904" s="1022"/>
      <c r="E904" s="1023"/>
      <c r="F904" s="1497"/>
      <c r="G904" s="717"/>
      <c r="H904" s="718" t="str">
        <f>IFERROR(VLOOKUP(F904,#REF!,10,FALSE),"")</f>
        <v/>
      </c>
      <c r="I904" s="781" t="str">
        <f t="shared" si="95"/>
        <v/>
      </c>
      <c r="J904" s="721"/>
      <c r="K904" s="1757"/>
      <c r="L904" s="1568"/>
      <c r="M904" s="1591"/>
      <c r="N904" s="722" t="str">
        <f t="shared" si="97"/>
        <v/>
      </c>
      <c r="O904" s="723"/>
      <c r="P904" s="654" t="str">
        <f>IFERROR(VLOOKUP(F904,#REF!,12,FALSE),"")</f>
        <v/>
      </c>
      <c r="Q904" s="655" t="s">
        <v>8</v>
      </c>
      <c r="R904" s="46" t="str">
        <f>IFERROR(VLOOKUP(F904,#REF!,14,FALSE),"")</f>
        <v/>
      </c>
      <c r="S904" s="47" t="str">
        <f t="shared" si="96"/>
        <v/>
      </c>
      <c r="U904" s="1728"/>
      <c r="V904" s="48">
        <f t="shared" si="99"/>
        <v>0</v>
      </c>
      <c r="W904" s="1767"/>
      <c r="X904" s="48"/>
    </row>
    <row r="905" spans="2:24" x14ac:dyDescent="0.2">
      <c r="B905" s="1655" t="s">
        <v>144</v>
      </c>
      <c r="C905" s="161">
        <v>43993</v>
      </c>
      <c r="D905" s="1022">
        <v>80</v>
      </c>
      <c r="E905" s="1023" t="s">
        <v>293</v>
      </c>
      <c r="F905" s="1497" t="s">
        <v>278</v>
      </c>
      <c r="G905" s="717">
        <v>4.6354166666666669E-2</v>
      </c>
      <c r="H905" s="718">
        <v>12.22</v>
      </c>
      <c r="I905" s="781">
        <f t="shared" si="95"/>
        <v>3.7933033278777957E-3</v>
      </c>
      <c r="J905" s="721">
        <v>143</v>
      </c>
      <c r="K905" s="1757"/>
      <c r="L905" s="1568">
        <v>217.8</v>
      </c>
      <c r="M905" s="1591"/>
      <c r="N905" s="722">
        <f t="shared" si="97"/>
        <v>1.0654041576080318</v>
      </c>
      <c r="O905" s="723" t="s">
        <v>253</v>
      </c>
      <c r="P905" s="654" t="str">
        <f>IFERROR(VLOOKUP(F905,#REF!,12,FALSE),"")</f>
        <v/>
      </c>
      <c r="Q905" s="655" t="s">
        <v>8</v>
      </c>
      <c r="R905" s="46" t="str">
        <f>IFERROR(VLOOKUP(F905,#REF!,14,FALSE),"")</f>
        <v/>
      </c>
      <c r="S905" s="47">
        <f t="shared" si="96"/>
        <v>1.5230769230769232</v>
      </c>
      <c r="U905" s="1728"/>
      <c r="V905" s="48">
        <f t="shared" si="99"/>
        <v>0</v>
      </c>
      <c r="W905" s="1767"/>
      <c r="X905" s="48"/>
    </row>
    <row r="906" spans="2:24" ht="16" thickBot="1" x14ac:dyDescent="0.25">
      <c r="B906" s="1656" t="e">
        <f>SUM(#REF!)</f>
        <v>#REF!</v>
      </c>
      <c r="C906" s="161">
        <v>43994</v>
      </c>
      <c r="D906" s="1022">
        <v>81</v>
      </c>
      <c r="E906" s="1023" t="s">
        <v>293</v>
      </c>
      <c r="F906" s="1497" t="s">
        <v>282</v>
      </c>
      <c r="G906" s="717">
        <v>3.3958333333333333E-2</v>
      </c>
      <c r="H906" s="718">
        <v>8.3800000000000008</v>
      </c>
      <c r="I906" s="781">
        <f t="shared" si="95"/>
        <v>4.0523070803500398E-3</v>
      </c>
      <c r="J906" s="721">
        <v>130</v>
      </c>
      <c r="K906" s="1757"/>
      <c r="L906" s="1568">
        <v>204.1</v>
      </c>
      <c r="M906" s="1591"/>
      <c r="N906" s="722">
        <f t="shared" si="97"/>
        <v>1.0665575463968937</v>
      </c>
      <c r="O906" s="723" t="s">
        <v>259</v>
      </c>
      <c r="P906" s="654" t="str">
        <f>IFERROR(VLOOKUP(F906,#REF!,12,FALSE),"")</f>
        <v/>
      </c>
      <c r="Q906" s="655" t="s">
        <v>8</v>
      </c>
      <c r="R906" s="46" t="str">
        <f>IFERROR(VLOOKUP(F906,#REF!,14,FALSE),"")</f>
        <v/>
      </c>
      <c r="S906" s="47">
        <f t="shared" si="96"/>
        <v>1.57</v>
      </c>
      <c r="U906" s="1728"/>
      <c r="V906" s="48">
        <f t="shared" si="99"/>
        <v>0</v>
      </c>
      <c r="W906" s="1767"/>
      <c r="X906" s="48"/>
    </row>
    <row r="907" spans="2:24" x14ac:dyDescent="0.2">
      <c r="B907" s="1657" t="s">
        <v>256</v>
      </c>
      <c r="C907" s="161">
        <v>43995</v>
      </c>
      <c r="D907" s="1022"/>
      <c r="E907" s="1023"/>
      <c r="F907" s="1497"/>
      <c r="G907" s="717"/>
      <c r="H907" s="718" t="str">
        <f>IFERROR(VLOOKUP(F907,#REF!,10,FALSE),"")</f>
        <v/>
      </c>
      <c r="I907" s="781" t="str">
        <f t="shared" si="95"/>
        <v/>
      </c>
      <c r="J907" s="721"/>
      <c r="K907" s="1757"/>
      <c r="L907" s="1568"/>
      <c r="M907" s="1591"/>
      <c r="N907" s="722" t="str">
        <f t="shared" si="97"/>
        <v/>
      </c>
      <c r="O907" s="723"/>
      <c r="P907" s="654" t="str">
        <f>IFERROR(VLOOKUP(F907,#REF!,12,FALSE),"")</f>
        <v/>
      </c>
      <c r="Q907" s="655" t="s">
        <v>8</v>
      </c>
      <c r="R907" s="46" t="str">
        <f>IFERROR(VLOOKUP(F907,#REF!,14,FALSE),"")</f>
        <v/>
      </c>
      <c r="S907" s="47" t="str">
        <f t="shared" si="96"/>
        <v/>
      </c>
      <c r="U907" s="1728"/>
      <c r="V907" s="48">
        <f t="shared" si="99"/>
        <v>0</v>
      </c>
      <c r="W907" s="1767"/>
      <c r="X907" s="48"/>
    </row>
    <row r="908" spans="2:24" ht="16" thickBot="1" x14ac:dyDescent="0.25">
      <c r="B908" s="1658" t="e">
        <f>AVERAGE(#REF!)</f>
        <v>#REF!</v>
      </c>
      <c r="C908" s="1019">
        <v>43996</v>
      </c>
      <c r="D908" s="1028">
        <v>82</v>
      </c>
      <c r="E908" s="1029" t="s">
        <v>292</v>
      </c>
      <c r="F908" s="1498" t="s">
        <v>276</v>
      </c>
      <c r="G908" s="939">
        <v>8.3379629629629637E-2</v>
      </c>
      <c r="H908" s="940">
        <v>21.48</v>
      </c>
      <c r="I908" s="941">
        <f t="shared" si="95"/>
        <v>3.8817332229808955E-3</v>
      </c>
      <c r="J908" s="942">
        <v>140</v>
      </c>
      <c r="K908" s="1757"/>
      <c r="L908" s="1570">
        <v>211.7</v>
      </c>
      <c r="M908" s="1594"/>
      <c r="N908" s="943">
        <f t="shared" si="97"/>
        <v>1.0597062175157732</v>
      </c>
      <c r="O908" s="944" t="s">
        <v>295</v>
      </c>
      <c r="P908" s="879" t="str">
        <f>IFERROR(VLOOKUP(F908,#REF!,12,FALSE),"")</f>
        <v/>
      </c>
      <c r="Q908" s="107" t="s">
        <v>8</v>
      </c>
      <c r="R908" s="107" t="str">
        <f>IFERROR(VLOOKUP(F908,#REF!,14,FALSE),"")</f>
        <v/>
      </c>
      <c r="S908" s="65">
        <f t="shared" si="96"/>
        <v>1.512142857142857</v>
      </c>
      <c r="U908" s="1728"/>
      <c r="V908" s="853">
        <f t="shared" si="99"/>
        <v>0</v>
      </c>
      <c r="W908" s="1768"/>
      <c r="X908" s="853"/>
    </row>
    <row r="909" spans="2:24" ht="16" thickBot="1" x14ac:dyDescent="0.25">
      <c r="B909" s="1660">
        <f>B902+1</f>
        <v>25</v>
      </c>
      <c r="C909" s="1015">
        <v>43997</v>
      </c>
      <c r="D909" s="914"/>
      <c r="E909" s="915"/>
      <c r="F909" s="1499"/>
      <c r="G909" s="1030"/>
      <c r="H909" s="884" t="str">
        <f>IFERROR(VLOOKUP(F909,#REF!,10,FALSE),"")</f>
        <v/>
      </c>
      <c r="I909" s="885" t="str">
        <f t="shared" si="95"/>
        <v/>
      </c>
      <c r="J909" s="886"/>
      <c r="K909" s="1757"/>
      <c r="L909" s="792"/>
      <c r="M909" s="1595"/>
      <c r="N909" s="887" t="str">
        <f t="shared" si="97"/>
        <v/>
      </c>
      <c r="O909" s="888"/>
      <c r="P909" s="889" t="str">
        <f>IFERROR(VLOOKUP(F909,#REF!,12,FALSE),"")</f>
        <v/>
      </c>
      <c r="Q909" s="32" t="s">
        <v>8</v>
      </c>
      <c r="R909" s="32" t="str">
        <f>IFERROR(VLOOKUP(F909,#REF!,14,FALSE),"")</f>
        <v/>
      </c>
      <c r="S909" s="33" t="str">
        <f t="shared" si="96"/>
        <v/>
      </c>
      <c r="U909" s="1728"/>
      <c r="V909" s="881">
        <f t="shared" si="99"/>
        <v>0</v>
      </c>
      <c r="W909" s="1766"/>
      <c r="X909" s="881"/>
    </row>
    <row r="910" spans="2:24" x14ac:dyDescent="0.2">
      <c r="B910" s="1653" t="s">
        <v>142</v>
      </c>
      <c r="C910" s="855">
        <v>43998</v>
      </c>
      <c r="D910" s="1022">
        <v>83</v>
      </c>
      <c r="E910" s="1023" t="s">
        <v>293</v>
      </c>
      <c r="F910" s="1497" t="s">
        <v>285</v>
      </c>
      <c r="G910" s="1031">
        <v>3.3425925925925921E-2</v>
      </c>
      <c r="H910" s="951">
        <v>9.61</v>
      </c>
      <c r="I910" s="952">
        <f t="shared" si="95"/>
        <v>3.478244112999576E-3</v>
      </c>
      <c r="J910" s="953">
        <v>138</v>
      </c>
      <c r="K910" s="1757"/>
      <c r="L910" s="1568">
        <v>235.6</v>
      </c>
      <c r="M910" s="1591"/>
      <c r="N910" s="848">
        <f t="shared" si="97"/>
        <v>1.0567549350024072</v>
      </c>
      <c r="O910" s="955" t="s">
        <v>259</v>
      </c>
      <c r="P910" s="850" t="str">
        <f>IFERROR(VLOOKUP(F910,#REF!,12,FALSE),"")</f>
        <v/>
      </c>
      <c r="Q910" s="851" t="s">
        <v>8</v>
      </c>
      <c r="R910" s="46" t="str">
        <f>IFERROR(VLOOKUP(F910,#REF!,14,FALSE),"")</f>
        <v/>
      </c>
      <c r="S910" s="47">
        <f t="shared" si="96"/>
        <v>1.7072463768115942</v>
      </c>
      <c r="U910" s="1728"/>
      <c r="V910" s="854">
        <f t="shared" si="99"/>
        <v>0</v>
      </c>
      <c r="W910" s="1767"/>
      <c r="X910" s="854"/>
    </row>
    <row r="911" spans="2:24" ht="16" thickBot="1" x14ac:dyDescent="0.25">
      <c r="B911" s="1654">
        <f>SUM(H909:H915)</f>
        <v>59</v>
      </c>
      <c r="C911" s="855">
        <v>43999</v>
      </c>
      <c r="D911" s="1022"/>
      <c r="E911" s="1023"/>
      <c r="F911" s="1497"/>
      <c r="G911" s="1031"/>
      <c r="H911" s="951" t="str">
        <f>IFERROR(VLOOKUP(F911,#REF!,10,FALSE),"")</f>
        <v/>
      </c>
      <c r="I911" s="952" t="str">
        <f t="shared" si="95"/>
        <v/>
      </c>
      <c r="J911" s="953"/>
      <c r="K911" s="1757"/>
      <c r="L911" s="1568"/>
      <c r="M911" s="1591"/>
      <c r="N911" s="848" t="str">
        <f t="shared" si="97"/>
        <v/>
      </c>
      <c r="O911" s="955"/>
      <c r="P911" s="850" t="str">
        <f>IFERROR(VLOOKUP(F911,#REF!,12,FALSE),"")</f>
        <v/>
      </c>
      <c r="Q911" s="851" t="s">
        <v>8</v>
      </c>
      <c r="R911" s="46" t="str">
        <f>IFERROR(VLOOKUP(F911,#REF!,14,FALSE),"")</f>
        <v/>
      </c>
      <c r="S911" s="47" t="str">
        <f t="shared" si="96"/>
        <v/>
      </c>
      <c r="U911" s="1728"/>
      <c r="V911" s="854">
        <f t="shared" si="99"/>
        <v>0</v>
      </c>
      <c r="W911" s="1767"/>
      <c r="X911" s="854"/>
    </row>
    <row r="912" spans="2:24" x14ac:dyDescent="0.2">
      <c r="B912" s="1655" t="s">
        <v>144</v>
      </c>
      <c r="C912" s="855">
        <v>44000</v>
      </c>
      <c r="D912" s="1022">
        <v>84</v>
      </c>
      <c r="E912" s="1023" t="s">
        <v>293</v>
      </c>
      <c r="F912" s="1497" t="s">
        <v>288</v>
      </c>
      <c r="G912" s="1031">
        <v>4.1342592592592591E-2</v>
      </c>
      <c r="H912" s="951">
        <v>13.19</v>
      </c>
      <c r="I912" s="952">
        <f t="shared" si="95"/>
        <v>3.1343891275657765E-3</v>
      </c>
      <c r="J912" s="953">
        <v>157</v>
      </c>
      <c r="K912" s="1757"/>
      <c r="L912" s="1568">
        <v>257.39999999999998</v>
      </c>
      <c r="M912" s="1591"/>
      <c r="N912" s="848">
        <f t="shared" si="97"/>
        <v>1.0404001222092718</v>
      </c>
      <c r="O912" s="955" t="s">
        <v>280</v>
      </c>
      <c r="P912" s="850" t="str">
        <f>IFERROR(VLOOKUP(F912,#REF!,12,FALSE),"")</f>
        <v/>
      </c>
      <c r="Q912" s="851" t="s">
        <v>8</v>
      </c>
      <c r="R912" s="46" t="str">
        <f>IFERROR(VLOOKUP(F912,#REF!,14,FALSE),"")</f>
        <v/>
      </c>
      <c r="S912" s="47">
        <f t="shared" si="96"/>
        <v>1.6394904458598725</v>
      </c>
      <c r="U912" s="1728"/>
      <c r="V912" s="854">
        <f t="shared" si="99"/>
        <v>0</v>
      </c>
      <c r="W912" s="1767"/>
      <c r="X912" s="854"/>
    </row>
    <row r="913" spans="2:24" ht="16" thickBot="1" x14ac:dyDescent="0.25">
      <c r="B913" s="1656" t="e">
        <f>SUM(#REF!)</f>
        <v>#REF!</v>
      </c>
      <c r="C913" s="855">
        <v>44001</v>
      </c>
      <c r="D913" s="1022"/>
      <c r="E913" s="1023"/>
      <c r="F913" s="1497"/>
      <c r="G913" s="1031"/>
      <c r="H913" s="951" t="str">
        <f>IFERROR(VLOOKUP(F913,#REF!,10,FALSE),"")</f>
        <v/>
      </c>
      <c r="I913" s="952" t="str">
        <f t="shared" si="95"/>
        <v/>
      </c>
      <c r="J913" s="953"/>
      <c r="K913" s="1757"/>
      <c r="L913" s="1568"/>
      <c r="M913" s="1591"/>
      <c r="N913" s="848" t="str">
        <f t="shared" si="97"/>
        <v/>
      </c>
      <c r="O913" s="955"/>
      <c r="P913" s="850" t="str">
        <f>IFERROR(VLOOKUP(F913,#REF!,12,FALSE),"")</f>
        <v/>
      </c>
      <c r="Q913" s="851" t="s">
        <v>8</v>
      </c>
      <c r="R913" s="46" t="str">
        <f>IFERROR(VLOOKUP(F913,#REF!,14,FALSE),"")</f>
        <v/>
      </c>
      <c r="S913" s="47" t="str">
        <f t="shared" si="96"/>
        <v/>
      </c>
      <c r="U913" s="1728"/>
      <c r="V913" s="854">
        <f t="shared" si="99"/>
        <v>0</v>
      </c>
      <c r="W913" s="1767"/>
      <c r="X913" s="854"/>
    </row>
    <row r="914" spans="2:24" x14ac:dyDescent="0.2">
      <c r="B914" s="1657" t="s">
        <v>256</v>
      </c>
      <c r="C914" s="855">
        <v>44002</v>
      </c>
      <c r="D914" s="1022">
        <v>85</v>
      </c>
      <c r="E914" s="1023" t="s">
        <v>292</v>
      </c>
      <c r="F914" s="1497" t="s">
        <v>282</v>
      </c>
      <c r="G914" s="1031">
        <v>4.2847222222222224E-2</v>
      </c>
      <c r="H914" s="951">
        <v>10.69</v>
      </c>
      <c r="I914" s="952">
        <f t="shared" si="95"/>
        <v>4.0081592350067561E-3</v>
      </c>
      <c r="J914" s="953">
        <v>135</v>
      </c>
      <c r="K914" s="1757"/>
      <c r="L914" s="1568">
        <v>205.8</v>
      </c>
      <c r="M914" s="1591"/>
      <c r="N914" s="848">
        <f t="shared" si="97"/>
        <v>1.0637247811457216</v>
      </c>
      <c r="O914" s="955" t="s">
        <v>253</v>
      </c>
      <c r="P914" s="850" t="str">
        <f>IFERROR(VLOOKUP(F914,#REF!,12,FALSE),"")</f>
        <v/>
      </c>
      <c r="Q914" s="851" t="s">
        <v>8</v>
      </c>
      <c r="R914" s="46" t="str">
        <f>IFERROR(VLOOKUP(F914,#REF!,14,FALSE),"")</f>
        <v/>
      </c>
      <c r="S914" s="47">
        <f t="shared" si="96"/>
        <v>1.5244444444444445</v>
      </c>
      <c r="U914" s="1728"/>
      <c r="V914" s="854">
        <f t="shared" si="99"/>
        <v>0</v>
      </c>
      <c r="W914" s="1767"/>
      <c r="X914" s="854"/>
    </row>
    <row r="915" spans="2:24" ht="16" thickBot="1" x14ac:dyDescent="0.25">
      <c r="B915" s="1658" t="e">
        <f>AVERAGE(#REF!)</f>
        <v>#REF!</v>
      </c>
      <c r="C915" s="856">
        <v>44003</v>
      </c>
      <c r="D915" s="1025">
        <v>86</v>
      </c>
      <c r="E915" s="1026" t="s">
        <v>292</v>
      </c>
      <c r="F915" s="1502" t="s">
        <v>296</v>
      </c>
      <c r="G915" s="1032">
        <v>9.9074074074074078E-2</v>
      </c>
      <c r="H915" s="902">
        <v>25.51</v>
      </c>
      <c r="I915" s="903">
        <f t="shared" si="95"/>
        <v>3.8837347735818924E-3</v>
      </c>
      <c r="J915" s="904">
        <v>139</v>
      </c>
      <c r="K915" s="1757"/>
      <c r="L915" s="1569">
        <v>212.8</v>
      </c>
      <c r="M915" s="1592"/>
      <c r="N915" s="172">
        <f t="shared" si="97"/>
        <v>1.0657617440043998</v>
      </c>
      <c r="O915" s="905" t="s">
        <v>295</v>
      </c>
      <c r="P915" s="710" t="str">
        <f>IFERROR(VLOOKUP(F915,#REF!,12,FALSE),"")</f>
        <v/>
      </c>
      <c r="Q915" s="711" t="s">
        <v>8</v>
      </c>
      <c r="R915" s="64" t="str">
        <f>IFERROR(VLOOKUP(F915,#REF!,14,FALSE),"")</f>
        <v/>
      </c>
      <c r="S915" s="65">
        <f t="shared" si="96"/>
        <v>1.5309352517985613</v>
      </c>
      <c r="U915" s="1728"/>
      <c r="V915" s="862">
        <f t="shared" si="99"/>
        <v>0</v>
      </c>
      <c r="W915" s="1768"/>
      <c r="X915" s="862"/>
    </row>
    <row r="916" spans="2:24" ht="16" thickBot="1" x14ac:dyDescent="0.25">
      <c r="B916" s="1660">
        <f>B909+1</f>
        <v>26</v>
      </c>
      <c r="C916" s="193">
        <v>44004</v>
      </c>
      <c r="D916" s="914"/>
      <c r="E916" s="915"/>
      <c r="F916" s="1499"/>
      <c r="G916" s="1033"/>
      <c r="H916" s="560" t="str">
        <f>IFERROR(VLOOKUP(F916,#REF!,10,FALSE),"")</f>
        <v/>
      </c>
      <c r="I916" s="338" t="str">
        <f t="shared" si="95"/>
        <v/>
      </c>
      <c r="J916" s="270"/>
      <c r="K916" s="1757"/>
      <c r="L916" s="270"/>
      <c r="M916" s="1593"/>
      <c r="N916" s="77" t="str">
        <f t="shared" si="97"/>
        <v/>
      </c>
      <c r="O916" s="561"/>
      <c r="P916" s="224" t="str">
        <f>IFERROR(VLOOKUP(F916,#REF!,12,FALSE),"")</f>
        <v/>
      </c>
      <c r="Q916" s="80" t="s">
        <v>8</v>
      </c>
      <c r="R916" s="80" t="str">
        <f>IFERROR(VLOOKUP(F916,#REF!,14,FALSE),"")</f>
        <v/>
      </c>
      <c r="S916" s="33" t="str">
        <f t="shared" si="96"/>
        <v/>
      </c>
      <c r="U916" s="1728"/>
      <c r="V916" s="225">
        <f t="shared" si="99"/>
        <v>0</v>
      </c>
      <c r="W916" s="1766"/>
      <c r="X916" s="225"/>
    </row>
    <row r="917" spans="2:24" x14ac:dyDescent="0.2">
      <c r="B917" s="1653" t="s">
        <v>142</v>
      </c>
      <c r="C917" s="161">
        <v>44005</v>
      </c>
      <c r="D917" s="1022"/>
      <c r="E917" s="1023"/>
      <c r="F917" s="1503"/>
      <c r="G917" s="1031"/>
      <c r="H917" s="718" t="str">
        <f>IFERROR(VLOOKUP(F917,#REF!,10,FALSE),"")</f>
        <v/>
      </c>
      <c r="I917" s="781" t="str">
        <f t="shared" si="95"/>
        <v/>
      </c>
      <c r="J917" s="721"/>
      <c r="K917" s="1757"/>
      <c r="L917" s="1568"/>
      <c r="M917" s="1591"/>
      <c r="N917" s="722" t="str">
        <f t="shared" si="97"/>
        <v/>
      </c>
      <c r="O917" s="723"/>
      <c r="P917" s="654" t="str">
        <f>IFERROR(VLOOKUP(F917,#REF!,12,FALSE),"")</f>
        <v/>
      </c>
      <c r="Q917" s="655" t="s">
        <v>8</v>
      </c>
      <c r="R917" s="46" t="str">
        <f>IFERROR(VLOOKUP(F917,#REF!,14,FALSE),"")</f>
        <v/>
      </c>
      <c r="S917" s="47" t="str">
        <f t="shared" si="96"/>
        <v/>
      </c>
      <c r="U917" s="1728"/>
      <c r="V917" s="48">
        <f t="shared" si="99"/>
        <v>0</v>
      </c>
      <c r="W917" s="1767"/>
      <c r="X917" s="48"/>
    </row>
    <row r="918" spans="2:24" ht="16" thickBot="1" x14ac:dyDescent="0.25">
      <c r="B918" s="1654">
        <f>SUM(H916:H922)</f>
        <v>27.259999999999998</v>
      </c>
      <c r="C918" s="161">
        <v>44006</v>
      </c>
      <c r="D918" s="1022"/>
      <c r="E918" s="1023"/>
      <c r="F918" s="1503"/>
      <c r="G918" s="1031"/>
      <c r="H918" s="718" t="str">
        <f>IFERROR(VLOOKUP(F918,#REF!,10,FALSE),"")</f>
        <v/>
      </c>
      <c r="I918" s="781" t="str">
        <f t="shared" si="95"/>
        <v/>
      </c>
      <c r="J918" s="721"/>
      <c r="K918" s="1757"/>
      <c r="L918" s="1568"/>
      <c r="M918" s="1591"/>
      <c r="N918" s="722" t="str">
        <f t="shared" si="97"/>
        <v/>
      </c>
      <c r="O918" s="723"/>
      <c r="P918" s="654" t="str">
        <f>IFERROR(VLOOKUP(F918,#REF!,12,FALSE),"")</f>
        <v/>
      </c>
      <c r="Q918" s="655" t="s">
        <v>8</v>
      </c>
      <c r="R918" s="46" t="str">
        <f>IFERROR(VLOOKUP(F918,#REF!,14,FALSE),"")</f>
        <v/>
      </c>
      <c r="S918" s="47" t="str">
        <f t="shared" si="96"/>
        <v/>
      </c>
      <c r="U918" s="1728"/>
      <c r="V918" s="48">
        <f t="shared" si="99"/>
        <v>0</v>
      </c>
      <c r="W918" s="1767"/>
      <c r="X918" s="48"/>
    </row>
    <row r="919" spans="2:24" x14ac:dyDescent="0.2">
      <c r="B919" s="1655" t="s">
        <v>144</v>
      </c>
      <c r="C919" s="161">
        <v>44007</v>
      </c>
      <c r="D919" s="1022">
        <v>87</v>
      </c>
      <c r="E919" s="1023" t="s">
        <v>293</v>
      </c>
      <c r="F919" s="1503" t="s">
        <v>269</v>
      </c>
      <c r="G919" s="1031">
        <v>3.8437499999999999E-2</v>
      </c>
      <c r="H919" s="718">
        <v>10.36</v>
      </c>
      <c r="I919" s="781">
        <f t="shared" si="95"/>
        <v>3.7101833976833976E-3</v>
      </c>
      <c r="J919" s="721">
        <v>137</v>
      </c>
      <c r="K919" s="1757"/>
      <c r="L919" s="1568">
        <v>220.4</v>
      </c>
      <c r="M919" s="1591"/>
      <c r="N919" s="722">
        <f t="shared" si="97"/>
        <v>1.0544983576326863</v>
      </c>
      <c r="O919" s="723" t="s">
        <v>259</v>
      </c>
      <c r="P919" s="654" t="str">
        <f>IFERROR(VLOOKUP(F919,#REF!,12,FALSE),"")</f>
        <v/>
      </c>
      <c r="Q919" s="655" t="s">
        <v>8</v>
      </c>
      <c r="R919" s="46" t="str">
        <f>IFERROR(VLOOKUP(F919,#REF!,14,FALSE),"")</f>
        <v/>
      </c>
      <c r="S919" s="47">
        <f t="shared" si="96"/>
        <v>1.6087591240875914</v>
      </c>
      <c r="U919" s="1728"/>
      <c r="V919" s="48">
        <f t="shared" si="99"/>
        <v>0</v>
      </c>
      <c r="W919" s="1767"/>
      <c r="X919" s="48"/>
    </row>
    <row r="920" spans="2:24" ht="16" thickBot="1" x14ac:dyDescent="0.25">
      <c r="B920" s="1656" t="e">
        <f>SUM(#REF!)</f>
        <v>#REF!</v>
      </c>
      <c r="C920" s="161">
        <v>44008</v>
      </c>
      <c r="D920" s="1022"/>
      <c r="E920" s="1023"/>
      <c r="F920" s="1503"/>
      <c r="G920" s="1031"/>
      <c r="H920" s="718" t="str">
        <f>IFERROR(VLOOKUP(F920,#REF!,10,FALSE),"")</f>
        <v/>
      </c>
      <c r="I920" s="781" t="str">
        <f t="shared" si="95"/>
        <v/>
      </c>
      <c r="J920" s="721"/>
      <c r="K920" s="1757"/>
      <c r="L920" s="1568"/>
      <c r="M920" s="1591"/>
      <c r="N920" s="722" t="str">
        <f t="shared" si="97"/>
        <v/>
      </c>
      <c r="O920" s="723"/>
      <c r="P920" s="654" t="str">
        <f>IFERROR(VLOOKUP(F920,#REF!,12,FALSE),"")</f>
        <v/>
      </c>
      <c r="Q920" s="655" t="s">
        <v>8</v>
      </c>
      <c r="R920" s="46" t="str">
        <f>IFERROR(VLOOKUP(F920,#REF!,14,FALSE),"")</f>
        <v/>
      </c>
      <c r="S920" s="47" t="str">
        <f t="shared" si="96"/>
        <v/>
      </c>
      <c r="U920" s="1728"/>
      <c r="V920" s="48">
        <f t="shared" si="99"/>
        <v>0</v>
      </c>
      <c r="W920" s="1767"/>
      <c r="X920" s="48"/>
    </row>
    <row r="921" spans="2:24" x14ac:dyDescent="0.2">
      <c r="B921" s="1657" t="s">
        <v>256</v>
      </c>
      <c r="C921" s="161">
        <v>44009</v>
      </c>
      <c r="D921" s="1022">
        <v>88</v>
      </c>
      <c r="E921" s="1023" t="s">
        <v>293</v>
      </c>
      <c r="F921" s="1503" t="s">
        <v>298</v>
      </c>
      <c r="G921" s="1031">
        <v>6.5787037037037033E-2</v>
      </c>
      <c r="H921" s="718">
        <v>16.899999999999999</v>
      </c>
      <c r="I921" s="781">
        <f t="shared" si="95"/>
        <v>3.8927240850317774E-3</v>
      </c>
      <c r="J921" s="721">
        <v>147</v>
      </c>
      <c r="K921" s="1757"/>
      <c r="L921" s="1568">
        <v>213.3</v>
      </c>
      <c r="M921" s="1591"/>
      <c r="N921" s="722">
        <f t="shared" si="97"/>
        <v>1.0707384968647886</v>
      </c>
      <c r="O921" s="723" t="s">
        <v>295</v>
      </c>
      <c r="P921" s="654" t="str">
        <f>IFERROR(VLOOKUP(F921,#REF!,12,FALSE),"")</f>
        <v/>
      </c>
      <c r="Q921" s="655" t="s">
        <v>8</v>
      </c>
      <c r="R921" s="46" t="str">
        <f>IFERROR(VLOOKUP(F921,#REF!,14,FALSE),"")</f>
        <v/>
      </c>
      <c r="S921" s="47">
        <f t="shared" si="96"/>
        <v>1.4510204081632654</v>
      </c>
      <c r="U921" s="1728"/>
      <c r="V921" s="48">
        <f t="shared" si="99"/>
        <v>0</v>
      </c>
      <c r="W921" s="1767"/>
      <c r="X921" s="48"/>
    </row>
    <row r="922" spans="2:24" ht="16" thickBot="1" x14ac:dyDescent="0.25">
      <c r="B922" s="1658" t="e">
        <f>AVERAGE(#REF!)</f>
        <v>#REF!</v>
      </c>
      <c r="C922" s="1019">
        <v>44010</v>
      </c>
      <c r="D922" s="1025"/>
      <c r="E922" s="1026"/>
      <c r="F922" s="1504"/>
      <c r="G922" s="1032"/>
      <c r="H922" s="874" t="str">
        <f>IFERROR(VLOOKUP(F922,#REF!,10,FALSE),"")</f>
        <v/>
      </c>
      <c r="I922" s="875" t="str">
        <f t="shared" si="95"/>
        <v/>
      </c>
      <c r="J922" s="876"/>
      <c r="K922" s="1757"/>
      <c r="L922" s="1570"/>
      <c r="M922" s="1594"/>
      <c r="N922" s="877" t="str">
        <f t="shared" si="97"/>
        <v/>
      </c>
      <c r="O922" s="878"/>
      <c r="P922" s="879" t="str">
        <f>IFERROR(VLOOKUP(F922,#REF!,12,FALSE),"")</f>
        <v/>
      </c>
      <c r="Q922" s="107" t="s">
        <v>8</v>
      </c>
      <c r="R922" s="107" t="str">
        <f>IFERROR(VLOOKUP(F922,#REF!,14,FALSE),"")</f>
        <v/>
      </c>
      <c r="S922" s="65" t="str">
        <f t="shared" si="96"/>
        <v/>
      </c>
      <c r="U922" s="1728"/>
      <c r="V922" s="853">
        <f t="shared" si="99"/>
        <v>0</v>
      </c>
      <c r="W922" s="1768"/>
      <c r="X922" s="853"/>
    </row>
    <row r="923" spans="2:24" ht="16" thickBot="1" x14ac:dyDescent="0.25">
      <c r="B923" s="1660">
        <f>B916+1</f>
        <v>27</v>
      </c>
      <c r="C923" s="1015">
        <v>44011</v>
      </c>
      <c r="D923" s="70"/>
      <c r="E923" s="931"/>
      <c r="F923" s="1505"/>
      <c r="G923" s="559"/>
      <c r="H923" s="884" t="str">
        <f>IFERROR(VLOOKUP(F923,#REF!,10,FALSE),"")</f>
        <v/>
      </c>
      <c r="I923" s="885" t="str">
        <f t="shared" si="95"/>
        <v/>
      </c>
      <c r="J923" s="886"/>
      <c r="K923" s="1757"/>
      <c r="L923" s="792"/>
      <c r="M923" s="1595"/>
      <c r="N923" s="887" t="str">
        <f t="shared" si="97"/>
        <v/>
      </c>
      <c r="O923" s="888"/>
      <c r="P923" s="889" t="str">
        <f>IFERROR(VLOOKUP(F923,#REF!,12,FALSE),"")</f>
        <v/>
      </c>
      <c r="Q923" s="32" t="s">
        <v>8</v>
      </c>
      <c r="R923" s="32" t="str">
        <f>IFERROR(VLOOKUP(F923,#REF!,14,FALSE),"")</f>
        <v/>
      </c>
      <c r="S923" s="33" t="str">
        <f t="shared" si="96"/>
        <v/>
      </c>
      <c r="U923" s="1728"/>
      <c r="V923" s="881">
        <f t="shared" si="99"/>
        <v>0</v>
      </c>
      <c r="W923" s="1766"/>
      <c r="X923" s="881"/>
    </row>
    <row r="924" spans="2:24" x14ac:dyDescent="0.2">
      <c r="B924" s="1653" t="s">
        <v>142</v>
      </c>
      <c r="C924" s="1034">
        <v>44012</v>
      </c>
      <c r="D924" s="1035">
        <v>89</v>
      </c>
      <c r="E924" s="1036" t="s">
        <v>293</v>
      </c>
      <c r="F924" s="1506" t="s">
        <v>297</v>
      </c>
      <c r="G924" s="892">
        <v>4.1585648148148149E-2</v>
      </c>
      <c r="H924" s="893">
        <v>9.74</v>
      </c>
      <c r="I924" s="894">
        <f t="shared" ref="I924" si="100">IFERROR(G924/H924,"")</f>
        <v>4.2695737318427258E-3</v>
      </c>
      <c r="J924" s="895">
        <v>146</v>
      </c>
      <c r="K924" s="1757"/>
      <c r="L924" s="1568">
        <v>211.1</v>
      </c>
      <c r="M924" s="1591">
        <v>248</v>
      </c>
      <c r="N924" s="896"/>
      <c r="O924" s="897" t="s">
        <v>259</v>
      </c>
      <c r="P924" s="850" t="str">
        <f>IFERROR(VLOOKUP(F924,#REF!,12,FALSE),"")</f>
        <v/>
      </c>
      <c r="Q924" s="851" t="s">
        <v>8</v>
      </c>
      <c r="R924" s="46" t="str">
        <f>IFERROR(VLOOKUP(F924,#REF!,14,FALSE),"")</f>
        <v/>
      </c>
      <c r="S924" s="47">
        <f t="shared" si="96"/>
        <v>1.4458904109589041</v>
      </c>
      <c r="U924" s="1728"/>
      <c r="V924" s="854">
        <f t="shared" si="99"/>
        <v>0</v>
      </c>
      <c r="W924" s="1767"/>
      <c r="X924" s="854"/>
    </row>
    <row r="925" spans="2:24" ht="16" thickBot="1" x14ac:dyDescent="0.25">
      <c r="B925" s="1654">
        <f>SUM(H923:H929)</f>
        <v>28.729999999999997</v>
      </c>
      <c r="C925" s="855">
        <v>44013</v>
      </c>
      <c r="D925" s="1035"/>
      <c r="E925" s="1036"/>
      <c r="F925" s="1507"/>
      <c r="G925" s="892"/>
      <c r="H925" s="893" t="str">
        <f>IFERROR(VLOOKUP(F925,#REF!,10,FALSE),"")</f>
        <v/>
      </c>
      <c r="I925" s="894" t="str">
        <f t="shared" si="95"/>
        <v/>
      </c>
      <c r="J925" s="895"/>
      <c r="K925" s="1757"/>
      <c r="L925" s="1568"/>
      <c r="M925" s="1591"/>
      <c r="N925" s="896" t="str">
        <f t="shared" ref="N925:N930" si="101">IFERROR((L925/67)/(1/(I925*24)/3.6),"")</f>
        <v/>
      </c>
      <c r="O925" s="897"/>
      <c r="P925" s="850" t="str">
        <f>IFERROR(VLOOKUP(F925,#REF!,12,FALSE),"")</f>
        <v/>
      </c>
      <c r="Q925" s="851" t="s">
        <v>8</v>
      </c>
      <c r="R925" s="46" t="str">
        <f>IFERROR(VLOOKUP(F925,#REF!,14,FALSE),"")</f>
        <v/>
      </c>
      <c r="S925" s="47" t="str">
        <f t="shared" si="96"/>
        <v/>
      </c>
      <c r="U925" s="1728"/>
      <c r="V925" s="854">
        <f t="shared" si="99"/>
        <v>0</v>
      </c>
      <c r="W925" s="1767"/>
      <c r="X925" s="854"/>
    </row>
    <row r="926" spans="2:24" x14ac:dyDescent="0.2">
      <c r="B926" s="1655" t="s">
        <v>144</v>
      </c>
      <c r="C926" s="855">
        <v>44014</v>
      </c>
      <c r="D926" s="1035"/>
      <c r="E926" s="1036"/>
      <c r="F926" s="1507"/>
      <c r="G926" s="892"/>
      <c r="H926" s="893" t="str">
        <f>IFERROR(VLOOKUP(F926,#REF!,10,FALSE),"")</f>
        <v/>
      </c>
      <c r="I926" s="894" t="str">
        <f t="shared" si="95"/>
        <v/>
      </c>
      <c r="J926" s="895"/>
      <c r="K926" s="1757"/>
      <c r="L926" s="1568"/>
      <c r="M926" s="1591"/>
      <c r="N926" s="896" t="str">
        <f t="shared" si="101"/>
        <v/>
      </c>
      <c r="O926" s="897"/>
      <c r="P926" s="850" t="str">
        <f>IFERROR(VLOOKUP(F926,#REF!,12,FALSE),"")</f>
        <v/>
      </c>
      <c r="Q926" s="851" t="s">
        <v>8</v>
      </c>
      <c r="R926" s="46" t="str">
        <f>IFERROR(VLOOKUP(F926,#REF!,14,FALSE),"")</f>
        <v/>
      </c>
      <c r="S926" s="47" t="str">
        <f t="shared" si="96"/>
        <v/>
      </c>
      <c r="U926" s="1728"/>
      <c r="V926" s="854">
        <f t="shared" si="99"/>
        <v>0</v>
      </c>
      <c r="W926" s="1767"/>
      <c r="X926" s="854"/>
    </row>
    <row r="927" spans="2:24" ht="16" thickBot="1" x14ac:dyDescent="0.25">
      <c r="B927" s="1656" t="e">
        <f>SUM(#REF!)</f>
        <v>#REF!</v>
      </c>
      <c r="C927" s="855">
        <v>44015</v>
      </c>
      <c r="D927" s="1035">
        <v>90</v>
      </c>
      <c r="E927" s="1036" t="s">
        <v>293</v>
      </c>
      <c r="F927" s="1507" t="s">
        <v>283</v>
      </c>
      <c r="G927" s="892">
        <v>3.4641203703703702E-2</v>
      </c>
      <c r="H927" s="893">
        <v>8.73</v>
      </c>
      <c r="I927" s="894">
        <f t="shared" si="95"/>
        <v>3.9680645708709853E-3</v>
      </c>
      <c r="J927" s="895">
        <v>126</v>
      </c>
      <c r="K927" s="1757"/>
      <c r="L927" s="1568">
        <v>208.4</v>
      </c>
      <c r="M927" s="1591"/>
      <c r="N927" s="896">
        <f t="shared" si="101"/>
        <v>1.0663883332478499</v>
      </c>
      <c r="O927" s="897" t="s">
        <v>295</v>
      </c>
      <c r="P927" s="850" t="str">
        <f>IFERROR(VLOOKUP(F927,#REF!,12,FALSE),"")</f>
        <v/>
      </c>
      <c r="Q927" s="851" t="s">
        <v>8</v>
      </c>
      <c r="R927" s="46" t="str">
        <f>IFERROR(VLOOKUP(F927,#REF!,14,FALSE),"")</f>
        <v/>
      </c>
      <c r="S927" s="47">
        <f t="shared" si="96"/>
        <v>1.6539682539682541</v>
      </c>
      <c r="U927" s="1728"/>
      <c r="V927" s="854">
        <f t="shared" si="99"/>
        <v>0</v>
      </c>
      <c r="W927" s="1767"/>
      <c r="X927" s="854"/>
    </row>
    <row r="928" spans="2:24" x14ac:dyDescent="0.2">
      <c r="B928" s="1657" t="s">
        <v>256</v>
      </c>
      <c r="C928" s="855">
        <v>44016</v>
      </c>
      <c r="D928" s="1035"/>
      <c r="E928" s="1036"/>
      <c r="F928" s="1507"/>
      <c r="G928" s="892"/>
      <c r="H928" s="893" t="str">
        <f>IFERROR(VLOOKUP(F928,#REF!,10,FALSE),"")</f>
        <v/>
      </c>
      <c r="I928" s="894" t="str">
        <f t="shared" si="95"/>
        <v/>
      </c>
      <c r="J928" s="895"/>
      <c r="K928" s="1757"/>
      <c r="L928" s="1568"/>
      <c r="M928" s="1591"/>
      <c r="N928" s="896" t="str">
        <f t="shared" si="101"/>
        <v/>
      </c>
      <c r="O928" s="897"/>
      <c r="P928" s="850" t="str">
        <f>IFERROR(VLOOKUP(F928,#REF!,12,FALSE),"")</f>
        <v/>
      </c>
      <c r="Q928" s="851" t="s">
        <v>8</v>
      </c>
      <c r="R928" s="46" t="str">
        <f>IFERROR(VLOOKUP(F928,#REF!,14,FALSE),"")</f>
        <v/>
      </c>
      <c r="S928" s="47" t="str">
        <f t="shared" si="96"/>
        <v/>
      </c>
      <c r="U928" s="1728"/>
      <c r="V928" s="854">
        <f t="shared" si="99"/>
        <v>0</v>
      </c>
      <c r="W928" s="1767"/>
      <c r="X928" s="854"/>
    </row>
    <row r="929" spans="2:24" ht="16" thickBot="1" x14ac:dyDescent="0.25">
      <c r="B929" s="1658" t="e">
        <f>AVERAGE(#REF!)</f>
        <v>#REF!</v>
      </c>
      <c r="C929" s="1037">
        <v>44017</v>
      </c>
      <c r="D929" s="67">
        <v>91</v>
      </c>
      <c r="E929" s="1038" t="s">
        <v>293</v>
      </c>
      <c r="F929" s="1429" t="s">
        <v>277</v>
      </c>
      <c r="G929" s="901">
        <v>4.0196759259259258E-2</v>
      </c>
      <c r="H929" s="902">
        <v>10.26</v>
      </c>
      <c r="I929" s="903">
        <f t="shared" si="95"/>
        <v>3.9178127933001223E-3</v>
      </c>
      <c r="J929" s="904">
        <v>126</v>
      </c>
      <c r="K929" s="1757"/>
      <c r="L929" s="1569">
        <v>211.2</v>
      </c>
      <c r="M929" s="1592"/>
      <c r="N929" s="172">
        <f t="shared" si="101"/>
        <v>1.0670297634633845</v>
      </c>
      <c r="O929" s="905" t="s">
        <v>253</v>
      </c>
      <c r="P929" s="710" t="str">
        <f>IFERROR(VLOOKUP(F929,#REF!,12,FALSE),"")</f>
        <v/>
      </c>
      <c r="Q929" s="711" t="s">
        <v>8</v>
      </c>
      <c r="R929" s="64" t="str">
        <f>IFERROR(VLOOKUP(F929,#REF!,14,FALSE),"")</f>
        <v/>
      </c>
      <c r="S929" s="65">
        <f t="shared" si="96"/>
        <v>1.676190476190476</v>
      </c>
      <c r="U929" s="1728"/>
      <c r="V929" s="862">
        <f t="shared" si="99"/>
        <v>0</v>
      </c>
      <c r="W929" s="1768"/>
      <c r="X929" s="862"/>
    </row>
    <row r="930" spans="2:24" ht="16" thickBot="1" x14ac:dyDescent="0.25">
      <c r="B930" s="1660">
        <f>B923+1</f>
        <v>28</v>
      </c>
      <c r="C930" s="193">
        <v>44018</v>
      </c>
      <c r="D930" s="70"/>
      <c r="E930" s="931"/>
      <c r="F930" s="1430"/>
      <c r="G930" s="559"/>
      <c r="H930" s="560" t="str">
        <f>IFERROR(VLOOKUP(F930,#REF!,10,FALSE),"")</f>
        <v/>
      </c>
      <c r="I930" s="338" t="str">
        <f t="shared" si="95"/>
        <v/>
      </c>
      <c r="J930" s="270"/>
      <c r="K930" s="1757"/>
      <c r="L930" s="270"/>
      <c r="M930" s="1593"/>
      <c r="N930" s="77" t="str">
        <f t="shared" si="101"/>
        <v/>
      </c>
      <c r="O930" s="561"/>
      <c r="P930" s="224" t="str">
        <f>IFERROR(VLOOKUP(F930,#REF!,12,FALSE),"")</f>
        <v/>
      </c>
      <c r="Q930" s="80" t="s">
        <v>8</v>
      </c>
      <c r="R930" s="80" t="str">
        <f>IFERROR(VLOOKUP(F930,#REF!,14,FALSE),"")</f>
        <v/>
      </c>
      <c r="S930" s="33" t="str">
        <f t="shared" si="96"/>
        <v/>
      </c>
      <c r="U930" s="1728"/>
      <c r="V930" s="225">
        <f t="shared" si="99"/>
        <v>0</v>
      </c>
      <c r="W930" s="1766"/>
      <c r="X930" s="225"/>
    </row>
    <row r="931" spans="2:24" x14ac:dyDescent="0.2">
      <c r="B931" s="1653" t="s">
        <v>142</v>
      </c>
      <c r="C931" s="1039">
        <v>44019</v>
      </c>
      <c r="D931" s="1040">
        <v>92</v>
      </c>
      <c r="E931" s="1041" t="s">
        <v>293</v>
      </c>
      <c r="F931" s="1508" t="s">
        <v>297</v>
      </c>
      <c r="G931" s="1042">
        <v>8.3252314814814821E-2</v>
      </c>
      <c r="H931" s="718">
        <v>16.239999999999998</v>
      </c>
      <c r="I931" s="781">
        <f t="shared" si="95"/>
        <v>5.1263740649516521E-3</v>
      </c>
      <c r="J931" s="1043">
        <v>141</v>
      </c>
      <c r="K931" s="1757"/>
      <c r="L931" s="1568">
        <v>187</v>
      </c>
      <c r="M931" s="1591">
        <v>676</v>
      </c>
      <c r="N931" s="722"/>
      <c r="O931" s="1044" t="s">
        <v>259</v>
      </c>
      <c r="P931" s="654" t="str">
        <f>IFERROR(VLOOKUP(F931,#REF!,12,FALSE),"")</f>
        <v/>
      </c>
      <c r="Q931" s="655" t="s">
        <v>8</v>
      </c>
      <c r="R931" s="46" t="str">
        <f>IFERROR(VLOOKUP(F931,#REF!,14,FALSE),"")</f>
        <v/>
      </c>
      <c r="S931" s="47">
        <f t="shared" si="96"/>
        <v>1.3262411347517731</v>
      </c>
      <c r="U931" s="1728"/>
      <c r="V931" s="1045">
        <f t="shared" si="99"/>
        <v>0</v>
      </c>
      <c r="W931" s="1767"/>
      <c r="X931" s="1045"/>
    </row>
    <row r="932" spans="2:24" ht="16" thickBot="1" x14ac:dyDescent="0.25">
      <c r="B932" s="1654">
        <f>SUM(H930:H936)</f>
        <v>42.17</v>
      </c>
      <c r="C932" s="1039">
        <v>44020</v>
      </c>
      <c r="D932" s="1040"/>
      <c r="E932" s="1041"/>
      <c r="F932" s="1503"/>
      <c r="G932" s="1042"/>
      <c r="H932" s="718" t="str">
        <f>IFERROR(VLOOKUP(F932,#REF!,10,FALSE),"")</f>
        <v/>
      </c>
      <c r="I932" s="781" t="str">
        <f t="shared" si="95"/>
        <v/>
      </c>
      <c r="J932" s="1043"/>
      <c r="K932" s="1757"/>
      <c r="L932" s="1568"/>
      <c r="M932" s="1591"/>
      <c r="N932" s="722" t="str">
        <f>IFERROR((L932/67)/(1/(I932*24)/3.6),"")</f>
        <v/>
      </c>
      <c r="O932" s="1044"/>
      <c r="P932" s="654" t="str">
        <f>IFERROR(VLOOKUP(F932,#REF!,12,FALSE),"")</f>
        <v/>
      </c>
      <c r="Q932" s="655" t="s">
        <v>8</v>
      </c>
      <c r="R932" s="46" t="str">
        <f>IFERROR(VLOOKUP(F932,#REF!,14,FALSE),"")</f>
        <v/>
      </c>
      <c r="S932" s="47" t="str">
        <f t="shared" si="96"/>
        <v/>
      </c>
      <c r="U932" s="1728"/>
      <c r="V932" s="1045">
        <f t="shared" si="99"/>
        <v>0</v>
      </c>
      <c r="W932" s="1767"/>
      <c r="X932" s="1045"/>
    </row>
    <row r="933" spans="2:24" x14ac:dyDescent="0.2">
      <c r="B933" s="1655" t="s">
        <v>144</v>
      </c>
      <c r="C933" s="1039">
        <v>44021</v>
      </c>
      <c r="D933" s="1040"/>
      <c r="E933" s="1041"/>
      <c r="F933" s="1503"/>
      <c r="G933" s="1042"/>
      <c r="H933" s="718" t="str">
        <f>IFERROR(VLOOKUP(F933,#REF!,10,FALSE),"")</f>
        <v/>
      </c>
      <c r="I933" s="781" t="str">
        <f t="shared" si="95"/>
        <v/>
      </c>
      <c r="J933" s="1043"/>
      <c r="K933" s="1757"/>
      <c r="L933" s="1568"/>
      <c r="M933" s="1591"/>
      <c r="N933" s="722" t="str">
        <f>IFERROR((L933/67)/(1/(I933*24)/3.6),"")</f>
        <v/>
      </c>
      <c r="O933" s="1044"/>
      <c r="P933" s="654" t="str">
        <f>IFERROR(VLOOKUP(F933,#REF!,12,FALSE),"")</f>
        <v/>
      </c>
      <c r="Q933" s="655" t="s">
        <v>8</v>
      </c>
      <c r="R933" s="46" t="str">
        <f>IFERROR(VLOOKUP(F933,#REF!,14,FALSE),"")</f>
        <v/>
      </c>
      <c r="S933" s="47" t="str">
        <f t="shared" si="96"/>
        <v/>
      </c>
      <c r="U933" s="1728"/>
      <c r="V933" s="1045">
        <f t="shared" si="99"/>
        <v>0</v>
      </c>
      <c r="W933" s="1767"/>
      <c r="X933" s="1045"/>
    </row>
    <row r="934" spans="2:24" ht="16" thickBot="1" x14ac:dyDescent="0.25">
      <c r="B934" s="1656" t="e">
        <f>SUM(#REF!)</f>
        <v>#REF!</v>
      </c>
      <c r="C934" s="1039">
        <v>44022</v>
      </c>
      <c r="D934" s="1040">
        <v>93</v>
      </c>
      <c r="E934" s="1041" t="s">
        <v>293</v>
      </c>
      <c r="F934" s="1503" t="s">
        <v>278</v>
      </c>
      <c r="G934" s="1042">
        <v>4.6620370370370368E-2</v>
      </c>
      <c r="H934" s="718">
        <v>10.68</v>
      </c>
      <c r="I934" s="781">
        <f t="shared" si="95"/>
        <v>4.365203218199473E-3</v>
      </c>
      <c r="J934" s="1043">
        <v>121</v>
      </c>
      <c r="K934" s="1757"/>
      <c r="L934" s="1568">
        <v>195</v>
      </c>
      <c r="M934" s="1591"/>
      <c r="N934" s="722"/>
      <c r="O934" s="1044" t="s">
        <v>295</v>
      </c>
      <c r="P934" s="654" t="str">
        <f>IFERROR(VLOOKUP(F934,#REF!,12,FALSE),"")</f>
        <v/>
      </c>
      <c r="Q934" s="655" t="s">
        <v>8</v>
      </c>
      <c r="R934" s="46" t="str">
        <f>IFERROR(VLOOKUP(F934,#REF!,14,FALSE),"")</f>
        <v/>
      </c>
      <c r="S934" s="47">
        <f t="shared" si="96"/>
        <v>1.6115702479338843</v>
      </c>
      <c r="U934" s="1728"/>
      <c r="V934" s="1045">
        <f t="shared" si="99"/>
        <v>0</v>
      </c>
      <c r="W934" s="1767"/>
      <c r="X934" s="1045"/>
    </row>
    <row r="935" spans="2:24" x14ac:dyDescent="0.2">
      <c r="B935" s="1657" t="s">
        <v>256</v>
      </c>
      <c r="C935" s="1039">
        <v>44023</v>
      </c>
      <c r="D935" s="1040"/>
      <c r="E935" s="1041"/>
      <c r="F935" s="1503"/>
      <c r="G935" s="1042"/>
      <c r="H935" s="718" t="str">
        <f>IFERROR(VLOOKUP(F935,#REF!,10,FALSE),"")</f>
        <v/>
      </c>
      <c r="I935" s="781" t="str">
        <f t="shared" ref="I935:I998" si="102">IFERROR(G935/H935,"")</f>
        <v/>
      </c>
      <c r="J935" s="1043"/>
      <c r="K935" s="1757"/>
      <c r="L935" s="1568"/>
      <c r="M935" s="1591"/>
      <c r="N935" s="722" t="str">
        <f>IFERROR((L935/67)/(1/(I935*24)/3.6),"")</f>
        <v/>
      </c>
      <c r="O935" s="1044"/>
      <c r="P935" s="654" t="str">
        <f>IFERROR(VLOOKUP(F935,#REF!,12,FALSE),"")</f>
        <v/>
      </c>
      <c r="Q935" s="655" t="s">
        <v>8</v>
      </c>
      <c r="R935" s="46" t="str">
        <f>IFERROR(VLOOKUP(F935,#REF!,14,FALSE),"")</f>
        <v/>
      </c>
      <c r="S935" s="47" t="str">
        <f t="shared" si="96"/>
        <v/>
      </c>
      <c r="U935" s="1728"/>
      <c r="V935" s="1045">
        <f t="shared" si="99"/>
        <v>0</v>
      </c>
      <c r="W935" s="1767"/>
      <c r="X935" s="1045"/>
    </row>
    <row r="936" spans="2:24" ht="16" thickBot="1" x14ac:dyDescent="0.25">
      <c r="B936" s="1658" t="e">
        <f>AVERAGE(#REF!)</f>
        <v>#REF!</v>
      </c>
      <c r="C936" s="1019">
        <v>44024</v>
      </c>
      <c r="D936" s="852">
        <v>94</v>
      </c>
      <c r="E936" s="1046" t="s">
        <v>292</v>
      </c>
      <c r="F936" s="1504" t="s">
        <v>271</v>
      </c>
      <c r="G936" s="939">
        <v>6.1307870370370367E-2</v>
      </c>
      <c r="H936" s="940">
        <v>15.25</v>
      </c>
      <c r="I936" s="941">
        <f t="shared" si="102"/>
        <v>4.0201882210078926E-3</v>
      </c>
      <c r="J936" s="942">
        <v>132</v>
      </c>
      <c r="K936" s="1757"/>
      <c r="L936" s="1570">
        <v>203.8</v>
      </c>
      <c r="M936" s="1594"/>
      <c r="N936" s="943">
        <f>IFERROR((L936/67)/(1/(I936*24)/3.6),"")</f>
        <v>1.0565486665035477</v>
      </c>
      <c r="O936" s="944" t="s">
        <v>295</v>
      </c>
      <c r="P936" s="879" t="str">
        <f>IFERROR(VLOOKUP(F936,#REF!,12,FALSE),"")</f>
        <v/>
      </c>
      <c r="Q936" s="107" t="s">
        <v>8</v>
      </c>
      <c r="R936" s="107" t="str">
        <f>IFERROR(VLOOKUP(F936,#REF!,14,FALSE),"")</f>
        <v/>
      </c>
      <c r="S936" s="65">
        <f t="shared" si="96"/>
        <v>1.5439393939393939</v>
      </c>
      <c r="U936" s="1728"/>
      <c r="V936" s="853">
        <f t="shared" si="99"/>
        <v>0</v>
      </c>
      <c r="W936" s="1768"/>
      <c r="X936" s="853"/>
    </row>
    <row r="937" spans="2:24" ht="16" thickBot="1" x14ac:dyDescent="0.25">
      <c r="B937" s="1660">
        <f>B930+1</f>
        <v>29</v>
      </c>
      <c r="C937" s="1015">
        <v>44025</v>
      </c>
      <c r="D937" s="946"/>
      <c r="E937" s="915"/>
      <c r="F937" s="1499"/>
      <c r="G937" s="883"/>
      <c r="H937" s="884" t="str">
        <f>IFERROR(VLOOKUP(F937,#REF!,10,FALSE),"")</f>
        <v/>
      </c>
      <c r="I937" s="885" t="str">
        <f t="shared" si="102"/>
        <v/>
      </c>
      <c r="J937" s="886"/>
      <c r="K937" s="1757"/>
      <c r="L937" s="792"/>
      <c r="M937" s="1595"/>
      <c r="N937" s="887" t="str">
        <f>IFERROR((L937/67)/(1/(I937*24)/3.6),"")</f>
        <v/>
      </c>
      <c r="O937" s="888"/>
      <c r="P937" s="889" t="str">
        <f>IFERROR(VLOOKUP(F937,#REF!,12,FALSE),"")</f>
        <v/>
      </c>
      <c r="Q937" s="32" t="s">
        <v>8</v>
      </c>
      <c r="R937" s="32" t="str">
        <f>IFERROR(VLOOKUP(F937,#REF!,14,FALSE),"")</f>
        <v/>
      </c>
      <c r="S937" s="33" t="str">
        <f t="shared" ref="S937:S1000" si="103">IFERROR(L937/J937,"")</f>
        <v/>
      </c>
      <c r="U937" s="1728"/>
      <c r="V937" s="881">
        <f t="shared" si="99"/>
        <v>0</v>
      </c>
      <c r="W937" s="1766"/>
      <c r="X937" s="881"/>
    </row>
    <row r="938" spans="2:24" x14ac:dyDescent="0.2">
      <c r="B938" s="1653" t="s">
        <v>142</v>
      </c>
      <c r="C938" s="1016">
        <v>44026</v>
      </c>
      <c r="D938" s="842">
        <v>95</v>
      </c>
      <c r="E938" s="1041" t="s">
        <v>293</v>
      </c>
      <c r="F938" s="1508" t="s">
        <v>297</v>
      </c>
      <c r="G938" s="950">
        <v>7.4166666666666659E-2</v>
      </c>
      <c r="H938" s="951">
        <v>15.32</v>
      </c>
      <c r="I938" s="952">
        <f t="shared" si="102"/>
        <v>4.8411662315056567E-3</v>
      </c>
      <c r="J938" s="953">
        <v>142</v>
      </c>
      <c r="K938" s="1757"/>
      <c r="L938" s="1568">
        <v>195.9</v>
      </c>
      <c r="M938" s="1591">
        <v>567</v>
      </c>
      <c r="N938" s="848"/>
      <c r="O938" s="955" t="s">
        <v>259</v>
      </c>
      <c r="P938" s="850" t="str">
        <f>IFERROR(VLOOKUP(F938,#REF!,12,FALSE),"")</f>
        <v/>
      </c>
      <c r="Q938" s="851" t="s">
        <v>8</v>
      </c>
      <c r="R938" s="46" t="str">
        <f>IFERROR(VLOOKUP(F938,#REF!,14,FALSE),"")</f>
        <v/>
      </c>
      <c r="S938" s="47">
        <f t="shared" si="103"/>
        <v>1.3795774647887324</v>
      </c>
      <c r="U938" s="1728"/>
      <c r="V938" s="854">
        <f t="shared" si="99"/>
        <v>0</v>
      </c>
      <c r="W938" s="1767"/>
      <c r="X938" s="854"/>
    </row>
    <row r="939" spans="2:24" ht="16" thickBot="1" x14ac:dyDescent="0.25">
      <c r="B939" s="1654">
        <f>SUM(H937:H943)</f>
        <v>41.04</v>
      </c>
      <c r="C939" s="855">
        <v>44027</v>
      </c>
      <c r="D939" s="842"/>
      <c r="E939" s="1041"/>
      <c r="F939" s="1503"/>
      <c r="G939" s="950"/>
      <c r="H939" s="951" t="str">
        <f>IFERROR(VLOOKUP(F939,#REF!,10,FALSE),"")</f>
        <v/>
      </c>
      <c r="I939" s="952" t="str">
        <f t="shared" si="102"/>
        <v/>
      </c>
      <c r="J939" s="953"/>
      <c r="K939" s="1757"/>
      <c r="L939" s="1568"/>
      <c r="M939" s="1591"/>
      <c r="N939" s="848" t="str">
        <f t="shared" ref="N939:N946" si="104">IFERROR((L939/67)/(1/(I939*24)/3.6),"")</f>
        <v/>
      </c>
      <c r="O939" s="955"/>
      <c r="P939" s="850" t="str">
        <f>IFERROR(VLOOKUP(F939,#REF!,12,FALSE),"")</f>
        <v/>
      </c>
      <c r="Q939" s="851" t="s">
        <v>8</v>
      </c>
      <c r="R939" s="46" t="str">
        <f>IFERROR(VLOOKUP(F939,#REF!,14,FALSE),"")</f>
        <v/>
      </c>
      <c r="S939" s="47" t="str">
        <f t="shared" si="103"/>
        <v/>
      </c>
      <c r="U939" s="1728"/>
      <c r="V939" s="854">
        <f t="shared" si="99"/>
        <v>0</v>
      </c>
      <c r="W939" s="1767"/>
      <c r="X939" s="854"/>
    </row>
    <row r="940" spans="2:24" x14ac:dyDescent="0.2">
      <c r="B940" s="1655" t="s">
        <v>144</v>
      </c>
      <c r="C940" s="855">
        <v>44028</v>
      </c>
      <c r="D940" s="842"/>
      <c r="E940" s="1041"/>
      <c r="F940" s="1503"/>
      <c r="G940" s="950"/>
      <c r="H940" s="951" t="str">
        <f>IFERROR(VLOOKUP(F940,#REF!,10,FALSE),"")</f>
        <v/>
      </c>
      <c r="I940" s="952" t="str">
        <f t="shared" si="102"/>
        <v/>
      </c>
      <c r="J940" s="953"/>
      <c r="K940" s="1759"/>
      <c r="L940" s="1568"/>
      <c r="M940" s="1591"/>
      <c r="N940" s="848" t="str">
        <f t="shared" si="104"/>
        <v/>
      </c>
      <c r="O940" s="955"/>
      <c r="P940" s="850" t="str">
        <f>IFERROR(VLOOKUP(F940,#REF!,12,FALSE),"")</f>
        <v/>
      </c>
      <c r="Q940" s="851" t="s">
        <v>8</v>
      </c>
      <c r="R940" s="46" t="str">
        <f>IFERROR(VLOOKUP(F940,#REF!,14,FALSE),"")</f>
        <v/>
      </c>
      <c r="S940" s="47" t="str">
        <f t="shared" si="103"/>
        <v/>
      </c>
      <c r="U940" s="1728"/>
      <c r="V940" s="854">
        <f t="shared" si="99"/>
        <v>0</v>
      </c>
      <c r="W940" s="1767"/>
      <c r="X940" s="854"/>
    </row>
    <row r="941" spans="2:24" ht="16" thickBot="1" x14ac:dyDescent="0.25">
      <c r="B941" s="1656" t="e">
        <f>SUM(#REF!)</f>
        <v>#REF!</v>
      </c>
      <c r="C941" s="855">
        <v>44029</v>
      </c>
      <c r="D941" s="842">
        <v>96</v>
      </c>
      <c r="E941" s="1041" t="s">
        <v>293</v>
      </c>
      <c r="F941" s="1503" t="s">
        <v>278</v>
      </c>
      <c r="G941" s="950">
        <v>4.0393518518518516E-2</v>
      </c>
      <c r="H941" s="951">
        <v>10.76</v>
      </c>
      <c r="I941" s="952">
        <f t="shared" si="102"/>
        <v>3.7540444719812746E-3</v>
      </c>
      <c r="J941" s="953">
        <v>138</v>
      </c>
      <c r="K941" s="1759"/>
      <c r="L941" s="1568">
        <v>221.3</v>
      </c>
      <c r="M941" s="1591"/>
      <c r="N941" s="848">
        <f t="shared" si="104"/>
        <v>1.071321367141985</v>
      </c>
      <c r="O941" s="955" t="s">
        <v>295</v>
      </c>
      <c r="P941" s="850" t="str">
        <f>IFERROR(VLOOKUP(F941,#REF!,12,FALSE),"")</f>
        <v/>
      </c>
      <c r="Q941" s="851" t="s">
        <v>8</v>
      </c>
      <c r="R941" s="46" t="str">
        <f>IFERROR(VLOOKUP(F941,#REF!,14,FALSE),"")</f>
        <v/>
      </c>
      <c r="S941" s="47">
        <f t="shared" si="103"/>
        <v>1.6036231884057972</v>
      </c>
      <c r="U941" s="1728"/>
      <c r="V941" s="854">
        <f t="shared" si="99"/>
        <v>0</v>
      </c>
      <c r="W941" s="1767"/>
      <c r="X941" s="854"/>
    </row>
    <row r="942" spans="2:24" x14ac:dyDescent="0.2">
      <c r="B942" s="1657" t="s">
        <v>256</v>
      </c>
      <c r="C942" s="855">
        <v>44030</v>
      </c>
      <c r="D942" s="842"/>
      <c r="E942" s="1041"/>
      <c r="F942" s="1503"/>
      <c r="G942" s="950"/>
      <c r="H942" s="951" t="str">
        <f>IFERROR(VLOOKUP(F942,#REF!,10,FALSE),"")</f>
        <v/>
      </c>
      <c r="I942" s="952" t="str">
        <f t="shared" si="102"/>
        <v/>
      </c>
      <c r="J942" s="953"/>
      <c r="K942" s="1759"/>
      <c r="L942" s="1568"/>
      <c r="M942" s="1591"/>
      <c r="N942" s="848" t="str">
        <f t="shared" si="104"/>
        <v/>
      </c>
      <c r="O942" s="955"/>
      <c r="P942" s="850" t="str">
        <f>IFERROR(VLOOKUP(F942,#REF!,12,FALSE),"")</f>
        <v/>
      </c>
      <c r="Q942" s="851" t="s">
        <v>8</v>
      </c>
      <c r="R942" s="46" t="str">
        <f>IFERROR(VLOOKUP(F942,#REF!,14,FALSE),"")</f>
        <v/>
      </c>
      <c r="S942" s="47" t="str">
        <f t="shared" si="103"/>
        <v/>
      </c>
      <c r="U942" s="1728"/>
      <c r="V942" s="854">
        <f t="shared" si="99"/>
        <v>0</v>
      </c>
      <c r="W942" s="1767"/>
      <c r="X942" s="854"/>
    </row>
    <row r="943" spans="2:24" ht="16" thickBot="1" x14ac:dyDescent="0.25">
      <c r="B943" s="1658" t="e">
        <f>AVERAGE(#REF!)</f>
        <v>#REF!</v>
      </c>
      <c r="C943" s="1037">
        <v>44031</v>
      </c>
      <c r="D943" s="67">
        <v>97</v>
      </c>
      <c r="E943" s="900" t="s">
        <v>292</v>
      </c>
      <c r="F943" s="1429" t="s">
        <v>271</v>
      </c>
      <c r="G943" s="959">
        <v>5.873842592592593E-2</v>
      </c>
      <c r="H943" s="960">
        <v>14.96</v>
      </c>
      <c r="I943" s="961">
        <f t="shared" si="102"/>
        <v>3.9263653693800754E-3</v>
      </c>
      <c r="J943" s="962">
        <v>138</v>
      </c>
      <c r="K943" s="1757"/>
      <c r="L943" s="1569">
        <v>209.2</v>
      </c>
      <c r="M943" s="1592"/>
      <c r="N943" s="172">
        <f t="shared" si="104"/>
        <v>1.0592325804134408</v>
      </c>
      <c r="O943" s="963" t="s">
        <v>253</v>
      </c>
      <c r="P943" s="964" t="str">
        <f>IFERROR(VLOOKUP(F943,#REF!,12,FALSE),"")</f>
        <v/>
      </c>
      <c r="Q943" s="965" t="s">
        <v>8</v>
      </c>
      <c r="R943" s="64" t="str">
        <f>IFERROR(VLOOKUP(F943,#REF!,14,FALSE),"")</f>
        <v/>
      </c>
      <c r="S943" s="65">
        <f t="shared" si="103"/>
        <v>1.5159420289855072</v>
      </c>
      <c r="U943" s="1728"/>
      <c r="V943" s="1047">
        <f t="shared" si="99"/>
        <v>0</v>
      </c>
      <c r="W943" s="1768"/>
      <c r="X943" s="1047"/>
    </row>
    <row r="944" spans="2:24" ht="16" thickBot="1" x14ac:dyDescent="0.25">
      <c r="B944" s="1660">
        <f>B937+1</f>
        <v>30</v>
      </c>
      <c r="C944" s="193">
        <v>44032</v>
      </c>
      <c r="D944" s="70"/>
      <c r="E944" s="931"/>
      <c r="F944" s="1430"/>
      <c r="G944" s="559"/>
      <c r="H944" s="560" t="str">
        <f>IFERROR(VLOOKUP(F944,#REF!,10,FALSE),"")</f>
        <v/>
      </c>
      <c r="I944" s="338" t="str">
        <f t="shared" si="102"/>
        <v/>
      </c>
      <c r="J944" s="270"/>
      <c r="K944" s="1757"/>
      <c r="L944" s="270"/>
      <c r="M944" s="1593"/>
      <c r="N944" s="77" t="str">
        <f t="shared" si="104"/>
        <v/>
      </c>
      <c r="O944" s="561"/>
      <c r="P944" s="224" t="str">
        <f>IFERROR(VLOOKUP(F944,#REF!,12,FALSE),"")</f>
        <v/>
      </c>
      <c r="Q944" s="80" t="s">
        <v>8</v>
      </c>
      <c r="R944" s="80" t="str">
        <f>IFERROR(VLOOKUP(F944,#REF!,14,FALSE),"")</f>
        <v/>
      </c>
      <c r="S944" s="83" t="str">
        <f t="shared" si="103"/>
        <v/>
      </c>
      <c r="U944" s="1728"/>
      <c r="V944" s="225">
        <f t="shared" si="99"/>
        <v>0</v>
      </c>
      <c r="W944" s="1766"/>
      <c r="X944" s="225"/>
    </row>
    <row r="945" spans="2:24" x14ac:dyDescent="0.2">
      <c r="B945" s="1653" t="s">
        <v>142</v>
      </c>
      <c r="C945" s="1039">
        <v>44033</v>
      </c>
      <c r="D945" s="1040"/>
      <c r="E945" s="1041"/>
      <c r="F945" s="1503"/>
      <c r="G945" s="1042"/>
      <c r="H945" s="718" t="str">
        <f>IFERROR(VLOOKUP(F945,#REF!,10,FALSE),"")</f>
        <v/>
      </c>
      <c r="I945" s="781" t="str">
        <f t="shared" si="102"/>
        <v/>
      </c>
      <c r="J945" s="1043"/>
      <c r="K945" s="1757"/>
      <c r="L945" s="1568"/>
      <c r="M945" s="1591"/>
      <c r="N945" s="722" t="str">
        <f t="shared" si="104"/>
        <v/>
      </c>
      <c r="O945" s="1044"/>
      <c r="P945" s="654" t="str">
        <f>IFERROR(VLOOKUP(F945,#REF!,12,FALSE),"")</f>
        <v/>
      </c>
      <c r="Q945" s="655" t="s">
        <v>8</v>
      </c>
      <c r="R945" s="46" t="str">
        <f>IFERROR(VLOOKUP(F945,#REF!,14,FALSE),"")</f>
        <v/>
      </c>
      <c r="S945" s="47" t="str">
        <f t="shared" si="103"/>
        <v/>
      </c>
      <c r="U945" s="1728"/>
      <c r="V945" s="1045">
        <f t="shared" si="99"/>
        <v>0</v>
      </c>
      <c r="W945" s="1767"/>
      <c r="X945" s="1045"/>
    </row>
    <row r="946" spans="2:24" ht="16" thickBot="1" x14ac:dyDescent="0.25">
      <c r="B946" s="1654">
        <f>SUM(H944:H950)</f>
        <v>35.78</v>
      </c>
      <c r="C946" s="1039">
        <v>44034</v>
      </c>
      <c r="D946" s="1040"/>
      <c r="E946" s="1041"/>
      <c r="F946" s="1503"/>
      <c r="G946" s="1042"/>
      <c r="H946" s="718" t="str">
        <f>IFERROR(VLOOKUP(F946,#REF!,10,FALSE),"")</f>
        <v/>
      </c>
      <c r="I946" s="781" t="str">
        <f t="shared" si="102"/>
        <v/>
      </c>
      <c r="J946" s="1043"/>
      <c r="K946" s="1757"/>
      <c r="L946" s="1568"/>
      <c r="M946" s="1591"/>
      <c r="N946" s="722" t="str">
        <f t="shared" si="104"/>
        <v/>
      </c>
      <c r="O946" s="1044"/>
      <c r="P946" s="654" t="str">
        <f>IFERROR(VLOOKUP(F946,#REF!,12,FALSE),"")</f>
        <v/>
      </c>
      <c r="Q946" s="655" t="s">
        <v>8</v>
      </c>
      <c r="R946" s="46" t="str">
        <f>IFERROR(VLOOKUP(F946,#REF!,14,FALSE),"")</f>
        <v/>
      </c>
      <c r="S946" s="47" t="str">
        <f t="shared" si="103"/>
        <v/>
      </c>
      <c r="U946" s="1728"/>
      <c r="V946" s="1045">
        <f t="shared" si="99"/>
        <v>0</v>
      </c>
      <c r="W946" s="1767"/>
      <c r="X946" s="1045"/>
    </row>
    <row r="947" spans="2:24" x14ac:dyDescent="0.2">
      <c r="B947" s="1655" t="s">
        <v>144</v>
      </c>
      <c r="C947" s="1039">
        <v>44035</v>
      </c>
      <c r="D947" s="1040">
        <v>98</v>
      </c>
      <c r="E947" s="1041" t="s">
        <v>293</v>
      </c>
      <c r="F947" s="1508" t="s">
        <v>297</v>
      </c>
      <c r="G947" s="1042">
        <v>2.2719907407407411E-2</v>
      </c>
      <c r="H947" s="718">
        <v>5.38</v>
      </c>
      <c r="I947" s="781">
        <f t="shared" si="102"/>
        <v>4.2230311166184782E-3</v>
      </c>
      <c r="J947" s="1043">
        <v>153</v>
      </c>
      <c r="K947" s="1757"/>
      <c r="L947" s="1568">
        <v>222.7</v>
      </c>
      <c r="M947" s="1591">
        <v>218</v>
      </c>
      <c r="N947" s="722"/>
      <c r="O947" s="1044" t="s">
        <v>299</v>
      </c>
      <c r="P947" s="654" t="str">
        <f>IFERROR(VLOOKUP(F947,#REF!,12,FALSE),"")</f>
        <v/>
      </c>
      <c r="Q947" s="655" t="s">
        <v>8</v>
      </c>
      <c r="R947" s="46" t="str">
        <f>IFERROR(VLOOKUP(F947,#REF!,14,FALSE),"")</f>
        <v/>
      </c>
      <c r="S947" s="47">
        <f t="shared" si="103"/>
        <v>1.4555555555555555</v>
      </c>
      <c r="U947" s="1728"/>
      <c r="V947" s="1045">
        <f t="shared" si="99"/>
        <v>0</v>
      </c>
      <c r="W947" s="1767"/>
      <c r="X947" s="1045"/>
    </row>
    <row r="948" spans="2:24" ht="16" thickBot="1" x14ac:dyDescent="0.25">
      <c r="B948" s="1656" t="e">
        <f>SUM(#REF!)</f>
        <v>#REF!</v>
      </c>
      <c r="C948" s="1039">
        <v>44036</v>
      </c>
      <c r="D948" s="1040"/>
      <c r="E948" s="1041"/>
      <c r="F948" s="1503"/>
      <c r="G948" s="1042"/>
      <c r="H948" s="718" t="str">
        <f>IFERROR(VLOOKUP(F948,#REF!,10,FALSE),"")</f>
        <v/>
      </c>
      <c r="I948" s="781" t="str">
        <f t="shared" si="102"/>
        <v/>
      </c>
      <c r="J948" s="1043"/>
      <c r="K948" s="1757"/>
      <c r="L948" s="1568"/>
      <c r="M948" s="1591"/>
      <c r="N948" s="722" t="str">
        <f t="shared" ref="N948:N979" si="105">IFERROR((L948/67)/(1/(I948*24)/3.6),"")</f>
        <v/>
      </c>
      <c r="O948" s="1044"/>
      <c r="P948" s="654" t="str">
        <f>IFERROR(VLOOKUP(F948,#REF!,12,FALSE),"")</f>
        <v/>
      </c>
      <c r="Q948" s="655" t="s">
        <v>8</v>
      </c>
      <c r="R948" s="46" t="str">
        <f>IFERROR(VLOOKUP(F948,#REF!,14,FALSE),"")</f>
        <v/>
      </c>
      <c r="S948" s="47" t="str">
        <f t="shared" si="103"/>
        <v/>
      </c>
      <c r="U948" s="1728"/>
      <c r="V948" s="1045">
        <f t="shared" si="99"/>
        <v>0</v>
      </c>
      <c r="W948" s="1767"/>
      <c r="X948" s="1045"/>
    </row>
    <row r="949" spans="2:24" x14ac:dyDescent="0.2">
      <c r="B949" s="1657" t="s">
        <v>256</v>
      </c>
      <c r="C949" s="1039">
        <v>44037</v>
      </c>
      <c r="D949" s="1040">
        <v>99</v>
      </c>
      <c r="E949" s="1041" t="s">
        <v>293</v>
      </c>
      <c r="F949" s="1503" t="s">
        <v>273</v>
      </c>
      <c r="G949" s="1042">
        <v>6.0601851851851851E-2</v>
      </c>
      <c r="H949" s="718">
        <v>14.76</v>
      </c>
      <c r="I949" s="781">
        <f t="shared" si="102"/>
        <v>4.1058165211281744E-3</v>
      </c>
      <c r="J949" s="1043">
        <v>139</v>
      </c>
      <c r="K949" s="1757"/>
      <c r="L949" s="1568">
        <v>202.4</v>
      </c>
      <c r="M949" s="1591"/>
      <c r="N949" s="722">
        <f t="shared" si="105"/>
        <v>1.0716401731181493</v>
      </c>
      <c r="O949" s="1044" t="s">
        <v>259</v>
      </c>
      <c r="P949" s="654" t="str">
        <f>IFERROR(VLOOKUP(F949,#REF!,12,FALSE),"")</f>
        <v/>
      </c>
      <c r="Q949" s="655" t="s">
        <v>8</v>
      </c>
      <c r="R949" s="46" t="str">
        <f>IFERROR(VLOOKUP(F949,#REF!,14,FALSE),"")</f>
        <v/>
      </c>
      <c r="S949" s="47">
        <f t="shared" si="103"/>
        <v>1.4561151079136692</v>
      </c>
      <c r="U949" s="1728"/>
      <c r="V949" s="1045">
        <f t="shared" si="99"/>
        <v>0</v>
      </c>
      <c r="W949" s="1767"/>
      <c r="X949" s="1045"/>
    </row>
    <row r="950" spans="2:24" ht="16" thickBot="1" x14ac:dyDescent="0.25">
      <c r="B950" s="1658" t="e">
        <f>AVERAGE(#REF!)</f>
        <v>#REF!</v>
      </c>
      <c r="C950" s="1019">
        <v>44038</v>
      </c>
      <c r="D950" s="1048">
        <v>100</v>
      </c>
      <c r="E950" s="1046" t="s">
        <v>292</v>
      </c>
      <c r="F950" s="1429" t="s">
        <v>273</v>
      </c>
      <c r="G950" s="939">
        <v>6.1921296296296301E-2</v>
      </c>
      <c r="H950" s="960">
        <v>15.64</v>
      </c>
      <c r="I950" s="941">
        <f t="shared" si="102"/>
        <v>3.9591621672823724E-3</v>
      </c>
      <c r="J950" s="942">
        <v>138</v>
      </c>
      <c r="K950" s="1757"/>
      <c r="L950" s="1570">
        <v>207.8</v>
      </c>
      <c r="M950" s="1594"/>
      <c r="N950" s="943">
        <f t="shared" si="105"/>
        <v>1.0609325495285722</v>
      </c>
      <c r="O950" s="944" t="s">
        <v>295</v>
      </c>
      <c r="P950" s="879" t="str">
        <f>IFERROR(VLOOKUP(F950,#REF!,12,FALSE),"")</f>
        <v/>
      </c>
      <c r="Q950" s="107" t="s">
        <v>8</v>
      </c>
      <c r="R950" s="107" t="str">
        <f>IFERROR(VLOOKUP(F950,#REF!,14,FALSE),"")</f>
        <v/>
      </c>
      <c r="S950" s="1049">
        <f t="shared" si="103"/>
        <v>1.5057971014492755</v>
      </c>
      <c r="U950" s="1728"/>
      <c r="V950" s="853">
        <f t="shared" si="99"/>
        <v>0</v>
      </c>
      <c r="W950" s="1768"/>
      <c r="X950" s="853"/>
    </row>
    <row r="951" spans="2:24" ht="16" thickBot="1" x14ac:dyDescent="0.25">
      <c r="B951" s="1660">
        <f>B944+1</f>
        <v>31</v>
      </c>
      <c r="C951" s="1015">
        <v>44039</v>
      </c>
      <c r="D951" s="946"/>
      <c r="E951" s="915"/>
      <c r="F951" s="1509"/>
      <c r="G951" s="883"/>
      <c r="H951" s="884" t="str">
        <f>IFERROR(VLOOKUP(F951,#REF!,10,FALSE),"")</f>
        <v/>
      </c>
      <c r="I951" s="885" t="str">
        <f t="shared" si="102"/>
        <v/>
      </c>
      <c r="J951" s="886"/>
      <c r="K951" s="1757"/>
      <c r="L951" s="792"/>
      <c r="M951" s="1595"/>
      <c r="N951" s="887" t="str">
        <f t="shared" si="105"/>
        <v/>
      </c>
      <c r="O951" s="888"/>
      <c r="P951" s="889" t="str">
        <f>IFERROR(VLOOKUP(F951,#REF!,12,FALSE),"")</f>
        <v/>
      </c>
      <c r="Q951" s="32" t="s">
        <v>8</v>
      </c>
      <c r="R951" s="32" t="str">
        <f>IFERROR(VLOOKUP(F951,#REF!,14,FALSE),"")</f>
        <v/>
      </c>
      <c r="S951" s="83" t="str">
        <f t="shared" si="103"/>
        <v/>
      </c>
      <c r="U951" s="1728"/>
      <c r="V951" s="881">
        <f t="shared" si="99"/>
        <v>0</v>
      </c>
      <c r="W951" s="1766"/>
      <c r="X951" s="881"/>
    </row>
    <row r="952" spans="2:24" x14ac:dyDescent="0.2">
      <c r="B952" s="1653" t="s">
        <v>142</v>
      </c>
      <c r="C952" s="1016">
        <v>44040</v>
      </c>
      <c r="D952" s="842">
        <v>101</v>
      </c>
      <c r="E952" s="1041" t="s">
        <v>293</v>
      </c>
      <c r="F952" s="1510" t="s">
        <v>278</v>
      </c>
      <c r="G952" s="950">
        <v>3.7650462962962962E-2</v>
      </c>
      <c r="H952" s="951">
        <v>10.41</v>
      </c>
      <c r="I952" s="952">
        <f t="shared" si="102"/>
        <v>3.616759170313445E-3</v>
      </c>
      <c r="J952" s="953">
        <v>140</v>
      </c>
      <c r="K952" s="1757"/>
      <c r="L952" s="1568">
        <v>225.6</v>
      </c>
      <c r="M952" s="1591"/>
      <c r="N952" s="848">
        <f t="shared" si="105"/>
        <v>1.0521983741236183</v>
      </c>
      <c r="O952" s="955" t="s">
        <v>259</v>
      </c>
      <c r="P952" s="850" t="str">
        <f>IFERROR(VLOOKUP(F952,#REF!,12,FALSE),"")</f>
        <v/>
      </c>
      <c r="Q952" s="851" t="s">
        <v>8</v>
      </c>
      <c r="R952" s="46" t="str">
        <f>IFERROR(VLOOKUP(F952,#REF!,14,FALSE),"")</f>
        <v/>
      </c>
      <c r="S952" s="47">
        <f t="shared" si="103"/>
        <v>1.6114285714285714</v>
      </c>
      <c r="U952" s="1728"/>
      <c r="V952" s="854">
        <f t="shared" si="99"/>
        <v>0</v>
      </c>
      <c r="W952" s="1767"/>
      <c r="X952" s="854"/>
    </row>
    <row r="953" spans="2:24" ht="16" thickBot="1" x14ac:dyDescent="0.25">
      <c r="B953" s="1654">
        <f>SUM(H951:H957)</f>
        <v>46.11</v>
      </c>
      <c r="C953" s="855">
        <v>44041</v>
      </c>
      <c r="D953" s="842"/>
      <c r="E953" s="1041"/>
      <c r="F953" s="1510"/>
      <c r="G953" s="950"/>
      <c r="H953" s="951" t="str">
        <f>IFERROR(VLOOKUP(F953,#REF!,10,FALSE),"")</f>
        <v/>
      </c>
      <c r="I953" s="952" t="str">
        <f t="shared" si="102"/>
        <v/>
      </c>
      <c r="J953" s="953"/>
      <c r="K953" s="1757"/>
      <c r="L953" s="1568"/>
      <c r="M953" s="1591"/>
      <c r="N953" s="848" t="str">
        <f t="shared" si="105"/>
        <v/>
      </c>
      <c r="O953" s="955"/>
      <c r="P953" s="850" t="str">
        <f>IFERROR(VLOOKUP(F953,#REF!,12,FALSE),"")</f>
        <v/>
      </c>
      <c r="Q953" s="851" t="s">
        <v>8</v>
      </c>
      <c r="R953" s="46" t="str">
        <f>IFERROR(VLOOKUP(F953,#REF!,14,FALSE),"")</f>
        <v/>
      </c>
      <c r="S953" s="47" t="str">
        <f t="shared" si="103"/>
        <v/>
      </c>
      <c r="U953" s="1728"/>
      <c r="V953" s="854">
        <f t="shared" si="99"/>
        <v>0</v>
      </c>
      <c r="W953" s="1767"/>
      <c r="X953" s="854"/>
    </row>
    <row r="954" spans="2:24" x14ac:dyDescent="0.2">
      <c r="B954" s="1655" t="s">
        <v>144</v>
      </c>
      <c r="C954" s="855">
        <v>44042</v>
      </c>
      <c r="D954" s="842">
        <v>102</v>
      </c>
      <c r="E954" s="1041" t="s">
        <v>293</v>
      </c>
      <c r="F954" s="1510" t="s">
        <v>262</v>
      </c>
      <c r="G954" s="950">
        <v>4.0289351851851847E-2</v>
      </c>
      <c r="H954" s="951">
        <v>11.03</v>
      </c>
      <c r="I954" s="952">
        <f t="shared" si="102"/>
        <v>3.6527064235586447E-3</v>
      </c>
      <c r="J954" s="953">
        <v>145</v>
      </c>
      <c r="K954" s="1757"/>
      <c r="L954" s="1568">
        <v>220.6</v>
      </c>
      <c r="M954" s="1591"/>
      <c r="N954" s="848">
        <f t="shared" si="105"/>
        <v>1.0391044776119402</v>
      </c>
      <c r="O954" s="955" t="s">
        <v>280</v>
      </c>
      <c r="P954" s="850" t="str">
        <f>IFERROR(VLOOKUP(F954,#REF!,12,FALSE),"")</f>
        <v/>
      </c>
      <c r="Q954" s="851" t="s">
        <v>8</v>
      </c>
      <c r="R954" s="46" t="str">
        <f>IFERROR(VLOOKUP(F954,#REF!,14,FALSE),"")</f>
        <v/>
      </c>
      <c r="S954" s="47">
        <f t="shared" si="103"/>
        <v>1.5213793103448277</v>
      </c>
      <c r="U954" s="1728"/>
      <c r="V954" s="854">
        <f t="shared" ref="V954:V1017" si="106">U953-T953</f>
        <v>0</v>
      </c>
      <c r="W954" s="1767"/>
      <c r="X954" s="854"/>
    </row>
    <row r="955" spans="2:24" ht="16" thickBot="1" x14ac:dyDescent="0.25">
      <c r="B955" s="1656" t="e">
        <f>SUM(#REF!)</f>
        <v>#REF!</v>
      </c>
      <c r="C955" s="855">
        <v>44043</v>
      </c>
      <c r="D955" s="842">
        <v>103</v>
      </c>
      <c r="E955" s="1041" t="s">
        <v>292</v>
      </c>
      <c r="F955" s="1510" t="s">
        <v>282</v>
      </c>
      <c r="G955" s="950">
        <v>3.9166666666666662E-2</v>
      </c>
      <c r="H955" s="951">
        <v>9.81</v>
      </c>
      <c r="I955" s="952">
        <f t="shared" si="102"/>
        <v>3.9925246347264692E-3</v>
      </c>
      <c r="J955" s="953">
        <v>129</v>
      </c>
      <c r="K955" s="1757"/>
      <c r="L955" s="1568">
        <v>205.3</v>
      </c>
      <c r="M955" s="1591"/>
      <c r="N955" s="848">
        <f t="shared" si="105"/>
        <v>1.0570012323702589</v>
      </c>
      <c r="O955" s="955" t="s">
        <v>259</v>
      </c>
      <c r="P955" s="850" t="str">
        <f>IFERROR(VLOOKUP(F955,#REF!,12,FALSE),"")</f>
        <v/>
      </c>
      <c r="Q955" s="851" t="s">
        <v>8</v>
      </c>
      <c r="R955" s="46" t="str">
        <f>IFERROR(VLOOKUP(F955,#REF!,14,FALSE),"")</f>
        <v/>
      </c>
      <c r="S955" s="47">
        <f t="shared" si="103"/>
        <v>1.5914728682170542</v>
      </c>
      <c r="U955" s="1728"/>
      <c r="V955" s="854">
        <f t="shared" si="106"/>
        <v>0</v>
      </c>
      <c r="W955" s="1767"/>
      <c r="X955" s="854"/>
    </row>
    <row r="956" spans="2:24" x14ac:dyDescent="0.2">
      <c r="B956" s="1657" t="s">
        <v>256</v>
      </c>
      <c r="C956" s="855">
        <v>44044</v>
      </c>
      <c r="D956" s="842"/>
      <c r="E956" s="1041"/>
      <c r="F956" s="1510"/>
      <c r="G956" s="950"/>
      <c r="H956" s="951" t="str">
        <f>IFERROR(VLOOKUP(F956,#REF!,10,FALSE),"")</f>
        <v/>
      </c>
      <c r="I956" s="952" t="str">
        <f t="shared" si="102"/>
        <v/>
      </c>
      <c r="J956" s="953"/>
      <c r="K956" s="1757"/>
      <c r="L956" s="1568"/>
      <c r="M956" s="1591"/>
      <c r="N956" s="848" t="str">
        <f t="shared" si="105"/>
        <v/>
      </c>
      <c r="O956" s="955"/>
      <c r="P956" s="850" t="str">
        <f>IFERROR(VLOOKUP(F956,#REF!,12,FALSE),"")</f>
        <v/>
      </c>
      <c r="Q956" s="851" t="s">
        <v>8</v>
      </c>
      <c r="R956" s="46" t="str">
        <f>IFERROR(VLOOKUP(F956,#REF!,14,FALSE),"")</f>
        <v/>
      </c>
      <c r="S956" s="47" t="str">
        <f t="shared" si="103"/>
        <v/>
      </c>
      <c r="U956" s="1728"/>
      <c r="V956" s="854">
        <f t="shared" si="106"/>
        <v>0</v>
      </c>
      <c r="W956" s="1767"/>
      <c r="X956" s="854"/>
    </row>
    <row r="957" spans="2:24" ht="16" thickBot="1" x14ac:dyDescent="0.25">
      <c r="B957" s="1658" t="e">
        <f>AVERAGE(#REF!)</f>
        <v>#REF!</v>
      </c>
      <c r="C957" s="1037">
        <v>44045</v>
      </c>
      <c r="D957" s="67">
        <v>104</v>
      </c>
      <c r="E957" s="900" t="s">
        <v>293</v>
      </c>
      <c r="F957" s="1511" t="s">
        <v>273</v>
      </c>
      <c r="G957" s="959">
        <v>5.7094907407407407E-2</v>
      </c>
      <c r="H957" s="960">
        <v>14.86</v>
      </c>
      <c r="I957" s="961">
        <f t="shared" si="102"/>
        <v>3.8421875778874436E-3</v>
      </c>
      <c r="J957" s="962">
        <v>139</v>
      </c>
      <c r="K957" s="1757"/>
      <c r="L957" s="1569">
        <v>215.2</v>
      </c>
      <c r="M957" s="1592"/>
      <c r="N957" s="172">
        <f t="shared" si="105"/>
        <v>1.0662517828087024</v>
      </c>
      <c r="O957" s="963" t="s">
        <v>295</v>
      </c>
      <c r="P957" s="964" t="str">
        <f>IFERROR(VLOOKUP(F957,#REF!,12,FALSE),"")</f>
        <v/>
      </c>
      <c r="Q957" s="965" t="s">
        <v>8</v>
      </c>
      <c r="R957" s="64" t="str">
        <f>IFERROR(VLOOKUP(F957,#REF!,14,FALSE),"")</f>
        <v/>
      </c>
      <c r="S957" s="1049">
        <f t="shared" si="103"/>
        <v>1.5482014388489207</v>
      </c>
      <c r="U957" s="1728"/>
      <c r="V957" s="1047">
        <f t="shared" si="106"/>
        <v>0</v>
      </c>
      <c r="W957" s="1768"/>
      <c r="X957" s="1047"/>
    </row>
    <row r="958" spans="2:24" ht="16" thickBot="1" x14ac:dyDescent="0.25">
      <c r="B958" s="1660">
        <f>B951+1</f>
        <v>32</v>
      </c>
      <c r="C958" s="193">
        <v>44046</v>
      </c>
      <c r="D958" s="70"/>
      <c r="E958" s="931"/>
      <c r="F958" s="1499"/>
      <c r="G958" s="559"/>
      <c r="H958" s="560" t="str">
        <f>IFERROR(VLOOKUP(F958,#REF!,10,FALSE),"")</f>
        <v/>
      </c>
      <c r="I958" s="338" t="str">
        <f t="shared" si="102"/>
        <v/>
      </c>
      <c r="J958" s="270"/>
      <c r="K958" s="1757"/>
      <c r="L958" s="270"/>
      <c r="M958" s="1593"/>
      <c r="N958" s="77" t="str">
        <f t="shared" si="105"/>
        <v/>
      </c>
      <c r="O958" s="561"/>
      <c r="P958" s="224" t="str">
        <f>IFERROR(VLOOKUP(F958,#REF!,12,FALSE),"")</f>
        <v/>
      </c>
      <c r="Q958" s="80" t="s">
        <v>8</v>
      </c>
      <c r="R958" s="80" t="str">
        <f>IFERROR(VLOOKUP(F958,#REF!,14,FALSE),"")</f>
        <v/>
      </c>
      <c r="S958" s="83" t="str">
        <f t="shared" si="103"/>
        <v/>
      </c>
      <c r="U958" s="1728"/>
      <c r="V958" s="225">
        <f t="shared" si="106"/>
        <v>0</v>
      </c>
      <c r="W958" s="1766"/>
      <c r="X958" s="225"/>
    </row>
    <row r="959" spans="2:24" x14ac:dyDescent="0.2">
      <c r="B959" s="1653" t="s">
        <v>142</v>
      </c>
      <c r="C959" s="1050">
        <v>44047</v>
      </c>
      <c r="D959" s="1040">
        <v>105</v>
      </c>
      <c r="E959" s="1041" t="s">
        <v>293</v>
      </c>
      <c r="F959" s="1510" t="s">
        <v>263</v>
      </c>
      <c r="G959" s="1051">
        <v>4.5763888888888889E-2</v>
      </c>
      <c r="H959" s="718">
        <v>12.23</v>
      </c>
      <c r="I959" s="781">
        <f t="shared" si="102"/>
        <v>3.7419369492141365E-3</v>
      </c>
      <c r="J959" s="1052">
        <v>144</v>
      </c>
      <c r="K959" s="1757"/>
      <c r="L959" s="1568">
        <v>214.1</v>
      </c>
      <c r="M959" s="1591"/>
      <c r="N959" s="722">
        <f t="shared" si="105"/>
        <v>1.0331231007676256</v>
      </c>
      <c r="O959" s="1053" t="s">
        <v>280</v>
      </c>
      <c r="P959" s="654" t="str">
        <f>IFERROR(VLOOKUP(F959,#REF!,12,FALSE),"")</f>
        <v/>
      </c>
      <c r="Q959" s="655" t="s">
        <v>8</v>
      </c>
      <c r="R959" s="46" t="str">
        <f>IFERROR(VLOOKUP(F959,#REF!,14,FALSE),"")</f>
        <v/>
      </c>
      <c r="S959" s="47">
        <f t="shared" si="103"/>
        <v>1.4868055555555555</v>
      </c>
      <c r="U959" s="1728"/>
      <c r="V959" s="1045">
        <f t="shared" si="106"/>
        <v>0</v>
      </c>
      <c r="W959" s="1767"/>
      <c r="X959" s="1045"/>
    </row>
    <row r="960" spans="2:24" ht="16" thickBot="1" x14ac:dyDescent="0.25">
      <c r="B960" s="1654">
        <f>SUM(H958:H964)</f>
        <v>51.67</v>
      </c>
      <c r="C960" s="1039">
        <v>44048</v>
      </c>
      <c r="D960" s="1040">
        <v>106</v>
      </c>
      <c r="E960" s="1041" t="s">
        <v>293</v>
      </c>
      <c r="F960" s="1510" t="s">
        <v>282</v>
      </c>
      <c r="G960" s="1051">
        <v>3.7627314814814815E-2</v>
      </c>
      <c r="H960" s="718">
        <v>9.2899999999999991</v>
      </c>
      <c r="I960" s="781">
        <f t="shared" si="102"/>
        <v>4.0503029940597221E-3</v>
      </c>
      <c r="J960" s="1052">
        <v>127</v>
      </c>
      <c r="K960" s="1757"/>
      <c r="L960" s="1568">
        <v>204.1</v>
      </c>
      <c r="M960" s="1591"/>
      <c r="N960" s="722">
        <f t="shared" si="105"/>
        <v>1.0660300756711598</v>
      </c>
      <c r="O960" s="1053" t="s">
        <v>259</v>
      </c>
      <c r="P960" s="654" t="str">
        <f>IFERROR(VLOOKUP(F960,#REF!,12,FALSE),"")</f>
        <v/>
      </c>
      <c r="Q960" s="655" t="s">
        <v>8</v>
      </c>
      <c r="R960" s="46" t="str">
        <f>IFERROR(VLOOKUP(F960,#REF!,14,FALSE),"")</f>
        <v/>
      </c>
      <c r="S960" s="47">
        <f t="shared" si="103"/>
        <v>1.6070866141732283</v>
      </c>
      <c r="U960" s="1728"/>
      <c r="V960" s="1045">
        <f t="shared" si="106"/>
        <v>0</v>
      </c>
      <c r="W960" s="1767"/>
      <c r="X960" s="1045"/>
    </row>
    <row r="961" spans="2:24" x14ac:dyDescent="0.2">
      <c r="B961" s="1655" t="s">
        <v>144</v>
      </c>
      <c r="C961" s="1039">
        <v>44049</v>
      </c>
      <c r="D961" s="1040"/>
      <c r="E961" s="1041"/>
      <c r="F961" s="1510"/>
      <c r="G961" s="1051"/>
      <c r="H961" s="718" t="str">
        <f>IFERROR(VLOOKUP(F961,#REF!,10,FALSE),"")</f>
        <v/>
      </c>
      <c r="I961" s="781" t="str">
        <f t="shared" si="102"/>
        <v/>
      </c>
      <c r="J961" s="1052"/>
      <c r="K961" s="1757"/>
      <c r="L961" s="1568"/>
      <c r="M961" s="1591"/>
      <c r="N961" s="722" t="str">
        <f t="shared" si="105"/>
        <v/>
      </c>
      <c r="O961" s="1053"/>
      <c r="P961" s="654" t="str">
        <f>IFERROR(VLOOKUP(F961,#REF!,12,FALSE),"")</f>
        <v/>
      </c>
      <c r="Q961" s="655" t="s">
        <v>8</v>
      </c>
      <c r="R961" s="46" t="str">
        <f>IFERROR(VLOOKUP(F961,#REF!,14,FALSE),"")</f>
        <v/>
      </c>
      <c r="S961" s="47" t="str">
        <f t="shared" si="103"/>
        <v/>
      </c>
      <c r="U961" s="1728"/>
      <c r="V961" s="1045">
        <f t="shared" si="106"/>
        <v>0</v>
      </c>
      <c r="W961" s="1767"/>
      <c r="X961" s="1045"/>
    </row>
    <row r="962" spans="2:24" ht="16" thickBot="1" x14ac:dyDescent="0.25">
      <c r="B962" s="1656" t="e">
        <f>SUM(#REF!)</f>
        <v>#REF!</v>
      </c>
      <c r="C962" s="1039">
        <v>44050</v>
      </c>
      <c r="D962" s="1040">
        <v>107</v>
      </c>
      <c r="E962" s="1041" t="s">
        <v>292</v>
      </c>
      <c r="F962" s="1510" t="s">
        <v>285</v>
      </c>
      <c r="G962" s="1051">
        <v>3.6793981481481483E-2</v>
      </c>
      <c r="H962" s="718">
        <v>9.7200000000000006</v>
      </c>
      <c r="I962" s="781">
        <f t="shared" si="102"/>
        <v>3.785389041304679E-3</v>
      </c>
      <c r="J962" s="1052">
        <v>136</v>
      </c>
      <c r="K962" s="1757"/>
      <c r="L962" s="1568">
        <v>215.4</v>
      </c>
      <c r="M962" s="1591"/>
      <c r="N962" s="722">
        <f t="shared" si="105"/>
        <v>1.0514658190528838</v>
      </c>
      <c r="O962" s="1053" t="s">
        <v>253</v>
      </c>
      <c r="P962" s="654" t="str">
        <f>IFERROR(VLOOKUP(F962,#REF!,12,FALSE),"")</f>
        <v/>
      </c>
      <c r="Q962" s="655" t="s">
        <v>8</v>
      </c>
      <c r="R962" s="46" t="str">
        <f>IFERROR(VLOOKUP(F962,#REF!,14,FALSE),"")</f>
        <v/>
      </c>
      <c r="S962" s="47">
        <f t="shared" si="103"/>
        <v>1.5838235294117649</v>
      </c>
      <c r="U962" s="1728"/>
      <c r="V962" s="1045">
        <f t="shared" si="106"/>
        <v>0</v>
      </c>
      <c r="W962" s="1767"/>
      <c r="X962" s="1045"/>
    </row>
    <row r="963" spans="2:24" x14ac:dyDescent="0.2">
      <c r="B963" s="1657" t="s">
        <v>256</v>
      </c>
      <c r="C963" s="1039">
        <v>44051</v>
      </c>
      <c r="D963" s="1040"/>
      <c r="E963" s="1041"/>
      <c r="F963" s="1510"/>
      <c r="G963" s="1051"/>
      <c r="H963" s="718" t="str">
        <f>IFERROR(VLOOKUP(F963,#REF!,10,FALSE),"")</f>
        <v/>
      </c>
      <c r="I963" s="781" t="str">
        <f t="shared" si="102"/>
        <v/>
      </c>
      <c r="J963" s="1052"/>
      <c r="K963" s="1757"/>
      <c r="L963" s="1568"/>
      <c r="M963" s="1591"/>
      <c r="N963" s="722" t="str">
        <f t="shared" si="105"/>
        <v/>
      </c>
      <c r="O963" s="1053"/>
      <c r="P963" s="654" t="str">
        <f>IFERROR(VLOOKUP(F963,#REF!,12,FALSE),"")</f>
        <v/>
      </c>
      <c r="Q963" s="655" t="s">
        <v>8</v>
      </c>
      <c r="R963" s="46" t="str">
        <f>IFERROR(VLOOKUP(F963,#REF!,14,FALSE),"")</f>
        <v/>
      </c>
      <c r="S963" s="47" t="str">
        <f t="shared" si="103"/>
        <v/>
      </c>
      <c r="U963" s="1728"/>
      <c r="V963" s="1045">
        <f t="shared" si="106"/>
        <v>0</v>
      </c>
      <c r="W963" s="1767"/>
      <c r="X963" s="1045"/>
    </row>
    <row r="964" spans="2:24" ht="16" thickBot="1" x14ac:dyDescent="0.25">
      <c r="B964" s="1658" t="e">
        <f>AVERAGE(#REF!)</f>
        <v>#REF!</v>
      </c>
      <c r="C964" s="1054">
        <v>44052</v>
      </c>
      <c r="D964" s="1048">
        <v>108</v>
      </c>
      <c r="E964" s="1046" t="s">
        <v>293</v>
      </c>
      <c r="F964" s="1511" t="s">
        <v>275</v>
      </c>
      <c r="G964" s="939">
        <v>7.615740740740741E-2</v>
      </c>
      <c r="H964" s="940">
        <v>20.43</v>
      </c>
      <c r="I964" s="941">
        <f t="shared" si="102"/>
        <v>3.7277242979641416E-3</v>
      </c>
      <c r="J964" s="942">
        <v>141</v>
      </c>
      <c r="K964" s="1757"/>
      <c r="L964" s="1570">
        <v>221.1</v>
      </c>
      <c r="M964" s="1594"/>
      <c r="N964" s="943">
        <f t="shared" si="105"/>
        <v>1.0628487518355361</v>
      </c>
      <c r="O964" s="944" t="s">
        <v>295</v>
      </c>
      <c r="P964" s="879" t="str">
        <f>IFERROR(VLOOKUP(F964,#REF!,12,FALSE),"")</f>
        <v/>
      </c>
      <c r="Q964" s="107" t="s">
        <v>8</v>
      </c>
      <c r="R964" s="107" t="str">
        <f>IFERROR(VLOOKUP(F964,#REF!,14,FALSE),"")</f>
        <v/>
      </c>
      <c r="S964" s="1049">
        <f t="shared" si="103"/>
        <v>1.5680851063829786</v>
      </c>
      <c r="U964" s="1728"/>
      <c r="V964" s="853">
        <f t="shared" si="106"/>
        <v>0</v>
      </c>
      <c r="W964" s="1768"/>
      <c r="X964" s="853"/>
    </row>
    <row r="965" spans="2:24" ht="16" thickBot="1" x14ac:dyDescent="0.25">
      <c r="B965" s="1660">
        <f>B958+1</f>
        <v>33</v>
      </c>
      <c r="C965" s="1015">
        <v>44053</v>
      </c>
      <c r="D965" s="946"/>
      <c r="E965" s="915"/>
      <c r="F965" s="1499"/>
      <c r="G965" s="883"/>
      <c r="H965" s="884" t="str">
        <f>IFERROR(VLOOKUP(F965,#REF!,10,FALSE),"")</f>
        <v/>
      </c>
      <c r="I965" s="885" t="str">
        <f t="shared" si="102"/>
        <v/>
      </c>
      <c r="J965" s="886"/>
      <c r="K965" s="1757"/>
      <c r="L965" s="792"/>
      <c r="M965" s="1595"/>
      <c r="N965" s="887" t="str">
        <f t="shared" si="105"/>
        <v/>
      </c>
      <c r="O965" s="888"/>
      <c r="P965" s="889" t="str">
        <f>IFERROR(VLOOKUP(F965,#REF!,12,FALSE),"")</f>
        <v/>
      </c>
      <c r="Q965" s="32" t="s">
        <v>8</v>
      </c>
      <c r="R965" s="32" t="str">
        <f>IFERROR(VLOOKUP(F965,#REF!,14,FALSE),"")</f>
        <v/>
      </c>
      <c r="S965" s="83" t="str">
        <f t="shared" si="103"/>
        <v/>
      </c>
      <c r="U965" s="1728"/>
      <c r="V965" s="881">
        <f t="shared" si="106"/>
        <v>0</v>
      </c>
      <c r="W965" s="1766"/>
      <c r="X965" s="881"/>
    </row>
    <row r="966" spans="2:24" x14ac:dyDescent="0.2">
      <c r="B966" s="1653" t="s">
        <v>142</v>
      </c>
      <c r="C966" s="1016">
        <v>44054</v>
      </c>
      <c r="D966" s="842">
        <v>109</v>
      </c>
      <c r="E966" s="1041" t="s">
        <v>293</v>
      </c>
      <c r="F966" s="1510" t="s">
        <v>300</v>
      </c>
      <c r="G966" s="950">
        <v>3.7418981481481477E-2</v>
      </c>
      <c r="H966" s="951">
        <v>10.050000000000001</v>
      </c>
      <c r="I966" s="952">
        <f t="shared" si="102"/>
        <v>3.723281739450893E-3</v>
      </c>
      <c r="J966" s="953">
        <v>151</v>
      </c>
      <c r="K966" s="1757"/>
      <c r="L966" s="1568">
        <v>216.8</v>
      </c>
      <c r="M966" s="1591"/>
      <c r="N966" s="848">
        <f t="shared" si="105"/>
        <v>1.0409362144501373</v>
      </c>
      <c r="O966" s="955" t="s">
        <v>280</v>
      </c>
      <c r="P966" s="850" t="str">
        <f>IFERROR(VLOOKUP(F966,#REF!,12,FALSE),"")</f>
        <v/>
      </c>
      <c r="Q966" s="851" t="s">
        <v>8</v>
      </c>
      <c r="R966" s="46" t="str">
        <f>IFERROR(VLOOKUP(F966,#REF!,14,FALSE),"")</f>
        <v/>
      </c>
      <c r="S966" s="47">
        <f t="shared" si="103"/>
        <v>1.4357615894039737</v>
      </c>
      <c r="U966" s="1728"/>
      <c r="V966" s="854">
        <f t="shared" si="106"/>
        <v>0</v>
      </c>
      <c r="W966" s="1767"/>
      <c r="X966" s="854"/>
    </row>
    <row r="967" spans="2:24" ht="16" thickBot="1" x14ac:dyDescent="0.25">
      <c r="B967" s="1654">
        <f>SUM(H965:H971)</f>
        <v>51.41</v>
      </c>
      <c r="C967" s="855">
        <v>44055</v>
      </c>
      <c r="D967" s="842">
        <v>110</v>
      </c>
      <c r="E967" s="1041" t="s">
        <v>293</v>
      </c>
      <c r="F967" s="1510" t="s">
        <v>282</v>
      </c>
      <c r="G967" s="950">
        <v>3.8553240740740742E-2</v>
      </c>
      <c r="H967" s="951">
        <v>9.7899999999999991</v>
      </c>
      <c r="I967" s="952">
        <f t="shared" si="102"/>
        <v>3.9380225475731095E-3</v>
      </c>
      <c r="J967" s="953">
        <v>128</v>
      </c>
      <c r="K967" s="1757"/>
      <c r="L967" s="1568">
        <v>209</v>
      </c>
      <c r="M967" s="1591"/>
      <c r="N967" s="848">
        <f t="shared" si="105"/>
        <v>1.0613617306724803</v>
      </c>
      <c r="O967" s="955" t="s">
        <v>259</v>
      </c>
      <c r="P967" s="850" t="str">
        <f>IFERROR(VLOOKUP(F967,#REF!,12,FALSE),"")</f>
        <v/>
      </c>
      <c r="Q967" s="851" t="s">
        <v>8</v>
      </c>
      <c r="R967" s="46" t="str">
        <f>IFERROR(VLOOKUP(F967,#REF!,14,FALSE),"")</f>
        <v/>
      </c>
      <c r="S967" s="47">
        <f t="shared" si="103"/>
        <v>1.6328125</v>
      </c>
      <c r="U967" s="1728"/>
      <c r="V967" s="854">
        <f t="shared" si="106"/>
        <v>0</v>
      </c>
      <c r="W967" s="1767"/>
      <c r="X967" s="854"/>
    </row>
    <row r="968" spans="2:24" x14ac:dyDescent="0.2">
      <c r="B968" s="1655" t="s">
        <v>144</v>
      </c>
      <c r="C968" s="855">
        <v>44056</v>
      </c>
      <c r="D968" s="842"/>
      <c r="E968" s="1041"/>
      <c r="F968" s="1510"/>
      <c r="G968" s="950"/>
      <c r="H968" s="951" t="str">
        <f>IFERROR(VLOOKUP(F968,#REF!,10,FALSE),"")</f>
        <v/>
      </c>
      <c r="I968" s="952" t="str">
        <f t="shared" si="102"/>
        <v/>
      </c>
      <c r="J968" s="953"/>
      <c r="K968" s="1757"/>
      <c r="L968" s="1568"/>
      <c r="M968" s="1591"/>
      <c r="N968" s="848" t="str">
        <f t="shared" si="105"/>
        <v/>
      </c>
      <c r="O968" s="955"/>
      <c r="P968" s="850" t="str">
        <f>IFERROR(VLOOKUP(F968,#REF!,12,FALSE),"")</f>
        <v/>
      </c>
      <c r="Q968" s="851" t="s">
        <v>8</v>
      </c>
      <c r="R968" s="46" t="str">
        <f>IFERROR(VLOOKUP(F968,#REF!,14,FALSE),"")</f>
        <v/>
      </c>
      <c r="S968" s="47" t="str">
        <f t="shared" si="103"/>
        <v/>
      </c>
      <c r="U968" s="1728"/>
      <c r="V968" s="854">
        <f t="shared" si="106"/>
        <v>0</v>
      </c>
      <c r="W968" s="1767"/>
      <c r="X968" s="854"/>
    </row>
    <row r="969" spans="2:24" ht="16" thickBot="1" x14ac:dyDescent="0.25">
      <c r="B969" s="1656" t="e">
        <f>SUM(#REF!)</f>
        <v>#REF!</v>
      </c>
      <c r="C969" s="855">
        <v>44057</v>
      </c>
      <c r="D969" s="842">
        <v>111</v>
      </c>
      <c r="E969" s="1041" t="s">
        <v>293</v>
      </c>
      <c r="F969" s="1510" t="s">
        <v>286</v>
      </c>
      <c r="G969" s="950">
        <v>3.5590277777777776E-2</v>
      </c>
      <c r="H969" s="951">
        <v>10.7</v>
      </c>
      <c r="I969" s="952">
        <f t="shared" si="102"/>
        <v>3.3261941848390449E-3</v>
      </c>
      <c r="J969" s="953">
        <v>151</v>
      </c>
      <c r="K969" s="1757"/>
      <c r="L969" s="1568">
        <v>241</v>
      </c>
      <c r="M969" s="1591"/>
      <c r="N969" s="848">
        <f t="shared" si="105"/>
        <v>1.0337215790207841</v>
      </c>
      <c r="O969" s="955" t="s">
        <v>280</v>
      </c>
      <c r="P969" s="850" t="str">
        <f>IFERROR(VLOOKUP(F969,#REF!,12,FALSE),"")</f>
        <v/>
      </c>
      <c r="Q969" s="851" t="s">
        <v>8</v>
      </c>
      <c r="R969" s="46" t="str">
        <f>IFERROR(VLOOKUP(F969,#REF!,14,FALSE),"")</f>
        <v/>
      </c>
      <c r="S969" s="47">
        <f t="shared" si="103"/>
        <v>1.5960264900662251</v>
      </c>
      <c r="U969" s="1728"/>
      <c r="V969" s="854">
        <f t="shared" si="106"/>
        <v>0</v>
      </c>
      <c r="W969" s="1767"/>
      <c r="X969" s="854"/>
    </row>
    <row r="970" spans="2:24" x14ac:dyDescent="0.2">
      <c r="B970" s="1657" t="s">
        <v>256</v>
      </c>
      <c r="C970" s="855">
        <v>44058</v>
      </c>
      <c r="D970" s="842"/>
      <c r="E970" s="1041"/>
      <c r="F970" s="1510"/>
      <c r="G970" s="950"/>
      <c r="H970" s="951" t="str">
        <f>IFERROR(VLOOKUP(F970,#REF!,10,FALSE),"")</f>
        <v/>
      </c>
      <c r="I970" s="952" t="str">
        <f t="shared" si="102"/>
        <v/>
      </c>
      <c r="J970" s="953"/>
      <c r="K970" s="1757"/>
      <c r="L970" s="1568"/>
      <c r="M970" s="1591"/>
      <c r="N970" s="848" t="str">
        <f t="shared" si="105"/>
        <v/>
      </c>
      <c r="O970" s="955"/>
      <c r="P970" s="850" t="str">
        <f>IFERROR(VLOOKUP(F970,#REF!,12,FALSE),"")</f>
        <v/>
      </c>
      <c r="Q970" s="851" t="s">
        <v>8</v>
      </c>
      <c r="R970" s="46" t="str">
        <f>IFERROR(VLOOKUP(F970,#REF!,14,FALSE),"")</f>
        <v/>
      </c>
      <c r="S970" s="47" t="str">
        <f t="shared" si="103"/>
        <v/>
      </c>
      <c r="U970" s="1728"/>
      <c r="V970" s="854">
        <f t="shared" si="106"/>
        <v>0</v>
      </c>
      <c r="W970" s="1767"/>
      <c r="X970" s="854"/>
    </row>
    <row r="971" spans="2:24" ht="16" thickBot="1" x14ac:dyDescent="0.25">
      <c r="B971" s="1658" t="e">
        <f>AVERAGE(#REF!)</f>
        <v>#REF!</v>
      </c>
      <c r="C971" s="1037">
        <v>44059</v>
      </c>
      <c r="D971" s="67">
        <v>112</v>
      </c>
      <c r="E971" s="900" t="s">
        <v>292</v>
      </c>
      <c r="F971" s="1511" t="s">
        <v>276</v>
      </c>
      <c r="G971" s="959">
        <v>8.0127314814814818E-2</v>
      </c>
      <c r="H971" s="960">
        <v>20.87</v>
      </c>
      <c r="I971" s="961">
        <f t="shared" si="102"/>
        <v>3.8393538483380363E-3</v>
      </c>
      <c r="J971" s="962">
        <v>135</v>
      </c>
      <c r="K971" s="1757"/>
      <c r="L971" s="1569">
        <v>214.7</v>
      </c>
      <c r="M971" s="1592"/>
      <c r="N971" s="172">
        <f t="shared" si="105"/>
        <v>1.0629898661937081</v>
      </c>
      <c r="O971" s="963" t="s">
        <v>295</v>
      </c>
      <c r="P971" s="964" t="str">
        <f>IFERROR(VLOOKUP(F971,#REF!,12,FALSE),"")</f>
        <v/>
      </c>
      <c r="Q971" s="965" t="s">
        <v>8</v>
      </c>
      <c r="R971" s="64" t="str">
        <f>IFERROR(VLOOKUP(F971,#REF!,14,FALSE),"")</f>
        <v/>
      </c>
      <c r="S971" s="1049">
        <f t="shared" si="103"/>
        <v>1.5903703703703702</v>
      </c>
      <c r="U971" s="1728"/>
      <c r="V971" s="1047">
        <f t="shared" si="106"/>
        <v>0</v>
      </c>
      <c r="W971" s="1768"/>
      <c r="X971" s="1047"/>
    </row>
    <row r="972" spans="2:24" ht="16" thickBot="1" x14ac:dyDescent="0.25">
      <c r="B972" s="1660">
        <f>B965+1</f>
        <v>34</v>
      </c>
      <c r="C972" s="193">
        <v>44060</v>
      </c>
      <c r="D972" s="70"/>
      <c r="E972" s="931"/>
      <c r="F972" s="1499"/>
      <c r="G972" s="559"/>
      <c r="H972" s="560" t="str">
        <f>IFERROR(VLOOKUP(F972,#REF!,10,FALSE),"")</f>
        <v/>
      </c>
      <c r="I972" s="338" t="str">
        <f t="shared" si="102"/>
        <v/>
      </c>
      <c r="J972" s="270"/>
      <c r="K972" s="1757"/>
      <c r="L972" s="270"/>
      <c r="M972" s="1593"/>
      <c r="N972" s="77" t="str">
        <f t="shared" si="105"/>
        <v/>
      </c>
      <c r="O972" s="561"/>
      <c r="P972" s="224" t="str">
        <f>IFERROR(VLOOKUP(F972,#REF!,12,FALSE),"")</f>
        <v/>
      </c>
      <c r="Q972" s="80" t="s">
        <v>8</v>
      </c>
      <c r="R972" s="80" t="str">
        <f>IFERROR(VLOOKUP(F972,#REF!,14,FALSE),"")</f>
        <v/>
      </c>
      <c r="S972" s="83" t="str">
        <f t="shared" si="103"/>
        <v/>
      </c>
      <c r="U972" s="1728"/>
      <c r="V972" s="225">
        <f t="shared" si="106"/>
        <v>0</v>
      </c>
      <c r="W972" s="1766"/>
      <c r="X972" s="225"/>
    </row>
    <row r="973" spans="2:24" x14ac:dyDescent="0.2">
      <c r="B973" s="1653" t="s">
        <v>142</v>
      </c>
      <c r="C973" s="1039">
        <v>44061</v>
      </c>
      <c r="D973" s="1055">
        <v>113</v>
      </c>
      <c r="E973" s="1041" t="s">
        <v>293</v>
      </c>
      <c r="F973" s="1510" t="s">
        <v>282</v>
      </c>
      <c r="G973" s="1042">
        <v>3.0023148148148149E-2</v>
      </c>
      <c r="H973" s="718">
        <v>7.82</v>
      </c>
      <c r="I973" s="781">
        <f t="shared" si="102"/>
        <v>3.8392772567964386E-3</v>
      </c>
      <c r="J973" s="1043">
        <v>130</v>
      </c>
      <c r="K973" s="1757"/>
      <c r="L973" s="1568">
        <v>215</v>
      </c>
      <c r="M973" s="1591"/>
      <c r="N973" s="722">
        <f t="shared" si="105"/>
        <v>1.0644539451082187</v>
      </c>
      <c r="O973" s="1044" t="s">
        <v>339</v>
      </c>
      <c r="P973" s="654" t="str">
        <f>IFERROR(VLOOKUP(F973,#REF!,12,FALSE),"")</f>
        <v/>
      </c>
      <c r="Q973" s="655" t="s">
        <v>8</v>
      </c>
      <c r="R973" s="46" t="str">
        <f>IFERROR(VLOOKUP(F973,#REF!,14,FALSE),"")</f>
        <v/>
      </c>
      <c r="S973" s="47">
        <f t="shared" si="103"/>
        <v>1.6538461538461537</v>
      </c>
      <c r="U973" s="1728"/>
      <c r="V973" s="1045">
        <f t="shared" si="106"/>
        <v>0</v>
      </c>
      <c r="W973" s="1767"/>
      <c r="X973" s="1045"/>
    </row>
    <row r="974" spans="2:24" ht="16" thickBot="1" x14ac:dyDescent="0.25">
      <c r="B974" s="1654">
        <f>SUM(H972:H978)</f>
        <v>30.86</v>
      </c>
      <c r="C974" s="1039">
        <v>44062</v>
      </c>
      <c r="D974" s="1055"/>
      <c r="E974" s="1041"/>
      <c r="F974" s="1510"/>
      <c r="G974" s="1042"/>
      <c r="H974" s="718" t="str">
        <f>IFERROR(VLOOKUP(F974,#REF!,10,FALSE),"")</f>
        <v/>
      </c>
      <c r="I974" s="781" t="str">
        <f t="shared" si="102"/>
        <v/>
      </c>
      <c r="J974" s="1043"/>
      <c r="K974" s="1757"/>
      <c r="L974" s="1568"/>
      <c r="M974" s="1591"/>
      <c r="N974" s="722" t="str">
        <f t="shared" si="105"/>
        <v/>
      </c>
      <c r="O974" s="1044"/>
      <c r="P974" s="654" t="str">
        <f>IFERROR(VLOOKUP(F974,#REF!,12,FALSE),"")</f>
        <v/>
      </c>
      <c r="Q974" s="655" t="s">
        <v>8</v>
      </c>
      <c r="R974" s="46" t="str">
        <f>IFERROR(VLOOKUP(F974,#REF!,14,FALSE),"")</f>
        <v/>
      </c>
      <c r="S974" s="47" t="str">
        <f t="shared" si="103"/>
        <v/>
      </c>
      <c r="U974" s="1728"/>
      <c r="V974" s="1045">
        <f t="shared" si="106"/>
        <v>0</v>
      </c>
      <c r="W974" s="1767"/>
      <c r="X974" s="1045"/>
    </row>
    <row r="975" spans="2:24" x14ac:dyDescent="0.2">
      <c r="B975" s="1655" t="s">
        <v>144</v>
      </c>
      <c r="C975" s="1039">
        <v>44063</v>
      </c>
      <c r="D975" s="1055">
        <v>114</v>
      </c>
      <c r="E975" s="1041" t="s">
        <v>293</v>
      </c>
      <c r="F975" s="1510" t="s">
        <v>278</v>
      </c>
      <c r="G975" s="1042">
        <v>3.5486111111111114E-2</v>
      </c>
      <c r="H975" s="718">
        <v>9.67</v>
      </c>
      <c r="I975" s="781">
        <f t="shared" si="102"/>
        <v>3.6697115937033209E-3</v>
      </c>
      <c r="J975" s="1043">
        <v>143</v>
      </c>
      <c r="K975" s="1757"/>
      <c r="L975" s="1568">
        <v>224</v>
      </c>
      <c r="M975" s="1591"/>
      <c r="N975" s="722">
        <f t="shared" si="105"/>
        <v>1.0600317955208445</v>
      </c>
      <c r="O975" s="1044" t="s">
        <v>339</v>
      </c>
      <c r="P975" s="654" t="str">
        <f>IFERROR(VLOOKUP(F975,#REF!,12,FALSE),"")</f>
        <v/>
      </c>
      <c r="Q975" s="655" t="s">
        <v>8</v>
      </c>
      <c r="R975" s="46" t="str">
        <f>IFERROR(VLOOKUP(F975,#REF!,14,FALSE),"")</f>
        <v/>
      </c>
      <c r="S975" s="47">
        <f t="shared" si="103"/>
        <v>1.5664335664335665</v>
      </c>
      <c r="U975" s="1728"/>
      <c r="V975" s="1045">
        <f t="shared" si="106"/>
        <v>0</v>
      </c>
      <c r="W975" s="1767"/>
      <c r="X975" s="1045"/>
    </row>
    <row r="976" spans="2:24" ht="16" thickBot="1" x14ac:dyDescent="0.25">
      <c r="B976" s="1656" t="e">
        <f>SUM(#REF!)</f>
        <v>#REF!</v>
      </c>
      <c r="C976" s="1039">
        <v>44064</v>
      </c>
      <c r="D976" s="1055"/>
      <c r="E976" s="1041"/>
      <c r="F976" s="1510"/>
      <c r="G976" s="1042"/>
      <c r="H976" s="718" t="str">
        <f>IFERROR(VLOOKUP(F976,#REF!,10,FALSE),"")</f>
        <v/>
      </c>
      <c r="I976" s="781" t="str">
        <f t="shared" si="102"/>
        <v/>
      </c>
      <c r="J976" s="1043"/>
      <c r="K976" s="1757"/>
      <c r="L976" s="1568"/>
      <c r="M976" s="1591"/>
      <c r="N976" s="722" t="str">
        <f t="shared" si="105"/>
        <v/>
      </c>
      <c r="O976" s="1044"/>
      <c r="P976" s="654" t="str">
        <f>IFERROR(VLOOKUP(F976,#REF!,12,FALSE),"")</f>
        <v/>
      </c>
      <c r="Q976" s="655" t="s">
        <v>8</v>
      </c>
      <c r="R976" s="46" t="str">
        <f>IFERROR(VLOOKUP(F976,#REF!,14,FALSE),"")</f>
        <v/>
      </c>
      <c r="S976" s="47" t="str">
        <f t="shared" si="103"/>
        <v/>
      </c>
      <c r="U976" s="1728"/>
      <c r="V976" s="1045">
        <f t="shared" si="106"/>
        <v>0</v>
      </c>
      <c r="W976" s="1767"/>
      <c r="X976" s="1045"/>
    </row>
    <row r="977" spans="2:24" x14ac:dyDescent="0.2">
      <c r="B977" s="1657" t="s">
        <v>256</v>
      </c>
      <c r="C977" s="1039">
        <v>44065</v>
      </c>
      <c r="D977" s="1055">
        <v>115</v>
      </c>
      <c r="E977" s="1041" t="s">
        <v>293</v>
      </c>
      <c r="F977" s="1510" t="s">
        <v>271</v>
      </c>
      <c r="G977" s="1042">
        <v>5.2847222222222219E-2</v>
      </c>
      <c r="H977" s="718">
        <v>13.37</v>
      </c>
      <c r="I977" s="781">
        <f t="shared" si="102"/>
        <v>3.9526718191639654E-3</v>
      </c>
      <c r="J977" s="1043">
        <v>133</v>
      </c>
      <c r="K977" s="1757"/>
      <c r="L977" s="1568">
        <v>213</v>
      </c>
      <c r="M977" s="1591"/>
      <c r="N977" s="722">
        <f t="shared" si="105"/>
        <v>1.0856986570513179</v>
      </c>
      <c r="O977" s="1044" t="s">
        <v>259</v>
      </c>
      <c r="P977" s="654" t="str">
        <f>IFERROR(VLOOKUP(F977,#REF!,12,FALSE),"")</f>
        <v/>
      </c>
      <c r="Q977" s="655" t="s">
        <v>8</v>
      </c>
      <c r="R977" s="46" t="str">
        <f>IFERROR(VLOOKUP(F977,#REF!,14,FALSE),"")</f>
        <v/>
      </c>
      <c r="S977" s="47">
        <f t="shared" si="103"/>
        <v>1.6015037593984962</v>
      </c>
      <c r="U977" s="1728"/>
      <c r="V977" s="1045">
        <f t="shared" si="106"/>
        <v>0</v>
      </c>
      <c r="W977" s="1767"/>
      <c r="X977" s="1045"/>
    </row>
    <row r="978" spans="2:24" ht="16" thickBot="1" x14ac:dyDescent="0.25">
      <c r="B978" s="1658" t="e">
        <f>AVERAGE(#REF!)</f>
        <v>#REF!</v>
      </c>
      <c r="C978" s="1019">
        <v>44066</v>
      </c>
      <c r="D978" s="852"/>
      <c r="E978" s="1046"/>
      <c r="F978" s="1511"/>
      <c r="G978" s="939"/>
      <c r="H978" s="940" t="str">
        <f>IFERROR(VLOOKUP(F978,#REF!,10,FALSE),"")</f>
        <v/>
      </c>
      <c r="I978" s="941" t="str">
        <f t="shared" si="102"/>
        <v/>
      </c>
      <c r="J978" s="942"/>
      <c r="K978" s="1757"/>
      <c r="L978" s="1570"/>
      <c r="M978" s="1594"/>
      <c r="N978" s="943" t="str">
        <f t="shared" si="105"/>
        <v/>
      </c>
      <c r="O978" s="944"/>
      <c r="P978" s="879" t="str">
        <f>IFERROR(VLOOKUP(F978,#REF!,12,FALSE),"")</f>
        <v/>
      </c>
      <c r="Q978" s="107" t="s">
        <v>8</v>
      </c>
      <c r="R978" s="107" t="str">
        <f>IFERROR(VLOOKUP(F978,#REF!,14,FALSE),"")</f>
        <v/>
      </c>
      <c r="S978" s="1049" t="str">
        <f t="shared" si="103"/>
        <v/>
      </c>
      <c r="U978" s="1728"/>
      <c r="V978" s="853">
        <f t="shared" si="106"/>
        <v>0</v>
      </c>
      <c r="W978" s="1768"/>
      <c r="X978" s="853"/>
    </row>
    <row r="979" spans="2:24" ht="16" thickBot="1" x14ac:dyDescent="0.25">
      <c r="B979" s="1660">
        <f>B972+1</f>
        <v>35</v>
      </c>
      <c r="C979" s="1015">
        <v>44067</v>
      </c>
      <c r="D979" s="946"/>
      <c r="E979" s="915"/>
      <c r="F979" s="1499"/>
      <c r="G979" s="883"/>
      <c r="H979" s="884" t="str">
        <f>IFERROR(VLOOKUP(F979,#REF!,10,FALSE),"")</f>
        <v/>
      </c>
      <c r="I979" s="885" t="str">
        <f t="shared" si="102"/>
        <v/>
      </c>
      <c r="J979" s="886"/>
      <c r="K979" s="1757"/>
      <c r="L979" s="792"/>
      <c r="M979" s="1595"/>
      <c r="N979" s="887" t="str">
        <f t="shared" si="105"/>
        <v/>
      </c>
      <c r="O979" s="888"/>
      <c r="P979" s="889" t="str">
        <f>IFERROR(VLOOKUP(F979,#REF!,12,FALSE),"")</f>
        <v/>
      </c>
      <c r="Q979" s="32" t="s">
        <v>8</v>
      </c>
      <c r="R979" s="32" t="str">
        <f>IFERROR(VLOOKUP(F979,#REF!,14,FALSE),"")</f>
        <v/>
      </c>
      <c r="S979" s="83" t="str">
        <f t="shared" si="103"/>
        <v/>
      </c>
      <c r="U979" s="1728"/>
      <c r="V979" s="881">
        <f t="shared" si="106"/>
        <v>0</v>
      </c>
      <c r="W979" s="1766"/>
      <c r="X979" s="881"/>
    </row>
    <row r="980" spans="2:24" x14ac:dyDescent="0.2">
      <c r="B980" s="1653" t="s">
        <v>142</v>
      </c>
      <c r="C980" s="855">
        <v>44068</v>
      </c>
      <c r="D980" s="842">
        <v>116</v>
      </c>
      <c r="E980" s="1041" t="s">
        <v>293</v>
      </c>
      <c r="F980" s="1510" t="s">
        <v>278</v>
      </c>
      <c r="G980" s="950">
        <v>3.7800925925925925E-2</v>
      </c>
      <c r="H980" s="951">
        <v>10.210000000000001</v>
      </c>
      <c r="I980" s="952">
        <f t="shared" si="102"/>
        <v>3.7023433815794242E-3</v>
      </c>
      <c r="J980" s="953">
        <v>139</v>
      </c>
      <c r="K980" s="1757"/>
      <c r="L980" s="1568">
        <v>223</v>
      </c>
      <c r="M980" s="1591"/>
      <c r="N980" s="848">
        <f t="shared" ref="N980:N998" si="107">IFERROR((L980/67)/(1/(I980*24)/3.6),"")</f>
        <v>1.0646834388293596</v>
      </c>
      <c r="O980" s="955" t="s">
        <v>259</v>
      </c>
      <c r="P980" s="850" t="str">
        <f>IFERROR(VLOOKUP(F980,#REF!,12,FALSE),"")</f>
        <v/>
      </c>
      <c r="Q980" s="851" t="s">
        <v>8</v>
      </c>
      <c r="R980" s="46" t="str">
        <f>IFERROR(VLOOKUP(F980,#REF!,14,FALSE),"")</f>
        <v/>
      </c>
      <c r="S980" s="47">
        <f t="shared" si="103"/>
        <v>1.6043165467625899</v>
      </c>
      <c r="U980" s="1728"/>
      <c r="V980" s="854">
        <f t="shared" si="106"/>
        <v>0</v>
      </c>
      <c r="W980" s="1767"/>
      <c r="X980" s="854"/>
    </row>
    <row r="981" spans="2:24" ht="16" thickBot="1" x14ac:dyDescent="0.25">
      <c r="B981" s="1654">
        <f>SUM(H979:H985)</f>
        <v>50.99</v>
      </c>
      <c r="C981" s="855">
        <v>44069</v>
      </c>
      <c r="D981" s="842"/>
      <c r="E981" s="1041"/>
      <c r="F981" s="1510"/>
      <c r="G981" s="950"/>
      <c r="H981" s="951" t="str">
        <f>IFERROR(VLOOKUP(F981,#REF!,10,FALSE),"")</f>
        <v/>
      </c>
      <c r="I981" s="952" t="str">
        <f t="shared" si="102"/>
        <v/>
      </c>
      <c r="J981" s="953"/>
      <c r="K981" s="1757"/>
      <c r="L981" s="1568"/>
      <c r="M981" s="1591"/>
      <c r="N981" s="848" t="str">
        <f t="shared" si="107"/>
        <v/>
      </c>
      <c r="O981" s="955"/>
      <c r="P981" s="850" t="str">
        <f>IFERROR(VLOOKUP(F981,#REF!,12,FALSE),"")</f>
        <v/>
      </c>
      <c r="Q981" s="851" t="s">
        <v>8</v>
      </c>
      <c r="R981" s="46" t="str">
        <f>IFERROR(VLOOKUP(F981,#REF!,14,FALSE),"")</f>
        <v/>
      </c>
      <c r="S981" s="47" t="str">
        <f t="shared" si="103"/>
        <v/>
      </c>
      <c r="U981" s="1728"/>
      <c r="V981" s="854">
        <f t="shared" si="106"/>
        <v>0</v>
      </c>
      <c r="W981" s="1767"/>
      <c r="X981" s="854"/>
    </row>
    <row r="982" spans="2:24" x14ac:dyDescent="0.2">
      <c r="B982" s="1655" t="s">
        <v>144</v>
      </c>
      <c r="C982" s="855">
        <v>44070</v>
      </c>
      <c r="D982" s="842">
        <v>117</v>
      </c>
      <c r="E982" s="1041" t="s">
        <v>293</v>
      </c>
      <c r="F982" s="1510" t="s">
        <v>258</v>
      </c>
      <c r="G982" s="950">
        <v>3.5104166666666665E-2</v>
      </c>
      <c r="H982" s="951">
        <v>10</v>
      </c>
      <c r="I982" s="952">
        <f t="shared" si="102"/>
        <v>3.5104166666666665E-3</v>
      </c>
      <c r="J982" s="953">
        <v>148</v>
      </c>
      <c r="K982" s="1757"/>
      <c r="L982" s="1568">
        <v>229</v>
      </c>
      <c r="M982" s="1591"/>
      <c r="N982" s="848">
        <f t="shared" si="107"/>
        <v>1.03665223880597</v>
      </c>
      <c r="O982" s="955" t="s">
        <v>280</v>
      </c>
      <c r="P982" s="850" t="str">
        <f>IFERROR(VLOOKUP(F982,#REF!,12,FALSE),"")</f>
        <v/>
      </c>
      <c r="Q982" s="851" t="s">
        <v>8</v>
      </c>
      <c r="R982" s="46" t="str">
        <f>IFERROR(VLOOKUP(F982,#REF!,14,FALSE),"")</f>
        <v/>
      </c>
      <c r="S982" s="47">
        <f t="shared" si="103"/>
        <v>1.5472972972972974</v>
      </c>
      <c r="U982" s="1728"/>
      <c r="V982" s="854">
        <f t="shared" si="106"/>
        <v>0</v>
      </c>
      <c r="W982" s="1767"/>
      <c r="X982" s="854"/>
    </row>
    <row r="983" spans="2:24" ht="16" thickBot="1" x14ac:dyDescent="0.25">
      <c r="B983" s="1656" t="e">
        <f>SUM(#REF!)</f>
        <v>#REF!</v>
      </c>
      <c r="C983" s="855">
        <v>44071</v>
      </c>
      <c r="D983" s="842">
        <v>118</v>
      </c>
      <c r="E983" s="1041" t="s">
        <v>293</v>
      </c>
      <c r="F983" s="1510" t="s">
        <v>282</v>
      </c>
      <c r="G983" s="950">
        <v>3.9618055555555552E-2</v>
      </c>
      <c r="H983" s="951">
        <v>10.06</v>
      </c>
      <c r="I983" s="952">
        <f t="shared" si="102"/>
        <v>3.9381764965760986E-3</v>
      </c>
      <c r="J983" s="953">
        <v>134</v>
      </c>
      <c r="K983" s="1757"/>
      <c r="L983" s="1568">
        <v>211</v>
      </c>
      <c r="M983" s="1591"/>
      <c r="N983" s="848">
        <f t="shared" si="107"/>
        <v>1.0715601910922523</v>
      </c>
      <c r="O983" s="955" t="s">
        <v>339</v>
      </c>
      <c r="P983" s="850" t="str">
        <f>IFERROR(VLOOKUP(F983,#REF!,12,FALSE),"")</f>
        <v/>
      </c>
      <c r="Q983" s="851" t="s">
        <v>8</v>
      </c>
      <c r="R983" s="46" t="str">
        <f>IFERROR(VLOOKUP(F983,#REF!,14,FALSE),"")</f>
        <v/>
      </c>
      <c r="S983" s="47">
        <f t="shared" si="103"/>
        <v>1.5746268656716418</v>
      </c>
      <c r="U983" s="1728"/>
      <c r="V983" s="854">
        <f t="shared" si="106"/>
        <v>0</v>
      </c>
      <c r="W983" s="1767"/>
      <c r="X983" s="854"/>
    </row>
    <row r="984" spans="2:24" x14ac:dyDescent="0.2">
      <c r="B984" s="1657" t="s">
        <v>256</v>
      </c>
      <c r="C984" s="855">
        <v>44072</v>
      </c>
      <c r="D984" s="842"/>
      <c r="E984" s="1041"/>
      <c r="F984" s="1510"/>
      <c r="G984" s="950"/>
      <c r="H984" s="951" t="str">
        <f>IFERROR(VLOOKUP(F984,#REF!,10,FALSE),"")</f>
        <v/>
      </c>
      <c r="I984" s="952" t="str">
        <f t="shared" si="102"/>
        <v/>
      </c>
      <c r="J984" s="953"/>
      <c r="K984" s="1757"/>
      <c r="L984" s="1568"/>
      <c r="M984" s="1591"/>
      <c r="N984" s="848" t="str">
        <f t="shared" si="107"/>
        <v/>
      </c>
      <c r="O984" s="955"/>
      <c r="P984" s="850" t="str">
        <f>IFERROR(VLOOKUP(F984,#REF!,12,FALSE),"")</f>
        <v/>
      </c>
      <c r="Q984" s="851" t="s">
        <v>8</v>
      </c>
      <c r="R984" s="46" t="str">
        <f>IFERROR(VLOOKUP(F984,#REF!,14,FALSE),"")</f>
        <v/>
      </c>
      <c r="S984" s="47" t="str">
        <f t="shared" si="103"/>
        <v/>
      </c>
      <c r="U984" s="1728"/>
      <c r="V984" s="854">
        <f t="shared" si="106"/>
        <v>0</v>
      </c>
      <c r="W984" s="1767"/>
      <c r="X984" s="854"/>
    </row>
    <row r="985" spans="2:24" ht="16" thickBot="1" x14ac:dyDescent="0.25">
      <c r="B985" s="1658" t="e">
        <f>AVERAGE(#REF!)</f>
        <v>#REF!</v>
      </c>
      <c r="C985" s="1037">
        <v>44073</v>
      </c>
      <c r="D985" s="67">
        <v>119</v>
      </c>
      <c r="E985" s="900" t="s">
        <v>293</v>
      </c>
      <c r="F985" s="1511" t="s">
        <v>275</v>
      </c>
      <c r="G985" s="959">
        <v>7.6967592592592601E-2</v>
      </c>
      <c r="H985" s="960">
        <v>20.72</v>
      </c>
      <c r="I985" s="961">
        <f t="shared" si="102"/>
        <v>3.7146521521521526E-3</v>
      </c>
      <c r="J985" s="962">
        <v>142</v>
      </c>
      <c r="K985" s="1757"/>
      <c r="L985" s="1569">
        <v>222</v>
      </c>
      <c r="M985" s="1592"/>
      <c r="N985" s="172">
        <f t="shared" si="107"/>
        <v>1.0634328358208955</v>
      </c>
      <c r="O985" s="963" t="s">
        <v>295</v>
      </c>
      <c r="P985" s="964" t="str">
        <f>IFERROR(VLOOKUP(F985,#REF!,12,FALSE),"")</f>
        <v/>
      </c>
      <c r="Q985" s="965" t="s">
        <v>8</v>
      </c>
      <c r="R985" s="64" t="str">
        <f>IFERROR(VLOOKUP(F985,#REF!,14,FALSE),"")</f>
        <v/>
      </c>
      <c r="S985" s="1049">
        <f t="shared" si="103"/>
        <v>1.5633802816901408</v>
      </c>
      <c r="U985" s="1728"/>
      <c r="V985" s="1047">
        <f t="shared" si="106"/>
        <v>0</v>
      </c>
      <c r="W985" s="1768"/>
      <c r="X985" s="1047"/>
    </row>
    <row r="986" spans="2:24" ht="16" thickBot="1" x14ac:dyDescent="0.25">
      <c r="B986" s="1660">
        <f>B979+1</f>
        <v>36</v>
      </c>
      <c r="C986" s="193">
        <v>44074</v>
      </c>
      <c r="D986" s="70"/>
      <c r="E986" s="931"/>
      <c r="F986" s="1499"/>
      <c r="G986" s="559"/>
      <c r="H986" s="560" t="str">
        <f>IFERROR(VLOOKUP(F986,#REF!,10,FALSE),"")</f>
        <v/>
      </c>
      <c r="I986" s="338" t="str">
        <f t="shared" si="102"/>
        <v/>
      </c>
      <c r="J986" s="270"/>
      <c r="K986" s="1757"/>
      <c r="L986" s="270"/>
      <c r="M986" s="1593"/>
      <c r="N986" s="77" t="str">
        <f t="shared" si="107"/>
        <v/>
      </c>
      <c r="O986" s="561"/>
      <c r="P986" s="224" t="str">
        <f>IFERROR(VLOOKUP(F986,#REF!,12,FALSE),"")</f>
        <v/>
      </c>
      <c r="Q986" s="80" t="s">
        <v>8</v>
      </c>
      <c r="R986" s="80" t="str">
        <f>IFERROR(VLOOKUP(F986,#REF!,14,FALSE),"")</f>
        <v/>
      </c>
      <c r="S986" s="83" t="str">
        <f t="shared" si="103"/>
        <v/>
      </c>
      <c r="U986" s="1728"/>
      <c r="V986" s="225">
        <f t="shared" si="106"/>
        <v>0</v>
      </c>
      <c r="W986" s="1766"/>
      <c r="X986" s="225"/>
    </row>
    <row r="987" spans="2:24" x14ac:dyDescent="0.2">
      <c r="B987" s="1653" t="s">
        <v>142</v>
      </c>
      <c r="C987" s="1056">
        <v>44075</v>
      </c>
      <c r="D987" s="1055">
        <v>120</v>
      </c>
      <c r="E987" s="1041" t="s">
        <v>293</v>
      </c>
      <c r="F987" s="1510" t="s">
        <v>278</v>
      </c>
      <c r="G987" s="1057">
        <v>3.6608796296296299E-2</v>
      </c>
      <c r="H987" s="718">
        <v>10.220000000000001</v>
      </c>
      <c r="I987" s="781">
        <f t="shared" si="102"/>
        <v>3.5820740015945498E-3</v>
      </c>
      <c r="J987" s="1058">
        <v>140</v>
      </c>
      <c r="K987" s="1757"/>
      <c r="L987" s="1568">
        <v>229</v>
      </c>
      <c r="M987" s="1591"/>
      <c r="N987" s="722">
        <f t="shared" si="107"/>
        <v>1.0578131845664049</v>
      </c>
      <c r="O987" s="1059" t="s">
        <v>259</v>
      </c>
      <c r="P987" s="654" t="str">
        <f>IFERROR(VLOOKUP(F987,#REF!,12,FALSE),"")</f>
        <v/>
      </c>
      <c r="Q987" s="655" t="s">
        <v>8</v>
      </c>
      <c r="R987" s="46" t="str">
        <f>IFERROR(VLOOKUP(F987,#REF!,14,FALSE),"")</f>
        <v/>
      </c>
      <c r="S987" s="47">
        <f t="shared" si="103"/>
        <v>1.6357142857142857</v>
      </c>
      <c r="U987" s="1728"/>
      <c r="V987" s="1060">
        <f>U986-T986</f>
        <v>0</v>
      </c>
      <c r="W987" s="1767"/>
      <c r="X987" s="1060"/>
    </row>
    <row r="988" spans="2:24" ht="16" thickBot="1" x14ac:dyDescent="0.25">
      <c r="B988" s="1654">
        <f>SUM(H986:H992)</f>
        <v>54.65</v>
      </c>
      <c r="C988" s="1056">
        <v>44076</v>
      </c>
      <c r="D988" s="1055"/>
      <c r="E988" s="1041"/>
      <c r="F988" s="1510"/>
      <c r="G988" s="1057"/>
      <c r="H988" s="718" t="str">
        <f>IFERROR(VLOOKUP(F988,#REF!,10,FALSE),"")</f>
        <v/>
      </c>
      <c r="I988" s="781" t="str">
        <f t="shared" si="102"/>
        <v/>
      </c>
      <c r="J988" s="1058"/>
      <c r="K988" s="1757"/>
      <c r="L988" s="1568"/>
      <c r="M988" s="1591"/>
      <c r="N988" s="722" t="str">
        <f t="shared" si="107"/>
        <v/>
      </c>
      <c r="O988" s="1059"/>
      <c r="P988" s="654" t="str">
        <f>IFERROR(VLOOKUP(F988,#REF!,12,FALSE),"")</f>
        <v/>
      </c>
      <c r="Q988" s="655" t="s">
        <v>8</v>
      </c>
      <c r="R988" s="46" t="str">
        <f>IFERROR(VLOOKUP(F988,#REF!,14,FALSE),"")</f>
        <v/>
      </c>
      <c r="S988" s="47" t="str">
        <f t="shared" si="103"/>
        <v/>
      </c>
      <c r="U988" s="1728"/>
      <c r="V988" s="1060">
        <f t="shared" si="106"/>
        <v>0</v>
      </c>
      <c r="W988" s="1767"/>
      <c r="X988" s="1060"/>
    </row>
    <row r="989" spans="2:24" x14ac:dyDescent="0.2">
      <c r="B989" s="1655" t="s">
        <v>144</v>
      </c>
      <c r="C989" s="1056">
        <v>44077</v>
      </c>
      <c r="D989" s="1055">
        <v>121</v>
      </c>
      <c r="E989" s="1041" t="s">
        <v>293</v>
      </c>
      <c r="F989" s="1510" t="s">
        <v>161</v>
      </c>
      <c r="G989" s="1057">
        <v>3.7812500000000006E-2</v>
      </c>
      <c r="H989" s="718">
        <v>10.57</v>
      </c>
      <c r="I989" s="781">
        <f t="shared" si="102"/>
        <v>3.5773415326395461E-3</v>
      </c>
      <c r="J989" s="1058">
        <v>148</v>
      </c>
      <c r="K989" s="1757"/>
      <c r="L989" s="1568">
        <v>224</v>
      </c>
      <c r="M989" s="1591"/>
      <c r="N989" s="722">
        <f t="shared" si="107"/>
        <v>1.033349807255115</v>
      </c>
      <c r="O989" s="1059" t="s">
        <v>280</v>
      </c>
      <c r="P989" s="654" t="str">
        <f>IFERROR(VLOOKUP(F989,#REF!,12,FALSE),"")</f>
        <v/>
      </c>
      <c r="Q989" s="655" t="s">
        <v>8</v>
      </c>
      <c r="R989" s="46" t="str">
        <f>IFERROR(VLOOKUP(F989,#REF!,14,FALSE),"")</f>
        <v/>
      </c>
      <c r="S989" s="47">
        <f t="shared" si="103"/>
        <v>1.5135135135135136</v>
      </c>
      <c r="U989" s="1728"/>
      <c r="V989" s="1060">
        <f t="shared" si="106"/>
        <v>0</v>
      </c>
      <c r="W989" s="1767"/>
      <c r="X989" s="1060"/>
    </row>
    <row r="990" spans="2:24" ht="16" thickBot="1" x14ac:dyDescent="0.25">
      <c r="B990" s="1656" t="e">
        <f>SUM(#REF!)</f>
        <v>#REF!</v>
      </c>
      <c r="C990" s="1056">
        <v>44078</v>
      </c>
      <c r="D990" s="1061"/>
      <c r="E990" s="1041"/>
      <c r="F990" s="1510"/>
      <c r="G990" s="1057"/>
      <c r="H990" s="718" t="str">
        <f>IFERROR(VLOOKUP(F990,#REF!,10,FALSE),"")</f>
        <v/>
      </c>
      <c r="I990" s="781" t="str">
        <f t="shared" si="102"/>
        <v/>
      </c>
      <c r="J990" s="1058"/>
      <c r="K990" s="1757"/>
      <c r="L990" s="1568"/>
      <c r="M990" s="1591"/>
      <c r="N990" s="722" t="str">
        <f t="shared" si="107"/>
        <v/>
      </c>
      <c r="O990" s="1059"/>
      <c r="P990" s="654" t="str">
        <f>IFERROR(VLOOKUP(F990,#REF!,12,FALSE),"")</f>
        <v/>
      </c>
      <c r="Q990" s="655" t="s">
        <v>8</v>
      </c>
      <c r="R990" s="46" t="str">
        <f>IFERROR(VLOOKUP(F990,#REF!,14,FALSE),"")</f>
        <v/>
      </c>
      <c r="S990" s="47" t="str">
        <f t="shared" si="103"/>
        <v/>
      </c>
      <c r="U990" s="1728"/>
      <c r="V990" s="1060">
        <f t="shared" si="106"/>
        <v>0</v>
      </c>
      <c r="W990" s="1767"/>
      <c r="X990" s="1060"/>
    </row>
    <row r="991" spans="2:24" x14ac:dyDescent="0.2">
      <c r="B991" s="1657" t="s">
        <v>256</v>
      </c>
      <c r="C991" s="1056">
        <v>44079</v>
      </c>
      <c r="D991" s="1061">
        <v>122</v>
      </c>
      <c r="E991" s="1041" t="s">
        <v>293</v>
      </c>
      <c r="F991" s="1510" t="s">
        <v>282</v>
      </c>
      <c r="G991" s="1057">
        <v>3.8703703703703705E-2</v>
      </c>
      <c r="H991" s="718">
        <v>9.64</v>
      </c>
      <c r="I991" s="781">
        <f t="shared" si="102"/>
        <v>4.0149070232057783E-3</v>
      </c>
      <c r="J991" s="1058">
        <v>135</v>
      </c>
      <c r="K991" s="1757"/>
      <c r="L991" s="1568">
        <v>206</v>
      </c>
      <c r="M991" s="1591"/>
      <c r="N991" s="722">
        <f t="shared" si="107"/>
        <v>1.0665510621168017</v>
      </c>
      <c r="O991" s="1059" t="s">
        <v>339</v>
      </c>
      <c r="P991" s="654" t="str">
        <f>IFERROR(VLOOKUP(F991,#REF!,12,FALSE),"")</f>
        <v/>
      </c>
      <c r="Q991" s="655" t="s">
        <v>8</v>
      </c>
      <c r="R991" s="46" t="str">
        <f>IFERROR(VLOOKUP(F991,#REF!,14,FALSE),"")</f>
        <v/>
      </c>
      <c r="S991" s="47">
        <f t="shared" si="103"/>
        <v>1.5259259259259259</v>
      </c>
      <c r="U991" s="1728"/>
      <c r="V991" s="1060">
        <f t="shared" si="106"/>
        <v>0</v>
      </c>
      <c r="W991" s="1767"/>
      <c r="X991" s="1060"/>
    </row>
    <row r="992" spans="2:24" ht="16" thickBot="1" x14ac:dyDescent="0.25">
      <c r="B992" s="1658" t="e">
        <f>AVERAGE(#REF!)</f>
        <v>#REF!</v>
      </c>
      <c r="C992" s="1019">
        <v>44080</v>
      </c>
      <c r="D992" s="853">
        <v>123</v>
      </c>
      <c r="E992" s="1046" t="s">
        <v>293</v>
      </c>
      <c r="F992" s="1511" t="s">
        <v>276</v>
      </c>
      <c r="G992" s="939">
        <v>8.9629629629629629E-2</v>
      </c>
      <c r="H992" s="940">
        <v>24.22</v>
      </c>
      <c r="I992" s="941">
        <f t="shared" si="102"/>
        <v>3.7006453191424293E-3</v>
      </c>
      <c r="J992" s="942">
        <v>142</v>
      </c>
      <c r="K992" s="1757"/>
      <c r="L992" s="1570">
        <v>221</v>
      </c>
      <c r="M992" s="1594"/>
      <c r="N992" s="943">
        <f t="shared" si="107"/>
        <v>1.0546507758482566</v>
      </c>
      <c r="O992" s="944" t="s">
        <v>295</v>
      </c>
      <c r="P992" s="879" t="str">
        <f>IFERROR(VLOOKUP(F992,#REF!,12,FALSE),"")</f>
        <v/>
      </c>
      <c r="Q992" s="107" t="s">
        <v>8</v>
      </c>
      <c r="R992" s="107" t="str">
        <f>IFERROR(VLOOKUP(F992,#REF!,14,FALSE),"")</f>
        <v/>
      </c>
      <c r="S992" s="1049">
        <f t="shared" si="103"/>
        <v>1.556338028169014</v>
      </c>
      <c r="U992" s="1728"/>
      <c r="V992" s="853">
        <f t="shared" si="106"/>
        <v>0</v>
      </c>
      <c r="W992" s="1768"/>
      <c r="X992" s="853"/>
    </row>
    <row r="993" spans="2:24" ht="16" thickBot="1" x14ac:dyDescent="0.25">
      <c r="B993" s="1660">
        <f>B986+1</f>
        <v>37</v>
      </c>
      <c r="C993" s="1015">
        <v>44081</v>
      </c>
      <c r="D993" s="946"/>
      <c r="E993" s="915"/>
      <c r="F993" s="1499"/>
      <c r="G993" s="883"/>
      <c r="H993" s="884" t="str">
        <f>IFERROR(VLOOKUP(F993,#REF!,10,FALSE),"")</f>
        <v/>
      </c>
      <c r="I993" s="885" t="str">
        <f t="shared" si="102"/>
        <v/>
      </c>
      <c r="J993" s="886"/>
      <c r="K993" s="1757"/>
      <c r="L993" s="792"/>
      <c r="M993" s="1595"/>
      <c r="N993" s="887" t="str">
        <f t="shared" si="107"/>
        <v/>
      </c>
      <c r="O993" s="888"/>
      <c r="P993" s="889" t="str">
        <f>IFERROR(VLOOKUP(F993,#REF!,12,FALSE),"")</f>
        <v/>
      </c>
      <c r="Q993" s="32" t="s">
        <v>8</v>
      </c>
      <c r="R993" s="32" t="str">
        <f>IFERROR(VLOOKUP(F993,#REF!,14,FALSE),"")</f>
        <v/>
      </c>
      <c r="S993" s="83" t="str">
        <f t="shared" si="103"/>
        <v/>
      </c>
      <c r="U993" s="1728"/>
      <c r="V993" s="881">
        <f t="shared" si="106"/>
        <v>0</v>
      </c>
      <c r="W993" s="1766"/>
      <c r="X993" s="881"/>
    </row>
    <row r="994" spans="2:24" x14ac:dyDescent="0.2">
      <c r="B994" s="1653" t="s">
        <v>142</v>
      </c>
      <c r="C994" s="1016">
        <v>44082</v>
      </c>
      <c r="D994" s="842"/>
      <c r="E994" s="1041"/>
      <c r="F994" s="1510"/>
      <c r="G994" s="950"/>
      <c r="H994" s="951" t="str">
        <f>IFERROR(VLOOKUP(F994,#REF!,10,FALSE),"")</f>
        <v/>
      </c>
      <c r="I994" s="952" t="str">
        <f t="shared" si="102"/>
        <v/>
      </c>
      <c r="J994" s="953"/>
      <c r="K994" s="1757"/>
      <c r="L994" s="1568"/>
      <c r="M994" s="1591"/>
      <c r="N994" s="848" t="str">
        <f t="shared" si="107"/>
        <v/>
      </c>
      <c r="O994" s="955"/>
      <c r="P994" s="850" t="str">
        <f>IFERROR(VLOOKUP(F994,#REF!,12,FALSE),"")</f>
        <v/>
      </c>
      <c r="Q994" s="851" t="s">
        <v>8</v>
      </c>
      <c r="R994" s="46" t="str">
        <f>IFERROR(VLOOKUP(F994,#REF!,14,FALSE),"")</f>
        <v/>
      </c>
      <c r="S994" s="47" t="str">
        <f t="shared" si="103"/>
        <v/>
      </c>
      <c r="U994" s="1728"/>
      <c r="V994" s="854">
        <f t="shared" si="106"/>
        <v>0</v>
      </c>
      <c r="W994" s="1767"/>
      <c r="X994" s="854"/>
    </row>
    <row r="995" spans="2:24" ht="16" thickBot="1" x14ac:dyDescent="0.25">
      <c r="B995" s="1654">
        <f>SUM(H993:H999)</f>
        <v>35.69</v>
      </c>
      <c r="C995" s="855">
        <v>44083</v>
      </c>
      <c r="D995" s="842">
        <v>124</v>
      </c>
      <c r="E995" s="1041" t="s">
        <v>293</v>
      </c>
      <c r="F995" s="1510" t="s">
        <v>282</v>
      </c>
      <c r="G995" s="950">
        <v>3.9432870370370368E-2</v>
      </c>
      <c r="H995" s="951">
        <v>9.8699999999999992</v>
      </c>
      <c r="I995" s="952">
        <f t="shared" si="102"/>
        <v>3.9952249615370188E-3</v>
      </c>
      <c r="J995" s="953">
        <v>130</v>
      </c>
      <c r="K995" s="1757"/>
      <c r="L995" s="1568">
        <v>206</v>
      </c>
      <c r="M995" s="1591"/>
      <c r="N995" s="848">
        <f t="shared" si="107"/>
        <v>1.0613225664988131</v>
      </c>
      <c r="O995" s="955" t="s">
        <v>339</v>
      </c>
      <c r="P995" s="850" t="str">
        <f>IFERROR(VLOOKUP(F995,#REF!,12,FALSE),"")</f>
        <v/>
      </c>
      <c r="Q995" s="851" t="s">
        <v>8</v>
      </c>
      <c r="R995" s="46" t="str">
        <f>IFERROR(VLOOKUP(F995,#REF!,14,FALSE),"")</f>
        <v/>
      </c>
      <c r="S995" s="47">
        <f t="shared" si="103"/>
        <v>1.5846153846153845</v>
      </c>
      <c r="U995" s="1728"/>
      <c r="V995" s="854">
        <f t="shared" si="106"/>
        <v>0</v>
      </c>
      <c r="W995" s="1767"/>
      <c r="X995" s="854"/>
    </row>
    <row r="996" spans="2:24" x14ac:dyDescent="0.2">
      <c r="B996" s="1655" t="s">
        <v>144</v>
      </c>
      <c r="C996" s="855">
        <v>44084</v>
      </c>
      <c r="D996" s="842"/>
      <c r="E996" s="1041"/>
      <c r="F996" s="1510"/>
      <c r="G996" s="950"/>
      <c r="H996" s="951" t="str">
        <f>IFERROR(VLOOKUP(F996,#REF!,10,FALSE),"")</f>
        <v/>
      </c>
      <c r="I996" s="952" t="str">
        <f t="shared" si="102"/>
        <v/>
      </c>
      <c r="J996" s="953"/>
      <c r="K996" s="1757"/>
      <c r="L996" s="1568"/>
      <c r="M996" s="1591"/>
      <c r="N996" s="848" t="str">
        <f t="shared" si="107"/>
        <v/>
      </c>
      <c r="O996" s="955"/>
      <c r="P996" s="850" t="str">
        <f>IFERROR(VLOOKUP(F996,#REF!,12,FALSE),"")</f>
        <v/>
      </c>
      <c r="Q996" s="851" t="s">
        <v>8</v>
      </c>
      <c r="R996" s="46" t="str">
        <f>IFERROR(VLOOKUP(F996,#REF!,14,FALSE),"")</f>
        <v/>
      </c>
      <c r="S996" s="47" t="str">
        <f t="shared" si="103"/>
        <v/>
      </c>
      <c r="U996" s="1728"/>
      <c r="V996" s="854">
        <f t="shared" si="106"/>
        <v>0</v>
      </c>
      <c r="W996" s="1767"/>
      <c r="X996" s="854"/>
    </row>
    <row r="997" spans="2:24" ht="16" thickBot="1" x14ac:dyDescent="0.25">
      <c r="B997" s="1656" t="e">
        <f>SUM(#REF!)</f>
        <v>#REF!</v>
      </c>
      <c r="C997" s="855">
        <v>44085</v>
      </c>
      <c r="D997" s="842">
        <v>125</v>
      </c>
      <c r="E997" s="1041" t="s">
        <v>293</v>
      </c>
      <c r="F997" s="1510" t="s">
        <v>282</v>
      </c>
      <c r="G997" s="950">
        <v>3.888888888888889E-2</v>
      </c>
      <c r="H997" s="951">
        <v>9.85</v>
      </c>
      <c r="I997" s="952">
        <f t="shared" si="102"/>
        <v>3.948110547095319E-3</v>
      </c>
      <c r="J997" s="953">
        <v>131</v>
      </c>
      <c r="K997" s="1757"/>
      <c r="L997" s="1568">
        <v>208</v>
      </c>
      <c r="M997" s="1591"/>
      <c r="N997" s="848">
        <f t="shared" si="107"/>
        <v>1.0589893173725284</v>
      </c>
      <c r="O997" s="955" t="s">
        <v>339</v>
      </c>
      <c r="P997" s="850" t="str">
        <f>IFERROR(VLOOKUP(F997,#REF!,12,FALSE),"")</f>
        <v/>
      </c>
      <c r="Q997" s="851" t="s">
        <v>8</v>
      </c>
      <c r="R997" s="46" t="str">
        <f>IFERROR(VLOOKUP(F997,#REF!,14,FALSE),"")</f>
        <v/>
      </c>
      <c r="S997" s="47">
        <f t="shared" si="103"/>
        <v>1.5877862595419847</v>
      </c>
      <c r="U997" s="1728"/>
      <c r="V997" s="854">
        <f t="shared" si="106"/>
        <v>0</v>
      </c>
      <c r="W997" s="1767"/>
      <c r="X997" s="854"/>
    </row>
    <row r="998" spans="2:24" x14ac:dyDescent="0.2">
      <c r="B998" s="1657" t="s">
        <v>256</v>
      </c>
      <c r="C998" s="855">
        <v>44086</v>
      </c>
      <c r="D998" s="842"/>
      <c r="E998" s="1041"/>
      <c r="F998" s="1510"/>
      <c r="G998" s="950"/>
      <c r="H998" s="951" t="str">
        <f>IFERROR(VLOOKUP(F998,#REF!,10,FALSE),"")</f>
        <v/>
      </c>
      <c r="I998" s="952" t="str">
        <f t="shared" si="102"/>
        <v/>
      </c>
      <c r="J998" s="953"/>
      <c r="K998" s="1757"/>
      <c r="L998" s="1568"/>
      <c r="M998" s="1591"/>
      <c r="N998" s="848" t="str">
        <f t="shared" si="107"/>
        <v/>
      </c>
      <c r="O998" s="955"/>
      <c r="P998" s="850" t="str">
        <f>IFERROR(VLOOKUP(F998,#REF!,12,FALSE),"")</f>
        <v/>
      </c>
      <c r="Q998" s="851" t="s">
        <v>8</v>
      </c>
      <c r="R998" s="46" t="str">
        <f>IFERROR(VLOOKUP(F998,#REF!,14,FALSE),"")</f>
        <v/>
      </c>
      <c r="S998" s="47" t="str">
        <f t="shared" si="103"/>
        <v/>
      </c>
      <c r="U998" s="1728"/>
      <c r="V998" s="854">
        <f t="shared" si="106"/>
        <v>0</v>
      </c>
      <c r="W998" s="1767"/>
      <c r="X998" s="854"/>
    </row>
    <row r="999" spans="2:24" ht="16" thickBot="1" x14ac:dyDescent="0.25">
      <c r="B999" s="1658" t="e">
        <f>AVERAGE(#REF!)</f>
        <v>#REF!</v>
      </c>
      <c r="C999" s="1037">
        <v>44087</v>
      </c>
      <c r="D999" s="67">
        <v>126</v>
      </c>
      <c r="E999" s="900" t="s">
        <v>293</v>
      </c>
      <c r="F999" s="1508" t="s">
        <v>297</v>
      </c>
      <c r="G999" s="959">
        <v>7.464120370370371E-2</v>
      </c>
      <c r="H999" s="960">
        <v>15.97</v>
      </c>
      <c r="I999" s="961">
        <f t="shared" ref="I999:I1062" si="108">IFERROR(G999/H999,"")</f>
        <v>4.6738386790046152E-3</v>
      </c>
      <c r="J999" s="962">
        <v>140</v>
      </c>
      <c r="K999" s="1757"/>
      <c r="L999" s="1569">
        <v>194</v>
      </c>
      <c r="M999" s="1592">
        <v>606</v>
      </c>
      <c r="N999" s="172"/>
      <c r="O999" s="963" t="s">
        <v>299</v>
      </c>
      <c r="P999" s="964" t="str">
        <f>IFERROR(VLOOKUP(F999,#REF!,12,FALSE),"")</f>
        <v/>
      </c>
      <c r="Q999" s="965" t="s">
        <v>8</v>
      </c>
      <c r="R999" s="64" t="str">
        <f>IFERROR(VLOOKUP(F999,#REF!,14,FALSE),"")</f>
        <v/>
      </c>
      <c r="S999" s="1049">
        <f t="shared" si="103"/>
        <v>1.3857142857142857</v>
      </c>
      <c r="U999" s="1728"/>
      <c r="V999" s="1047">
        <f t="shared" si="106"/>
        <v>0</v>
      </c>
      <c r="W999" s="1768"/>
      <c r="X999" s="1047"/>
    </row>
    <row r="1000" spans="2:24" ht="16" thickBot="1" x14ac:dyDescent="0.25">
      <c r="B1000" s="1660">
        <f>B993+1</f>
        <v>38</v>
      </c>
      <c r="C1000" s="193">
        <v>44088</v>
      </c>
      <c r="D1000" s="70"/>
      <c r="E1000" s="931"/>
      <c r="F1000" s="1499"/>
      <c r="G1000" s="559"/>
      <c r="H1000" s="560" t="str">
        <f>IFERROR(VLOOKUP(F1000,#REF!,10,FALSE),"")</f>
        <v/>
      </c>
      <c r="I1000" s="338" t="str">
        <f t="shared" si="108"/>
        <v/>
      </c>
      <c r="J1000" s="270"/>
      <c r="K1000" s="1757"/>
      <c r="L1000" s="270"/>
      <c r="M1000" s="1593"/>
      <c r="N1000" s="77" t="str">
        <f t="shared" ref="N1000:N1031" si="109">IFERROR((L1000/67)/(1/(I1000*24)/3.6),"")</f>
        <v/>
      </c>
      <c r="O1000" s="561"/>
      <c r="P1000" s="224" t="str">
        <f>IFERROR(VLOOKUP(F1000,#REF!,12,FALSE),"")</f>
        <v/>
      </c>
      <c r="Q1000" s="80" t="s">
        <v>8</v>
      </c>
      <c r="R1000" s="80" t="str">
        <f>IFERROR(VLOOKUP(F1000,#REF!,14,FALSE),"")</f>
        <v/>
      </c>
      <c r="S1000" s="83" t="str">
        <f t="shared" si="103"/>
        <v/>
      </c>
      <c r="U1000" s="1728"/>
      <c r="V1000" s="225">
        <f t="shared" si="106"/>
        <v>0</v>
      </c>
      <c r="W1000" s="1766"/>
      <c r="X1000" s="225"/>
    </row>
    <row r="1001" spans="2:24" x14ac:dyDescent="0.2">
      <c r="B1001" s="1653" t="s">
        <v>142</v>
      </c>
      <c r="C1001" s="1056">
        <v>44089</v>
      </c>
      <c r="D1001" s="1062">
        <v>127</v>
      </c>
      <c r="E1001" s="1041" t="s">
        <v>293</v>
      </c>
      <c r="F1001" s="1510" t="s">
        <v>269</v>
      </c>
      <c r="G1001" s="1051">
        <v>3.5972222222222218E-2</v>
      </c>
      <c r="H1001" s="718">
        <f>7.4+2.16</f>
        <v>9.56</v>
      </c>
      <c r="I1001" s="781">
        <f t="shared" si="108"/>
        <v>3.7627847512784747E-3</v>
      </c>
      <c r="J1001" s="1052">
        <v>140</v>
      </c>
      <c r="K1001" s="1757"/>
      <c r="L1001" s="1568">
        <v>218</v>
      </c>
      <c r="M1001" s="1591"/>
      <c r="N1001" s="722">
        <f t="shared" si="109"/>
        <v>1.0578030350340348</v>
      </c>
      <c r="O1001" s="1053" t="s">
        <v>339</v>
      </c>
      <c r="P1001" s="654" t="str">
        <f>IFERROR(VLOOKUP(F1001,#REF!,12,FALSE),"")</f>
        <v/>
      </c>
      <c r="Q1001" s="655" t="s">
        <v>8</v>
      </c>
      <c r="R1001" s="46" t="str">
        <f>IFERROR(VLOOKUP(F1001,#REF!,14,FALSE),"")</f>
        <v/>
      </c>
      <c r="S1001" s="47">
        <f t="shared" ref="S1001:S1064" si="110">IFERROR(L1001/J1001,"")</f>
        <v>1.5571428571428572</v>
      </c>
      <c r="U1001" s="1728"/>
      <c r="V1001" s="1060">
        <f t="shared" si="106"/>
        <v>0</v>
      </c>
      <c r="W1001" s="1767"/>
      <c r="X1001" s="1060"/>
    </row>
    <row r="1002" spans="2:24" ht="16" thickBot="1" x14ac:dyDescent="0.25">
      <c r="B1002" s="1654">
        <f>SUM(H1000:H1006)</f>
        <v>38.599999999999994</v>
      </c>
      <c r="C1002" s="1056">
        <v>44090</v>
      </c>
      <c r="D1002" s="1062"/>
      <c r="E1002" s="1041"/>
      <c r="F1002" s="1510"/>
      <c r="G1002" s="1051"/>
      <c r="H1002" s="718"/>
      <c r="I1002" s="781" t="str">
        <f t="shared" si="108"/>
        <v/>
      </c>
      <c r="J1002" s="1052"/>
      <c r="K1002" s="1757"/>
      <c r="L1002" s="1568"/>
      <c r="M1002" s="1591"/>
      <c r="N1002" s="722" t="str">
        <f t="shared" si="109"/>
        <v/>
      </c>
      <c r="O1002" s="1053"/>
      <c r="P1002" s="654" t="str">
        <f>IFERROR(VLOOKUP(F1002,#REF!,12,FALSE),"")</f>
        <v/>
      </c>
      <c r="Q1002" s="655" t="s">
        <v>8</v>
      </c>
      <c r="R1002" s="46" t="str">
        <f>IFERROR(VLOOKUP(F1002,#REF!,14,FALSE),"")</f>
        <v/>
      </c>
      <c r="S1002" s="47" t="str">
        <f t="shared" si="110"/>
        <v/>
      </c>
      <c r="U1002" s="1728"/>
      <c r="V1002" s="1060">
        <f t="shared" si="106"/>
        <v>0</v>
      </c>
      <c r="W1002" s="1767"/>
      <c r="X1002" s="1060"/>
    </row>
    <row r="1003" spans="2:24" x14ac:dyDescent="0.2">
      <c r="B1003" s="1655" t="s">
        <v>144</v>
      </c>
      <c r="C1003" s="1056">
        <v>44091</v>
      </c>
      <c r="D1003" s="1062">
        <v>128</v>
      </c>
      <c r="E1003" s="1041" t="s">
        <v>293</v>
      </c>
      <c r="F1003" s="1510" t="s">
        <v>285</v>
      </c>
      <c r="G1003" s="1051">
        <v>3.4629629629629628E-2</v>
      </c>
      <c r="H1003" s="718">
        <v>9.1199999999999992</v>
      </c>
      <c r="I1003" s="781">
        <f t="shared" si="108"/>
        <v>3.7971085120207929E-3</v>
      </c>
      <c r="J1003" s="1052">
        <v>132</v>
      </c>
      <c r="K1003" s="1757"/>
      <c r="L1003" s="1568">
        <v>218</v>
      </c>
      <c r="M1003" s="1591"/>
      <c r="N1003" s="722">
        <f t="shared" si="109"/>
        <v>1.067452212621105</v>
      </c>
      <c r="O1003" s="1053" t="s">
        <v>259</v>
      </c>
      <c r="P1003" s="654" t="str">
        <f>IFERROR(VLOOKUP(F1003,#REF!,12,FALSE),"")</f>
        <v/>
      </c>
      <c r="Q1003" s="655" t="s">
        <v>8</v>
      </c>
      <c r="R1003" s="46" t="str">
        <f>IFERROR(VLOOKUP(F1003,#REF!,14,FALSE),"")</f>
        <v/>
      </c>
      <c r="S1003" s="47">
        <f t="shared" si="110"/>
        <v>1.6515151515151516</v>
      </c>
      <c r="U1003" s="1728"/>
      <c r="V1003" s="1060">
        <f t="shared" si="106"/>
        <v>0</v>
      </c>
      <c r="W1003" s="1767"/>
      <c r="X1003" s="1060"/>
    </row>
    <row r="1004" spans="2:24" ht="16" thickBot="1" x14ac:dyDescent="0.25">
      <c r="B1004" s="1656" t="e">
        <f>SUM(#REF!)</f>
        <v>#REF!</v>
      </c>
      <c r="C1004" s="1056">
        <v>44092</v>
      </c>
      <c r="D1004" s="1062">
        <v>129</v>
      </c>
      <c r="E1004" s="1041" t="s">
        <v>293</v>
      </c>
      <c r="F1004" s="1510" t="s">
        <v>282</v>
      </c>
      <c r="G1004" s="1051">
        <v>3.8275462962962963E-2</v>
      </c>
      <c r="H1004" s="718">
        <v>9.6199999999999992</v>
      </c>
      <c r="I1004" s="781">
        <f t="shared" si="108"/>
        <v>3.9787383537383536E-3</v>
      </c>
      <c r="J1004" s="1052">
        <v>126</v>
      </c>
      <c r="K1004" s="1757"/>
      <c r="L1004" s="1568">
        <v>206</v>
      </c>
      <c r="M1004" s="1591"/>
      <c r="N1004" s="722">
        <f t="shared" si="109"/>
        <v>1.0569429360474136</v>
      </c>
      <c r="O1004" s="1053" t="s">
        <v>339</v>
      </c>
      <c r="P1004" s="654" t="str">
        <f>IFERROR(VLOOKUP(F1004,#REF!,12,FALSE),"")</f>
        <v/>
      </c>
      <c r="Q1004" s="655" t="s">
        <v>8</v>
      </c>
      <c r="R1004" s="46" t="str">
        <f>IFERROR(VLOOKUP(F1004,#REF!,14,FALSE),"")</f>
        <v/>
      </c>
      <c r="S1004" s="47">
        <f t="shared" si="110"/>
        <v>1.6349206349206349</v>
      </c>
      <c r="U1004" s="1728"/>
      <c r="V1004" s="1060">
        <f t="shared" si="106"/>
        <v>0</v>
      </c>
      <c r="W1004" s="1767"/>
      <c r="X1004" s="1060"/>
    </row>
    <row r="1005" spans="2:24" x14ac:dyDescent="0.2">
      <c r="B1005" s="1657" t="s">
        <v>256</v>
      </c>
      <c r="C1005" s="1056">
        <v>44093</v>
      </c>
      <c r="D1005" s="1062"/>
      <c r="E1005" s="1041"/>
      <c r="F1005" s="1510"/>
      <c r="G1005" s="1051"/>
      <c r="H1005" s="718" t="str">
        <f>IFERROR(VLOOKUP(F1005,#REF!,10,FALSE),"")</f>
        <v/>
      </c>
      <c r="I1005" s="781" t="str">
        <f t="shared" si="108"/>
        <v/>
      </c>
      <c r="J1005" s="1052"/>
      <c r="K1005" s="1757"/>
      <c r="L1005" s="1568"/>
      <c r="M1005" s="1591"/>
      <c r="N1005" s="722" t="str">
        <f t="shared" si="109"/>
        <v/>
      </c>
      <c r="O1005" s="1053"/>
      <c r="P1005" s="654" t="str">
        <f>IFERROR(VLOOKUP(F1005,#REF!,12,FALSE),"")</f>
        <v/>
      </c>
      <c r="Q1005" s="655" t="s">
        <v>8</v>
      </c>
      <c r="R1005" s="46" t="str">
        <f>IFERROR(VLOOKUP(F1005,#REF!,14,FALSE),"")</f>
        <v/>
      </c>
      <c r="S1005" s="47" t="str">
        <f t="shared" si="110"/>
        <v/>
      </c>
      <c r="U1005" s="1728"/>
      <c r="V1005" s="1060">
        <f t="shared" si="106"/>
        <v>0</v>
      </c>
      <c r="W1005" s="1767"/>
      <c r="X1005" s="1060"/>
    </row>
    <row r="1006" spans="2:24" ht="16" thickBot="1" x14ac:dyDescent="0.25">
      <c r="B1006" s="1658" t="e">
        <f>AVERAGE(#REF!)</f>
        <v>#REF!</v>
      </c>
      <c r="C1006" s="1019">
        <v>44094</v>
      </c>
      <c r="D1006" s="853">
        <v>130</v>
      </c>
      <c r="E1006" s="1046" t="s">
        <v>293</v>
      </c>
      <c r="F1006" s="1511" t="s">
        <v>278</v>
      </c>
      <c r="G1006" s="939">
        <v>3.8124999999999999E-2</v>
      </c>
      <c r="H1006" s="940">
        <v>10.3</v>
      </c>
      <c r="I1006" s="941">
        <f t="shared" si="108"/>
        <v>3.7014563106796115E-3</v>
      </c>
      <c r="J1006" s="942">
        <v>136</v>
      </c>
      <c r="K1006" s="1757"/>
      <c r="L1006" s="1570">
        <v>222</v>
      </c>
      <c r="M1006" s="1594"/>
      <c r="N1006" s="943">
        <f t="shared" si="109"/>
        <v>1.0596551224460222</v>
      </c>
      <c r="O1006" s="944" t="s">
        <v>295</v>
      </c>
      <c r="P1006" s="879" t="str">
        <f>IFERROR(VLOOKUP(F1006,#REF!,12,FALSE),"")</f>
        <v/>
      </c>
      <c r="Q1006" s="107" t="s">
        <v>8</v>
      </c>
      <c r="R1006" s="107" t="str">
        <f>IFERROR(VLOOKUP(F1006,#REF!,14,FALSE),"")</f>
        <v/>
      </c>
      <c r="S1006" s="1049">
        <f t="shared" si="110"/>
        <v>1.6323529411764706</v>
      </c>
      <c r="U1006" s="1728"/>
      <c r="V1006" s="853">
        <f t="shared" si="106"/>
        <v>0</v>
      </c>
      <c r="W1006" s="1768"/>
      <c r="X1006" s="853"/>
    </row>
    <row r="1007" spans="2:24" ht="16" thickBot="1" x14ac:dyDescent="0.25">
      <c r="B1007" s="1660">
        <f>B1000+1</f>
        <v>39</v>
      </c>
      <c r="C1007" s="1015">
        <v>44095</v>
      </c>
      <c r="D1007" s="1063"/>
      <c r="E1007" s="915"/>
      <c r="F1007" s="1499"/>
      <c r="G1007" s="883"/>
      <c r="H1007" s="884" t="str">
        <f>IFERROR(VLOOKUP(F1007,#REF!,10,FALSE),"")</f>
        <v/>
      </c>
      <c r="I1007" s="885" t="str">
        <f t="shared" si="108"/>
        <v/>
      </c>
      <c r="J1007" s="886"/>
      <c r="K1007" s="1757"/>
      <c r="L1007" s="792"/>
      <c r="M1007" s="1595"/>
      <c r="N1007" s="887" t="str">
        <f t="shared" si="109"/>
        <v/>
      </c>
      <c r="O1007" s="888"/>
      <c r="P1007" s="889" t="str">
        <f>IFERROR(VLOOKUP(F1007,#REF!,12,FALSE),"")</f>
        <v/>
      </c>
      <c r="Q1007" s="32" t="s">
        <v>8</v>
      </c>
      <c r="R1007" s="32" t="str">
        <f>IFERROR(VLOOKUP(F1007,#REF!,14,FALSE),"")</f>
        <v/>
      </c>
      <c r="S1007" s="83" t="str">
        <f t="shared" si="110"/>
        <v/>
      </c>
      <c r="U1007" s="1728"/>
      <c r="V1007" s="881">
        <f t="shared" si="106"/>
        <v>0</v>
      </c>
      <c r="W1007" s="1766"/>
      <c r="X1007" s="881"/>
    </row>
    <row r="1008" spans="2:24" x14ac:dyDescent="0.2">
      <c r="B1008" s="1653" t="s">
        <v>142</v>
      </c>
      <c r="C1008" s="1016">
        <v>44096</v>
      </c>
      <c r="D1008" s="1064">
        <v>131</v>
      </c>
      <c r="E1008" s="1041" t="s">
        <v>293</v>
      </c>
      <c r="F1008" s="1512" t="s">
        <v>278</v>
      </c>
      <c r="G1008" s="950">
        <v>3.6180555555555556E-2</v>
      </c>
      <c r="H1008" s="951">
        <v>9.73</v>
      </c>
      <c r="I1008" s="952">
        <f t="shared" si="108"/>
        <v>3.7184538083818658E-3</v>
      </c>
      <c r="J1008" s="953">
        <v>140</v>
      </c>
      <c r="K1008" s="1757"/>
      <c r="L1008" s="1568">
        <v>221</v>
      </c>
      <c r="M1008" s="1591"/>
      <c r="N1008" s="848">
        <f t="shared" si="109"/>
        <v>1.0597260358024883</v>
      </c>
      <c r="O1008" s="955" t="s">
        <v>259</v>
      </c>
      <c r="P1008" s="850" t="str">
        <f>IFERROR(VLOOKUP(F1008,#REF!,12,FALSE),"")</f>
        <v/>
      </c>
      <c r="Q1008" s="851" t="s">
        <v>8</v>
      </c>
      <c r="R1008" s="46" t="str">
        <f>IFERROR(VLOOKUP(F1008,#REF!,14,FALSE),"")</f>
        <v/>
      </c>
      <c r="S1008" s="47">
        <f t="shared" si="110"/>
        <v>1.5785714285714285</v>
      </c>
      <c r="U1008" s="1728"/>
      <c r="V1008" s="854">
        <f t="shared" si="106"/>
        <v>0</v>
      </c>
      <c r="W1008" s="1767"/>
      <c r="X1008" s="854"/>
    </row>
    <row r="1009" spans="2:24" ht="16" thickBot="1" x14ac:dyDescent="0.25">
      <c r="B1009" s="1654">
        <f>SUM(H1007:H1013)</f>
        <v>47.160000000000004</v>
      </c>
      <c r="C1009" s="855">
        <v>44097</v>
      </c>
      <c r="D1009" s="1064">
        <v>132</v>
      </c>
      <c r="E1009" s="1041" t="s">
        <v>293</v>
      </c>
      <c r="F1009" s="1512" t="s">
        <v>286</v>
      </c>
      <c r="G1009" s="950">
        <v>3.8969907407407404E-2</v>
      </c>
      <c r="H1009" s="951">
        <v>11.58</v>
      </c>
      <c r="I1009" s="952">
        <f t="shared" si="108"/>
        <v>3.3652769781871679E-3</v>
      </c>
      <c r="J1009" s="953">
        <v>150</v>
      </c>
      <c r="K1009" s="1757"/>
      <c r="L1009" s="1568">
        <v>240</v>
      </c>
      <c r="M1009" s="1591"/>
      <c r="N1009" s="848">
        <f t="shared" si="109"/>
        <v>1.0415281107416285</v>
      </c>
      <c r="O1009" s="955" t="s">
        <v>280</v>
      </c>
      <c r="P1009" s="850" t="str">
        <f>IFERROR(VLOOKUP(F1009,#REF!,12,FALSE),"")</f>
        <v/>
      </c>
      <c r="Q1009" s="851" t="s">
        <v>8</v>
      </c>
      <c r="R1009" s="46" t="str">
        <f>IFERROR(VLOOKUP(F1009,#REF!,14,FALSE),"")</f>
        <v/>
      </c>
      <c r="S1009" s="47">
        <f t="shared" si="110"/>
        <v>1.6</v>
      </c>
      <c r="U1009" s="1728"/>
      <c r="V1009" s="854">
        <f t="shared" si="106"/>
        <v>0</v>
      </c>
      <c r="W1009" s="1767"/>
      <c r="X1009" s="854"/>
    </row>
    <row r="1010" spans="2:24" x14ac:dyDescent="0.2">
      <c r="B1010" s="1655" t="s">
        <v>144</v>
      </c>
      <c r="C1010" s="855">
        <v>44098</v>
      </c>
      <c r="D1010" s="1065">
        <v>133</v>
      </c>
      <c r="E1010" s="1041" t="s">
        <v>292</v>
      </c>
      <c r="F1010" s="1512" t="s">
        <v>282</v>
      </c>
      <c r="G1010" s="950">
        <v>3.8946759259259257E-2</v>
      </c>
      <c r="H1010" s="951">
        <v>9.81</v>
      </c>
      <c r="I1010" s="952">
        <f t="shared" si="108"/>
        <v>3.9701079774983952E-3</v>
      </c>
      <c r="J1010" s="953">
        <v>136</v>
      </c>
      <c r="K1010" s="1757"/>
      <c r="L1010" s="1568">
        <v>207</v>
      </c>
      <c r="M1010" s="1591"/>
      <c r="N1010" s="848">
        <f t="shared" si="109"/>
        <v>1.059769957551691</v>
      </c>
      <c r="O1010" s="955" t="s">
        <v>339</v>
      </c>
      <c r="P1010" s="850" t="str">
        <f>IFERROR(VLOOKUP(F1010,#REF!,12,FALSE),"")</f>
        <v/>
      </c>
      <c r="Q1010" s="851" t="s">
        <v>8</v>
      </c>
      <c r="R1010" s="46" t="str">
        <f>IFERROR(VLOOKUP(F1010,#REF!,14,FALSE),"")</f>
        <v/>
      </c>
      <c r="S1010" s="47">
        <f t="shared" si="110"/>
        <v>1.5220588235294117</v>
      </c>
      <c r="U1010" s="1728"/>
      <c r="V1010" s="854">
        <f t="shared" si="106"/>
        <v>0</v>
      </c>
      <c r="W1010" s="1767"/>
      <c r="X1010" s="854"/>
    </row>
    <row r="1011" spans="2:24" ht="16" thickBot="1" x14ac:dyDescent="0.25">
      <c r="B1011" s="1656" t="e">
        <f>SUM(#REF!)</f>
        <v>#REF!</v>
      </c>
      <c r="C1011" s="855">
        <v>44099</v>
      </c>
      <c r="D1011" s="1065"/>
      <c r="E1011" s="1041"/>
      <c r="F1011" s="1512"/>
      <c r="G1011" s="950"/>
      <c r="H1011" s="951" t="str">
        <f>IFERROR(VLOOKUP(F1011,#REF!,10,FALSE),"")</f>
        <v/>
      </c>
      <c r="I1011" s="952" t="str">
        <f t="shared" si="108"/>
        <v/>
      </c>
      <c r="J1011" s="953"/>
      <c r="K1011" s="1757"/>
      <c r="L1011" s="1568"/>
      <c r="M1011" s="1591"/>
      <c r="N1011" s="848" t="str">
        <f t="shared" si="109"/>
        <v/>
      </c>
      <c r="O1011" s="955"/>
      <c r="P1011" s="850" t="str">
        <f>IFERROR(VLOOKUP(F1011,#REF!,12,FALSE),"")</f>
        <v/>
      </c>
      <c r="Q1011" s="851" t="s">
        <v>8</v>
      </c>
      <c r="R1011" s="46" t="str">
        <f>IFERROR(VLOOKUP(F1011,#REF!,14,FALSE),"")</f>
        <v/>
      </c>
      <c r="S1011" s="47" t="str">
        <f t="shared" si="110"/>
        <v/>
      </c>
      <c r="U1011" s="1728"/>
      <c r="V1011" s="854">
        <f t="shared" si="106"/>
        <v>0</v>
      </c>
      <c r="W1011" s="1767"/>
      <c r="X1011" s="854"/>
    </row>
    <row r="1012" spans="2:24" x14ac:dyDescent="0.2">
      <c r="B1012" s="1657" t="s">
        <v>256</v>
      </c>
      <c r="C1012" s="855">
        <v>44100</v>
      </c>
      <c r="D1012" s="1065"/>
      <c r="E1012" s="1041"/>
      <c r="F1012" s="1512"/>
      <c r="G1012" s="950"/>
      <c r="H1012" s="951" t="str">
        <f>IFERROR(VLOOKUP(F1012,#REF!,10,FALSE),"")</f>
        <v/>
      </c>
      <c r="I1012" s="952" t="str">
        <f t="shared" si="108"/>
        <v/>
      </c>
      <c r="J1012" s="953"/>
      <c r="K1012" s="1757"/>
      <c r="L1012" s="1568"/>
      <c r="M1012" s="1591"/>
      <c r="N1012" s="848" t="str">
        <f t="shared" si="109"/>
        <v/>
      </c>
      <c r="O1012" s="955"/>
      <c r="P1012" s="850" t="str">
        <f>IFERROR(VLOOKUP(F1012,#REF!,12,FALSE),"")</f>
        <v/>
      </c>
      <c r="Q1012" s="851" t="s">
        <v>8</v>
      </c>
      <c r="R1012" s="46" t="str">
        <f>IFERROR(VLOOKUP(F1012,#REF!,14,FALSE),"")</f>
        <v/>
      </c>
      <c r="S1012" s="47" t="str">
        <f t="shared" si="110"/>
        <v/>
      </c>
      <c r="U1012" s="1728"/>
      <c r="V1012" s="854">
        <f t="shared" si="106"/>
        <v>0</v>
      </c>
      <c r="W1012" s="1767"/>
      <c r="X1012" s="854"/>
    </row>
    <row r="1013" spans="2:24" ht="16" thickBot="1" x14ac:dyDescent="0.25">
      <c r="B1013" s="1658" t="e">
        <f>AVERAGE(#REF!)</f>
        <v>#REF!</v>
      </c>
      <c r="C1013" s="1037">
        <v>44101</v>
      </c>
      <c r="D1013" s="1025">
        <v>134</v>
      </c>
      <c r="E1013" s="900" t="s">
        <v>292</v>
      </c>
      <c r="F1013" s="1513" t="s">
        <v>273</v>
      </c>
      <c r="G1013" s="959">
        <v>6.1701388888888896E-2</v>
      </c>
      <c r="H1013" s="960">
        <v>16.04</v>
      </c>
      <c r="I1013" s="961">
        <f t="shared" si="108"/>
        <v>3.8467200055417017E-3</v>
      </c>
      <c r="J1013" s="962">
        <v>135</v>
      </c>
      <c r="K1013" s="1757"/>
      <c r="L1013" s="1569">
        <v>213</v>
      </c>
      <c r="M1013" s="1592"/>
      <c r="N1013" s="172">
        <f t="shared" si="109"/>
        <v>1.0565963821788813</v>
      </c>
      <c r="O1013" s="963" t="s">
        <v>295</v>
      </c>
      <c r="P1013" s="964" t="str">
        <f>IFERROR(VLOOKUP(F1013,#REF!,12,FALSE),"")</f>
        <v/>
      </c>
      <c r="Q1013" s="965" t="s">
        <v>8</v>
      </c>
      <c r="R1013" s="64" t="str">
        <f>IFERROR(VLOOKUP(F1013,#REF!,14,FALSE),"")</f>
        <v/>
      </c>
      <c r="S1013" s="65">
        <f t="shared" si="110"/>
        <v>1.5777777777777777</v>
      </c>
      <c r="U1013" s="1728"/>
      <c r="V1013" s="1047">
        <f t="shared" si="106"/>
        <v>0</v>
      </c>
      <c r="W1013" s="1768"/>
      <c r="X1013" s="1047"/>
    </row>
    <row r="1014" spans="2:24" ht="16" thickBot="1" x14ac:dyDescent="0.25">
      <c r="B1014" s="1660">
        <f>B1007+1</f>
        <v>40</v>
      </c>
      <c r="C1014" s="786">
        <v>44102</v>
      </c>
      <c r="D1014" s="1066"/>
      <c r="E1014" s="915"/>
      <c r="F1014" s="1499"/>
      <c r="G1014" s="789"/>
      <c r="H1014" s="790" t="str">
        <f>IFERROR(VLOOKUP(F1014,#REF!,10,FALSE),"")</f>
        <v/>
      </c>
      <c r="I1014" s="791" t="str">
        <f t="shared" si="108"/>
        <v/>
      </c>
      <c r="J1014" s="792"/>
      <c r="K1014" s="1757"/>
      <c r="L1014" s="792"/>
      <c r="M1014" s="1595"/>
      <c r="N1014" s="793" t="str">
        <f t="shared" si="109"/>
        <v/>
      </c>
      <c r="O1014" s="794"/>
      <c r="P1014" s="825" t="str">
        <f>IFERROR(VLOOKUP(F1014,#REF!,12,FALSE),"")</f>
        <v/>
      </c>
      <c r="Q1014" s="796" t="s">
        <v>8</v>
      </c>
      <c r="R1014" s="32" t="str">
        <f>IFERROR(VLOOKUP(F1014,#REF!,14,FALSE),"")</f>
        <v/>
      </c>
      <c r="S1014" s="83" t="str">
        <f t="shared" si="110"/>
        <v/>
      </c>
      <c r="U1014" s="1728"/>
      <c r="V1014" s="826">
        <f t="shared" si="106"/>
        <v>0</v>
      </c>
      <c r="W1014" s="1766"/>
      <c r="X1014" s="826"/>
    </row>
    <row r="1015" spans="2:24" x14ac:dyDescent="0.2">
      <c r="B1015" s="1653" t="s">
        <v>142</v>
      </c>
      <c r="C1015" s="841">
        <v>44103</v>
      </c>
      <c r="D1015" s="1067">
        <v>135</v>
      </c>
      <c r="E1015" s="1041" t="s">
        <v>292</v>
      </c>
      <c r="F1015" s="1510" t="s">
        <v>278</v>
      </c>
      <c r="G1015" s="805">
        <v>3.8865740740740742E-2</v>
      </c>
      <c r="H1015" s="806">
        <v>10.57</v>
      </c>
      <c r="I1015" s="807">
        <f t="shared" si="108"/>
        <v>3.6769858789726341E-3</v>
      </c>
      <c r="J1015" s="808">
        <v>141</v>
      </c>
      <c r="K1015" s="1757"/>
      <c r="L1015" s="1568">
        <v>221</v>
      </c>
      <c r="M1015" s="1591"/>
      <c r="N1015" s="848">
        <f t="shared" si="109"/>
        <v>1.0479080472754487</v>
      </c>
      <c r="O1015" s="810" t="s">
        <v>259</v>
      </c>
      <c r="P1015" s="811" t="str">
        <f>IFERROR(VLOOKUP(F1015,#REF!,12,FALSE),"")</f>
        <v/>
      </c>
      <c r="Q1015" s="812" t="s">
        <v>8</v>
      </c>
      <c r="R1015" s="46" t="str">
        <f>IFERROR(VLOOKUP(F1015,#REF!,14,FALSE),"")</f>
        <v/>
      </c>
      <c r="S1015" s="47">
        <f t="shared" si="110"/>
        <v>1.5673758865248226</v>
      </c>
      <c r="U1015" s="1728"/>
      <c r="V1015" s="815">
        <f t="shared" si="106"/>
        <v>0</v>
      </c>
      <c r="W1015" s="1767"/>
      <c r="X1015" s="815"/>
    </row>
    <row r="1016" spans="2:24" ht="16" thickBot="1" x14ac:dyDescent="0.25">
      <c r="B1016" s="1654">
        <f>SUM(H1014:H1020)</f>
        <v>57.29</v>
      </c>
      <c r="C1016" s="802">
        <v>44104</v>
      </c>
      <c r="D1016" s="1068"/>
      <c r="E1016" s="1041"/>
      <c r="F1016" s="1510"/>
      <c r="G1016" s="805"/>
      <c r="H1016" s="806" t="str">
        <f>IFERROR(VLOOKUP(F1016,#REF!,10,FALSE),"")</f>
        <v/>
      </c>
      <c r="I1016" s="807" t="str">
        <f t="shared" si="108"/>
        <v/>
      </c>
      <c r="J1016" s="808"/>
      <c r="K1016" s="1757"/>
      <c r="L1016" s="1568"/>
      <c r="M1016" s="1591"/>
      <c r="N1016" s="848" t="str">
        <f t="shared" si="109"/>
        <v/>
      </c>
      <c r="O1016" s="810"/>
      <c r="P1016" s="811" t="str">
        <f>IFERROR(VLOOKUP(F1016,#REF!,12,FALSE),"")</f>
        <v/>
      </c>
      <c r="Q1016" s="812" t="s">
        <v>8</v>
      </c>
      <c r="R1016" s="46" t="str">
        <f>IFERROR(VLOOKUP(F1016,#REF!,14,FALSE),"")</f>
        <v/>
      </c>
      <c r="S1016" s="47" t="str">
        <f t="shared" si="110"/>
        <v/>
      </c>
      <c r="U1016" s="1728"/>
      <c r="V1016" s="815">
        <f t="shared" si="106"/>
        <v>0</v>
      </c>
      <c r="W1016" s="1767"/>
      <c r="X1016" s="815"/>
    </row>
    <row r="1017" spans="2:24" x14ac:dyDescent="0.2">
      <c r="B1017" s="1655" t="s">
        <v>144</v>
      </c>
      <c r="C1017" s="802">
        <v>44105</v>
      </c>
      <c r="D1017" s="1068"/>
      <c r="E1017" s="1041"/>
      <c r="F1017" s="1510"/>
      <c r="G1017" s="805"/>
      <c r="H1017" s="806" t="str">
        <f>IFERROR(VLOOKUP(F1017,#REF!,10,FALSE),"")</f>
        <v/>
      </c>
      <c r="I1017" s="807" t="str">
        <f t="shared" si="108"/>
        <v/>
      </c>
      <c r="J1017" s="808"/>
      <c r="K1017" s="1757"/>
      <c r="L1017" s="1568"/>
      <c r="M1017" s="1591"/>
      <c r="N1017" s="848" t="str">
        <f t="shared" si="109"/>
        <v/>
      </c>
      <c r="O1017" s="810"/>
      <c r="P1017" s="811" t="str">
        <f>IFERROR(VLOOKUP(F1017,#REF!,12,FALSE),"")</f>
        <v/>
      </c>
      <c r="Q1017" s="812" t="s">
        <v>8</v>
      </c>
      <c r="R1017" s="46" t="str">
        <f>IFERROR(VLOOKUP(F1017,#REF!,14,FALSE),"")</f>
        <v/>
      </c>
      <c r="S1017" s="47" t="str">
        <f t="shared" si="110"/>
        <v/>
      </c>
      <c r="U1017" s="1728"/>
      <c r="V1017" s="815">
        <f t="shared" si="106"/>
        <v>0</v>
      </c>
      <c r="W1017" s="1767"/>
      <c r="X1017" s="815"/>
    </row>
    <row r="1018" spans="2:24" ht="16" thickBot="1" x14ac:dyDescent="0.25">
      <c r="B1018" s="1656" t="e">
        <f>SUM(#REF!)</f>
        <v>#REF!</v>
      </c>
      <c r="C1018" s="802">
        <v>44106</v>
      </c>
      <c r="D1018" s="1068">
        <v>136</v>
      </c>
      <c r="E1018" s="1041" t="s">
        <v>293</v>
      </c>
      <c r="F1018" s="1510" t="s">
        <v>287</v>
      </c>
      <c r="G1018" s="805">
        <v>4.3043981481481482E-2</v>
      </c>
      <c r="H1018" s="806">
        <v>12.97</v>
      </c>
      <c r="I1018" s="807">
        <f t="shared" si="108"/>
        <v>3.3187341157657271E-3</v>
      </c>
      <c r="J1018" s="808">
        <v>153</v>
      </c>
      <c r="K1018" s="1757"/>
      <c r="L1018" s="1568">
        <v>243</v>
      </c>
      <c r="M1018" s="1591"/>
      <c r="N1018" s="848">
        <f t="shared" si="109"/>
        <v>1.0399624851839491</v>
      </c>
      <c r="O1018" s="810" t="s">
        <v>280</v>
      </c>
      <c r="P1018" s="811" t="str">
        <f>IFERROR(VLOOKUP(F1018,#REF!,12,FALSE),"")</f>
        <v/>
      </c>
      <c r="Q1018" s="812" t="s">
        <v>8</v>
      </c>
      <c r="R1018" s="46" t="str">
        <f>IFERROR(VLOOKUP(F1018,#REF!,14,FALSE),"")</f>
        <v/>
      </c>
      <c r="S1018" s="47">
        <f t="shared" si="110"/>
        <v>1.588235294117647</v>
      </c>
      <c r="U1018" s="1728"/>
      <c r="V1018" s="815">
        <f t="shared" ref="V1018:V1081" si="111">U1017-T1017</f>
        <v>0</v>
      </c>
      <c r="W1018" s="1767"/>
      <c r="X1018" s="815"/>
    </row>
    <row r="1019" spans="2:24" x14ac:dyDescent="0.2">
      <c r="B1019" s="1657" t="s">
        <v>256</v>
      </c>
      <c r="C1019" s="802">
        <v>44107</v>
      </c>
      <c r="D1019" s="1069">
        <v>137</v>
      </c>
      <c r="E1019" s="1041" t="s">
        <v>293</v>
      </c>
      <c r="F1019" s="1510" t="s">
        <v>282</v>
      </c>
      <c r="G1019" s="805">
        <v>3.7453703703703704E-2</v>
      </c>
      <c r="H1019" s="806">
        <v>9.5</v>
      </c>
      <c r="I1019" s="807">
        <f t="shared" si="108"/>
        <v>3.9424951267056528E-3</v>
      </c>
      <c r="J1019" s="808">
        <v>127</v>
      </c>
      <c r="K1019" s="1757"/>
      <c r="L1019" s="1568">
        <v>207</v>
      </c>
      <c r="M1019" s="1591"/>
      <c r="N1019" s="848">
        <f t="shared" si="109"/>
        <v>1.0523990573448543</v>
      </c>
      <c r="O1019" s="810" t="s">
        <v>339</v>
      </c>
      <c r="P1019" s="811" t="str">
        <f>IFERROR(VLOOKUP(F1019,#REF!,12,FALSE),"")</f>
        <v/>
      </c>
      <c r="Q1019" s="812" t="s">
        <v>8</v>
      </c>
      <c r="R1019" s="46" t="str">
        <f>IFERROR(VLOOKUP(F1019,#REF!,14,FALSE),"")</f>
        <v/>
      </c>
      <c r="S1019" s="47">
        <f t="shared" si="110"/>
        <v>1.6299212598425197</v>
      </c>
      <c r="U1019" s="1728"/>
      <c r="V1019" s="815">
        <f t="shared" si="111"/>
        <v>0</v>
      </c>
      <c r="W1019" s="1767"/>
      <c r="X1019" s="815"/>
    </row>
    <row r="1020" spans="2:24" ht="16" thickBot="1" x14ac:dyDescent="0.25">
      <c r="B1020" s="1658" t="e">
        <f>AVERAGE(#REF!)</f>
        <v>#REF!</v>
      </c>
      <c r="C1020" s="207">
        <v>44108</v>
      </c>
      <c r="D1020" s="1025">
        <v>138</v>
      </c>
      <c r="E1020" s="900" t="s">
        <v>293</v>
      </c>
      <c r="F1020" s="1511" t="s">
        <v>276</v>
      </c>
      <c r="G1020" s="816">
        <v>8.5289351851851838E-2</v>
      </c>
      <c r="H1020" s="817">
        <v>24.25</v>
      </c>
      <c r="I1020" s="818">
        <f t="shared" si="108"/>
        <v>3.5170866743031684E-3</v>
      </c>
      <c r="J1020" s="819">
        <v>142</v>
      </c>
      <c r="K1020" s="1757"/>
      <c r="L1020" s="1569">
        <v>231</v>
      </c>
      <c r="M1020" s="1592"/>
      <c r="N1020" s="172">
        <f t="shared" si="109"/>
        <v>1.0476928758270501</v>
      </c>
      <c r="O1020" s="820" t="s">
        <v>295</v>
      </c>
      <c r="P1020" s="821" t="str">
        <f>IFERROR(VLOOKUP(F1020,#REF!,12,FALSE),"")</f>
        <v/>
      </c>
      <c r="Q1020" s="822" t="s">
        <v>8</v>
      </c>
      <c r="R1020" s="64" t="str">
        <f>IFERROR(VLOOKUP(F1020,#REF!,14,FALSE),"")</f>
        <v/>
      </c>
      <c r="S1020" s="1049">
        <f t="shared" si="110"/>
        <v>1.6267605633802817</v>
      </c>
      <c r="U1020" s="1728"/>
      <c r="V1020" s="823">
        <f t="shared" si="111"/>
        <v>0</v>
      </c>
      <c r="W1020" s="1768"/>
      <c r="X1020" s="823"/>
    </row>
    <row r="1021" spans="2:24" ht="16" thickBot="1" x14ac:dyDescent="0.25">
      <c r="B1021" s="1660">
        <f>B1014+1</f>
        <v>41</v>
      </c>
      <c r="C1021" s="1015">
        <v>44109</v>
      </c>
      <c r="D1021" s="1070"/>
      <c r="E1021" s="915"/>
      <c r="F1021" s="1499"/>
      <c r="G1021" s="883"/>
      <c r="H1021" s="884" t="str">
        <f>IFERROR(VLOOKUP(F1021,#REF!,10,FALSE),"")</f>
        <v/>
      </c>
      <c r="I1021" s="885" t="str">
        <f t="shared" si="108"/>
        <v/>
      </c>
      <c r="J1021" s="886"/>
      <c r="K1021" s="1757"/>
      <c r="L1021" s="792"/>
      <c r="M1021" s="1595"/>
      <c r="N1021" s="887" t="str">
        <f t="shared" si="109"/>
        <v/>
      </c>
      <c r="O1021" s="888"/>
      <c r="P1021" s="889" t="str">
        <f>IFERROR(VLOOKUP(F1021,#REF!,12,FALSE),"")</f>
        <v/>
      </c>
      <c r="Q1021" s="32" t="s">
        <v>8</v>
      </c>
      <c r="R1021" s="32" t="str">
        <f>IFERROR(VLOOKUP(F1021,#REF!,14,FALSE),"")</f>
        <v/>
      </c>
      <c r="S1021" s="83" t="str">
        <f t="shared" si="110"/>
        <v/>
      </c>
      <c r="U1021" s="1728"/>
      <c r="V1021" s="881">
        <f t="shared" si="111"/>
        <v>0</v>
      </c>
      <c r="W1021" s="1766"/>
      <c r="X1021" s="881"/>
    </row>
    <row r="1022" spans="2:24" x14ac:dyDescent="0.2">
      <c r="B1022" s="1653" t="s">
        <v>142</v>
      </c>
      <c r="C1022" s="855">
        <v>44110</v>
      </c>
      <c r="D1022" s="1071">
        <v>139</v>
      </c>
      <c r="E1022" s="1041" t="s">
        <v>293</v>
      </c>
      <c r="F1022" s="1510" t="s">
        <v>278</v>
      </c>
      <c r="G1022" s="950">
        <v>3.9143518518518515E-2</v>
      </c>
      <c r="H1022" s="951">
        <v>10.55</v>
      </c>
      <c r="I1022" s="952">
        <f t="shared" si="108"/>
        <v>3.7102861154993849E-3</v>
      </c>
      <c r="J1022" s="953">
        <v>142</v>
      </c>
      <c r="K1022" s="1757"/>
      <c r="L1022" s="1568">
        <v>221</v>
      </c>
      <c r="M1022" s="1591"/>
      <c r="N1022" s="848">
        <f t="shared" si="109"/>
        <v>1.0573983164744996</v>
      </c>
      <c r="O1022" s="955" t="s">
        <v>259</v>
      </c>
      <c r="P1022" s="850" t="str">
        <f>IFERROR(VLOOKUP(F1022,#REF!,12,FALSE),"")</f>
        <v/>
      </c>
      <c r="Q1022" s="851" t="s">
        <v>8</v>
      </c>
      <c r="R1022" s="46" t="str">
        <f>IFERROR(VLOOKUP(F1022,#REF!,14,FALSE),"")</f>
        <v/>
      </c>
      <c r="S1022" s="47">
        <f t="shared" si="110"/>
        <v>1.556338028169014</v>
      </c>
      <c r="U1022" s="1728"/>
      <c r="V1022" s="854">
        <f t="shared" si="111"/>
        <v>0</v>
      </c>
      <c r="W1022" s="1767"/>
      <c r="X1022" s="854"/>
    </row>
    <row r="1023" spans="2:24" ht="16" thickBot="1" x14ac:dyDescent="0.25">
      <c r="B1023" s="1654">
        <f>SUM(H1021:H1027)</f>
        <v>51.180000000000007</v>
      </c>
      <c r="C1023" s="855">
        <v>44111</v>
      </c>
      <c r="D1023" s="1071"/>
      <c r="E1023" s="1041"/>
      <c r="F1023" s="1510"/>
      <c r="G1023" s="950"/>
      <c r="H1023" s="951" t="str">
        <f>IFERROR(VLOOKUP(F1023,#REF!,10,FALSE),"")</f>
        <v/>
      </c>
      <c r="I1023" s="952" t="str">
        <f t="shared" si="108"/>
        <v/>
      </c>
      <c r="J1023" s="953"/>
      <c r="K1023" s="1757"/>
      <c r="L1023" s="1568"/>
      <c r="M1023" s="1591"/>
      <c r="N1023" s="848" t="str">
        <f t="shared" si="109"/>
        <v/>
      </c>
      <c r="O1023" s="955"/>
      <c r="P1023" s="850" t="str">
        <f>IFERROR(VLOOKUP(F1023,#REF!,12,FALSE),"")</f>
        <v/>
      </c>
      <c r="Q1023" s="851" t="s">
        <v>8</v>
      </c>
      <c r="R1023" s="46" t="str">
        <f>IFERROR(VLOOKUP(F1023,#REF!,14,FALSE),"")</f>
        <v/>
      </c>
      <c r="S1023" s="47" t="str">
        <f t="shared" si="110"/>
        <v/>
      </c>
      <c r="U1023" s="1728"/>
      <c r="V1023" s="854">
        <f t="shared" si="111"/>
        <v>0</v>
      </c>
      <c r="W1023" s="1767"/>
      <c r="X1023" s="854"/>
    </row>
    <row r="1024" spans="2:24" x14ac:dyDescent="0.2">
      <c r="B1024" s="1655" t="s">
        <v>144</v>
      </c>
      <c r="C1024" s="855">
        <v>44112</v>
      </c>
      <c r="D1024" s="1071">
        <v>140</v>
      </c>
      <c r="E1024" s="1041" t="s">
        <v>293</v>
      </c>
      <c r="F1024" s="1510" t="s">
        <v>301</v>
      </c>
      <c r="G1024" s="950">
        <v>3.875E-2</v>
      </c>
      <c r="H1024" s="951">
        <v>11.62</v>
      </c>
      <c r="I1024" s="952">
        <f t="shared" si="108"/>
        <v>3.3347676419965577E-3</v>
      </c>
      <c r="J1024" s="953">
        <v>150</v>
      </c>
      <c r="K1024" s="1757"/>
      <c r="L1024" s="1568">
        <v>241</v>
      </c>
      <c r="M1024" s="1591"/>
      <c r="N1024" s="848">
        <f t="shared" si="109"/>
        <v>1.0363860559508824</v>
      </c>
      <c r="O1024" s="955" t="s">
        <v>280</v>
      </c>
      <c r="P1024" s="850" t="str">
        <f>IFERROR(VLOOKUP(F1024,#REF!,12,FALSE),"")</f>
        <v/>
      </c>
      <c r="Q1024" s="851" t="s">
        <v>8</v>
      </c>
      <c r="R1024" s="46" t="str">
        <f>IFERROR(VLOOKUP(F1024,#REF!,14,FALSE),"")</f>
        <v/>
      </c>
      <c r="S1024" s="47">
        <f t="shared" si="110"/>
        <v>1.6066666666666667</v>
      </c>
      <c r="U1024" s="1728"/>
      <c r="V1024" s="854">
        <f t="shared" si="111"/>
        <v>0</v>
      </c>
      <c r="W1024" s="1767"/>
      <c r="X1024" s="854"/>
    </row>
    <row r="1025" spans="2:24" ht="16" thickBot="1" x14ac:dyDescent="0.25">
      <c r="B1025" s="1656" t="e">
        <f>SUM(#REF!)</f>
        <v>#REF!</v>
      </c>
      <c r="C1025" s="855">
        <v>44113</v>
      </c>
      <c r="D1025" s="1069">
        <v>141</v>
      </c>
      <c r="E1025" s="1041" t="s">
        <v>292</v>
      </c>
      <c r="F1025" s="1510" t="s">
        <v>282</v>
      </c>
      <c r="G1025" s="950">
        <v>3.695601851851852E-2</v>
      </c>
      <c r="H1025" s="951">
        <v>9.31</v>
      </c>
      <c r="I1025" s="952">
        <f t="shared" si="108"/>
        <v>3.9694971555873813E-3</v>
      </c>
      <c r="J1025" s="953">
        <v>132</v>
      </c>
      <c r="K1025" s="1757"/>
      <c r="L1025" s="1568">
        <v>206</v>
      </c>
      <c r="M1025" s="1591"/>
      <c r="N1025" s="848">
        <f t="shared" si="109"/>
        <v>1.0544880324478574</v>
      </c>
      <c r="O1025" s="955" t="s">
        <v>339</v>
      </c>
      <c r="P1025" s="850" t="str">
        <f>IFERROR(VLOOKUP(F1025,#REF!,12,FALSE),"")</f>
        <v/>
      </c>
      <c r="Q1025" s="851" t="s">
        <v>8</v>
      </c>
      <c r="R1025" s="46" t="str">
        <f>IFERROR(VLOOKUP(F1025,#REF!,14,FALSE),"")</f>
        <v/>
      </c>
      <c r="S1025" s="47">
        <f t="shared" si="110"/>
        <v>1.5606060606060606</v>
      </c>
      <c r="U1025" s="1728"/>
      <c r="V1025" s="854">
        <f t="shared" si="111"/>
        <v>0</v>
      </c>
      <c r="W1025" s="1767"/>
      <c r="X1025" s="854"/>
    </row>
    <row r="1026" spans="2:24" x14ac:dyDescent="0.2">
      <c r="B1026" s="1657" t="s">
        <v>256</v>
      </c>
      <c r="C1026" s="855">
        <v>44114</v>
      </c>
      <c r="D1026" s="1069"/>
      <c r="E1026" s="1041"/>
      <c r="F1026" s="1510"/>
      <c r="G1026" s="950"/>
      <c r="H1026" s="951" t="str">
        <f>IFERROR(VLOOKUP(F1026,#REF!,10,FALSE),"")</f>
        <v/>
      </c>
      <c r="I1026" s="952" t="str">
        <f t="shared" si="108"/>
        <v/>
      </c>
      <c r="J1026" s="953"/>
      <c r="K1026" s="1757"/>
      <c r="L1026" s="1568"/>
      <c r="M1026" s="1591"/>
      <c r="N1026" s="848" t="str">
        <f t="shared" si="109"/>
        <v/>
      </c>
      <c r="O1026" s="955"/>
      <c r="P1026" s="850" t="str">
        <f>IFERROR(VLOOKUP(F1026,#REF!,12,FALSE),"")</f>
        <v/>
      </c>
      <c r="Q1026" s="851" t="s">
        <v>8</v>
      </c>
      <c r="R1026" s="46" t="str">
        <f>IFERROR(VLOOKUP(F1026,#REF!,14,FALSE),"")</f>
        <v/>
      </c>
      <c r="S1026" s="47" t="str">
        <f t="shared" si="110"/>
        <v/>
      </c>
      <c r="U1026" s="1728"/>
      <c r="V1026" s="854">
        <f t="shared" si="111"/>
        <v>0</v>
      </c>
      <c r="W1026" s="1767"/>
      <c r="X1026" s="854"/>
    </row>
    <row r="1027" spans="2:24" ht="16" thickBot="1" x14ac:dyDescent="0.25">
      <c r="B1027" s="1658" t="e">
        <f>AVERAGE(#REF!)</f>
        <v>#REF!</v>
      </c>
      <c r="C1027" s="1037">
        <v>44115</v>
      </c>
      <c r="D1027" s="1025">
        <v>142</v>
      </c>
      <c r="E1027" s="900" t="s">
        <v>293</v>
      </c>
      <c r="F1027" s="1511" t="s">
        <v>296</v>
      </c>
      <c r="G1027" s="959">
        <v>7.6550925925925925E-2</v>
      </c>
      <c r="H1027" s="960">
        <v>19.7</v>
      </c>
      <c r="I1027" s="961">
        <f t="shared" si="108"/>
        <v>3.8858338033464939E-3</v>
      </c>
      <c r="J1027" s="962">
        <v>136</v>
      </c>
      <c r="K1027" s="1757"/>
      <c r="L1027" s="1569">
        <v>217</v>
      </c>
      <c r="M1027" s="1592"/>
      <c r="N1027" s="172">
        <f t="shared" si="109"/>
        <v>1.0873838927191453</v>
      </c>
      <c r="O1027" s="963" t="s">
        <v>295</v>
      </c>
      <c r="P1027" s="964" t="str">
        <f>IFERROR(VLOOKUP(F1027,#REF!,12,FALSE),"")</f>
        <v/>
      </c>
      <c r="Q1027" s="965" t="s">
        <v>8</v>
      </c>
      <c r="R1027" s="64" t="str">
        <f>IFERROR(VLOOKUP(F1027,#REF!,14,FALSE),"")</f>
        <v/>
      </c>
      <c r="S1027" s="65">
        <f t="shared" si="110"/>
        <v>1.5955882352941178</v>
      </c>
      <c r="U1027" s="1728"/>
      <c r="V1027" s="1047">
        <f t="shared" si="111"/>
        <v>0</v>
      </c>
      <c r="W1027" s="1768"/>
      <c r="X1027" s="1047"/>
    </row>
    <row r="1028" spans="2:24" ht="16" thickBot="1" x14ac:dyDescent="0.25">
      <c r="B1028" s="1660">
        <f>B1021+1</f>
        <v>42</v>
      </c>
      <c r="C1028" s="786">
        <v>44116</v>
      </c>
      <c r="D1028" s="787"/>
      <c r="E1028" s="915"/>
      <c r="F1028" s="1514"/>
      <c r="G1028" s="789"/>
      <c r="H1028" s="790" t="str">
        <f>IFERROR(VLOOKUP(F1028,#REF!,10,FALSE),"")</f>
        <v/>
      </c>
      <c r="I1028" s="791" t="str">
        <f t="shared" si="108"/>
        <v/>
      </c>
      <c r="J1028" s="792"/>
      <c r="K1028" s="1757"/>
      <c r="L1028" s="792"/>
      <c r="M1028" s="1595"/>
      <c r="N1028" s="793" t="str">
        <f t="shared" si="109"/>
        <v/>
      </c>
      <c r="O1028" s="794"/>
      <c r="P1028" s="825" t="str">
        <f>IFERROR(VLOOKUP(F1028,#REF!,12,FALSE),"")</f>
        <v/>
      </c>
      <c r="Q1028" s="796" t="s">
        <v>8</v>
      </c>
      <c r="R1028" s="32" t="str">
        <f>IFERROR(VLOOKUP(F1028,#REF!,14,FALSE),"")</f>
        <v/>
      </c>
      <c r="S1028" s="83" t="str">
        <f t="shared" si="110"/>
        <v/>
      </c>
      <c r="U1028" s="1728"/>
      <c r="V1028" s="826">
        <f t="shared" si="111"/>
        <v>0</v>
      </c>
      <c r="W1028" s="1766"/>
      <c r="X1028" s="826"/>
    </row>
    <row r="1029" spans="2:24" x14ac:dyDescent="0.2">
      <c r="B1029" s="1653" t="s">
        <v>142</v>
      </c>
      <c r="C1029" s="841">
        <v>44117</v>
      </c>
      <c r="D1029" s="842">
        <v>143</v>
      </c>
      <c r="E1029" s="1041" t="s">
        <v>293</v>
      </c>
      <c r="F1029" s="1515" t="s">
        <v>11</v>
      </c>
      <c r="G1029" s="805">
        <v>3.6516203703703703E-2</v>
      </c>
      <c r="H1029" s="806">
        <v>10.02</v>
      </c>
      <c r="I1029" s="807">
        <f t="shared" si="108"/>
        <v>3.6443317069564576E-3</v>
      </c>
      <c r="J1029" s="808">
        <v>146</v>
      </c>
      <c r="K1029" s="1757"/>
      <c r="L1029" s="1568">
        <v>220</v>
      </c>
      <c r="M1029" s="1591"/>
      <c r="N1029" s="848">
        <f t="shared" si="109"/>
        <v>1.0339023445646023</v>
      </c>
      <c r="O1029" s="810" t="s">
        <v>259</v>
      </c>
      <c r="P1029" s="811" t="str">
        <f>IFERROR(VLOOKUP(F1029,#REF!,12,FALSE),"")</f>
        <v/>
      </c>
      <c r="Q1029" s="812" t="s">
        <v>8</v>
      </c>
      <c r="R1029" s="46" t="str">
        <f>IFERROR(VLOOKUP(F1029,#REF!,14,FALSE),"")</f>
        <v/>
      </c>
      <c r="S1029" s="47">
        <f t="shared" si="110"/>
        <v>1.5068493150684932</v>
      </c>
      <c r="U1029" s="1728"/>
      <c r="V1029" s="815">
        <f t="shared" si="111"/>
        <v>0</v>
      </c>
      <c r="W1029" s="1767"/>
      <c r="X1029" s="815"/>
    </row>
    <row r="1030" spans="2:24" ht="16" thickBot="1" x14ac:dyDescent="0.25">
      <c r="B1030" s="1654">
        <f>SUM(H1028:H1034)</f>
        <v>29.569999999999997</v>
      </c>
      <c r="C1030" s="802">
        <v>44118</v>
      </c>
      <c r="D1030" s="842"/>
      <c r="E1030" s="1041"/>
      <c r="F1030" s="1515"/>
      <c r="G1030" s="805"/>
      <c r="H1030" s="806" t="str">
        <f>IFERROR(VLOOKUP(F1030,#REF!,10,FALSE),"")</f>
        <v/>
      </c>
      <c r="I1030" s="807" t="str">
        <f t="shared" si="108"/>
        <v/>
      </c>
      <c r="J1030" s="808"/>
      <c r="K1030" s="1757"/>
      <c r="L1030" s="1568"/>
      <c r="M1030" s="1591"/>
      <c r="N1030" s="848" t="str">
        <f t="shared" si="109"/>
        <v/>
      </c>
      <c r="O1030" s="810"/>
      <c r="P1030" s="811" t="str">
        <f>IFERROR(VLOOKUP(F1030,#REF!,12,FALSE),"")</f>
        <v/>
      </c>
      <c r="Q1030" s="812" t="s">
        <v>8</v>
      </c>
      <c r="R1030" s="46" t="str">
        <f>IFERROR(VLOOKUP(F1030,#REF!,14,FALSE),"")</f>
        <v/>
      </c>
      <c r="S1030" s="47" t="str">
        <f t="shared" si="110"/>
        <v/>
      </c>
      <c r="U1030" s="1728"/>
      <c r="V1030" s="815">
        <f t="shared" si="111"/>
        <v>0</v>
      </c>
      <c r="W1030" s="1767"/>
      <c r="X1030" s="815"/>
    </row>
    <row r="1031" spans="2:24" x14ac:dyDescent="0.2">
      <c r="B1031" s="1655" t="s">
        <v>144</v>
      </c>
      <c r="C1031" s="802">
        <v>44119</v>
      </c>
      <c r="D1031" s="842">
        <v>144</v>
      </c>
      <c r="E1031" s="1041" t="s">
        <v>293</v>
      </c>
      <c r="F1031" s="1515" t="s">
        <v>282</v>
      </c>
      <c r="G1031" s="805">
        <v>3.7071759259259256E-2</v>
      </c>
      <c r="H1031" s="806">
        <v>9.35</v>
      </c>
      <c r="I1031" s="807">
        <f t="shared" si="108"/>
        <v>3.9648940384234502E-3</v>
      </c>
      <c r="J1031" s="808">
        <v>134</v>
      </c>
      <c r="K1031" s="1757"/>
      <c r="L1031" s="1568">
        <v>206</v>
      </c>
      <c r="M1031" s="1591"/>
      <c r="N1031" s="848">
        <f t="shared" si="109"/>
        <v>1.0532652246787453</v>
      </c>
      <c r="O1031" s="810" t="s">
        <v>339</v>
      </c>
      <c r="P1031" s="811" t="str">
        <f>IFERROR(VLOOKUP(F1031,#REF!,12,FALSE),"")</f>
        <v/>
      </c>
      <c r="Q1031" s="812" t="s">
        <v>8</v>
      </c>
      <c r="R1031" s="46" t="str">
        <f>IFERROR(VLOOKUP(F1031,#REF!,14,FALSE),"")</f>
        <v/>
      </c>
      <c r="S1031" s="47">
        <f t="shared" si="110"/>
        <v>1.5373134328358209</v>
      </c>
      <c r="U1031" s="1728"/>
      <c r="V1031" s="815">
        <f t="shared" si="111"/>
        <v>0</v>
      </c>
      <c r="W1031" s="1767"/>
      <c r="X1031" s="815"/>
    </row>
    <row r="1032" spans="2:24" ht="16" thickBot="1" x14ac:dyDescent="0.25">
      <c r="B1032" s="1656" t="e">
        <f>SUM(#REF!)</f>
        <v>#REF!</v>
      </c>
      <c r="C1032" s="802">
        <v>44120</v>
      </c>
      <c r="D1032" s="842"/>
      <c r="E1032" s="1041"/>
      <c r="F1032" s="1515"/>
      <c r="G1032" s="805"/>
      <c r="H1032" s="806" t="str">
        <f>IFERROR(VLOOKUP(F1032,#REF!,10,FALSE),"")</f>
        <v/>
      </c>
      <c r="I1032" s="807" t="str">
        <f t="shared" si="108"/>
        <v/>
      </c>
      <c r="J1032" s="808"/>
      <c r="K1032" s="1757"/>
      <c r="L1032" s="1568"/>
      <c r="M1032" s="1591"/>
      <c r="N1032" s="848" t="str">
        <f t="shared" ref="N1032:N1053" si="112">IFERROR((L1032/67)/(1/(I1032*24)/3.6),"")</f>
        <v/>
      </c>
      <c r="O1032" s="810"/>
      <c r="P1032" s="811" t="str">
        <f>IFERROR(VLOOKUP(F1032,#REF!,12,FALSE),"")</f>
        <v/>
      </c>
      <c r="Q1032" s="812" t="s">
        <v>8</v>
      </c>
      <c r="R1032" s="46" t="str">
        <f>IFERROR(VLOOKUP(F1032,#REF!,14,FALSE),"")</f>
        <v/>
      </c>
      <c r="S1032" s="47" t="str">
        <f t="shared" si="110"/>
        <v/>
      </c>
      <c r="U1032" s="1728"/>
      <c r="V1032" s="815">
        <f t="shared" si="111"/>
        <v>0</v>
      </c>
      <c r="W1032" s="1767"/>
      <c r="X1032" s="815"/>
    </row>
    <row r="1033" spans="2:24" x14ac:dyDescent="0.2">
      <c r="B1033" s="1657" t="s">
        <v>256</v>
      </c>
      <c r="C1033" s="802">
        <v>44121</v>
      </c>
      <c r="D1033" s="842"/>
      <c r="E1033" s="1041"/>
      <c r="F1033" s="1515"/>
      <c r="G1033" s="805"/>
      <c r="H1033" s="806" t="str">
        <f>IFERROR(VLOOKUP(F1033,#REF!,10,FALSE),"")</f>
        <v/>
      </c>
      <c r="I1033" s="807" t="str">
        <f t="shared" si="108"/>
        <v/>
      </c>
      <c r="J1033" s="808"/>
      <c r="K1033" s="1757"/>
      <c r="L1033" s="1568"/>
      <c r="M1033" s="1591"/>
      <c r="N1033" s="848" t="str">
        <f t="shared" si="112"/>
        <v/>
      </c>
      <c r="O1033" s="810"/>
      <c r="P1033" s="811" t="str">
        <f>IFERROR(VLOOKUP(F1033,#REF!,12,FALSE),"")</f>
        <v/>
      </c>
      <c r="Q1033" s="812" t="s">
        <v>8</v>
      </c>
      <c r="R1033" s="46" t="str">
        <f>IFERROR(VLOOKUP(F1033,#REF!,14,FALSE),"")</f>
        <v/>
      </c>
      <c r="S1033" s="47" t="str">
        <f t="shared" si="110"/>
        <v/>
      </c>
      <c r="U1033" s="1728"/>
      <c r="V1033" s="815">
        <f t="shared" si="111"/>
        <v>0</v>
      </c>
      <c r="W1033" s="1767"/>
      <c r="X1033" s="815"/>
    </row>
    <row r="1034" spans="2:24" ht="16" thickBot="1" x14ac:dyDescent="0.25">
      <c r="B1034" s="1658" t="e">
        <f>AVERAGE(#REF!)</f>
        <v>#REF!</v>
      </c>
      <c r="C1034" s="207">
        <v>44122</v>
      </c>
      <c r="D1034" s="67">
        <v>145</v>
      </c>
      <c r="E1034" s="900" t="s">
        <v>293</v>
      </c>
      <c r="F1034" s="1516" t="s">
        <v>278</v>
      </c>
      <c r="G1034" s="816">
        <v>3.8217592592592588E-2</v>
      </c>
      <c r="H1034" s="817">
        <v>10.199999999999999</v>
      </c>
      <c r="I1034" s="818">
        <f t="shared" si="108"/>
        <v>3.7468228031953522E-3</v>
      </c>
      <c r="J1034" s="819">
        <v>137</v>
      </c>
      <c r="K1034" s="1757"/>
      <c r="L1034" s="1569">
        <v>216</v>
      </c>
      <c r="M1034" s="1592"/>
      <c r="N1034" s="172">
        <f t="shared" si="112"/>
        <v>1.0436523266022826</v>
      </c>
      <c r="O1034" s="820" t="s">
        <v>339</v>
      </c>
      <c r="P1034" s="821" t="str">
        <f>IFERROR(VLOOKUP(F1034,#REF!,12,FALSE),"")</f>
        <v/>
      </c>
      <c r="Q1034" s="822" t="s">
        <v>8</v>
      </c>
      <c r="R1034" s="64" t="str">
        <f>IFERROR(VLOOKUP(F1034,#REF!,14,FALSE),"")</f>
        <v/>
      </c>
      <c r="S1034" s="65">
        <f t="shared" si="110"/>
        <v>1.5766423357664234</v>
      </c>
      <c r="U1034" s="1728"/>
      <c r="V1034" s="823">
        <f t="shared" si="111"/>
        <v>0</v>
      </c>
      <c r="W1034" s="1768"/>
      <c r="X1034" s="823"/>
    </row>
    <row r="1035" spans="2:24" ht="16" thickBot="1" x14ac:dyDescent="0.25">
      <c r="B1035" s="1660">
        <f>B1028+1</f>
        <v>43</v>
      </c>
      <c r="C1035" s="1015">
        <v>44123</v>
      </c>
      <c r="D1035" s="946"/>
      <c r="E1035" s="915"/>
      <c r="F1035" s="1514"/>
      <c r="G1035" s="883"/>
      <c r="H1035" s="884" t="str">
        <f>IFERROR(VLOOKUP(F1035,#REF!,10,FALSE),"")</f>
        <v/>
      </c>
      <c r="I1035" s="885" t="str">
        <f t="shared" si="108"/>
        <v/>
      </c>
      <c r="J1035" s="886"/>
      <c r="K1035" s="1757"/>
      <c r="L1035" s="792"/>
      <c r="M1035" s="1595"/>
      <c r="N1035" s="887" t="str">
        <f t="shared" si="112"/>
        <v/>
      </c>
      <c r="O1035" s="888"/>
      <c r="P1035" s="889" t="str">
        <f>IFERROR(VLOOKUP(F1035,#REF!,12,FALSE),"")</f>
        <v/>
      </c>
      <c r="Q1035" s="32" t="s">
        <v>8</v>
      </c>
      <c r="R1035" s="32" t="str">
        <f>IFERROR(VLOOKUP(F1035,#REF!,14,FALSE),"")</f>
        <v/>
      </c>
      <c r="S1035" s="83" t="str">
        <f t="shared" si="110"/>
        <v/>
      </c>
      <c r="U1035" s="1728"/>
      <c r="V1035" s="881">
        <f t="shared" si="111"/>
        <v>0</v>
      </c>
      <c r="W1035" s="1766"/>
      <c r="X1035" s="881"/>
    </row>
    <row r="1036" spans="2:24" x14ac:dyDescent="0.2">
      <c r="B1036" s="1653" t="s">
        <v>142</v>
      </c>
      <c r="C1036" s="855">
        <v>44124</v>
      </c>
      <c r="D1036" s="1072">
        <v>146</v>
      </c>
      <c r="E1036" s="1036" t="s">
        <v>293</v>
      </c>
      <c r="F1036" s="1515" t="s">
        <v>11</v>
      </c>
      <c r="G1036" s="950">
        <v>3.1296296296296301E-2</v>
      </c>
      <c r="H1036" s="951">
        <v>9.3699999999999992</v>
      </c>
      <c r="I1036" s="952">
        <f t="shared" si="108"/>
        <v>3.3400529665204167E-3</v>
      </c>
      <c r="J1036" s="953">
        <v>145</v>
      </c>
      <c r="K1036" s="1757"/>
      <c r="L1036" s="1568">
        <v>238</v>
      </c>
      <c r="M1036" s="1591"/>
      <c r="N1036" s="848">
        <f t="shared" si="112"/>
        <v>1.0251071218082484</v>
      </c>
      <c r="O1036" s="955" t="s">
        <v>259</v>
      </c>
      <c r="P1036" s="850" t="str">
        <f>IFERROR(VLOOKUP(F1036,#REF!,12,FALSE),"")</f>
        <v/>
      </c>
      <c r="Q1036" s="851" t="s">
        <v>8</v>
      </c>
      <c r="R1036" s="46" t="str">
        <f>IFERROR(VLOOKUP(F1036,#REF!,14,FALSE),"")</f>
        <v/>
      </c>
      <c r="S1036" s="47">
        <f t="shared" si="110"/>
        <v>1.6413793103448275</v>
      </c>
      <c r="U1036" s="1728"/>
      <c r="V1036" s="854">
        <f t="shared" si="111"/>
        <v>0</v>
      </c>
      <c r="W1036" s="1767"/>
      <c r="X1036" s="854"/>
    </row>
    <row r="1037" spans="2:24" ht="16" thickBot="1" x14ac:dyDescent="0.25">
      <c r="B1037" s="1654">
        <f>SUM(H1035:H1041)</f>
        <v>30.97</v>
      </c>
      <c r="C1037" s="855">
        <v>44125</v>
      </c>
      <c r="D1037" s="842"/>
      <c r="E1037" s="1036"/>
      <c r="F1037" s="1515"/>
      <c r="G1037" s="950"/>
      <c r="H1037" s="951" t="str">
        <f>IFERROR(VLOOKUP(F1037,#REF!,10,FALSE),"")</f>
        <v/>
      </c>
      <c r="I1037" s="952" t="str">
        <f t="shared" si="108"/>
        <v/>
      </c>
      <c r="J1037" s="953"/>
      <c r="K1037" s="1757"/>
      <c r="L1037" s="1568"/>
      <c r="M1037" s="1591"/>
      <c r="N1037" s="848" t="str">
        <f t="shared" si="112"/>
        <v/>
      </c>
      <c r="O1037" s="955"/>
      <c r="P1037" s="850" t="str">
        <f>IFERROR(VLOOKUP(F1037,#REF!,12,FALSE),"")</f>
        <v/>
      </c>
      <c r="Q1037" s="851" t="s">
        <v>8</v>
      </c>
      <c r="R1037" s="46" t="str">
        <f>IFERROR(VLOOKUP(F1037,#REF!,14,FALSE),"")</f>
        <v/>
      </c>
      <c r="S1037" s="47" t="str">
        <f t="shared" si="110"/>
        <v/>
      </c>
      <c r="U1037" s="1728"/>
      <c r="V1037" s="854">
        <f t="shared" si="111"/>
        <v>0</v>
      </c>
      <c r="W1037" s="1767"/>
      <c r="X1037" s="854"/>
    </row>
    <row r="1038" spans="2:24" x14ac:dyDescent="0.2">
      <c r="B1038" s="1655" t="s">
        <v>144</v>
      </c>
      <c r="C1038" s="855">
        <v>44126</v>
      </c>
      <c r="D1038" s="842"/>
      <c r="E1038" s="1036"/>
      <c r="F1038" s="1515"/>
      <c r="G1038" s="950"/>
      <c r="H1038" s="951" t="str">
        <f>IFERROR(VLOOKUP(F1038,#REF!,10,FALSE),"")</f>
        <v/>
      </c>
      <c r="I1038" s="952" t="str">
        <f t="shared" si="108"/>
        <v/>
      </c>
      <c r="J1038" s="953"/>
      <c r="K1038" s="1757"/>
      <c r="L1038" s="1568"/>
      <c r="M1038" s="1591"/>
      <c r="N1038" s="848" t="str">
        <f t="shared" si="112"/>
        <v/>
      </c>
      <c r="O1038" s="955"/>
      <c r="P1038" s="850" t="str">
        <f>IFERROR(VLOOKUP(F1038,#REF!,12,FALSE),"")</f>
        <v/>
      </c>
      <c r="Q1038" s="851" t="s">
        <v>8</v>
      </c>
      <c r="R1038" s="46" t="str">
        <f>IFERROR(VLOOKUP(F1038,#REF!,14,FALSE),"")</f>
        <v/>
      </c>
      <c r="S1038" s="47" t="str">
        <f t="shared" si="110"/>
        <v/>
      </c>
      <c r="U1038" s="1728"/>
      <c r="V1038" s="854">
        <f t="shared" si="111"/>
        <v>0</v>
      </c>
      <c r="W1038" s="1767"/>
      <c r="X1038" s="854"/>
    </row>
    <row r="1039" spans="2:24" ht="16" thickBot="1" x14ac:dyDescent="0.25">
      <c r="B1039" s="1656" t="e">
        <f>SUM(#REF!)</f>
        <v>#REF!</v>
      </c>
      <c r="C1039" s="855">
        <v>44127</v>
      </c>
      <c r="D1039" s="842">
        <v>147</v>
      </c>
      <c r="E1039" s="1036" t="s">
        <v>293</v>
      </c>
      <c r="F1039" s="1515" t="s">
        <v>283</v>
      </c>
      <c r="G1039" s="950">
        <v>3.0682870370370371E-2</v>
      </c>
      <c r="H1039" s="951">
        <v>7.99</v>
      </c>
      <c r="I1039" s="952">
        <f t="shared" si="108"/>
        <v>3.8401589950400965E-3</v>
      </c>
      <c r="J1039" s="953">
        <v>132</v>
      </c>
      <c r="K1039" s="1757"/>
      <c r="L1039" s="1568">
        <v>212</v>
      </c>
      <c r="M1039" s="1591"/>
      <c r="N1039" s="848">
        <f t="shared" si="112"/>
        <v>1.0498421534380662</v>
      </c>
      <c r="O1039" s="955" t="s">
        <v>259</v>
      </c>
      <c r="P1039" s="850" t="str">
        <f>IFERROR(VLOOKUP(F1039,#REF!,12,FALSE),"")</f>
        <v/>
      </c>
      <c r="Q1039" s="851" t="s">
        <v>8</v>
      </c>
      <c r="R1039" s="46" t="str">
        <f>IFERROR(VLOOKUP(F1039,#REF!,14,FALSE),"")</f>
        <v/>
      </c>
      <c r="S1039" s="47">
        <f t="shared" si="110"/>
        <v>1.606060606060606</v>
      </c>
      <c r="U1039" s="1728"/>
      <c r="V1039" s="854">
        <f t="shared" si="111"/>
        <v>0</v>
      </c>
      <c r="W1039" s="1767"/>
      <c r="X1039" s="854"/>
    </row>
    <row r="1040" spans="2:24" x14ac:dyDescent="0.2">
      <c r="B1040" s="1657" t="s">
        <v>256</v>
      </c>
      <c r="C1040" s="855">
        <v>44128</v>
      </c>
      <c r="D1040" s="842"/>
      <c r="E1040" s="1036"/>
      <c r="F1040" s="1515"/>
      <c r="G1040" s="950"/>
      <c r="H1040" s="951" t="str">
        <f>IFERROR(VLOOKUP(F1040,#REF!,10,FALSE),"")</f>
        <v/>
      </c>
      <c r="I1040" s="952" t="str">
        <f t="shared" si="108"/>
        <v/>
      </c>
      <c r="J1040" s="953"/>
      <c r="K1040" s="1757"/>
      <c r="L1040" s="1568"/>
      <c r="M1040" s="1591"/>
      <c r="N1040" s="848" t="str">
        <f t="shared" si="112"/>
        <v/>
      </c>
      <c r="O1040" s="955"/>
      <c r="P1040" s="850" t="str">
        <f>IFERROR(VLOOKUP(F1040,#REF!,12,FALSE),"")</f>
        <v/>
      </c>
      <c r="Q1040" s="851" t="s">
        <v>8</v>
      </c>
      <c r="R1040" s="46" t="str">
        <f>IFERROR(VLOOKUP(F1040,#REF!,14,FALSE),"")</f>
        <v/>
      </c>
      <c r="S1040" s="47" t="str">
        <f t="shared" si="110"/>
        <v/>
      </c>
      <c r="U1040" s="1728"/>
      <c r="V1040" s="854">
        <f t="shared" si="111"/>
        <v>0</v>
      </c>
      <c r="W1040" s="1767"/>
      <c r="X1040" s="854"/>
    </row>
    <row r="1041" spans="2:24" ht="16" thickBot="1" x14ac:dyDescent="0.25">
      <c r="B1041" s="1658" t="e">
        <f>AVERAGE(#REF!)</f>
        <v>#REF!</v>
      </c>
      <c r="C1041" s="1073">
        <v>44129</v>
      </c>
      <c r="D1041" s="1074">
        <v>148</v>
      </c>
      <c r="E1041" s="1075" t="s">
        <v>293</v>
      </c>
      <c r="F1041" s="1517" t="s">
        <v>198</v>
      </c>
      <c r="G1041" s="1076">
        <v>4.2002314814814812E-2</v>
      </c>
      <c r="H1041" s="1077">
        <v>13.61</v>
      </c>
      <c r="I1041" s="1078">
        <f t="shared" si="108"/>
        <v>3.0861362832340054E-3</v>
      </c>
      <c r="J1041" s="1079">
        <v>158</v>
      </c>
      <c r="K1041" s="1757"/>
      <c r="L1041" s="1576">
        <v>256</v>
      </c>
      <c r="M1041" s="1601"/>
      <c r="N1041" s="1080">
        <f t="shared" si="112"/>
        <v>1.0188118920460154</v>
      </c>
      <c r="O1041" s="1081" t="s">
        <v>280</v>
      </c>
      <c r="P1041" s="1082" t="str">
        <f>IFERROR(VLOOKUP(F1041,#REF!,12,FALSE),"")</f>
        <v/>
      </c>
      <c r="Q1041" s="1083" t="s">
        <v>8</v>
      </c>
      <c r="R1041" s="1084" t="str">
        <f>IFERROR(VLOOKUP(F1041,#REF!,14,FALSE),"")</f>
        <v/>
      </c>
      <c r="S1041" s="1085">
        <f t="shared" si="110"/>
        <v>1.620253164556962</v>
      </c>
      <c r="U1041" s="1728"/>
      <c r="V1041" s="1086">
        <f t="shared" si="111"/>
        <v>0</v>
      </c>
      <c r="W1041" s="1768"/>
      <c r="X1041" s="1086"/>
    </row>
    <row r="1042" spans="2:24" ht="16" thickBot="1" x14ac:dyDescent="0.25">
      <c r="B1042" s="1661">
        <f>B1035+1</f>
        <v>44</v>
      </c>
      <c r="C1042" s="1015">
        <v>44130</v>
      </c>
      <c r="D1042" s="946"/>
      <c r="E1042" s="947"/>
      <c r="F1042" s="1518"/>
      <c r="G1042" s="883"/>
      <c r="H1042" s="884" t="str">
        <f>IFERROR(VLOOKUP(F1042,#REF!,10,FALSE),"")</f>
        <v/>
      </c>
      <c r="I1042" s="885" t="str">
        <f t="shared" si="108"/>
        <v/>
      </c>
      <c r="J1042" s="886"/>
      <c r="K1042" s="1757"/>
      <c r="L1042" s="792"/>
      <c r="M1042" s="1595"/>
      <c r="N1042" s="887" t="str">
        <f t="shared" si="112"/>
        <v/>
      </c>
      <c r="O1042" s="888"/>
      <c r="P1042" s="889" t="str">
        <f>IFERROR(VLOOKUP(F1042,#REF!,12,FALSE),"")</f>
        <v/>
      </c>
      <c r="Q1042" s="32" t="s">
        <v>8</v>
      </c>
      <c r="R1042" s="32" t="str">
        <f>IFERROR(VLOOKUP(F1042,#REF!,14,FALSE),"")</f>
        <v/>
      </c>
      <c r="S1042" s="83" t="str">
        <f t="shared" si="110"/>
        <v/>
      </c>
      <c r="U1042" s="1728"/>
      <c r="V1042" s="881">
        <f t="shared" si="111"/>
        <v>0</v>
      </c>
      <c r="W1042" s="1766"/>
      <c r="X1042" s="881"/>
    </row>
    <row r="1043" spans="2:24" x14ac:dyDescent="0.2">
      <c r="B1043" s="1662" t="s">
        <v>142</v>
      </c>
      <c r="C1043" s="1087">
        <v>44131</v>
      </c>
      <c r="D1043" s="1088"/>
      <c r="E1043" s="1089"/>
      <c r="F1043" s="1519"/>
      <c r="G1043" s="1090"/>
      <c r="H1043" s="1091" t="str">
        <f>IFERROR(VLOOKUP(F1043,#REF!,10,FALSE),"")</f>
        <v/>
      </c>
      <c r="I1043" s="1092" t="str">
        <f t="shared" si="108"/>
        <v/>
      </c>
      <c r="J1043" s="1093"/>
      <c r="K1043" s="1757"/>
      <c r="L1043" s="1568"/>
      <c r="M1043" s="1591"/>
      <c r="N1043" s="1094" t="str">
        <f t="shared" si="112"/>
        <v/>
      </c>
      <c r="O1043" s="1095"/>
      <c r="P1043" s="850" t="str">
        <f>IFERROR(VLOOKUP(F1043,#REF!,12,FALSE),"")</f>
        <v/>
      </c>
      <c r="Q1043" s="851" t="s">
        <v>8</v>
      </c>
      <c r="R1043" s="46" t="str">
        <f>IFERROR(VLOOKUP(F1043,#REF!,14,FALSE),"")</f>
        <v/>
      </c>
      <c r="S1043" s="47" t="str">
        <f t="shared" si="110"/>
        <v/>
      </c>
      <c r="U1043" s="1728"/>
      <c r="V1043" s="854">
        <f t="shared" si="111"/>
        <v>0</v>
      </c>
      <c r="W1043" s="1767"/>
      <c r="X1043" s="854"/>
    </row>
    <row r="1044" spans="2:24" ht="16" thickBot="1" x14ac:dyDescent="0.25">
      <c r="B1044" s="1654">
        <f>SUM(H1042:H1048)</f>
        <v>9.6999999999999993</v>
      </c>
      <c r="C1044" s="855">
        <v>44132</v>
      </c>
      <c r="D1044" s="1088"/>
      <c r="E1044" s="1089"/>
      <c r="F1044" s="1519"/>
      <c r="G1044" s="1090"/>
      <c r="H1044" s="1091" t="str">
        <f>IFERROR(VLOOKUP(F1044,#REF!,10,FALSE),"")</f>
        <v/>
      </c>
      <c r="I1044" s="1092" t="str">
        <f t="shared" si="108"/>
        <v/>
      </c>
      <c r="J1044" s="1093"/>
      <c r="K1044" s="1757"/>
      <c r="L1044" s="1568"/>
      <c r="M1044" s="1591"/>
      <c r="N1044" s="1094" t="str">
        <f t="shared" si="112"/>
        <v/>
      </c>
      <c r="O1044" s="1095"/>
      <c r="P1044" s="850" t="str">
        <f>IFERROR(VLOOKUP(F1044,#REF!,12,FALSE),"")</f>
        <v/>
      </c>
      <c r="Q1044" s="851" t="s">
        <v>8</v>
      </c>
      <c r="R1044" s="46" t="str">
        <f>IFERROR(VLOOKUP(F1044,#REF!,14,FALSE),"")</f>
        <v/>
      </c>
      <c r="S1044" s="47" t="str">
        <f t="shared" si="110"/>
        <v/>
      </c>
      <c r="U1044" s="1728"/>
      <c r="V1044" s="854">
        <f t="shared" si="111"/>
        <v>0</v>
      </c>
      <c r="W1044" s="1767"/>
      <c r="X1044" s="854"/>
    </row>
    <row r="1045" spans="2:24" x14ac:dyDescent="0.2">
      <c r="B1045" s="1663" t="s">
        <v>144</v>
      </c>
      <c r="C1045" s="855">
        <v>44133</v>
      </c>
      <c r="D1045" s="1088"/>
      <c r="E1045" s="1089"/>
      <c r="F1045" s="1519"/>
      <c r="G1045" s="1090"/>
      <c r="H1045" s="1091" t="str">
        <f>IFERROR(VLOOKUP(F1045,#REF!,10,FALSE),"")</f>
        <v/>
      </c>
      <c r="I1045" s="1092" t="str">
        <f t="shared" si="108"/>
        <v/>
      </c>
      <c r="J1045" s="1093"/>
      <c r="K1045" s="1757"/>
      <c r="L1045" s="1568"/>
      <c r="M1045" s="1591"/>
      <c r="N1045" s="1094" t="str">
        <f t="shared" si="112"/>
        <v/>
      </c>
      <c r="O1045" s="1095"/>
      <c r="P1045" s="850" t="str">
        <f>IFERROR(VLOOKUP(F1045,#REF!,12,FALSE),"")</f>
        <v/>
      </c>
      <c r="Q1045" s="851" t="s">
        <v>8</v>
      </c>
      <c r="R1045" s="46" t="str">
        <f>IFERROR(VLOOKUP(F1045,#REF!,14,FALSE),"")</f>
        <v/>
      </c>
      <c r="S1045" s="47" t="str">
        <f t="shared" si="110"/>
        <v/>
      </c>
      <c r="U1045" s="1728"/>
      <c r="V1045" s="854">
        <f t="shared" si="111"/>
        <v>0</v>
      </c>
      <c r="W1045" s="1767"/>
      <c r="X1045" s="854"/>
    </row>
    <row r="1046" spans="2:24" ht="16" thickBot="1" x14ac:dyDescent="0.25">
      <c r="B1046" s="1656" t="e">
        <f>SUM(#REF!)</f>
        <v>#REF!</v>
      </c>
      <c r="C1046" s="855">
        <v>44134</v>
      </c>
      <c r="D1046" s="1088"/>
      <c r="E1046" s="1089"/>
      <c r="F1046" s="1519"/>
      <c r="G1046" s="1090"/>
      <c r="H1046" s="1091" t="str">
        <f>IFERROR(VLOOKUP(F1046,#REF!,10,FALSE),"")</f>
        <v/>
      </c>
      <c r="I1046" s="1092" t="str">
        <f t="shared" si="108"/>
        <v/>
      </c>
      <c r="J1046" s="1093"/>
      <c r="K1046" s="1757"/>
      <c r="L1046" s="1568"/>
      <c r="M1046" s="1591"/>
      <c r="N1046" s="1094" t="str">
        <f t="shared" si="112"/>
        <v/>
      </c>
      <c r="O1046" s="1095"/>
      <c r="P1046" s="850" t="str">
        <f>IFERROR(VLOOKUP(F1046,#REF!,12,FALSE),"")</f>
        <v/>
      </c>
      <c r="Q1046" s="851" t="s">
        <v>8</v>
      </c>
      <c r="R1046" s="46" t="str">
        <f>IFERROR(VLOOKUP(F1046,#REF!,14,FALSE),"")</f>
        <v/>
      </c>
      <c r="S1046" s="47" t="str">
        <f t="shared" si="110"/>
        <v/>
      </c>
      <c r="U1046" s="1728"/>
      <c r="V1046" s="854">
        <f t="shared" si="111"/>
        <v>0</v>
      </c>
      <c r="W1046" s="1767"/>
      <c r="X1046" s="854"/>
    </row>
    <row r="1047" spans="2:24" x14ac:dyDescent="0.2">
      <c r="B1047" s="1664" t="s">
        <v>256</v>
      </c>
      <c r="C1047" s="855">
        <v>44135</v>
      </c>
      <c r="D1047" s="1088"/>
      <c r="E1047" s="1089"/>
      <c r="F1047" s="1519"/>
      <c r="G1047" s="1090"/>
      <c r="H1047" s="1091" t="str">
        <f>IFERROR(VLOOKUP(F1047,#REF!,10,FALSE),"")</f>
        <v/>
      </c>
      <c r="I1047" s="1092" t="str">
        <f t="shared" si="108"/>
        <v/>
      </c>
      <c r="J1047" s="1093"/>
      <c r="K1047" s="1757"/>
      <c r="L1047" s="1568"/>
      <c r="M1047" s="1591"/>
      <c r="N1047" s="1094" t="str">
        <f t="shared" si="112"/>
        <v/>
      </c>
      <c r="O1047" s="1095"/>
      <c r="P1047" s="850" t="str">
        <f>IFERROR(VLOOKUP(F1047,#REF!,12,FALSE),"")</f>
        <v/>
      </c>
      <c r="Q1047" s="851" t="s">
        <v>8</v>
      </c>
      <c r="R1047" s="46" t="str">
        <f>IFERROR(VLOOKUP(F1047,#REF!,14,FALSE),"")</f>
        <v/>
      </c>
      <c r="S1047" s="47" t="str">
        <f t="shared" si="110"/>
        <v/>
      </c>
      <c r="U1047" s="1728"/>
      <c r="V1047" s="854">
        <f t="shared" si="111"/>
        <v>0</v>
      </c>
      <c r="W1047" s="1767"/>
      <c r="X1047" s="854"/>
    </row>
    <row r="1048" spans="2:24" ht="16" thickBot="1" x14ac:dyDescent="0.25">
      <c r="B1048" s="1658" t="e">
        <f>AVERAGE(#REF!)</f>
        <v>#REF!</v>
      </c>
      <c r="C1048" s="1096">
        <v>44136</v>
      </c>
      <c r="D1048" s="1097">
        <v>149</v>
      </c>
      <c r="E1048" s="1098" t="s">
        <v>293</v>
      </c>
      <c r="F1048" s="1520" t="s">
        <v>282</v>
      </c>
      <c r="G1048" s="1099">
        <v>3.90625E-2</v>
      </c>
      <c r="H1048" s="1100">
        <v>9.6999999999999993</v>
      </c>
      <c r="I1048" s="1101">
        <f t="shared" si="108"/>
        <v>4.0270618556701035E-3</v>
      </c>
      <c r="J1048" s="1102">
        <v>132</v>
      </c>
      <c r="K1048" s="1757"/>
      <c r="L1048" s="1570">
        <v>204</v>
      </c>
      <c r="M1048" s="1594"/>
      <c r="N1048" s="1103">
        <f t="shared" si="112"/>
        <v>1.0593937528850594</v>
      </c>
      <c r="O1048" s="1104" t="s">
        <v>339</v>
      </c>
      <c r="P1048" s="1105" t="str">
        <f>IFERROR(VLOOKUP(F1048,#REF!,12,FALSE),"")</f>
        <v/>
      </c>
      <c r="Q1048" s="321" t="s">
        <v>8</v>
      </c>
      <c r="R1048" s="321" t="str">
        <f>IFERROR(VLOOKUP(F1048,#REF!,14,FALSE),"")</f>
        <v/>
      </c>
      <c r="S1048" s="1106">
        <f t="shared" si="110"/>
        <v>1.5454545454545454</v>
      </c>
      <c r="U1048" s="1728"/>
      <c r="V1048" s="937">
        <f t="shared" si="111"/>
        <v>0</v>
      </c>
      <c r="W1048" s="1768"/>
      <c r="X1048" s="937"/>
    </row>
    <row r="1049" spans="2:24" ht="16" thickBot="1" x14ac:dyDescent="0.25">
      <c r="B1049" s="1665">
        <f>B1042+1</f>
        <v>45</v>
      </c>
      <c r="C1049" s="1107">
        <v>44137</v>
      </c>
      <c r="D1049" s="1108"/>
      <c r="E1049" s="1109"/>
      <c r="F1049" s="1521"/>
      <c r="G1049" s="789"/>
      <c r="H1049" s="790" t="str">
        <f>IFERROR(VLOOKUP(F1049,#REF!,10,FALSE),"")</f>
        <v/>
      </c>
      <c r="I1049" s="1110" t="str">
        <f t="shared" si="108"/>
        <v/>
      </c>
      <c r="J1049" s="792"/>
      <c r="K1049" s="1757"/>
      <c r="L1049" s="792"/>
      <c r="M1049" s="1595"/>
      <c r="N1049" s="1111" t="str">
        <f t="shared" si="112"/>
        <v/>
      </c>
      <c r="O1049" s="1112"/>
      <c r="P1049" s="1113" t="str">
        <f>IFERROR(VLOOKUP(F1049,#REF!,12,FALSE),"")</f>
        <v/>
      </c>
      <c r="Q1049" s="32" t="s">
        <v>8</v>
      </c>
      <c r="R1049" s="32" t="str">
        <f>IFERROR(VLOOKUP(F1049,#REF!,14,FALSE),"")</f>
        <v/>
      </c>
      <c r="S1049" s="1114" t="str">
        <f t="shared" si="110"/>
        <v/>
      </c>
      <c r="U1049" s="1728"/>
      <c r="V1049" s="914">
        <f t="shared" si="111"/>
        <v>0</v>
      </c>
      <c r="W1049" s="1766"/>
      <c r="X1049" s="914"/>
    </row>
    <row r="1050" spans="2:24" x14ac:dyDescent="0.2">
      <c r="B1050" s="1653" t="s">
        <v>142</v>
      </c>
      <c r="C1050" s="1115">
        <v>44138</v>
      </c>
      <c r="D1050" s="1116"/>
      <c r="E1050" s="1117"/>
      <c r="F1050" s="1522"/>
      <c r="G1050" s="1118"/>
      <c r="H1050" s="1119"/>
      <c r="I1050" s="1120" t="str">
        <f t="shared" si="108"/>
        <v/>
      </c>
      <c r="J1050" s="1121"/>
      <c r="K1050" s="1757"/>
      <c r="L1050" s="1568"/>
      <c r="M1050" s="1591"/>
      <c r="N1050" s="1122" t="str">
        <f t="shared" si="112"/>
        <v/>
      </c>
      <c r="O1050" s="1123"/>
      <c r="P1050" s="1124" t="str">
        <f>IFERROR(VLOOKUP(F1050,#REF!,12,FALSE),"")</f>
        <v/>
      </c>
      <c r="Q1050" s="1125" t="s">
        <v>8</v>
      </c>
      <c r="R1050" s="1125" t="str">
        <f>IFERROR(VLOOKUP(F1050,#REF!,14,FALSE),"")</f>
        <v/>
      </c>
      <c r="S1050" s="1126" t="str">
        <f t="shared" si="110"/>
        <v/>
      </c>
      <c r="U1050" s="1728"/>
      <c r="V1050" s="1127">
        <f t="shared" si="111"/>
        <v>0</v>
      </c>
      <c r="W1050" s="1767"/>
      <c r="X1050" s="1127"/>
    </row>
    <row r="1051" spans="2:24" ht="16" thickBot="1" x14ac:dyDescent="0.25">
      <c r="B1051" s="1654">
        <f>SUM(H1049:H1055)</f>
        <v>32.849999999999994</v>
      </c>
      <c r="C1051" s="1128">
        <v>44139</v>
      </c>
      <c r="D1051" s="1129">
        <v>150</v>
      </c>
      <c r="E1051" s="1130" t="s">
        <v>293</v>
      </c>
      <c r="F1051" s="1522" t="s">
        <v>285</v>
      </c>
      <c r="G1051" s="1118">
        <v>3.7835648148148153E-2</v>
      </c>
      <c r="H1051" s="1119">
        <v>9.52</v>
      </c>
      <c r="I1051" s="1120">
        <f t="shared" si="108"/>
        <v>3.9743327886710249E-3</v>
      </c>
      <c r="J1051" s="1121">
        <v>142</v>
      </c>
      <c r="K1051" s="1757"/>
      <c r="L1051" s="1568">
        <v>207</v>
      </c>
      <c r="M1051" s="1591"/>
      <c r="N1051" s="1122">
        <f t="shared" si="112"/>
        <v>1.0608977172958738</v>
      </c>
      <c r="O1051" s="1123" t="s">
        <v>339</v>
      </c>
      <c r="P1051" s="1124" t="str">
        <f>IFERROR(VLOOKUP(F1051,#REF!,12,FALSE),"")</f>
        <v/>
      </c>
      <c r="Q1051" s="1125" t="s">
        <v>8</v>
      </c>
      <c r="R1051" s="1125" t="str">
        <f>IFERROR(VLOOKUP(F1051,#REF!,14,FALSE),"")</f>
        <v/>
      </c>
      <c r="S1051" s="1126">
        <f t="shared" si="110"/>
        <v>1.4577464788732395</v>
      </c>
      <c r="U1051" s="1728"/>
      <c r="V1051" s="1127">
        <f t="shared" si="111"/>
        <v>0</v>
      </c>
      <c r="W1051" s="1767"/>
      <c r="X1051" s="1127"/>
    </row>
    <row r="1052" spans="2:24" x14ac:dyDescent="0.2">
      <c r="B1052" s="1655" t="s">
        <v>144</v>
      </c>
      <c r="C1052" s="1128">
        <v>44140</v>
      </c>
      <c r="D1052" s="1129">
        <v>151</v>
      </c>
      <c r="E1052" s="1130" t="s">
        <v>293</v>
      </c>
      <c r="F1052" s="1522" t="s">
        <v>285</v>
      </c>
      <c r="G1052" s="1118">
        <v>3.6307870370370372E-2</v>
      </c>
      <c r="H1052" s="1119">
        <v>9.56</v>
      </c>
      <c r="I1052" s="1120">
        <f t="shared" si="108"/>
        <v>3.7978943902061057E-3</v>
      </c>
      <c r="J1052" s="1121">
        <v>139</v>
      </c>
      <c r="K1052" s="1757"/>
      <c r="L1052" s="1568">
        <v>215</v>
      </c>
      <c r="M1052" s="1591"/>
      <c r="N1052" s="1122">
        <f t="shared" si="112"/>
        <v>1.0529803909323674</v>
      </c>
      <c r="O1052" s="1123" t="s">
        <v>339</v>
      </c>
      <c r="P1052" s="1124" t="str">
        <f>IFERROR(VLOOKUP(F1052,#REF!,12,FALSE),"")</f>
        <v/>
      </c>
      <c r="Q1052" s="1125" t="s">
        <v>8</v>
      </c>
      <c r="R1052" s="1125" t="str">
        <f>IFERROR(VLOOKUP(F1052,#REF!,14,FALSE),"")</f>
        <v/>
      </c>
      <c r="S1052" s="1126">
        <f t="shared" si="110"/>
        <v>1.5467625899280575</v>
      </c>
      <c r="U1052" s="1728"/>
      <c r="V1052" s="1127">
        <f t="shared" si="111"/>
        <v>0</v>
      </c>
      <c r="W1052" s="1767"/>
      <c r="X1052" s="1127"/>
    </row>
    <row r="1053" spans="2:24" ht="16" thickBot="1" x14ac:dyDescent="0.25">
      <c r="B1053" s="1656" t="e">
        <f>SUM(#REF!)</f>
        <v>#REF!</v>
      </c>
      <c r="C1053" s="1128">
        <v>44141</v>
      </c>
      <c r="D1053" s="1129"/>
      <c r="E1053" s="1130"/>
      <c r="F1053" s="1523"/>
      <c r="G1053" s="1118"/>
      <c r="H1053" s="1119" t="str">
        <f>IFERROR(VLOOKUP(F1053,#REF!,10,FALSE),"")</f>
        <v/>
      </c>
      <c r="I1053" s="1120" t="str">
        <f t="shared" si="108"/>
        <v/>
      </c>
      <c r="J1053" s="1121"/>
      <c r="K1053" s="1757"/>
      <c r="L1053" s="1568"/>
      <c r="M1053" s="1591"/>
      <c r="N1053" s="1122" t="str">
        <f t="shared" si="112"/>
        <v/>
      </c>
      <c r="O1053" s="1123"/>
      <c r="P1053" s="1124" t="str">
        <f>IFERROR(VLOOKUP(F1053,#REF!,12,FALSE),"")</f>
        <v/>
      </c>
      <c r="Q1053" s="1125" t="s">
        <v>8</v>
      </c>
      <c r="R1053" s="1125" t="str">
        <f>IFERROR(VLOOKUP(F1053,#REF!,14,FALSE),"")</f>
        <v/>
      </c>
      <c r="S1053" s="1126" t="str">
        <f t="shared" si="110"/>
        <v/>
      </c>
      <c r="U1053" s="1728"/>
      <c r="V1053" s="1127">
        <f t="shared" si="111"/>
        <v>0</v>
      </c>
      <c r="W1053" s="1767"/>
      <c r="X1053" s="1127"/>
    </row>
    <row r="1054" spans="2:24" x14ac:dyDescent="0.2">
      <c r="B1054" s="1657" t="s">
        <v>256</v>
      </c>
      <c r="C1054" s="1128">
        <v>44142</v>
      </c>
      <c r="D1054" s="1129">
        <v>152</v>
      </c>
      <c r="E1054" s="1130" t="s">
        <v>293</v>
      </c>
      <c r="F1054" s="1524" t="s">
        <v>297</v>
      </c>
      <c r="G1054" s="1118">
        <v>6.4618055555555554E-2</v>
      </c>
      <c r="H1054" s="1119">
        <v>13.77</v>
      </c>
      <c r="I1054" s="1120">
        <f t="shared" si="108"/>
        <v>4.6926692487694668E-3</v>
      </c>
      <c r="J1054" s="1121">
        <v>147</v>
      </c>
      <c r="K1054" s="1757"/>
      <c r="L1054" s="1568">
        <v>192</v>
      </c>
      <c r="M1054" s="1591">
        <v>504</v>
      </c>
      <c r="N1054" s="1122"/>
      <c r="O1054" s="1123" t="s">
        <v>299</v>
      </c>
      <c r="P1054" s="1124" t="str">
        <f>IFERROR(VLOOKUP(F1054,#REF!,12,FALSE),"")</f>
        <v/>
      </c>
      <c r="Q1054" s="1125" t="s">
        <v>8</v>
      </c>
      <c r="R1054" s="1125" t="str">
        <f>IFERROR(VLOOKUP(F1054,#REF!,14,FALSE),"")</f>
        <v/>
      </c>
      <c r="S1054" s="1126">
        <f t="shared" si="110"/>
        <v>1.3061224489795917</v>
      </c>
      <c r="U1054" s="1728"/>
      <c r="V1054" s="1127">
        <f t="shared" si="111"/>
        <v>0</v>
      </c>
      <c r="W1054" s="1767"/>
      <c r="X1054" s="1127"/>
    </row>
    <row r="1055" spans="2:24" ht="16" thickBot="1" x14ac:dyDescent="0.25">
      <c r="B1055" s="1658" t="e">
        <f>AVERAGE(#REF!)</f>
        <v>#REF!</v>
      </c>
      <c r="C1055" s="1131">
        <v>44143</v>
      </c>
      <c r="D1055" s="1132"/>
      <c r="E1055" s="1133"/>
      <c r="F1055" s="1525"/>
      <c r="G1055" s="1134"/>
      <c r="H1055" s="1135" t="str">
        <f>IFERROR(VLOOKUP(F1055,#REF!,10,FALSE),"")</f>
        <v/>
      </c>
      <c r="I1055" s="1136" t="str">
        <f t="shared" si="108"/>
        <v/>
      </c>
      <c r="J1055" s="1137"/>
      <c r="K1055" s="1757"/>
      <c r="L1055" s="1569"/>
      <c r="M1055" s="1592"/>
      <c r="N1055" s="1138" t="str">
        <f t="shared" ref="N1055:N1086" si="113">IFERROR((L1055/67)/(1/(I1055*24)/3.6),"")</f>
        <v/>
      </c>
      <c r="O1055" s="1139"/>
      <c r="P1055" s="1140" t="str">
        <f>IFERROR(VLOOKUP(F1055,#REF!,12,FALSE),"")</f>
        <v/>
      </c>
      <c r="Q1055" s="1141" t="s">
        <v>8</v>
      </c>
      <c r="R1055" s="1141" t="str">
        <f>IFERROR(VLOOKUP(F1055,#REF!,14,FALSE),"")</f>
        <v/>
      </c>
      <c r="S1055" s="1142" t="str">
        <f t="shared" si="110"/>
        <v/>
      </c>
      <c r="U1055" s="1728"/>
      <c r="V1055" s="1144">
        <f t="shared" si="111"/>
        <v>0</v>
      </c>
      <c r="W1055" s="1768"/>
      <c r="X1055" s="1144"/>
    </row>
    <row r="1056" spans="2:24" ht="16" thickBot="1" x14ac:dyDescent="0.25">
      <c r="B1056" s="1660">
        <f>B1049+1</f>
        <v>46</v>
      </c>
      <c r="C1056" s="69">
        <v>44144</v>
      </c>
      <c r="D1056" s="70"/>
      <c r="E1056" s="71"/>
      <c r="F1056" s="1521"/>
      <c r="G1056" s="559"/>
      <c r="H1056" s="560" t="str">
        <f>IFERROR(VLOOKUP(F1056,#REF!,10,FALSE),"")</f>
        <v/>
      </c>
      <c r="I1056" s="338" t="str">
        <f t="shared" si="108"/>
        <v/>
      </c>
      <c r="J1056" s="270"/>
      <c r="K1056" s="1757"/>
      <c r="L1056" s="270"/>
      <c r="M1056" s="1593"/>
      <c r="N1056" s="77" t="str">
        <f t="shared" si="113"/>
        <v/>
      </c>
      <c r="O1056" s="561"/>
      <c r="P1056" s="224" t="str">
        <f>IFERROR(VLOOKUP(F1056,#REF!,12,FALSE),"")</f>
        <v/>
      </c>
      <c r="Q1056" s="80" t="s">
        <v>8</v>
      </c>
      <c r="R1056" s="80" t="str">
        <f>IFERROR(VLOOKUP(F1056,#REF!,14,FALSE),"")</f>
        <v/>
      </c>
      <c r="S1056" s="83" t="str">
        <f t="shared" si="110"/>
        <v/>
      </c>
      <c r="U1056" s="1728"/>
      <c r="V1056" s="225">
        <f t="shared" si="111"/>
        <v>0</v>
      </c>
      <c r="W1056" s="1766"/>
      <c r="X1056" s="225"/>
    </row>
    <row r="1057" spans="2:24" x14ac:dyDescent="0.2">
      <c r="B1057" s="1653" t="s">
        <v>142</v>
      </c>
      <c r="C1057" s="161">
        <v>44145</v>
      </c>
      <c r="D1057" s="715"/>
      <c r="E1057" s="716"/>
      <c r="F1057" s="1522"/>
      <c r="G1057" s="717"/>
      <c r="H1057" s="718" t="str">
        <f>IFERROR(VLOOKUP(F1057,#REF!,10,FALSE),"")</f>
        <v/>
      </c>
      <c r="I1057" s="781" t="str">
        <f t="shared" si="108"/>
        <v/>
      </c>
      <c r="J1057" s="721"/>
      <c r="K1057" s="1757"/>
      <c r="L1057" s="1568"/>
      <c r="M1057" s="1591"/>
      <c r="N1057" s="722" t="str">
        <f t="shared" si="113"/>
        <v/>
      </c>
      <c r="O1057" s="723"/>
      <c r="P1057" s="654" t="str">
        <f>IFERROR(VLOOKUP(F1057,#REF!,12,FALSE),"")</f>
        <v/>
      </c>
      <c r="Q1057" s="655" t="s">
        <v>8</v>
      </c>
      <c r="R1057" s="46" t="str">
        <f>IFERROR(VLOOKUP(F1057,#REF!,14,FALSE),"")</f>
        <v/>
      </c>
      <c r="S1057" s="47" t="str">
        <f t="shared" si="110"/>
        <v/>
      </c>
      <c r="U1057" s="1728"/>
      <c r="V1057" s="48">
        <f t="shared" si="111"/>
        <v>0</v>
      </c>
      <c r="W1057" s="1767"/>
      <c r="X1057" s="48"/>
    </row>
    <row r="1058" spans="2:24" ht="16" thickBot="1" x14ac:dyDescent="0.25">
      <c r="B1058" s="1654">
        <f>SUM(H1056:H1062)</f>
        <v>31.519999999999996</v>
      </c>
      <c r="C1058" s="161">
        <v>44146</v>
      </c>
      <c r="D1058" s="715">
        <v>153</v>
      </c>
      <c r="E1058" s="716" t="s">
        <v>293</v>
      </c>
      <c r="F1058" s="1522" t="s">
        <v>285</v>
      </c>
      <c r="G1058" s="717">
        <v>3.5856481481481482E-2</v>
      </c>
      <c r="H1058" s="718">
        <v>9.2799999999999994</v>
      </c>
      <c r="I1058" s="781">
        <f t="shared" si="108"/>
        <v>3.8638449872286083E-3</v>
      </c>
      <c r="J1058" s="721">
        <v>137</v>
      </c>
      <c r="K1058" s="1757"/>
      <c r="L1058" s="1568">
        <v>212</v>
      </c>
      <c r="M1058" s="1591"/>
      <c r="N1058" s="722">
        <f t="shared" si="113"/>
        <v>1.0563175501801341</v>
      </c>
      <c r="O1058" s="723" t="s">
        <v>339</v>
      </c>
      <c r="P1058" s="654" t="str">
        <f>IFERROR(VLOOKUP(F1058,#REF!,12,FALSE),"")</f>
        <v/>
      </c>
      <c r="Q1058" s="655" t="s">
        <v>8</v>
      </c>
      <c r="R1058" s="46" t="str">
        <f>IFERROR(VLOOKUP(F1058,#REF!,14,FALSE),"")</f>
        <v/>
      </c>
      <c r="S1058" s="47">
        <f t="shared" si="110"/>
        <v>1.5474452554744527</v>
      </c>
      <c r="U1058" s="1728"/>
      <c r="V1058" s="48">
        <f t="shared" si="111"/>
        <v>0</v>
      </c>
      <c r="W1058" s="1767"/>
      <c r="X1058" s="48"/>
    </row>
    <row r="1059" spans="2:24" x14ac:dyDescent="0.2">
      <c r="B1059" s="1655" t="s">
        <v>144</v>
      </c>
      <c r="C1059" s="161">
        <v>44147</v>
      </c>
      <c r="D1059" s="715"/>
      <c r="E1059" s="716"/>
      <c r="F1059" s="1522"/>
      <c r="G1059" s="717"/>
      <c r="H1059" s="718" t="str">
        <f>IFERROR(VLOOKUP(F1059,#REF!,10,FALSE),"")</f>
        <v/>
      </c>
      <c r="I1059" s="781" t="str">
        <f t="shared" si="108"/>
        <v/>
      </c>
      <c r="J1059" s="721"/>
      <c r="K1059" s="1757"/>
      <c r="L1059" s="1568"/>
      <c r="M1059" s="1591"/>
      <c r="N1059" s="722" t="str">
        <f t="shared" si="113"/>
        <v/>
      </c>
      <c r="O1059" s="723"/>
      <c r="P1059" s="654" t="str">
        <f>IFERROR(VLOOKUP(F1059,#REF!,12,FALSE),"")</f>
        <v/>
      </c>
      <c r="Q1059" s="655" t="s">
        <v>8</v>
      </c>
      <c r="R1059" s="46" t="str">
        <f>IFERROR(VLOOKUP(F1059,#REF!,14,FALSE),"")</f>
        <v/>
      </c>
      <c r="S1059" s="47" t="str">
        <f t="shared" si="110"/>
        <v/>
      </c>
      <c r="U1059" s="1728"/>
      <c r="V1059" s="48">
        <f t="shared" si="111"/>
        <v>0</v>
      </c>
      <c r="W1059" s="1767"/>
      <c r="X1059" s="48"/>
    </row>
    <row r="1060" spans="2:24" ht="16" thickBot="1" x14ac:dyDescent="0.25">
      <c r="B1060" s="1656" t="e">
        <f>SUM(#REF!)</f>
        <v>#REF!</v>
      </c>
      <c r="C1060" s="161">
        <v>44148</v>
      </c>
      <c r="D1060" s="715">
        <v>154</v>
      </c>
      <c r="E1060" s="716" t="s">
        <v>293</v>
      </c>
      <c r="F1060" s="1523" t="s">
        <v>278</v>
      </c>
      <c r="G1060" s="717">
        <v>4.4756944444444446E-2</v>
      </c>
      <c r="H1060" s="718">
        <v>11.66</v>
      </c>
      <c r="I1060" s="781">
        <f t="shared" si="108"/>
        <v>3.8385029540689919E-3</v>
      </c>
      <c r="J1060" s="721">
        <v>138</v>
      </c>
      <c r="K1060" s="1757"/>
      <c r="L1060" s="1568">
        <v>211.4</v>
      </c>
      <c r="M1060" s="1591"/>
      <c r="N1060" s="722">
        <f t="shared" si="113"/>
        <v>1.046419446506746</v>
      </c>
      <c r="O1060" s="723" t="s">
        <v>339</v>
      </c>
      <c r="P1060" s="654" t="str">
        <f>IFERROR(VLOOKUP(F1060,#REF!,12,FALSE),"")</f>
        <v/>
      </c>
      <c r="Q1060" s="655" t="s">
        <v>8</v>
      </c>
      <c r="R1060" s="46" t="str">
        <f>IFERROR(VLOOKUP(F1060,#REF!,14,FALSE),"")</f>
        <v/>
      </c>
      <c r="S1060" s="47">
        <f t="shared" si="110"/>
        <v>1.5318840579710145</v>
      </c>
      <c r="U1060" s="1728"/>
      <c r="V1060" s="48">
        <f t="shared" si="111"/>
        <v>0</v>
      </c>
      <c r="W1060" s="1767"/>
      <c r="X1060" s="48"/>
    </row>
    <row r="1061" spans="2:24" x14ac:dyDescent="0.2">
      <c r="B1061" s="1657" t="s">
        <v>256</v>
      </c>
      <c r="C1061" s="161">
        <v>44149</v>
      </c>
      <c r="D1061" s="715"/>
      <c r="E1061" s="716"/>
      <c r="F1061" s="1523"/>
      <c r="G1061" s="717"/>
      <c r="H1061" s="718" t="str">
        <f>IFERROR(VLOOKUP(F1061,#REF!,10,FALSE),"")</f>
        <v/>
      </c>
      <c r="I1061" s="781" t="str">
        <f t="shared" si="108"/>
        <v/>
      </c>
      <c r="J1061" s="721"/>
      <c r="K1061" s="1757"/>
      <c r="L1061" s="1568"/>
      <c r="M1061" s="1591"/>
      <c r="N1061" s="722" t="str">
        <f t="shared" si="113"/>
        <v/>
      </c>
      <c r="O1061" s="723"/>
      <c r="P1061" s="654" t="str">
        <f>IFERROR(VLOOKUP(F1061,#REF!,12,FALSE),"")</f>
        <v/>
      </c>
      <c r="Q1061" s="655" t="s">
        <v>8</v>
      </c>
      <c r="R1061" s="46" t="str">
        <f>IFERROR(VLOOKUP(F1061,#REF!,14,FALSE),"")</f>
        <v/>
      </c>
      <c r="S1061" s="47" t="str">
        <f t="shared" si="110"/>
        <v/>
      </c>
      <c r="U1061" s="1728"/>
      <c r="V1061" s="48">
        <f t="shared" si="111"/>
        <v>0</v>
      </c>
      <c r="W1061" s="1767"/>
      <c r="X1061" s="48"/>
    </row>
    <row r="1062" spans="2:24" ht="16" thickBot="1" x14ac:dyDescent="0.25">
      <c r="B1062" s="1658" t="e">
        <f>AVERAGE(#REF!)</f>
        <v>#REF!</v>
      </c>
      <c r="C1062" s="1096">
        <v>44150</v>
      </c>
      <c r="D1062" s="1097">
        <v>155</v>
      </c>
      <c r="E1062" s="1098" t="s">
        <v>293</v>
      </c>
      <c r="F1062" s="1525" t="s">
        <v>278</v>
      </c>
      <c r="G1062" s="1099">
        <v>3.8506944444444448E-2</v>
      </c>
      <c r="H1062" s="1100">
        <v>10.58</v>
      </c>
      <c r="I1062" s="1101">
        <f t="shared" si="108"/>
        <v>3.6395977735769799E-3</v>
      </c>
      <c r="J1062" s="1102">
        <v>143</v>
      </c>
      <c r="K1062" s="1757"/>
      <c r="L1062" s="1570">
        <v>222</v>
      </c>
      <c r="M1062" s="1594"/>
      <c r="N1062" s="1103">
        <f t="shared" si="113"/>
        <v>1.0419462235138111</v>
      </c>
      <c r="O1062" s="1104" t="s">
        <v>259</v>
      </c>
      <c r="P1062" s="1105" t="str">
        <f>IFERROR(VLOOKUP(F1062,#REF!,12,FALSE),"")</f>
        <v/>
      </c>
      <c r="Q1062" s="321" t="s">
        <v>8</v>
      </c>
      <c r="R1062" s="321" t="str">
        <f>IFERROR(VLOOKUP(F1062,#REF!,14,FALSE),"")</f>
        <v/>
      </c>
      <c r="S1062" s="1106">
        <f t="shared" si="110"/>
        <v>1.5524475524475525</v>
      </c>
      <c r="U1062" s="1728"/>
      <c r="V1062" s="937">
        <f t="shared" si="111"/>
        <v>0</v>
      </c>
      <c r="W1062" s="1768"/>
      <c r="X1062" s="937"/>
    </row>
    <row r="1063" spans="2:24" ht="16" thickBot="1" x14ac:dyDescent="0.25">
      <c r="B1063" s="1660">
        <f>B1056+1</f>
        <v>47</v>
      </c>
      <c r="C1063" s="1107">
        <v>44151</v>
      </c>
      <c r="D1063" s="1108"/>
      <c r="E1063" s="1109"/>
      <c r="F1063" s="1521"/>
      <c r="G1063" s="789"/>
      <c r="H1063" s="790" t="str">
        <f>IFERROR(VLOOKUP(F1063,#REF!,10,FALSE),"")</f>
        <v/>
      </c>
      <c r="I1063" s="1110" t="str">
        <f t="shared" ref="I1063:I1124" si="114">IFERROR(G1063/H1063,"")</f>
        <v/>
      </c>
      <c r="J1063" s="792"/>
      <c r="K1063" s="1757"/>
      <c r="L1063" s="792"/>
      <c r="M1063" s="1595"/>
      <c r="N1063" s="1111" t="str">
        <f t="shared" si="113"/>
        <v/>
      </c>
      <c r="O1063" s="1112"/>
      <c r="P1063" s="1113" t="str">
        <f>IFERROR(VLOOKUP(F1063,#REF!,12,FALSE),"")</f>
        <v/>
      </c>
      <c r="Q1063" s="32" t="s">
        <v>8</v>
      </c>
      <c r="R1063" s="32" t="str">
        <f>IFERROR(VLOOKUP(F1063,#REF!,14,FALSE),"")</f>
        <v/>
      </c>
      <c r="S1063" s="1114" t="str">
        <f t="shared" si="110"/>
        <v/>
      </c>
      <c r="U1063" s="1728"/>
      <c r="V1063" s="914">
        <f t="shared" si="111"/>
        <v>0</v>
      </c>
      <c r="W1063" s="1766"/>
      <c r="X1063" s="914"/>
    </row>
    <row r="1064" spans="2:24" x14ac:dyDescent="0.2">
      <c r="B1064" s="1653" t="s">
        <v>142</v>
      </c>
      <c r="C1064" s="1115">
        <v>44152</v>
      </c>
      <c r="D1064" s="1116"/>
      <c r="E1064" s="1117"/>
      <c r="F1064" s="1522"/>
      <c r="G1064" s="1118"/>
      <c r="H1064" s="1119" t="str">
        <f>IFERROR(VLOOKUP(F1064,#REF!,10,FALSE),"")</f>
        <v/>
      </c>
      <c r="I1064" s="1120" t="str">
        <f t="shared" si="114"/>
        <v/>
      </c>
      <c r="J1064" s="1121"/>
      <c r="K1064" s="1757"/>
      <c r="L1064" s="1568"/>
      <c r="M1064" s="1591"/>
      <c r="N1064" s="1122" t="str">
        <f t="shared" si="113"/>
        <v/>
      </c>
      <c r="O1064" s="1123"/>
      <c r="P1064" s="1124" t="str">
        <f>IFERROR(VLOOKUP(F1064,#REF!,12,FALSE),"")</f>
        <v/>
      </c>
      <c r="Q1064" s="1125" t="s">
        <v>8</v>
      </c>
      <c r="R1064" s="1125" t="str">
        <f>IFERROR(VLOOKUP(F1064,#REF!,14,FALSE),"")</f>
        <v/>
      </c>
      <c r="S1064" s="1126" t="str">
        <f t="shared" si="110"/>
        <v/>
      </c>
      <c r="U1064" s="1728"/>
      <c r="V1064" s="1127">
        <f t="shared" si="111"/>
        <v>0</v>
      </c>
      <c r="W1064" s="1767"/>
      <c r="X1064" s="1127"/>
    </row>
    <row r="1065" spans="2:24" ht="16" thickBot="1" x14ac:dyDescent="0.25">
      <c r="B1065" s="1654">
        <f>SUM(H1063:H1069)</f>
        <v>32.730000000000004</v>
      </c>
      <c r="C1065" s="1128">
        <v>44153</v>
      </c>
      <c r="D1065" s="1129">
        <v>156</v>
      </c>
      <c r="E1065" s="1130" t="s">
        <v>293</v>
      </c>
      <c r="F1065" s="1522" t="s">
        <v>278</v>
      </c>
      <c r="G1065" s="1118">
        <v>3.8738425925925926E-2</v>
      </c>
      <c r="H1065" s="1119">
        <v>10.69</v>
      </c>
      <c r="I1065" s="1120">
        <f t="shared" si="114"/>
        <v>3.6238003672521917E-3</v>
      </c>
      <c r="J1065" s="1121">
        <v>144</v>
      </c>
      <c r="K1065" s="1757"/>
      <c r="L1065" s="1568">
        <v>224</v>
      </c>
      <c r="M1065" s="1591"/>
      <c r="N1065" s="1122">
        <f t="shared" si="113"/>
        <v>1.0467698923530151</v>
      </c>
      <c r="O1065" s="1123" t="s">
        <v>259</v>
      </c>
      <c r="P1065" s="1124" t="str">
        <f>IFERROR(VLOOKUP(F1065,#REF!,12,FALSE),"")</f>
        <v/>
      </c>
      <c r="Q1065" s="1125" t="s">
        <v>8</v>
      </c>
      <c r="R1065" s="1125" t="str">
        <f>IFERROR(VLOOKUP(F1065,#REF!,14,FALSE),"")</f>
        <v/>
      </c>
      <c r="S1065" s="1126">
        <f t="shared" ref="S1065:S1122" si="115">IFERROR(L1065/J1065,"")</f>
        <v>1.5555555555555556</v>
      </c>
      <c r="U1065" s="1728"/>
      <c r="V1065" s="1127">
        <f t="shared" si="111"/>
        <v>0</v>
      </c>
      <c r="W1065" s="1767"/>
      <c r="X1065" s="1127"/>
    </row>
    <row r="1066" spans="2:24" x14ac:dyDescent="0.2">
      <c r="B1066" s="1655" t="s">
        <v>144</v>
      </c>
      <c r="C1066" s="1128">
        <v>44154</v>
      </c>
      <c r="D1066" s="1129"/>
      <c r="E1066" s="1130"/>
      <c r="F1066" s="1522"/>
      <c r="G1066" s="1118"/>
      <c r="H1066" s="1119" t="str">
        <f>IFERROR(VLOOKUP(F1066,#REF!,10,FALSE),"")</f>
        <v/>
      </c>
      <c r="I1066" s="1120" t="str">
        <f t="shared" si="114"/>
        <v/>
      </c>
      <c r="J1066" s="1121"/>
      <c r="K1066" s="1757"/>
      <c r="L1066" s="1568"/>
      <c r="M1066" s="1591"/>
      <c r="N1066" s="1122" t="str">
        <f t="shared" si="113"/>
        <v/>
      </c>
      <c r="O1066" s="1123"/>
      <c r="P1066" s="1124" t="str">
        <f>IFERROR(VLOOKUP(F1066,#REF!,12,FALSE),"")</f>
        <v/>
      </c>
      <c r="Q1066" s="1125" t="s">
        <v>8</v>
      </c>
      <c r="R1066" s="1125" t="str">
        <f>IFERROR(VLOOKUP(F1066,#REF!,14,FALSE),"")</f>
        <v/>
      </c>
      <c r="S1066" s="1126" t="str">
        <f t="shared" si="115"/>
        <v/>
      </c>
      <c r="U1066" s="1728"/>
      <c r="V1066" s="1127">
        <f t="shared" si="111"/>
        <v>0</v>
      </c>
      <c r="W1066" s="1767"/>
      <c r="X1066" s="1127"/>
    </row>
    <row r="1067" spans="2:24" ht="16" thickBot="1" x14ac:dyDescent="0.25">
      <c r="B1067" s="1656" t="e">
        <f>SUM(#REF!)</f>
        <v>#REF!</v>
      </c>
      <c r="C1067" s="1128">
        <v>44155</v>
      </c>
      <c r="D1067" s="1129">
        <v>157</v>
      </c>
      <c r="E1067" s="1130" t="s">
        <v>292</v>
      </c>
      <c r="F1067" s="1523" t="s">
        <v>278</v>
      </c>
      <c r="G1067" s="1118">
        <v>4.1967592592592591E-2</v>
      </c>
      <c r="H1067" s="1119">
        <v>11.13</v>
      </c>
      <c r="I1067" s="1120">
        <f t="shared" si="114"/>
        <v>3.7706731889121823E-3</v>
      </c>
      <c r="J1067" s="1121">
        <v>147</v>
      </c>
      <c r="K1067" s="1757"/>
      <c r="L1067" s="1568">
        <v>216</v>
      </c>
      <c r="M1067" s="1591"/>
      <c r="N1067" s="1122">
        <f t="shared" si="113"/>
        <v>1.0502956913545478</v>
      </c>
      <c r="O1067" s="1123" t="s">
        <v>259</v>
      </c>
      <c r="P1067" s="1124" t="str">
        <f>IFERROR(VLOOKUP(F1067,#REF!,12,FALSE),"")</f>
        <v/>
      </c>
      <c r="Q1067" s="1125" t="s">
        <v>8</v>
      </c>
      <c r="R1067" s="1125" t="str">
        <f>IFERROR(VLOOKUP(F1067,#REF!,14,FALSE),"")</f>
        <v/>
      </c>
      <c r="S1067" s="1126">
        <f t="shared" si="115"/>
        <v>1.4693877551020409</v>
      </c>
      <c r="U1067" s="1728"/>
      <c r="V1067" s="1127">
        <f t="shared" si="111"/>
        <v>0</v>
      </c>
      <c r="W1067" s="1767"/>
      <c r="X1067" s="1127"/>
    </row>
    <row r="1068" spans="2:24" x14ac:dyDescent="0.2">
      <c r="B1068" s="1657" t="s">
        <v>256</v>
      </c>
      <c r="C1068" s="1128">
        <v>44156</v>
      </c>
      <c r="D1068" s="1129"/>
      <c r="E1068" s="1130"/>
      <c r="F1068" s="1523"/>
      <c r="G1068" s="1118"/>
      <c r="H1068" s="1119" t="str">
        <f>IFERROR(VLOOKUP(F1068,#REF!,10,FALSE),"")</f>
        <v/>
      </c>
      <c r="I1068" s="1120" t="str">
        <f t="shared" si="114"/>
        <v/>
      </c>
      <c r="J1068" s="1121"/>
      <c r="K1068" s="1757"/>
      <c r="L1068" s="1568"/>
      <c r="M1068" s="1591"/>
      <c r="N1068" s="1122" t="str">
        <f t="shared" si="113"/>
        <v/>
      </c>
      <c r="O1068" s="1123"/>
      <c r="P1068" s="1124" t="str">
        <f>IFERROR(VLOOKUP(F1068,#REF!,12,FALSE),"")</f>
        <v/>
      </c>
      <c r="Q1068" s="1125" t="s">
        <v>8</v>
      </c>
      <c r="R1068" s="1125" t="str">
        <f>IFERROR(VLOOKUP(F1068,#REF!,14,FALSE),"")</f>
        <v/>
      </c>
      <c r="S1068" s="1126" t="str">
        <f t="shared" si="115"/>
        <v/>
      </c>
      <c r="U1068" s="1728"/>
      <c r="V1068" s="1127">
        <f t="shared" si="111"/>
        <v>0</v>
      </c>
      <c r="W1068" s="1767"/>
      <c r="X1068" s="1127"/>
    </row>
    <row r="1069" spans="2:24" ht="16" thickBot="1" x14ac:dyDescent="0.25">
      <c r="B1069" s="1658" t="e">
        <f>AVERAGE(#REF!)</f>
        <v>#REF!</v>
      </c>
      <c r="C1069" s="1131">
        <v>44157</v>
      </c>
      <c r="D1069" s="1132">
        <v>158</v>
      </c>
      <c r="E1069" s="1133" t="s">
        <v>293</v>
      </c>
      <c r="F1069" s="1525" t="s">
        <v>278</v>
      </c>
      <c r="G1069" s="1134">
        <v>4.0231481481481479E-2</v>
      </c>
      <c r="H1069" s="1135">
        <v>10.91</v>
      </c>
      <c r="I1069" s="1136">
        <f t="shared" si="114"/>
        <v>3.6875785042604472E-3</v>
      </c>
      <c r="J1069" s="1137">
        <v>140</v>
      </c>
      <c r="K1069" s="1757"/>
      <c r="L1069" s="1569">
        <v>221</v>
      </c>
      <c r="M1069" s="1592"/>
      <c r="N1069" s="1138">
        <f t="shared" si="113"/>
        <v>1.0509268506231446</v>
      </c>
      <c r="O1069" s="1139" t="s">
        <v>259</v>
      </c>
      <c r="P1069" s="1140" t="str">
        <f>IFERROR(VLOOKUP(F1069,#REF!,12,FALSE),"")</f>
        <v/>
      </c>
      <c r="Q1069" s="1141" t="s">
        <v>8</v>
      </c>
      <c r="R1069" s="1141" t="str">
        <f>IFERROR(VLOOKUP(F1069,#REF!,14,FALSE),"")</f>
        <v/>
      </c>
      <c r="S1069" s="1142">
        <f t="shared" si="115"/>
        <v>1.5785714285714285</v>
      </c>
      <c r="U1069" s="1728"/>
      <c r="V1069" s="1144">
        <f t="shared" si="111"/>
        <v>0</v>
      </c>
      <c r="W1069" s="1768"/>
      <c r="X1069" s="1144"/>
    </row>
    <row r="1070" spans="2:24" ht="16" thickBot="1" x14ac:dyDescent="0.25">
      <c r="B1070" s="1660">
        <f>B1063+1</f>
        <v>48</v>
      </c>
      <c r="C1070" s="193">
        <v>44158</v>
      </c>
      <c r="D1070" s="194"/>
      <c r="E1070" s="195"/>
      <c r="F1070" s="1521"/>
      <c r="G1070" s="559"/>
      <c r="H1070" s="560" t="str">
        <f>IFERROR(VLOOKUP(F1070,#REF!,10,FALSE),"")</f>
        <v/>
      </c>
      <c r="I1070" s="338" t="str">
        <f t="shared" si="114"/>
        <v/>
      </c>
      <c r="J1070" s="270"/>
      <c r="K1070" s="1757"/>
      <c r="L1070" s="270"/>
      <c r="M1070" s="1593"/>
      <c r="N1070" s="77" t="str">
        <f t="shared" si="113"/>
        <v/>
      </c>
      <c r="O1070" s="561"/>
      <c r="P1070" s="224" t="str">
        <f>IFERROR(VLOOKUP(F1070,#REF!,12,FALSE),"")</f>
        <v/>
      </c>
      <c r="Q1070" s="80" t="s">
        <v>8</v>
      </c>
      <c r="R1070" s="80" t="str">
        <f>IFERROR(VLOOKUP(F1070,#REF!,14,FALSE),"")</f>
        <v/>
      </c>
      <c r="S1070" s="83" t="str">
        <f t="shared" si="115"/>
        <v/>
      </c>
      <c r="U1070" s="1728"/>
      <c r="V1070" s="225">
        <f t="shared" si="111"/>
        <v>0</v>
      </c>
      <c r="W1070" s="1766"/>
      <c r="X1070" s="225"/>
    </row>
    <row r="1071" spans="2:24" x14ac:dyDescent="0.2">
      <c r="B1071" s="1653" t="s">
        <v>142</v>
      </c>
      <c r="C1071" s="161">
        <v>44159</v>
      </c>
      <c r="D1071" s="715">
        <v>159</v>
      </c>
      <c r="E1071" s="716" t="s">
        <v>293</v>
      </c>
      <c r="F1071" s="1522" t="s">
        <v>305</v>
      </c>
      <c r="G1071" s="717">
        <v>3.7303240740740741E-2</v>
      </c>
      <c r="H1071" s="718">
        <v>10.210000000000001</v>
      </c>
      <c r="I1071" s="781">
        <f t="shared" si="114"/>
        <v>3.6535985054594257E-3</v>
      </c>
      <c r="J1071" s="721">
        <v>144</v>
      </c>
      <c r="K1071" s="1757"/>
      <c r="L1071" s="1568">
        <v>223</v>
      </c>
      <c r="M1071" s="1591"/>
      <c r="N1071" s="722">
        <f t="shared" si="113"/>
        <v>1.0506658675281768</v>
      </c>
      <c r="O1071" s="723" t="s">
        <v>280</v>
      </c>
      <c r="P1071" s="654" t="str">
        <f>IFERROR(VLOOKUP(F1071,#REF!,12,FALSE),"")</f>
        <v/>
      </c>
      <c r="Q1071" s="655" t="s">
        <v>8</v>
      </c>
      <c r="R1071" s="46" t="str">
        <f>IFERROR(VLOOKUP(F1071,#REF!,14,FALSE),"")</f>
        <v/>
      </c>
      <c r="S1071" s="47">
        <f t="shared" si="115"/>
        <v>1.5486111111111112</v>
      </c>
      <c r="U1071" s="1728"/>
      <c r="V1071" s="48">
        <f t="shared" si="111"/>
        <v>0</v>
      </c>
      <c r="W1071" s="1767"/>
      <c r="X1071" s="48"/>
    </row>
    <row r="1072" spans="2:24" ht="16" thickBot="1" x14ac:dyDescent="0.25">
      <c r="B1072" s="1654">
        <f>SUM(H1070:H1076)</f>
        <v>29.320000000000004</v>
      </c>
      <c r="C1072" s="161">
        <v>44160</v>
      </c>
      <c r="D1072" s="715"/>
      <c r="E1072" s="716"/>
      <c r="F1072" s="1522"/>
      <c r="G1072" s="717"/>
      <c r="H1072" s="718" t="str">
        <f>IFERROR(VLOOKUP(F1072,#REF!,10,FALSE),"")</f>
        <v/>
      </c>
      <c r="I1072" s="781" t="str">
        <f t="shared" si="114"/>
        <v/>
      </c>
      <c r="J1072" s="721"/>
      <c r="K1072" s="1757"/>
      <c r="L1072" s="1568"/>
      <c r="M1072" s="1591"/>
      <c r="N1072" s="722" t="str">
        <f t="shared" si="113"/>
        <v/>
      </c>
      <c r="O1072" s="723"/>
      <c r="P1072" s="654" t="str">
        <f>IFERROR(VLOOKUP(F1072,#REF!,12,FALSE),"")</f>
        <v/>
      </c>
      <c r="Q1072" s="655" t="s">
        <v>8</v>
      </c>
      <c r="R1072" s="46" t="str">
        <f>IFERROR(VLOOKUP(F1072,#REF!,14,FALSE),"")</f>
        <v/>
      </c>
      <c r="S1072" s="47" t="str">
        <f t="shared" si="115"/>
        <v/>
      </c>
      <c r="U1072" s="1728"/>
      <c r="V1072" s="48">
        <f t="shared" si="111"/>
        <v>0</v>
      </c>
      <c r="W1072" s="1767"/>
      <c r="X1072" s="48"/>
    </row>
    <row r="1073" spans="2:24" x14ac:dyDescent="0.2">
      <c r="B1073" s="1655" t="s">
        <v>144</v>
      </c>
      <c r="C1073" s="161">
        <v>44161</v>
      </c>
      <c r="D1073" s="715">
        <v>160</v>
      </c>
      <c r="E1073" s="716" t="s">
        <v>293</v>
      </c>
      <c r="F1073" s="1522" t="s">
        <v>285</v>
      </c>
      <c r="G1073" s="717">
        <v>3.30787037037037E-2</v>
      </c>
      <c r="H1073" s="718">
        <v>9.06</v>
      </c>
      <c r="I1073" s="781">
        <f t="shared" si="114"/>
        <v>3.6510710489739183E-3</v>
      </c>
      <c r="J1073" s="721">
        <v>141</v>
      </c>
      <c r="K1073" s="1757"/>
      <c r="L1073" s="1568">
        <v>223</v>
      </c>
      <c r="M1073" s="1591"/>
      <c r="N1073" s="722">
        <f t="shared" si="113"/>
        <v>1.0499390464894074</v>
      </c>
      <c r="O1073" s="723" t="s">
        <v>339</v>
      </c>
      <c r="P1073" s="654" t="str">
        <f>IFERROR(VLOOKUP(F1073,#REF!,12,FALSE),"")</f>
        <v/>
      </c>
      <c r="Q1073" s="655" t="s">
        <v>8</v>
      </c>
      <c r="R1073" s="46" t="str">
        <f>IFERROR(VLOOKUP(F1073,#REF!,14,FALSE),"")</f>
        <v/>
      </c>
      <c r="S1073" s="47">
        <f t="shared" si="115"/>
        <v>1.5815602836879432</v>
      </c>
      <c r="U1073" s="1728"/>
      <c r="V1073" s="48">
        <f t="shared" si="111"/>
        <v>0</v>
      </c>
      <c r="W1073" s="1767"/>
      <c r="X1073" s="48"/>
    </row>
    <row r="1074" spans="2:24" ht="16" thickBot="1" x14ac:dyDescent="0.25">
      <c r="B1074" s="1656" t="e">
        <f>SUM(#REF!)</f>
        <v>#REF!</v>
      </c>
      <c r="C1074" s="161">
        <v>44162</v>
      </c>
      <c r="D1074" s="715"/>
      <c r="E1074" s="716"/>
      <c r="F1074" s="1523"/>
      <c r="G1074" s="717"/>
      <c r="H1074" s="718" t="str">
        <f>IFERROR(VLOOKUP(F1074,#REF!,10,FALSE),"")</f>
        <v/>
      </c>
      <c r="I1074" s="781" t="str">
        <f t="shared" si="114"/>
        <v/>
      </c>
      <c r="J1074" s="721"/>
      <c r="K1074" s="1757"/>
      <c r="L1074" s="1568"/>
      <c r="M1074" s="1591"/>
      <c r="N1074" s="722" t="str">
        <f t="shared" si="113"/>
        <v/>
      </c>
      <c r="O1074" s="723"/>
      <c r="P1074" s="654" t="str">
        <f>IFERROR(VLOOKUP(F1074,#REF!,12,FALSE),"")</f>
        <v/>
      </c>
      <c r="Q1074" s="655" t="s">
        <v>8</v>
      </c>
      <c r="R1074" s="46" t="str">
        <f>IFERROR(VLOOKUP(F1074,#REF!,14,FALSE),"")</f>
        <v/>
      </c>
      <c r="S1074" s="47" t="str">
        <f t="shared" si="115"/>
        <v/>
      </c>
      <c r="U1074" s="1728"/>
      <c r="V1074" s="48">
        <f t="shared" si="111"/>
        <v>0</v>
      </c>
      <c r="W1074" s="1767"/>
      <c r="X1074" s="48"/>
    </row>
    <row r="1075" spans="2:24" x14ac:dyDescent="0.2">
      <c r="B1075" s="1657" t="s">
        <v>256</v>
      </c>
      <c r="C1075" s="161">
        <v>44163</v>
      </c>
      <c r="D1075" s="715">
        <v>161</v>
      </c>
      <c r="E1075" s="716" t="s">
        <v>293</v>
      </c>
      <c r="F1075" s="1523" t="s">
        <v>285</v>
      </c>
      <c r="G1075" s="717">
        <v>3.847222222222222E-2</v>
      </c>
      <c r="H1075" s="718">
        <v>10.050000000000001</v>
      </c>
      <c r="I1075" s="781">
        <f t="shared" si="114"/>
        <v>3.8280818131564394E-3</v>
      </c>
      <c r="J1075" s="721">
        <v>136</v>
      </c>
      <c r="K1075" s="1757"/>
      <c r="L1075" s="1568">
        <v>213</v>
      </c>
      <c r="M1075" s="1591"/>
      <c r="N1075" s="722">
        <f t="shared" si="113"/>
        <v>1.0514769436400089</v>
      </c>
      <c r="O1075" s="723" t="s">
        <v>339</v>
      </c>
      <c r="P1075" s="654" t="str">
        <f>IFERROR(VLOOKUP(F1075,#REF!,12,FALSE),"")</f>
        <v/>
      </c>
      <c r="Q1075" s="655" t="s">
        <v>8</v>
      </c>
      <c r="R1075" s="46" t="str">
        <f>IFERROR(VLOOKUP(F1075,#REF!,14,FALSE),"")</f>
        <v/>
      </c>
      <c r="S1075" s="47">
        <f t="shared" si="115"/>
        <v>1.5661764705882353</v>
      </c>
      <c r="U1075" s="1728"/>
      <c r="V1075" s="48">
        <f t="shared" si="111"/>
        <v>0</v>
      </c>
      <c r="W1075" s="1767"/>
      <c r="X1075" s="48"/>
    </row>
    <row r="1076" spans="2:24" ht="16" thickBot="1" x14ac:dyDescent="0.25">
      <c r="B1076" s="1658" t="e">
        <f>AVERAGE(#REF!)</f>
        <v>#REF!</v>
      </c>
      <c r="C1076" s="1145">
        <v>44164</v>
      </c>
      <c r="D1076" s="1097"/>
      <c r="E1076" s="1098"/>
      <c r="F1076" s="1525"/>
      <c r="G1076" s="1099"/>
      <c r="H1076" s="1100" t="str">
        <f>IFERROR(VLOOKUP(F1076,#REF!,10,FALSE),"")</f>
        <v/>
      </c>
      <c r="I1076" s="1101" t="str">
        <f t="shared" si="114"/>
        <v/>
      </c>
      <c r="J1076" s="1102"/>
      <c r="K1076" s="1757"/>
      <c r="L1076" s="1570"/>
      <c r="M1076" s="1594"/>
      <c r="N1076" s="1103" t="str">
        <f t="shared" si="113"/>
        <v/>
      </c>
      <c r="O1076" s="1104"/>
      <c r="P1076" s="1146" t="str">
        <f>IFERROR(VLOOKUP(F1076,#REF!,12,FALSE),"")</f>
        <v/>
      </c>
      <c r="Q1076" s="106" t="s">
        <v>8</v>
      </c>
      <c r="R1076" s="106" t="str">
        <f>IFERROR(VLOOKUP(F1076,#REF!,14,FALSE),"")</f>
        <v/>
      </c>
      <c r="S1076" s="1106" t="str">
        <f t="shared" si="115"/>
        <v/>
      </c>
      <c r="U1076" s="1728"/>
      <c r="V1076" s="1147">
        <f t="shared" si="111"/>
        <v>0</v>
      </c>
      <c r="W1076" s="1768"/>
      <c r="X1076" s="1147"/>
    </row>
    <row r="1077" spans="2:24" ht="16" thickBot="1" x14ac:dyDescent="0.25">
      <c r="B1077" s="1660">
        <f>B1070+1</f>
        <v>49</v>
      </c>
      <c r="C1077" s="1107">
        <v>44165</v>
      </c>
      <c r="D1077" s="1108">
        <v>162</v>
      </c>
      <c r="E1077" s="1109" t="s">
        <v>293</v>
      </c>
      <c r="F1077" s="1521" t="s">
        <v>285</v>
      </c>
      <c r="G1077" s="883">
        <v>3.5289351851851856E-2</v>
      </c>
      <c r="H1077" s="602">
        <v>9.57</v>
      </c>
      <c r="I1077" s="1110">
        <f t="shared" si="114"/>
        <v>3.6874975811757426E-3</v>
      </c>
      <c r="J1077" s="886">
        <v>139</v>
      </c>
      <c r="K1077" s="1757"/>
      <c r="L1077" s="792">
        <v>221</v>
      </c>
      <c r="M1077" s="1595"/>
      <c r="N1077" s="1111">
        <f t="shared" si="113"/>
        <v>1.0509037882686882</v>
      </c>
      <c r="O1077" s="794" t="s">
        <v>339</v>
      </c>
      <c r="P1077" s="1113" t="str">
        <f>IFERROR(VLOOKUP(F1077,#REF!,12,FALSE),"")</f>
        <v/>
      </c>
      <c r="Q1077" s="32" t="s">
        <v>8</v>
      </c>
      <c r="R1077" s="32" t="str">
        <f>IFERROR(VLOOKUP(F1077,#REF!,14,FALSE),"")</f>
        <v/>
      </c>
      <c r="S1077" s="1148">
        <f t="shared" si="115"/>
        <v>1.5899280575539569</v>
      </c>
      <c r="U1077" s="1728"/>
      <c r="V1077" s="914">
        <f t="shared" si="111"/>
        <v>0</v>
      </c>
      <c r="W1077" s="1766"/>
      <c r="X1077" s="914"/>
    </row>
    <row r="1078" spans="2:24" x14ac:dyDescent="0.2">
      <c r="B1078" s="1653" t="s">
        <v>142</v>
      </c>
      <c r="C1078" s="1115">
        <v>44166</v>
      </c>
      <c r="D1078" s="1116"/>
      <c r="E1078" s="1117"/>
      <c r="F1078" s="1522"/>
      <c r="G1078" s="1118"/>
      <c r="H1078" s="1119" t="str">
        <f>IFERROR(VLOOKUP(F1078,#REF!,10,FALSE),"")</f>
        <v/>
      </c>
      <c r="I1078" s="1120" t="str">
        <f t="shared" si="114"/>
        <v/>
      </c>
      <c r="J1078" s="1121"/>
      <c r="K1078" s="1757"/>
      <c r="L1078" s="1568"/>
      <c r="M1078" s="1591"/>
      <c r="N1078" s="1122" t="str">
        <f t="shared" si="113"/>
        <v/>
      </c>
      <c r="O1078" s="1123"/>
      <c r="P1078" s="1124" t="str">
        <f>IFERROR(VLOOKUP(F1078,#REF!,12,FALSE),"")</f>
        <v/>
      </c>
      <c r="Q1078" s="1125" t="s">
        <v>8</v>
      </c>
      <c r="R1078" s="1125" t="str">
        <f>IFERROR(VLOOKUP(F1078,#REF!,14,FALSE),"")</f>
        <v/>
      </c>
      <c r="S1078" s="1126" t="str">
        <f t="shared" si="115"/>
        <v/>
      </c>
      <c r="U1078" s="1728"/>
      <c r="V1078" s="1127">
        <f t="shared" si="111"/>
        <v>0</v>
      </c>
      <c r="W1078" s="1767"/>
      <c r="X1078" s="1127"/>
    </row>
    <row r="1079" spans="2:24" ht="16" thickBot="1" x14ac:dyDescent="0.25">
      <c r="B1079" s="1654">
        <f>SUM(H1077:H1083)</f>
        <v>39.65</v>
      </c>
      <c r="C1079" s="1128">
        <v>44167</v>
      </c>
      <c r="D1079" s="1129">
        <v>163</v>
      </c>
      <c r="E1079" s="1130" t="s">
        <v>293</v>
      </c>
      <c r="F1079" s="1522" t="s">
        <v>285</v>
      </c>
      <c r="G1079" s="1118">
        <v>3.3564814814814818E-2</v>
      </c>
      <c r="H1079" s="1119">
        <v>9.36</v>
      </c>
      <c r="I1079" s="1120">
        <f t="shared" si="114"/>
        <v>3.5859844887622672E-3</v>
      </c>
      <c r="J1079" s="1121">
        <v>141</v>
      </c>
      <c r="K1079" s="1757"/>
      <c r="L1079" s="1568">
        <v>226</v>
      </c>
      <c r="M1079" s="1591"/>
      <c r="N1079" s="1122">
        <f t="shared" si="113"/>
        <v>1.0450950376323513</v>
      </c>
      <c r="O1079" s="1123" t="s">
        <v>259</v>
      </c>
      <c r="P1079" s="1124" t="str">
        <f>IFERROR(VLOOKUP(F1079,#REF!,12,FALSE),"")</f>
        <v/>
      </c>
      <c r="Q1079" s="1125" t="s">
        <v>8</v>
      </c>
      <c r="R1079" s="1125" t="str">
        <f>IFERROR(VLOOKUP(F1079,#REF!,14,FALSE),"")</f>
        <v/>
      </c>
      <c r="S1079" s="1126">
        <f t="shared" si="115"/>
        <v>1.6028368794326242</v>
      </c>
      <c r="U1079" s="1728"/>
      <c r="V1079" s="1127">
        <f t="shared" si="111"/>
        <v>0</v>
      </c>
      <c r="W1079" s="1767"/>
      <c r="X1079" s="1127"/>
    </row>
    <row r="1080" spans="2:24" x14ac:dyDescent="0.2">
      <c r="B1080" s="1655" t="s">
        <v>144</v>
      </c>
      <c r="C1080" s="1128">
        <v>44168</v>
      </c>
      <c r="D1080" s="1129">
        <v>164</v>
      </c>
      <c r="E1080" s="1130" t="s">
        <v>293</v>
      </c>
      <c r="F1080" s="1522" t="s">
        <v>278</v>
      </c>
      <c r="G1080" s="1118">
        <v>3.1782407407407405E-2</v>
      </c>
      <c r="H1080" s="1119">
        <v>9.09</v>
      </c>
      <c r="I1080" s="1120">
        <f t="shared" si="114"/>
        <v>3.4964144562604407E-3</v>
      </c>
      <c r="J1080" s="1121">
        <v>142</v>
      </c>
      <c r="K1080" s="1757"/>
      <c r="L1080" s="1568">
        <v>230</v>
      </c>
      <c r="M1080" s="1591"/>
      <c r="N1080" s="1122">
        <f t="shared" si="113"/>
        <v>1.0370260906687685</v>
      </c>
      <c r="O1080" s="1123" t="s">
        <v>295</v>
      </c>
      <c r="P1080" s="1124" t="str">
        <f>IFERROR(VLOOKUP(F1080,#REF!,12,FALSE),"")</f>
        <v/>
      </c>
      <c r="Q1080" s="1125" t="s">
        <v>8</v>
      </c>
      <c r="R1080" s="1125" t="str">
        <f>IFERROR(VLOOKUP(F1080,#REF!,14,FALSE),"")</f>
        <v/>
      </c>
      <c r="S1080" s="1126">
        <f t="shared" si="115"/>
        <v>1.619718309859155</v>
      </c>
      <c r="U1080" s="1728"/>
      <c r="V1080" s="1127">
        <f t="shared" si="111"/>
        <v>0</v>
      </c>
      <c r="W1080" s="1767"/>
      <c r="X1080" s="1127"/>
    </row>
    <row r="1081" spans="2:24" ht="16" thickBot="1" x14ac:dyDescent="0.25">
      <c r="B1081" s="1656" t="e">
        <f>SUM(#REF!)</f>
        <v>#REF!</v>
      </c>
      <c r="C1081" s="1128">
        <v>44169</v>
      </c>
      <c r="D1081" s="1129"/>
      <c r="E1081" s="1130"/>
      <c r="F1081" s="1523"/>
      <c r="G1081" s="1118"/>
      <c r="H1081" s="1119" t="str">
        <f>IFERROR(VLOOKUP(F1081,#REF!,10,FALSE),"")</f>
        <v/>
      </c>
      <c r="I1081" s="1120" t="str">
        <f t="shared" si="114"/>
        <v/>
      </c>
      <c r="J1081" s="1121"/>
      <c r="K1081" s="1757"/>
      <c r="L1081" s="1568"/>
      <c r="M1081" s="1591"/>
      <c r="N1081" s="1122" t="str">
        <f t="shared" si="113"/>
        <v/>
      </c>
      <c r="O1081" s="1123"/>
      <c r="P1081" s="1124" t="str">
        <f>IFERROR(VLOOKUP(F1081,#REF!,12,FALSE),"")</f>
        <v/>
      </c>
      <c r="Q1081" s="1125" t="s">
        <v>8</v>
      </c>
      <c r="R1081" s="1125" t="str">
        <f>IFERROR(VLOOKUP(F1081,#REF!,14,FALSE),"")</f>
        <v/>
      </c>
      <c r="S1081" s="1126" t="str">
        <f t="shared" si="115"/>
        <v/>
      </c>
      <c r="U1081" s="1728"/>
      <c r="V1081" s="1127">
        <f t="shared" si="111"/>
        <v>0</v>
      </c>
      <c r="W1081" s="1767"/>
      <c r="X1081" s="1127"/>
    </row>
    <row r="1082" spans="2:24" x14ac:dyDescent="0.2">
      <c r="B1082" s="1657" t="s">
        <v>256</v>
      </c>
      <c r="C1082" s="1128">
        <v>44170</v>
      </c>
      <c r="D1082" s="1129"/>
      <c r="E1082" s="1130"/>
      <c r="F1082" s="1523"/>
      <c r="G1082" s="1118"/>
      <c r="H1082" s="1119" t="str">
        <f>IFERROR(VLOOKUP(F1082,#REF!,10,FALSE),"")</f>
        <v/>
      </c>
      <c r="I1082" s="1120" t="str">
        <f t="shared" si="114"/>
        <v/>
      </c>
      <c r="J1082" s="1121"/>
      <c r="K1082" s="1757"/>
      <c r="L1082" s="1568"/>
      <c r="M1082" s="1591"/>
      <c r="N1082" s="1122" t="str">
        <f t="shared" si="113"/>
        <v/>
      </c>
      <c r="O1082" s="1123"/>
      <c r="P1082" s="1124" t="str">
        <f>IFERROR(VLOOKUP(F1082,#REF!,12,FALSE),"")</f>
        <v/>
      </c>
      <c r="Q1082" s="1125" t="s">
        <v>8</v>
      </c>
      <c r="R1082" s="1125" t="str">
        <f>IFERROR(VLOOKUP(F1082,#REF!,14,FALSE),"")</f>
        <v/>
      </c>
      <c r="S1082" s="1126" t="str">
        <f t="shared" si="115"/>
        <v/>
      </c>
      <c r="U1082" s="1728"/>
      <c r="V1082" s="1127">
        <f t="shared" ref="V1082:V1145" si="116">U1081-T1081</f>
        <v>0</v>
      </c>
      <c r="W1082" s="1767"/>
      <c r="X1082" s="1127"/>
    </row>
    <row r="1083" spans="2:24" ht="16" thickBot="1" x14ac:dyDescent="0.25">
      <c r="B1083" s="1658" t="e">
        <f>AVERAGE(#REF!)</f>
        <v>#REF!</v>
      </c>
      <c r="C1083" s="1131">
        <v>44171</v>
      </c>
      <c r="D1083" s="1132">
        <v>165</v>
      </c>
      <c r="E1083" s="1133" t="s">
        <v>292</v>
      </c>
      <c r="F1083" s="1525" t="s">
        <v>278</v>
      </c>
      <c r="G1083" s="1134">
        <v>4.6817129629629632E-2</v>
      </c>
      <c r="H1083" s="1135">
        <v>11.63</v>
      </c>
      <c r="I1083" s="1136">
        <f t="shared" si="114"/>
        <v>4.0255485494092545E-3</v>
      </c>
      <c r="J1083" s="1137">
        <v>139</v>
      </c>
      <c r="K1083" s="1757"/>
      <c r="L1083" s="1569">
        <v>201</v>
      </c>
      <c r="M1083" s="1592"/>
      <c r="N1083" s="1138">
        <f t="shared" si="113"/>
        <v>1.0434221840068789</v>
      </c>
      <c r="O1083" s="1139" t="s">
        <v>339</v>
      </c>
      <c r="P1083" s="1140" t="str">
        <f>IFERROR(VLOOKUP(F1083,#REF!,12,FALSE),"")</f>
        <v/>
      </c>
      <c r="Q1083" s="1141" t="s">
        <v>8</v>
      </c>
      <c r="R1083" s="1141" t="str">
        <f>IFERROR(VLOOKUP(F1083,#REF!,14,FALSE),"")</f>
        <v/>
      </c>
      <c r="S1083" s="1149">
        <f t="shared" si="115"/>
        <v>1.4460431654676258</v>
      </c>
      <c r="U1083" s="1728"/>
      <c r="V1083" s="1144">
        <f t="shared" si="116"/>
        <v>0</v>
      </c>
      <c r="W1083" s="1768"/>
      <c r="X1083" s="1144"/>
    </row>
    <row r="1084" spans="2:24" ht="16" thickBot="1" x14ac:dyDescent="0.25">
      <c r="B1084" s="1660">
        <f>B1077+1</f>
        <v>50</v>
      </c>
      <c r="C1084" s="193">
        <v>44172</v>
      </c>
      <c r="D1084" s="194"/>
      <c r="E1084" s="195"/>
      <c r="F1084" s="1461"/>
      <c r="G1084" s="559"/>
      <c r="H1084" s="1150" t="str">
        <f>IFERROR(VLOOKUP(F1084,#REF!,10,FALSE),"")</f>
        <v/>
      </c>
      <c r="I1084" s="338" t="str">
        <f t="shared" si="114"/>
        <v/>
      </c>
      <c r="J1084" s="270"/>
      <c r="K1084" s="1757"/>
      <c r="L1084" s="270"/>
      <c r="M1084" s="1593"/>
      <c r="N1084" s="77" t="str">
        <f t="shared" si="113"/>
        <v/>
      </c>
      <c r="O1084" s="561"/>
      <c r="P1084" s="224" t="str">
        <f>IFERROR(VLOOKUP(F1084,#REF!,12,FALSE),"")</f>
        <v/>
      </c>
      <c r="Q1084" s="80" t="s">
        <v>8</v>
      </c>
      <c r="R1084" s="80" t="str">
        <f>IFERROR(VLOOKUP(F1084,#REF!,14,FALSE),"")</f>
        <v/>
      </c>
      <c r="S1084" s="83" t="str">
        <f t="shared" si="115"/>
        <v/>
      </c>
      <c r="U1084" s="1728"/>
      <c r="V1084" s="225">
        <f t="shared" si="116"/>
        <v>0</v>
      </c>
      <c r="W1084" s="1766"/>
      <c r="X1084" s="225"/>
    </row>
    <row r="1085" spans="2:24" x14ac:dyDescent="0.2">
      <c r="B1085" s="1653" t="s">
        <v>142</v>
      </c>
      <c r="C1085" s="161">
        <v>44173</v>
      </c>
      <c r="D1085" s="715">
        <v>166</v>
      </c>
      <c r="E1085" s="716" t="s">
        <v>293</v>
      </c>
      <c r="F1085" s="1522" t="s">
        <v>278</v>
      </c>
      <c r="G1085" s="717">
        <v>3.7534722222222219E-2</v>
      </c>
      <c r="H1085" s="718">
        <v>10.09</v>
      </c>
      <c r="I1085" s="781">
        <f t="shared" si="114"/>
        <v>3.7199922915978414E-3</v>
      </c>
      <c r="J1085" s="721">
        <v>139</v>
      </c>
      <c r="K1085" s="1757"/>
      <c r="L1085" s="1568">
        <v>218</v>
      </c>
      <c r="M1085" s="1591"/>
      <c r="N1085" s="722">
        <f t="shared" si="113"/>
        <v>1.0457731165776667</v>
      </c>
      <c r="O1085" s="723" t="s">
        <v>339</v>
      </c>
      <c r="P1085" s="654" t="str">
        <f>IFERROR(VLOOKUP(F1085,#REF!,12,FALSE),"")</f>
        <v/>
      </c>
      <c r="Q1085" s="655" t="s">
        <v>8</v>
      </c>
      <c r="R1085" s="46" t="str">
        <f>IFERROR(VLOOKUP(F1085,#REF!,14,FALSE),"")</f>
        <v/>
      </c>
      <c r="S1085" s="47">
        <f t="shared" si="115"/>
        <v>1.5683453237410072</v>
      </c>
      <c r="U1085" s="1728"/>
      <c r="V1085" s="48">
        <f t="shared" si="116"/>
        <v>0</v>
      </c>
      <c r="W1085" s="1767"/>
      <c r="X1085" s="48"/>
    </row>
    <row r="1086" spans="2:24" ht="16" thickBot="1" x14ac:dyDescent="0.25">
      <c r="B1086" s="1654">
        <f>SUM(H1084:H1090)</f>
        <v>32.18</v>
      </c>
      <c r="C1086" s="161">
        <v>44174</v>
      </c>
      <c r="D1086" s="715"/>
      <c r="E1086" s="716"/>
      <c r="F1086" s="1522"/>
      <c r="G1086" s="717"/>
      <c r="H1086" s="718" t="str">
        <f>IFERROR(VLOOKUP(F1086,#REF!,10,FALSE),"")</f>
        <v/>
      </c>
      <c r="I1086" s="781" t="str">
        <f t="shared" si="114"/>
        <v/>
      </c>
      <c r="J1086" s="721"/>
      <c r="K1086" s="1757"/>
      <c r="L1086" s="1568"/>
      <c r="M1086" s="1591"/>
      <c r="N1086" s="722" t="str">
        <f t="shared" si="113"/>
        <v/>
      </c>
      <c r="O1086" s="723"/>
      <c r="P1086" s="654" t="str">
        <f>IFERROR(VLOOKUP(F1086,#REF!,12,FALSE),"")</f>
        <v/>
      </c>
      <c r="Q1086" s="655" t="s">
        <v>8</v>
      </c>
      <c r="R1086" s="46" t="str">
        <f>IFERROR(VLOOKUP(F1086,#REF!,14,FALSE),"")</f>
        <v/>
      </c>
      <c r="S1086" s="47" t="str">
        <f t="shared" si="115"/>
        <v/>
      </c>
      <c r="U1086" s="1728"/>
      <c r="V1086" s="48">
        <f t="shared" si="116"/>
        <v>0</v>
      </c>
      <c r="W1086" s="1767"/>
      <c r="X1086" s="48"/>
    </row>
    <row r="1087" spans="2:24" x14ac:dyDescent="0.2">
      <c r="B1087" s="1655" t="s">
        <v>144</v>
      </c>
      <c r="C1087" s="161">
        <v>44175</v>
      </c>
      <c r="D1087" s="715">
        <v>167</v>
      </c>
      <c r="E1087" s="716" t="s">
        <v>293</v>
      </c>
      <c r="F1087" s="1522" t="s">
        <v>285</v>
      </c>
      <c r="G1087" s="717">
        <v>3.4756944444444444E-2</v>
      </c>
      <c r="H1087" s="718">
        <v>9.69</v>
      </c>
      <c r="I1087" s="781">
        <f t="shared" si="114"/>
        <v>3.5868879715628943E-3</v>
      </c>
      <c r="J1087" s="721">
        <v>143</v>
      </c>
      <c r="K1087" s="1757"/>
      <c r="L1087" s="1568">
        <v>225</v>
      </c>
      <c r="M1087" s="1591"/>
      <c r="N1087" s="722">
        <f t="shared" ref="N1087:N1107" si="117">IFERROR((L1087/67)/(1/(I1087*24)/3.6),"")</f>
        <v>1.0407328681669055</v>
      </c>
      <c r="O1087" s="723" t="s">
        <v>259</v>
      </c>
      <c r="P1087" s="654" t="str">
        <f>IFERROR(VLOOKUP(F1087,#REF!,12,FALSE),"")</f>
        <v/>
      </c>
      <c r="Q1087" s="655" t="s">
        <v>8</v>
      </c>
      <c r="R1087" s="46" t="str">
        <f>IFERROR(VLOOKUP(F1087,#REF!,14,FALSE),"")</f>
        <v/>
      </c>
      <c r="S1087" s="47">
        <f t="shared" si="115"/>
        <v>1.5734265734265733</v>
      </c>
      <c r="U1087" s="1728"/>
      <c r="V1087" s="48">
        <f t="shared" si="116"/>
        <v>0</v>
      </c>
      <c r="W1087" s="1767"/>
      <c r="X1087" s="48"/>
    </row>
    <row r="1088" spans="2:24" ht="16" thickBot="1" x14ac:dyDescent="0.25">
      <c r="B1088" s="1656" t="e">
        <f>SUM(#REF!)</f>
        <v>#REF!</v>
      </c>
      <c r="C1088" s="161">
        <v>44176</v>
      </c>
      <c r="D1088" s="715"/>
      <c r="E1088" s="716"/>
      <c r="F1088" s="1523"/>
      <c r="G1088" s="717"/>
      <c r="H1088" s="718" t="str">
        <f>IFERROR(VLOOKUP(F1088,#REF!,10,FALSE),"")</f>
        <v/>
      </c>
      <c r="I1088" s="781" t="str">
        <f t="shared" si="114"/>
        <v/>
      </c>
      <c r="J1088" s="721"/>
      <c r="K1088" s="1757"/>
      <c r="L1088" s="1568"/>
      <c r="M1088" s="1591"/>
      <c r="N1088" s="722" t="str">
        <f t="shared" si="117"/>
        <v/>
      </c>
      <c r="O1088" s="723"/>
      <c r="P1088" s="654" t="str">
        <f>IFERROR(VLOOKUP(F1088,#REF!,12,FALSE),"")</f>
        <v/>
      </c>
      <c r="Q1088" s="655" t="s">
        <v>8</v>
      </c>
      <c r="R1088" s="46" t="str">
        <f>IFERROR(VLOOKUP(F1088,#REF!,14,FALSE),"")</f>
        <v/>
      </c>
      <c r="S1088" s="47" t="str">
        <f t="shared" si="115"/>
        <v/>
      </c>
      <c r="U1088" s="1728"/>
      <c r="V1088" s="48">
        <f t="shared" si="116"/>
        <v>0</v>
      </c>
      <c r="W1088" s="1767"/>
      <c r="X1088" s="48"/>
    </row>
    <row r="1089" spans="2:24" x14ac:dyDescent="0.2">
      <c r="B1089" s="1657" t="s">
        <v>256</v>
      </c>
      <c r="C1089" s="161">
        <v>44177</v>
      </c>
      <c r="D1089" s="715"/>
      <c r="E1089" s="716"/>
      <c r="F1089" s="1523"/>
      <c r="G1089" s="717"/>
      <c r="H1089" s="718" t="str">
        <f>IFERROR(VLOOKUP(F1089,#REF!,10,FALSE),"")</f>
        <v/>
      </c>
      <c r="I1089" s="781" t="str">
        <f t="shared" si="114"/>
        <v/>
      </c>
      <c r="J1089" s="721"/>
      <c r="K1089" s="1757"/>
      <c r="L1089" s="1568"/>
      <c r="M1089" s="1591"/>
      <c r="N1089" s="722" t="str">
        <f t="shared" si="117"/>
        <v/>
      </c>
      <c r="O1089" s="723"/>
      <c r="P1089" s="654" t="str">
        <f>IFERROR(VLOOKUP(F1089,#REF!,12,FALSE),"")</f>
        <v/>
      </c>
      <c r="Q1089" s="655" t="s">
        <v>8</v>
      </c>
      <c r="R1089" s="46" t="str">
        <f>IFERROR(VLOOKUP(F1089,#REF!,14,FALSE),"")</f>
        <v/>
      </c>
      <c r="S1089" s="47" t="str">
        <f t="shared" si="115"/>
        <v/>
      </c>
      <c r="U1089" s="1728"/>
      <c r="V1089" s="48">
        <f t="shared" si="116"/>
        <v>0</v>
      </c>
      <c r="W1089" s="1767"/>
      <c r="X1089" s="48"/>
    </row>
    <row r="1090" spans="2:24" ht="16" thickBot="1" x14ac:dyDescent="0.25">
      <c r="B1090" s="1658" t="e">
        <f>AVERAGE(#REF!)</f>
        <v>#REF!</v>
      </c>
      <c r="C1090" s="1145">
        <v>44178</v>
      </c>
      <c r="D1090" s="1097">
        <v>168</v>
      </c>
      <c r="E1090" s="1098" t="s">
        <v>292</v>
      </c>
      <c r="F1090" s="1520" t="s">
        <v>278</v>
      </c>
      <c r="G1090" s="1099">
        <v>4.8009259259259258E-2</v>
      </c>
      <c r="H1090" s="1100">
        <v>12.4</v>
      </c>
      <c r="I1090" s="1101">
        <f t="shared" si="114"/>
        <v>3.8717144563918757E-3</v>
      </c>
      <c r="J1090" s="1102">
        <v>140</v>
      </c>
      <c r="K1090" s="1757"/>
      <c r="L1090" s="1570">
        <v>208</v>
      </c>
      <c r="M1090" s="1594"/>
      <c r="N1090" s="1103">
        <f t="shared" si="117"/>
        <v>1.0384978334135773</v>
      </c>
      <c r="O1090" s="1104" t="s">
        <v>259</v>
      </c>
      <c r="P1090" s="1146" t="str">
        <f>IFERROR(VLOOKUP(F1090,#REF!,12,FALSE),"")</f>
        <v/>
      </c>
      <c r="Q1090" s="106" t="s">
        <v>8</v>
      </c>
      <c r="R1090" s="106" t="str">
        <f>IFERROR(VLOOKUP(F1090,#REF!,14,FALSE),"")</f>
        <v/>
      </c>
      <c r="S1090" s="1106">
        <f t="shared" si="115"/>
        <v>1.4857142857142858</v>
      </c>
      <c r="U1090" s="1728"/>
      <c r="V1090" s="1147">
        <f t="shared" si="116"/>
        <v>0</v>
      </c>
      <c r="W1090" s="1768"/>
      <c r="X1090" s="1147"/>
    </row>
    <row r="1091" spans="2:24" ht="16" thickBot="1" x14ac:dyDescent="0.25">
      <c r="B1091" s="1660">
        <f>B1084+1</f>
        <v>51</v>
      </c>
      <c r="C1091" s="1107">
        <v>44179</v>
      </c>
      <c r="D1091" s="1151"/>
      <c r="E1091" s="1152"/>
      <c r="F1091" s="1521"/>
      <c r="G1091" s="883"/>
      <c r="H1091" s="602" t="str">
        <f>IFERROR(VLOOKUP(F1091,#REF!,10,FALSE),"")</f>
        <v/>
      </c>
      <c r="I1091" s="1110" t="str">
        <f t="shared" si="114"/>
        <v/>
      </c>
      <c r="J1091" s="886"/>
      <c r="K1091" s="1757"/>
      <c r="L1091" s="792"/>
      <c r="M1091" s="1595"/>
      <c r="N1091" s="1111" t="str">
        <f t="shared" si="117"/>
        <v/>
      </c>
      <c r="O1091" s="794"/>
      <c r="P1091" s="1113" t="str">
        <f>IFERROR(VLOOKUP(F1091,#REF!,12,FALSE),"")</f>
        <v/>
      </c>
      <c r="Q1091" s="32" t="s">
        <v>8</v>
      </c>
      <c r="R1091" s="32" t="str">
        <f>IFERROR(VLOOKUP(F1091,#REF!,14,FALSE),"")</f>
        <v/>
      </c>
      <c r="S1091" s="1148" t="str">
        <f t="shared" si="115"/>
        <v/>
      </c>
      <c r="U1091" s="1728"/>
      <c r="V1091" s="914">
        <f t="shared" si="116"/>
        <v>0</v>
      </c>
      <c r="W1091" s="1766"/>
      <c r="X1091" s="914"/>
    </row>
    <row r="1092" spans="2:24" x14ac:dyDescent="0.2">
      <c r="B1092" s="1653" t="s">
        <v>142</v>
      </c>
      <c r="C1092" s="1115">
        <v>44180</v>
      </c>
      <c r="D1092" s="1116">
        <v>169</v>
      </c>
      <c r="E1092" s="1117" t="s">
        <v>293</v>
      </c>
      <c r="F1092" s="1522" t="s">
        <v>305</v>
      </c>
      <c r="G1092" s="1118">
        <v>3.9502314814814816E-2</v>
      </c>
      <c r="H1092" s="1119">
        <v>10.5</v>
      </c>
      <c r="I1092" s="1120">
        <f t="shared" si="114"/>
        <v>3.762125220458554E-3</v>
      </c>
      <c r="J1092" s="1121">
        <v>145</v>
      </c>
      <c r="K1092" s="1757"/>
      <c r="L1092" s="1568">
        <v>216</v>
      </c>
      <c r="M1092" s="1591"/>
      <c r="N1092" s="1122">
        <f t="shared" si="117"/>
        <v>1.0479147121535182</v>
      </c>
      <c r="O1092" s="1123" t="s">
        <v>259</v>
      </c>
      <c r="P1092" s="1124" t="str">
        <f>IFERROR(VLOOKUP(F1092,#REF!,12,FALSE),"")</f>
        <v/>
      </c>
      <c r="Q1092" s="1125" t="s">
        <v>8</v>
      </c>
      <c r="R1092" s="1125" t="str">
        <f>IFERROR(VLOOKUP(F1092,#REF!,14,FALSE),"")</f>
        <v/>
      </c>
      <c r="S1092" s="1126">
        <f t="shared" si="115"/>
        <v>1.4896551724137932</v>
      </c>
      <c r="U1092" s="1728"/>
      <c r="V1092" s="1127">
        <f t="shared" si="116"/>
        <v>0</v>
      </c>
      <c r="W1092" s="1767"/>
      <c r="X1092" s="1127"/>
    </row>
    <row r="1093" spans="2:24" ht="16" thickBot="1" x14ac:dyDescent="0.25">
      <c r="B1093" s="1654">
        <f>SUM(H1091:H1097)</f>
        <v>30</v>
      </c>
      <c r="C1093" s="1128">
        <v>44181</v>
      </c>
      <c r="D1093" s="1129"/>
      <c r="E1093" s="1130"/>
      <c r="F1093" s="1522"/>
      <c r="G1093" s="1118"/>
      <c r="H1093" s="1119"/>
      <c r="I1093" s="1120" t="str">
        <f t="shared" si="114"/>
        <v/>
      </c>
      <c r="J1093" s="1121"/>
      <c r="K1093" s="1757"/>
      <c r="L1093" s="1568"/>
      <c r="M1093" s="1591"/>
      <c r="N1093" s="1122" t="str">
        <f t="shared" si="117"/>
        <v/>
      </c>
      <c r="O1093" s="1123"/>
      <c r="P1093" s="1124" t="str">
        <f>IFERROR(VLOOKUP(F1093,#REF!,12,FALSE),"")</f>
        <v/>
      </c>
      <c r="Q1093" s="1125" t="s">
        <v>8</v>
      </c>
      <c r="R1093" s="1125" t="str">
        <f>IFERROR(VLOOKUP(F1093,#REF!,14,FALSE),"")</f>
        <v/>
      </c>
      <c r="S1093" s="1126" t="str">
        <f t="shared" si="115"/>
        <v/>
      </c>
      <c r="U1093" s="1728"/>
      <c r="V1093" s="1127">
        <f t="shared" si="116"/>
        <v>0</v>
      </c>
      <c r="W1093" s="1767"/>
      <c r="X1093" s="1127"/>
    </row>
    <row r="1094" spans="2:24" x14ac:dyDescent="0.2">
      <c r="B1094" s="1655" t="s">
        <v>144</v>
      </c>
      <c r="C1094" s="1128">
        <v>44182</v>
      </c>
      <c r="D1094" s="1129">
        <v>170</v>
      </c>
      <c r="E1094" s="1130" t="s">
        <v>293</v>
      </c>
      <c r="F1094" s="1522" t="s">
        <v>285</v>
      </c>
      <c r="G1094" s="1118">
        <v>3.4490740740740738E-2</v>
      </c>
      <c r="H1094" s="1119">
        <v>9.09</v>
      </c>
      <c r="I1094" s="1120">
        <f t="shared" si="114"/>
        <v>3.7943609175732384E-3</v>
      </c>
      <c r="J1094" s="1121">
        <v>140</v>
      </c>
      <c r="K1094" s="1757"/>
      <c r="L1094" s="1568">
        <v>214</v>
      </c>
      <c r="M1094" s="1591"/>
      <c r="N1094" s="1122">
        <f t="shared" si="117"/>
        <v>1.0471076958442112</v>
      </c>
      <c r="O1094" s="1123" t="s">
        <v>339</v>
      </c>
      <c r="P1094" s="1124" t="str">
        <f>IFERROR(VLOOKUP(F1094,#REF!,12,FALSE),"")</f>
        <v/>
      </c>
      <c r="Q1094" s="1125" t="s">
        <v>8</v>
      </c>
      <c r="R1094" s="1125" t="str">
        <f>IFERROR(VLOOKUP(F1094,#REF!,14,FALSE),"")</f>
        <v/>
      </c>
      <c r="S1094" s="1126">
        <f t="shared" si="115"/>
        <v>1.5285714285714285</v>
      </c>
      <c r="U1094" s="1728"/>
      <c r="V1094" s="1127">
        <f t="shared" si="116"/>
        <v>0</v>
      </c>
      <c r="W1094" s="1767"/>
      <c r="X1094" s="1127"/>
    </row>
    <row r="1095" spans="2:24" ht="16" thickBot="1" x14ac:dyDescent="0.25">
      <c r="B1095" s="1656" t="e">
        <f>SUM(#REF!)</f>
        <v>#REF!</v>
      </c>
      <c r="C1095" s="1128">
        <v>44183</v>
      </c>
      <c r="D1095" s="1129"/>
      <c r="E1095" s="1130"/>
      <c r="F1095" s="1523"/>
      <c r="G1095" s="1118"/>
      <c r="H1095" s="1119" t="str">
        <f>IFERROR(VLOOKUP(F1095,#REF!,10,FALSE),"")</f>
        <v/>
      </c>
      <c r="I1095" s="1120" t="str">
        <f t="shared" si="114"/>
        <v/>
      </c>
      <c r="J1095" s="1121"/>
      <c r="K1095" s="1757"/>
      <c r="L1095" s="1568"/>
      <c r="M1095" s="1591"/>
      <c r="N1095" s="1122" t="str">
        <f t="shared" si="117"/>
        <v/>
      </c>
      <c r="O1095" s="1123"/>
      <c r="P1095" s="1124" t="str">
        <f>IFERROR(VLOOKUP(F1095,#REF!,12,FALSE),"")</f>
        <v/>
      </c>
      <c r="Q1095" s="1125" t="s">
        <v>8</v>
      </c>
      <c r="R1095" s="1125" t="str">
        <f>IFERROR(VLOOKUP(F1095,#REF!,14,FALSE),"")</f>
        <v/>
      </c>
      <c r="S1095" s="1126" t="str">
        <f t="shared" si="115"/>
        <v/>
      </c>
      <c r="U1095" s="1728"/>
      <c r="V1095" s="1127">
        <f t="shared" si="116"/>
        <v>0</v>
      </c>
      <c r="W1095" s="1767"/>
      <c r="X1095" s="1127"/>
    </row>
    <row r="1096" spans="2:24" x14ac:dyDescent="0.2">
      <c r="B1096" s="1657" t="s">
        <v>256</v>
      </c>
      <c r="C1096" s="1128">
        <v>44184</v>
      </c>
      <c r="D1096" s="1129">
        <v>171</v>
      </c>
      <c r="E1096" s="1130" t="s">
        <v>293</v>
      </c>
      <c r="F1096" s="1523" t="s">
        <v>278</v>
      </c>
      <c r="G1096" s="1118">
        <v>3.7962962962962962E-2</v>
      </c>
      <c r="H1096" s="1119">
        <v>10.41</v>
      </c>
      <c r="I1096" s="1120">
        <f t="shared" si="114"/>
        <v>3.6467783826093143E-3</v>
      </c>
      <c r="J1096" s="1121">
        <v>141</v>
      </c>
      <c r="K1096" s="1757"/>
      <c r="L1096" s="1568">
        <v>221</v>
      </c>
      <c r="M1096" s="1591"/>
      <c r="N1096" s="1122">
        <f t="shared" si="117"/>
        <v>1.0392991813267953</v>
      </c>
      <c r="O1096" s="1123" t="s">
        <v>339</v>
      </c>
      <c r="P1096" s="1124" t="str">
        <f>IFERROR(VLOOKUP(F1096,#REF!,12,FALSE),"")</f>
        <v/>
      </c>
      <c r="Q1096" s="1125" t="s">
        <v>8</v>
      </c>
      <c r="R1096" s="1125" t="str">
        <f>IFERROR(VLOOKUP(F1096,#REF!,14,FALSE),"")</f>
        <v/>
      </c>
      <c r="S1096" s="1126">
        <f t="shared" si="115"/>
        <v>1.5673758865248226</v>
      </c>
      <c r="U1096" s="1728"/>
      <c r="V1096" s="1127">
        <f t="shared" si="116"/>
        <v>0</v>
      </c>
      <c r="W1096" s="1767"/>
      <c r="X1096" s="1127"/>
    </row>
    <row r="1097" spans="2:24" ht="16" thickBot="1" x14ac:dyDescent="0.25">
      <c r="B1097" s="1658" t="e">
        <f>AVERAGE(#REF!)</f>
        <v>#REF!</v>
      </c>
      <c r="C1097" s="1131">
        <v>44185</v>
      </c>
      <c r="D1097" s="1132"/>
      <c r="E1097" s="1133"/>
      <c r="F1097" s="1525"/>
      <c r="G1097" s="1134"/>
      <c r="H1097" s="1135" t="str">
        <f>IFERROR(VLOOKUP(F1097,#REF!,10,FALSE),"")</f>
        <v/>
      </c>
      <c r="I1097" s="1136" t="str">
        <f t="shared" si="114"/>
        <v/>
      </c>
      <c r="J1097" s="1137"/>
      <c r="K1097" s="1757"/>
      <c r="L1097" s="1569"/>
      <c r="M1097" s="1592"/>
      <c r="N1097" s="1138" t="str">
        <f t="shared" si="117"/>
        <v/>
      </c>
      <c r="O1097" s="1139"/>
      <c r="P1097" s="1140" t="str">
        <f>IFERROR(VLOOKUP(F1097,#REF!,12,FALSE),"")</f>
        <v/>
      </c>
      <c r="Q1097" s="1141" t="s">
        <v>8</v>
      </c>
      <c r="R1097" s="1141" t="str">
        <f>IFERROR(VLOOKUP(F1097,#REF!,14,FALSE),"")</f>
        <v/>
      </c>
      <c r="S1097" s="1149" t="str">
        <f t="shared" si="115"/>
        <v/>
      </c>
      <c r="U1097" s="1728"/>
      <c r="V1097" s="1144">
        <f t="shared" si="116"/>
        <v>0</v>
      </c>
      <c r="W1097" s="1768"/>
      <c r="X1097" s="1144"/>
    </row>
    <row r="1098" spans="2:24" ht="16" thickBot="1" x14ac:dyDescent="0.25">
      <c r="B1098" s="1660">
        <f>B1091+1</f>
        <v>52</v>
      </c>
      <c r="C1098" s="193">
        <v>44186</v>
      </c>
      <c r="D1098" s="194">
        <v>172</v>
      </c>
      <c r="E1098" s="195" t="s">
        <v>293</v>
      </c>
      <c r="F1098" s="1461" t="s">
        <v>278</v>
      </c>
      <c r="G1098" s="559">
        <v>3.6608796296296299E-2</v>
      </c>
      <c r="H1098" s="1150">
        <v>9.93</v>
      </c>
      <c r="I1098" s="338">
        <f t="shared" si="114"/>
        <v>3.6866864346723365E-3</v>
      </c>
      <c r="J1098" s="270">
        <v>141</v>
      </c>
      <c r="K1098" s="1757"/>
      <c r="L1098" s="270">
        <v>219</v>
      </c>
      <c r="M1098" s="1593"/>
      <c r="N1098" s="77">
        <f t="shared" si="117"/>
        <v>1.0411642692880014</v>
      </c>
      <c r="O1098" s="561" t="s">
        <v>339</v>
      </c>
      <c r="P1098" s="224" t="str">
        <f>IFERROR(VLOOKUP(F1098,#REF!,12,FALSE),"")</f>
        <v/>
      </c>
      <c r="Q1098" s="80" t="s">
        <v>8</v>
      </c>
      <c r="R1098" s="80" t="str">
        <f>IFERROR(VLOOKUP(F1098,#REF!,14,FALSE),"")</f>
        <v/>
      </c>
      <c r="S1098" s="83">
        <f t="shared" si="115"/>
        <v>1.553191489361702</v>
      </c>
      <c r="U1098" s="1728"/>
      <c r="V1098" s="225">
        <f t="shared" si="116"/>
        <v>0</v>
      </c>
      <c r="W1098" s="1766"/>
      <c r="X1098" s="225"/>
    </row>
    <row r="1099" spans="2:24" x14ac:dyDescent="0.2">
      <c r="B1099" s="1653" t="s">
        <v>142</v>
      </c>
      <c r="C1099" s="161">
        <v>44187</v>
      </c>
      <c r="D1099" s="715"/>
      <c r="E1099" s="716"/>
      <c r="F1099" s="1522"/>
      <c r="G1099" s="717"/>
      <c r="H1099" s="718" t="str">
        <f>IFERROR(VLOOKUP(F1099,#REF!,10,FALSE),"")</f>
        <v/>
      </c>
      <c r="I1099" s="781" t="str">
        <f t="shared" si="114"/>
        <v/>
      </c>
      <c r="J1099" s="721"/>
      <c r="K1099" s="1757"/>
      <c r="L1099" s="1568"/>
      <c r="M1099" s="1591"/>
      <c r="N1099" s="722" t="str">
        <f t="shared" si="117"/>
        <v/>
      </c>
      <c r="O1099" s="723"/>
      <c r="P1099" s="654" t="str">
        <f>IFERROR(VLOOKUP(F1099,#REF!,12,FALSE),"")</f>
        <v/>
      </c>
      <c r="Q1099" s="655" t="s">
        <v>8</v>
      </c>
      <c r="R1099" s="46" t="str">
        <f>IFERROR(VLOOKUP(F1099,#REF!,14,FALSE),"")</f>
        <v/>
      </c>
      <c r="S1099" s="47" t="str">
        <f t="shared" si="115"/>
        <v/>
      </c>
      <c r="U1099" s="1728"/>
      <c r="V1099" s="48">
        <f t="shared" si="116"/>
        <v>0</v>
      </c>
      <c r="W1099" s="1767"/>
      <c r="X1099" s="48"/>
    </row>
    <row r="1100" spans="2:24" ht="16" thickBot="1" x14ac:dyDescent="0.25">
      <c r="B1100" s="1654">
        <f>SUM(H1098:H1104)</f>
        <v>42.85</v>
      </c>
      <c r="C1100" s="161">
        <v>44188</v>
      </c>
      <c r="D1100" s="715">
        <v>173</v>
      </c>
      <c r="E1100" s="716" t="s">
        <v>292</v>
      </c>
      <c r="F1100" s="1522" t="s">
        <v>278</v>
      </c>
      <c r="G1100" s="717">
        <v>4.614583333333333E-2</v>
      </c>
      <c r="H1100" s="718">
        <v>11.72</v>
      </c>
      <c r="I1100" s="781">
        <f t="shared" si="114"/>
        <v>3.9373577929465295E-3</v>
      </c>
      <c r="J1100" s="721">
        <v>144</v>
      </c>
      <c r="K1100" s="1757"/>
      <c r="L1100" s="1568">
        <v>206</v>
      </c>
      <c r="M1100" s="1591"/>
      <c r="N1100" s="722">
        <f t="shared" si="117"/>
        <v>1.045950282716112</v>
      </c>
      <c r="O1100" s="723" t="s">
        <v>339</v>
      </c>
      <c r="P1100" s="654" t="str">
        <f>IFERROR(VLOOKUP(F1100,#REF!,12,FALSE),"")</f>
        <v/>
      </c>
      <c r="Q1100" s="655" t="s">
        <v>8</v>
      </c>
      <c r="R1100" s="46" t="str">
        <f>IFERROR(VLOOKUP(F1100,#REF!,14,FALSE),"")</f>
        <v/>
      </c>
      <c r="S1100" s="47">
        <f t="shared" si="115"/>
        <v>1.4305555555555556</v>
      </c>
      <c r="U1100" s="1728"/>
      <c r="V1100" s="48">
        <f t="shared" si="116"/>
        <v>0</v>
      </c>
      <c r="W1100" s="1767"/>
      <c r="X1100" s="48"/>
    </row>
    <row r="1101" spans="2:24" x14ac:dyDescent="0.2">
      <c r="B1101" s="1655" t="s">
        <v>144</v>
      </c>
      <c r="C1101" s="161">
        <v>44189</v>
      </c>
      <c r="D1101" s="715"/>
      <c r="E1101" s="716"/>
      <c r="F1101" s="1522"/>
      <c r="G1101" s="717"/>
      <c r="H1101" s="718" t="str">
        <f>IFERROR(VLOOKUP(F1101,#REF!,10,FALSE),"")</f>
        <v/>
      </c>
      <c r="I1101" s="781" t="str">
        <f t="shared" si="114"/>
        <v/>
      </c>
      <c r="J1101" s="721"/>
      <c r="K1101" s="1757"/>
      <c r="L1101" s="1568"/>
      <c r="M1101" s="1591"/>
      <c r="N1101" s="722" t="str">
        <f t="shared" si="117"/>
        <v/>
      </c>
      <c r="O1101" s="723"/>
      <c r="P1101" s="654" t="str">
        <f>IFERROR(VLOOKUP(F1101,#REF!,12,FALSE),"")</f>
        <v/>
      </c>
      <c r="Q1101" s="655" t="s">
        <v>8</v>
      </c>
      <c r="R1101" s="46" t="str">
        <f>IFERROR(VLOOKUP(F1101,#REF!,14,FALSE),"")</f>
        <v/>
      </c>
      <c r="S1101" s="47" t="str">
        <f t="shared" si="115"/>
        <v/>
      </c>
      <c r="U1101" s="1728"/>
      <c r="V1101" s="48">
        <f t="shared" si="116"/>
        <v>0</v>
      </c>
      <c r="W1101" s="1767"/>
      <c r="X1101" s="48"/>
    </row>
    <row r="1102" spans="2:24" ht="16" thickBot="1" x14ac:dyDescent="0.25">
      <c r="B1102" s="1656" t="e">
        <f>SUM(#REF!)</f>
        <v>#REF!</v>
      </c>
      <c r="C1102" s="161">
        <v>44190</v>
      </c>
      <c r="D1102" s="715">
        <v>174</v>
      </c>
      <c r="E1102" s="716" t="s">
        <v>292</v>
      </c>
      <c r="F1102" s="1523" t="s">
        <v>285</v>
      </c>
      <c r="G1102" s="717">
        <v>3.953703703703703E-2</v>
      </c>
      <c r="H1102" s="718">
        <v>10.1</v>
      </c>
      <c r="I1102" s="781">
        <f t="shared" si="114"/>
        <v>3.9145581224789144E-3</v>
      </c>
      <c r="J1102" s="721">
        <v>140</v>
      </c>
      <c r="K1102" s="1757"/>
      <c r="L1102" s="1568">
        <v>206</v>
      </c>
      <c r="M1102" s="1591"/>
      <c r="N1102" s="722">
        <f t="shared" si="117"/>
        <v>1.0398936013004285</v>
      </c>
      <c r="O1102" s="723" t="s">
        <v>339</v>
      </c>
      <c r="P1102" s="654" t="str">
        <f>IFERROR(VLOOKUP(F1102,#REF!,12,FALSE),"")</f>
        <v/>
      </c>
      <c r="Q1102" s="655" t="s">
        <v>8</v>
      </c>
      <c r="R1102" s="46" t="str">
        <f>IFERROR(VLOOKUP(F1102,#REF!,14,FALSE),"")</f>
        <v/>
      </c>
      <c r="S1102" s="47">
        <f t="shared" si="115"/>
        <v>1.4714285714285715</v>
      </c>
      <c r="U1102" s="1728"/>
      <c r="V1102" s="48">
        <f t="shared" si="116"/>
        <v>0</v>
      </c>
      <c r="W1102" s="1767"/>
      <c r="X1102" s="48"/>
    </row>
    <row r="1103" spans="2:24" x14ac:dyDescent="0.2">
      <c r="B1103" s="1657" t="s">
        <v>256</v>
      </c>
      <c r="C1103" s="161">
        <v>44191</v>
      </c>
      <c r="D1103" s="715"/>
      <c r="E1103" s="716"/>
      <c r="F1103" s="1523"/>
      <c r="G1103" s="717"/>
      <c r="H1103" s="718" t="str">
        <f>IFERROR(VLOOKUP(F1103,#REF!,10,FALSE),"")</f>
        <v/>
      </c>
      <c r="I1103" s="781" t="str">
        <f t="shared" si="114"/>
        <v/>
      </c>
      <c r="J1103" s="721"/>
      <c r="K1103" s="1757"/>
      <c r="L1103" s="1568"/>
      <c r="M1103" s="1591"/>
      <c r="N1103" s="722" t="str">
        <f t="shared" si="117"/>
        <v/>
      </c>
      <c r="O1103" s="723"/>
      <c r="P1103" s="654" t="str">
        <f>IFERROR(VLOOKUP(F1103,#REF!,12,FALSE),"")</f>
        <v/>
      </c>
      <c r="Q1103" s="655" t="s">
        <v>8</v>
      </c>
      <c r="R1103" s="46" t="str">
        <f>IFERROR(VLOOKUP(F1103,#REF!,14,FALSE),"")</f>
        <v/>
      </c>
      <c r="S1103" s="47" t="str">
        <f t="shared" si="115"/>
        <v/>
      </c>
      <c r="U1103" s="1728"/>
      <c r="V1103" s="48">
        <f t="shared" si="116"/>
        <v>0</v>
      </c>
      <c r="W1103" s="1767"/>
      <c r="X1103" s="48"/>
    </row>
    <row r="1104" spans="2:24" ht="16" thickBot="1" x14ac:dyDescent="0.25">
      <c r="B1104" s="1658" t="e">
        <f>AVERAGE(#REF!)</f>
        <v>#REF!</v>
      </c>
      <c r="C1104" s="1145">
        <v>44192</v>
      </c>
      <c r="D1104" s="1097">
        <v>175</v>
      </c>
      <c r="E1104" s="1098" t="s">
        <v>292</v>
      </c>
      <c r="F1104" s="1520" t="s">
        <v>278</v>
      </c>
      <c r="G1104" s="1099">
        <v>4.2569444444444444E-2</v>
      </c>
      <c r="H1104" s="1100">
        <v>11.1</v>
      </c>
      <c r="I1104" s="1101">
        <f t="shared" si="114"/>
        <v>3.835085085085085E-3</v>
      </c>
      <c r="J1104" s="1102">
        <v>137</v>
      </c>
      <c r="K1104" s="1757"/>
      <c r="L1104" s="1570">
        <v>210</v>
      </c>
      <c r="M1104" s="1594"/>
      <c r="N1104" s="1103">
        <f t="shared" si="117"/>
        <v>1.0385639370713999</v>
      </c>
      <c r="O1104" s="1104" t="s">
        <v>259</v>
      </c>
      <c r="P1104" s="1146" t="str">
        <f>IFERROR(VLOOKUP(F1104,#REF!,12,FALSE),"")</f>
        <v/>
      </c>
      <c r="Q1104" s="106" t="s">
        <v>8</v>
      </c>
      <c r="R1104" s="106" t="str">
        <f>IFERROR(VLOOKUP(F1104,#REF!,14,FALSE),"")</f>
        <v/>
      </c>
      <c r="S1104" s="1106">
        <f t="shared" si="115"/>
        <v>1.5328467153284671</v>
      </c>
      <c r="U1104" s="1728"/>
      <c r="V1104" s="1147">
        <f t="shared" si="116"/>
        <v>0</v>
      </c>
      <c r="W1104" s="1768"/>
      <c r="X1104" s="1147"/>
    </row>
    <row r="1105" spans="2:24" ht="16" thickBot="1" x14ac:dyDescent="0.25">
      <c r="B1105" s="1660">
        <v>53</v>
      </c>
      <c r="C1105" s="1107">
        <v>44193</v>
      </c>
      <c r="D1105" s="1151"/>
      <c r="E1105" s="1152"/>
      <c r="F1105" s="1521"/>
      <c r="G1105" s="883"/>
      <c r="H1105" s="602" t="str">
        <f>IFERROR(VLOOKUP(F1105,#REF!,10,FALSE),"")</f>
        <v/>
      </c>
      <c r="I1105" s="1110" t="str">
        <f t="shared" si="114"/>
        <v/>
      </c>
      <c r="J1105" s="886"/>
      <c r="K1105" s="1757"/>
      <c r="L1105" s="792"/>
      <c r="M1105" s="1595"/>
      <c r="N1105" s="1111" t="str">
        <f t="shared" si="117"/>
        <v/>
      </c>
      <c r="O1105" s="794"/>
      <c r="P1105" s="1113" t="str">
        <f>IFERROR(VLOOKUP(F1105,#REF!,12,FALSE),"")</f>
        <v/>
      </c>
      <c r="Q1105" s="32" t="s">
        <v>8</v>
      </c>
      <c r="R1105" s="32" t="str">
        <f>IFERROR(VLOOKUP(F1105,#REF!,14,FALSE),"")</f>
        <v/>
      </c>
      <c r="S1105" s="1148" t="str">
        <f t="shared" si="115"/>
        <v/>
      </c>
      <c r="U1105" s="1728"/>
      <c r="V1105" s="914">
        <f t="shared" si="116"/>
        <v>0</v>
      </c>
      <c r="W1105" s="1766"/>
      <c r="X1105" s="914"/>
    </row>
    <row r="1106" spans="2:24" x14ac:dyDescent="0.2">
      <c r="B1106" s="1653" t="s">
        <v>142</v>
      </c>
      <c r="C1106" s="1115">
        <v>44194</v>
      </c>
      <c r="D1106" s="1116">
        <v>176</v>
      </c>
      <c r="E1106" s="1117" t="s">
        <v>292</v>
      </c>
      <c r="F1106" s="1523" t="s">
        <v>278</v>
      </c>
      <c r="G1106" s="1118">
        <v>4.3518518518518519E-2</v>
      </c>
      <c r="H1106" s="1119">
        <v>11.1</v>
      </c>
      <c r="I1106" s="1120">
        <f t="shared" si="114"/>
        <v>3.9205872539205874E-3</v>
      </c>
      <c r="J1106" s="1121">
        <v>136</v>
      </c>
      <c r="K1106" s="1757"/>
      <c r="L1106" s="1568">
        <v>205</v>
      </c>
      <c r="M1106" s="1591"/>
      <c r="N1106" s="1122">
        <f t="shared" si="117"/>
        <v>1.0364394244991262</v>
      </c>
      <c r="O1106" s="1123" t="s">
        <v>259</v>
      </c>
      <c r="P1106" s="1124" t="str">
        <f>IFERROR(VLOOKUP(F1106,#REF!,12,FALSE),"")</f>
        <v/>
      </c>
      <c r="Q1106" s="1125" t="s">
        <v>8</v>
      </c>
      <c r="R1106" s="1125" t="str">
        <f>IFERROR(VLOOKUP(F1106,#REF!,14,FALSE),"")</f>
        <v/>
      </c>
      <c r="S1106" s="1126">
        <f t="shared" si="115"/>
        <v>1.5073529411764706</v>
      </c>
      <c r="U1106" s="1728"/>
      <c r="V1106" s="1127">
        <f t="shared" si="116"/>
        <v>0</v>
      </c>
      <c r="W1106" s="1767"/>
      <c r="X1106" s="1127"/>
    </row>
    <row r="1107" spans="2:24" ht="16" thickBot="1" x14ac:dyDescent="0.25">
      <c r="B1107" s="1654">
        <f>SUM(H1105:H1111)</f>
        <v>39.519999999999996</v>
      </c>
      <c r="C1107" s="1128">
        <v>44195</v>
      </c>
      <c r="D1107" s="1129"/>
      <c r="E1107" s="1130"/>
      <c r="F1107" s="1522"/>
      <c r="G1107" s="1118"/>
      <c r="H1107" s="1119" t="str">
        <f>IFERROR(VLOOKUP(F1107,#REF!,10,FALSE),"")</f>
        <v/>
      </c>
      <c r="I1107" s="1120" t="str">
        <f t="shared" si="114"/>
        <v/>
      </c>
      <c r="J1107" s="1121"/>
      <c r="K1107" s="1757"/>
      <c r="L1107" s="1568"/>
      <c r="M1107" s="1591"/>
      <c r="N1107" s="1122" t="str">
        <f t="shared" si="117"/>
        <v/>
      </c>
      <c r="O1107" s="1123"/>
      <c r="P1107" s="1124" t="str">
        <f>IFERROR(VLOOKUP(F1107,#REF!,12,FALSE),"")</f>
        <v/>
      </c>
      <c r="Q1107" s="1125" t="s">
        <v>8</v>
      </c>
      <c r="R1107" s="1125" t="str">
        <f>IFERROR(VLOOKUP(F1107,#REF!,14,FALSE),"")</f>
        <v/>
      </c>
      <c r="S1107" s="1126" t="str">
        <f t="shared" si="115"/>
        <v/>
      </c>
      <c r="U1107" s="1728"/>
      <c r="V1107" s="1127">
        <f t="shared" si="116"/>
        <v>0</v>
      </c>
      <c r="W1107" s="1767"/>
      <c r="X1107" s="1127"/>
    </row>
    <row r="1108" spans="2:24" ht="16" thickBot="1" x14ac:dyDescent="0.25">
      <c r="B1108" s="1655" t="s">
        <v>144</v>
      </c>
      <c r="C1108" s="1153">
        <v>44196</v>
      </c>
      <c r="D1108" s="798">
        <v>177</v>
      </c>
      <c r="E1108" s="799" t="s">
        <v>293</v>
      </c>
      <c r="F1108" s="1526" t="s">
        <v>307</v>
      </c>
      <c r="G1108" s="1154">
        <v>3.6805555555555557E-2</v>
      </c>
      <c r="H1108" s="1155">
        <v>7.62</v>
      </c>
      <c r="I1108" s="1156">
        <f t="shared" si="114"/>
        <v>4.8301254009915431E-3</v>
      </c>
      <c r="J1108" s="1157">
        <v>150</v>
      </c>
      <c r="K1108" s="1757"/>
      <c r="L1108" s="1575">
        <v>204</v>
      </c>
      <c r="M1108" s="1600">
        <v>401</v>
      </c>
      <c r="N1108" s="800"/>
      <c r="O1108" s="1158" t="s">
        <v>299</v>
      </c>
      <c r="P1108" s="1159" t="str">
        <f>IFERROR(VLOOKUP(F1108,#REF!,12,FALSE),"")</f>
        <v/>
      </c>
      <c r="Q1108" s="1160" t="s">
        <v>8</v>
      </c>
      <c r="R1108" s="1160" t="str">
        <f>IFERROR(VLOOKUP(F1108,#REF!,14,FALSE),"")</f>
        <v/>
      </c>
      <c r="S1108" s="801">
        <f t="shared" si="115"/>
        <v>1.36</v>
      </c>
      <c r="U1108" s="1728"/>
      <c r="V1108" s="1161">
        <f t="shared" si="116"/>
        <v>0</v>
      </c>
      <c r="W1108" s="1767"/>
      <c r="X1108" s="1161"/>
    </row>
    <row r="1109" spans="2:24" ht="17" thickTop="1" thickBot="1" x14ac:dyDescent="0.25">
      <c r="B1109" s="1656" t="e">
        <f>SUM(#REF!)</f>
        <v>#REF!</v>
      </c>
      <c r="C1109" s="193">
        <v>44197</v>
      </c>
      <c r="D1109" s="70"/>
      <c r="E1109" s="71"/>
      <c r="F1109" s="1461"/>
      <c r="G1109" s="559"/>
      <c r="H1109" s="1150" t="str">
        <f>IFERROR(VLOOKUP(F1109,#REF!,10,FALSE),"")</f>
        <v/>
      </c>
      <c r="I1109" s="338" t="str">
        <f t="shared" si="114"/>
        <v/>
      </c>
      <c r="J1109" s="270"/>
      <c r="K1109" s="1757"/>
      <c r="L1109" s="270"/>
      <c r="M1109" s="1593"/>
      <c r="N1109" s="77" t="str">
        <f t="shared" ref="N1109:N1122" si="118">IFERROR((L1109/67)/(1/(I1109*24)/3.6),"")</f>
        <v/>
      </c>
      <c r="O1109" s="561"/>
      <c r="P1109" s="224" t="str">
        <f>IFERROR(VLOOKUP(F1109,#REF!,12,FALSE),"")</f>
        <v/>
      </c>
      <c r="Q1109" s="80" t="s">
        <v>8</v>
      </c>
      <c r="R1109" s="80" t="str">
        <f>IFERROR(VLOOKUP(F1109,#REF!,14,FALSE),"")</f>
        <v/>
      </c>
      <c r="S1109" s="83" t="str">
        <f t="shared" si="115"/>
        <v/>
      </c>
      <c r="U1109" s="1728"/>
      <c r="V1109" s="225">
        <f t="shared" si="116"/>
        <v>0</v>
      </c>
      <c r="W1109" s="1767"/>
      <c r="X1109" s="225"/>
    </row>
    <row r="1110" spans="2:24" x14ac:dyDescent="0.2">
      <c r="B1110" s="1657" t="s">
        <v>256</v>
      </c>
      <c r="C1110" s="1128">
        <v>44198</v>
      </c>
      <c r="D1110" s="1129">
        <v>1</v>
      </c>
      <c r="E1110" s="1130" t="s">
        <v>293</v>
      </c>
      <c r="F1110" s="1523" t="s">
        <v>278</v>
      </c>
      <c r="G1110" s="1118">
        <v>3.7627314814814815E-2</v>
      </c>
      <c r="H1110" s="1119">
        <v>10.1</v>
      </c>
      <c r="I1110" s="1120">
        <f t="shared" si="114"/>
        <v>3.7254767143381005E-3</v>
      </c>
      <c r="J1110" s="1121">
        <v>137</v>
      </c>
      <c r="K1110" s="1757"/>
      <c r="L1110" s="1568">
        <v>217</v>
      </c>
      <c r="M1110" s="1591">
        <v>38</v>
      </c>
      <c r="N1110" s="1122">
        <f t="shared" si="118"/>
        <v>1.0425107137579428</v>
      </c>
      <c r="O1110" s="1123" t="s">
        <v>339</v>
      </c>
      <c r="P1110" s="1124" t="str">
        <f>IFERROR(VLOOKUP(F1110,#REF!,12,FALSE),"")</f>
        <v/>
      </c>
      <c r="Q1110" s="1125" t="s">
        <v>8</v>
      </c>
      <c r="R1110" s="1125" t="str">
        <f>IFERROR(VLOOKUP(F1110,#REF!,14,FALSE),"")</f>
        <v/>
      </c>
      <c r="S1110" s="1126">
        <f t="shared" si="115"/>
        <v>1.583941605839416</v>
      </c>
      <c r="U1110" s="1728"/>
      <c r="V1110" s="1127">
        <f t="shared" si="116"/>
        <v>0</v>
      </c>
      <c r="W1110" s="1767"/>
      <c r="X1110" s="1127"/>
    </row>
    <row r="1111" spans="2:24" ht="16" thickBot="1" x14ac:dyDescent="0.25">
      <c r="B1111" s="1658" t="e">
        <f>AVERAGE(#REF!)</f>
        <v>#REF!</v>
      </c>
      <c r="C1111" s="1131">
        <v>44199</v>
      </c>
      <c r="D1111" s="1132">
        <v>2</v>
      </c>
      <c r="E1111" s="1133" t="s">
        <v>293</v>
      </c>
      <c r="F1111" s="1525" t="s">
        <v>308</v>
      </c>
      <c r="G1111" s="1134">
        <v>4.0937500000000002E-2</v>
      </c>
      <c r="H1111" s="1135">
        <v>10.7</v>
      </c>
      <c r="I1111" s="1136">
        <f t="shared" si="114"/>
        <v>3.8259345794392527E-3</v>
      </c>
      <c r="J1111" s="1137">
        <v>137</v>
      </c>
      <c r="K1111" s="1757"/>
      <c r="L1111" s="1569">
        <v>212</v>
      </c>
      <c r="M1111" s="1592">
        <v>27</v>
      </c>
      <c r="N1111" s="1138">
        <f t="shared" si="118"/>
        <v>1.0459534105175059</v>
      </c>
      <c r="O1111" s="1139" t="s">
        <v>339</v>
      </c>
      <c r="P1111" s="1140" t="str">
        <f>IFERROR(VLOOKUP(F1111,#REF!,12,FALSE),"")</f>
        <v/>
      </c>
      <c r="Q1111" s="1141" t="s">
        <v>8</v>
      </c>
      <c r="R1111" s="1141" t="str">
        <f>IFERROR(VLOOKUP(F1111,#REF!,14,FALSE),"")</f>
        <v/>
      </c>
      <c r="S1111" s="1162">
        <f t="shared" si="115"/>
        <v>1.5474452554744527</v>
      </c>
      <c r="U1111" s="1728"/>
      <c r="V1111" s="1144">
        <f t="shared" si="116"/>
        <v>0</v>
      </c>
      <c r="W1111" s="1768"/>
      <c r="X1111" s="1144"/>
    </row>
    <row r="1112" spans="2:24" ht="16" thickBot="1" x14ac:dyDescent="0.25">
      <c r="B1112" s="1660">
        <v>1</v>
      </c>
      <c r="C1112" s="1015">
        <v>44200</v>
      </c>
      <c r="D1112" s="1163"/>
      <c r="E1112" s="1164"/>
      <c r="F1112" s="1494"/>
      <c r="G1112" s="883"/>
      <c r="H1112" s="884" t="str">
        <f>IFERROR(VLOOKUP(F1112,#REF!,10,FALSE),"")</f>
        <v/>
      </c>
      <c r="I1112" s="1165" t="str">
        <f t="shared" si="114"/>
        <v/>
      </c>
      <c r="J1112" s="886"/>
      <c r="K1112" s="1757"/>
      <c r="L1112" s="792"/>
      <c r="M1112" s="1595"/>
      <c r="N1112" s="1166" t="str">
        <f t="shared" si="118"/>
        <v/>
      </c>
      <c r="O1112" s="888"/>
      <c r="P1112" s="889" t="str">
        <f>IFERROR(VLOOKUP(F1112,#REF!,12,FALSE),"")</f>
        <v/>
      </c>
      <c r="Q1112" s="32" t="s">
        <v>8</v>
      </c>
      <c r="R1112" s="32" t="str">
        <f>IFERROR(VLOOKUP(F1112,#REF!,14,FALSE),"")</f>
        <v/>
      </c>
      <c r="S1112" s="33" t="str">
        <f t="shared" si="115"/>
        <v/>
      </c>
      <c r="U1112" s="1728"/>
      <c r="V1112" s="881">
        <f t="shared" si="116"/>
        <v>0</v>
      </c>
      <c r="W1112" s="1766"/>
      <c r="X1112" s="881"/>
    </row>
    <row r="1113" spans="2:24" x14ac:dyDescent="0.2">
      <c r="B1113" s="1653" t="s">
        <v>142</v>
      </c>
      <c r="C1113" s="906">
        <v>44201</v>
      </c>
      <c r="D1113" s="864">
        <v>3</v>
      </c>
      <c r="E1113" s="865" t="s">
        <v>292</v>
      </c>
      <c r="F1113" s="1527" t="s">
        <v>277</v>
      </c>
      <c r="G1113" s="1167">
        <v>4.2407407407407401E-2</v>
      </c>
      <c r="H1113" s="1168">
        <v>11.4</v>
      </c>
      <c r="I1113" s="1169">
        <f t="shared" si="114"/>
        <v>3.7199480181936313E-3</v>
      </c>
      <c r="J1113" s="1170">
        <v>141</v>
      </c>
      <c r="K1113" s="1757"/>
      <c r="L1113" s="1568">
        <v>215</v>
      </c>
      <c r="M1113" s="1591">
        <v>29</v>
      </c>
      <c r="N1113" s="1171">
        <f t="shared" si="118"/>
        <v>1.0313694684472374</v>
      </c>
      <c r="O1113" s="1172" t="s">
        <v>259</v>
      </c>
      <c r="P1113" s="1173" t="str">
        <f>IFERROR(VLOOKUP(F1113,#REF!,12,FALSE),"")</f>
        <v/>
      </c>
      <c r="Q1113" s="1174" t="s">
        <v>8</v>
      </c>
      <c r="R1113" s="1174" t="str">
        <f>IFERROR(VLOOKUP(F1113,#REF!,14,FALSE),"")</f>
        <v/>
      </c>
      <c r="S1113" s="1175">
        <f t="shared" si="115"/>
        <v>1.5248226950354611</v>
      </c>
      <c r="U1113" s="1728"/>
      <c r="V1113" s="1176">
        <f t="shared" si="116"/>
        <v>0</v>
      </c>
      <c r="W1113" s="1767"/>
      <c r="X1113" s="1176"/>
    </row>
    <row r="1114" spans="2:24" ht="16" thickBot="1" x14ac:dyDescent="0.25">
      <c r="B1114" s="1654">
        <f>SUM(H1112:H1118)</f>
        <v>44.13</v>
      </c>
      <c r="C1114" s="1177">
        <v>44202</v>
      </c>
      <c r="D1114" s="1178"/>
      <c r="E1114" s="1179"/>
      <c r="F1114" s="1527"/>
      <c r="G1114" s="1167"/>
      <c r="H1114" s="1168" t="str">
        <f>IFERROR(VLOOKUP(F1114,#REF!,10,FALSE),"")</f>
        <v/>
      </c>
      <c r="I1114" s="1180" t="str">
        <f t="shared" si="114"/>
        <v/>
      </c>
      <c r="J1114" s="1170"/>
      <c r="K1114" s="1757"/>
      <c r="L1114" s="1568"/>
      <c r="M1114" s="1591"/>
      <c r="N1114" s="1171" t="str">
        <f t="shared" si="118"/>
        <v/>
      </c>
      <c r="O1114" s="1172"/>
      <c r="P1114" s="1173" t="str">
        <f>IFERROR(VLOOKUP(F1114,#REF!,12,FALSE),"")</f>
        <v/>
      </c>
      <c r="Q1114" s="1174" t="s">
        <v>8</v>
      </c>
      <c r="R1114" s="1174" t="str">
        <f>IFERROR(VLOOKUP(F1114,#REF!,14,FALSE),"")</f>
        <v/>
      </c>
      <c r="S1114" s="1175" t="str">
        <f t="shared" si="115"/>
        <v/>
      </c>
      <c r="U1114" s="1728"/>
      <c r="V1114" s="1176">
        <f t="shared" si="116"/>
        <v>0</v>
      </c>
      <c r="W1114" s="1767"/>
      <c r="X1114" s="1176"/>
    </row>
    <row r="1115" spans="2:24" x14ac:dyDescent="0.2">
      <c r="B1115" s="1655" t="s">
        <v>144</v>
      </c>
      <c r="C1115" s="1177">
        <v>44203</v>
      </c>
      <c r="D1115" s="1178">
        <v>4</v>
      </c>
      <c r="E1115" s="1179" t="s">
        <v>293</v>
      </c>
      <c r="F1115" s="1527" t="s">
        <v>278</v>
      </c>
      <c r="G1115" s="1167">
        <v>3.6793981481481483E-2</v>
      </c>
      <c r="H1115" s="1168">
        <v>10.199999999999999</v>
      </c>
      <c r="I1115" s="1180">
        <f t="shared" si="114"/>
        <v>3.6072530864197537E-3</v>
      </c>
      <c r="J1115" s="1170">
        <v>141</v>
      </c>
      <c r="K1115" s="1757"/>
      <c r="L1115" s="1568">
        <v>224</v>
      </c>
      <c r="M1115" s="1591">
        <v>40</v>
      </c>
      <c r="N1115" s="1171">
        <f t="shared" si="118"/>
        <v>1.041990049751244</v>
      </c>
      <c r="O1115" s="1172" t="s">
        <v>259</v>
      </c>
      <c r="P1115" s="1173" t="str">
        <f>IFERROR(VLOOKUP(F1115,#REF!,12,FALSE),"")</f>
        <v/>
      </c>
      <c r="Q1115" s="1174" t="s">
        <v>8</v>
      </c>
      <c r="R1115" s="1174" t="str">
        <f>IFERROR(VLOOKUP(F1115,#REF!,14,FALSE),"")</f>
        <v/>
      </c>
      <c r="S1115" s="1175">
        <f t="shared" si="115"/>
        <v>1.5886524822695036</v>
      </c>
      <c r="U1115" s="1728"/>
      <c r="V1115" s="1176">
        <f t="shared" si="116"/>
        <v>0</v>
      </c>
      <c r="W1115" s="1767"/>
      <c r="X1115" s="1176"/>
    </row>
    <row r="1116" spans="2:24" ht="16" thickBot="1" x14ac:dyDescent="0.25">
      <c r="B1116" s="1656" t="e">
        <f>SUM(#REF!)</f>
        <v>#REF!</v>
      </c>
      <c r="C1116" s="1177">
        <v>44204</v>
      </c>
      <c r="D1116" s="1178">
        <v>5</v>
      </c>
      <c r="E1116" s="1179" t="s">
        <v>293</v>
      </c>
      <c r="F1116" s="1527" t="s">
        <v>310</v>
      </c>
      <c r="G1116" s="1167">
        <v>2.5115740740740741E-2</v>
      </c>
      <c r="H1116" s="1168">
        <v>7.9</v>
      </c>
      <c r="I1116" s="1180">
        <f t="shared" si="114"/>
        <v>3.1792076887013593E-3</v>
      </c>
      <c r="J1116" s="1170">
        <v>154</v>
      </c>
      <c r="K1116" s="1757"/>
      <c r="L1116" s="1568">
        <v>250</v>
      </c>
      <c r="M1116" s="1591">
        <v>29</v>
      </c>
      <c r="N1116" s="1171">
        <f t="shared" si="118"/>
        <v>1.024938598148498</v>
      </c>
      <c r="O1116" s="1172" t="s">
        <v>280</v>
      </c>
      <c r="P1116" s="1173" t="str">
        <f>IFERROR(VLOOKUP(F1116,#REF!,12,FALSE),"")</f>
        <v/>
      </c>
      <c r="Q1116" s="1174" t="s">
        <v>8</v>
      </c>
      <c r="R1116" s="1174" t="str">
        <f>IFERROR(VLOOKUP(F1116,#REF!,14,FALSE),"")</f>
        <v/>
      </c>
      <c r="S1116" s="1175">
        <f t="shared" si="115"/>
        <v>1.6233766233766234</v>
      </c>
      <c r="U1116" s="1728"/>
      <c r="V1116" s="1176">
        <f t="shared" si="116"/>
        <v>0</v>
      </c>
      <c r="W1116" s="1767"/>
      <c r="X1116" s="1176"/>
    </row>
    <row r="1117" spans="2:24" x14ac:dyDescent="0.2">
      <c r="B1117" s="1657" t="s">
        <v>256</v>
      </c>
      <c r="C1117" s="1177">
        <v>44205</v>
      </c>
      <c r="D1117" s="1178"/>
      <c r="E1117" s="1179"/>
      <c r="F1117" s="1527"/>
      <c r="G1117" s="1167"/>
      <c r="H1117" s="1168" t="str">
        <f>IFERROR(VLOOKUP(F1117,#REF!,10,FALSE),"")</f>
        <v/>
      </c>
      <c r="I1117" s="1180" t="str">
        <f t="shared" si="114"/>
        <v/>
      </c>
      <c r="J1117" s="1170"/>
      <c r="K1117" s="1757"/>
      <c r="L1117" s="1568"/>
      <c r="M1117" s="1591"/>
      <c r="N1117" s="1171" t="str">
        <f t="shared" si="118"/>
        <v/>
      </c>
      <c r="O1117" s="1172"/>
      <c r="P1117" s="1173" t="str">
        <f>IFERROR(VLOOKUP(F1117,#REF!,12,FALSE),"")</f>
        <v/>
      </c>
      <c r="Q1117" s="1174" t="s">
        <v>8</v>
      </c>
      <c r="R1117" s="1174" t="str">
        <f>IFERROR(VLOOKUP(F1117,#REF!,14,FALSE),"")</f>
        <v/>
      </c>
      <c r="S1117" s="1175" t="str">
        <f t="shared" si="115"/>
        <v/>
      </c>
      <c r="U1117" s="1728"/>
      <c r="V1117" s="1176">
        <f t="shared" si="116"/>
        <v>0</v>
      </c>
      <c r="W1117" s="1767"/>
      <c r="X1117" s="1176"/>
    </row>
    <row r="1118" spans="2:24" ht="16" thickBot="1" x14ac:dyDescent="0.25">
      <c r="B1118" s="1658" t="e">
        <f>AVERAGE(#REF!)</f>
        <v>#REF!</v>
      </c>
      <c r="C1118" s="1181">
        <v>44206</v>
      </c>
      <c r="D1118" s="67">
        <v>6</v>
      </c>
      <c r="E1118" s="208" t="s">
        <v>292</v>
      </c>
      <c r="F1118" s="1528" t="s">
        <v>309</v>
      </c>
      <c r="G1118" s="1182">
        <v>5.7592592592592591E-2</v>
      </c>
      <c r="H1118" s="1183">
        <v>14.63</v>
      </c>
      <c r="I1118" s="1184">
        <f t="shared" si="114"/>
        <v>3.9366091997670941E-3</v>
      </c>
      <c r="J1118" s="1185">
        <v>136</v>
      </c>
      <c r="K1118" s="1757"/>
      <c r="L1118" s="1569">
        <v>207</v>
      </c>
      <c r="M1118" s="1592">
        <v>57</v>
      </c>
      <c r="N1118" s="172">
        <f t="shared" si="118"/>
        <v>1.0508278838208138</v>
      </c>
      <c r="O1118" s="1186" t="s">
        <v>295</v>
      </c>
      <c r="P1118" s="1187" t="str">
        <f>IFERROR(VLOOKUP(F1118,#REF!,12,FALSE),"")</f>
        <v/>
      </c>
      <c r="Q1118" s="1188" t="s">
        <v>8</v>
      </c>
      <c r="R1118" s="1188" t="str">
        <f>IFERROR(VLOOKUP(F1118,#REF!,14,FALSE),"")</f>
        <v/>
      </c>
      <c r="S1118" s="1189">
        <f t="shared" si="115"/>
        <v>1.5220588235294117</v>
      </c>
      <c r="U1118" s="1728"/>
      <c r="V1118" s="1190">
        <f t="shared" si="116"/>
        <v>0</v>
      </c>
      <c r="W1118" s="1768"/>
      <c r="X1118" s="1190"/>
    </row>
    <row r="1119" spans="2:24" ht="16" thickBot="1" x14ac:dyDescent="0.25">
      <c r="B1119" s="1660">
        <f>B1112+1</f>
        <v>2</v>
      </c>
      <c r="C1119" s="1107">
        <v>44207</v>
      </c>
      <c r="D1119" s="1163"/>
      <c r="E1119" s="1164"/>
      <c r="F1119" s="1521"/>
      <c r="G1119" s="789"/>
      <c r="H1119" s="790" t="str">
        <f>IFERROR(VLOOKUP(F1119,#REF!,10,FALSE),"")</f>
        <v/>
      </c>
      <c r="I1119" s="1110" t="str">
        <f t="shared" si="114"/>
        <v/>
      </c>
      <c r="J1119" s="792"/>
      <c r="K1119" s="1757"/>
      <c r="L1119" s="792"/>
      <c r="M1119" s="1595"/>
      <c r="N1119" s="1166" t="str">
        <f t="shared" si="118"/>
        <v/>
      </c>
      <c r="O1119" s="1112"/>
      <c r="P1119" s="1113" t="str">
        <f>IFERROR(VLOOKUP(F1119,#REF!,12,FALSE),"")</f>
        <v/>
      </c>
      <c r="Q1119" s="1192" t="s">
        <v>8</v>
      </c>
      <c r="R1119" s="1192" t="str">
        <f>IFERROR(VLOOKUP(F1119,#REF!,14,FALSE),"")</f>
        <v/>
      </c>
      <c r="S1119" s="33" t="str">
        <f t="shared" si="115"/>
        <v/>
      </c>
      <c r="U1119" s="1728"/>
      <c r="V1119" s="914">
        <f t="shared" si="116"/>
        <v>0</v>
      </c>
      <c r="W1119" s="1766"/>
      <c r="X1119" s="914"/>
    </row>
    <row r="1120" spans="2:24" x14ac:dyDescent="0.2">
      <c r="B1120" s="1653" t="s">
        <v>142</v>
      </c>
      <c r="C1120" s="1177">
        <v>44208</v>
      </c>
      <c r="D1120" s="1178">
        <v>7</v>
      </c>
      <c r="E1120" s="1179" t="s">
        <v>293</v>
      </c>
      <c r="F1120" s="1527" t="s">
        <v>285</v>
      </c>
      <c r="G1120" s="1167">
        <v>3.5173611111111107E-2</v>
      </c>
      <c r="H1120" s="1168">
        <v>9.1199999999999992</v>
      </c>
      <c r="I1120" s="1180">
        <f t="shared" si="114"/>
        <v>3.8567556042884989E-3</v>
      </c>
      <c r="J1120" s="1170">
        <v>143</v>
      </c>
      <c r="K1120" s="1757"/>
      <c r="L1120" s="1568">
        <v>210</v>
      </c>
      <c r="M1120" s="1591">
        <v>29</v>
      </c>
      <c r="N1120" s="1171">
        <f t="shared" si="118"/>
        <v>1.0444324430479184</v>
      </c>
      <c r="O1120" s="1172" t="s">
        <v>339</v>
      </c>
      <c r="P1120" s="1173" t="str">
        <f>IFERROR(VLOOKUP(F1120,#REF!,12,FALSE),"")</f>
        <v/>
      </c>
      <c r="Q1120" s="1174" t="s">
        <v>8</v>
      </c>
      <c r="R1120" s="1174" t="str">
        <f>IFERROR(VLOOKUP(F1120,#REF!,14,FALSE),"")</f>
        <v/>
      </c>
      <c r="S1120" s="1175">
        <f t="shared" si="115"/>
        <v>1.4685314685314685</v>
      </c>
      <c r="U1120" s="1728"/>
      <c r="V1120" s="1176">
        <f t="shared" si="116"/>
        <v>0</v>
      </c>
      <c r="W1120" s="1767"/>
      <c r="X1120" s="1176"/>
    </row>
    <row r="1121" spans="2:24" ht="16" thickBot="1" x14ac:dyDescent="0.25">
      <c r="B1121" s="1654">
        <f>SUM(H1119:H1125)</f>
        <v>47.58</v>
      </c>
      <c r="C1121" s="1177">
        <v>44209</v>
      </c>
      <c r="D1121" s="1178"/>
      <c r="E1121" s="1179"/>
      <c r="F1121" s="1527"/>
      <c r="G1121" s="1167"/>
      <c r="H1121" s="1168" t="str">
        <f>IFERROR(VLOOKUP(F1121,#REF!,10,FALSE),"")</f>
        <v/>
      </c>
      <c r="I1121" s="1180" t="str">
        <f t="shared" si="114"/>
        <v/>
      </c>
      <c r="J1121" s="1170"/>
      <c r="K1121" s="1757"/>
      <c r="L1121" s="1568"/>
      <c r="M1121" s="1591"/>
      <c r="N1121" s="1171" t="str">
        <f t="shared" si="118"/>
        <v/>
      </c>
      <c r="O1121" s="1172"/>
      <c r="P1121" s="1173" t="str">
        <f>IFERROR(VLOOKUP(F1121,#REF!,12,FALSE),"")</f>
        <v/>
      </c>
      <c r="Q1121" s="1174" t="s">
        <v>8</v>
      </c>
      <c r="R1121" s="1174" t="str">
        <f>IFERROR(VLOOKUP(F1121,#REF!,14,FALSE),"")</f>
        <v/>
      </c>
      <c r="S1121" s="1175" t="str">
        <f t="shared" si="115"/>
        <v/>
      </c>
      <c r="U1121" s="1728"/>
      <c r="V1121" s="1176">
        <f t="shared" si="116"/>
        <v>0</v>
      </c>
      <c r="W1121" s="1767"/>
      <c r="X1121" s="1176"/>
    </row>
    <row r="1122" spans="2:24" x14ac:dyDescent="0.2">
      <c r="B1122" s="1655" t="s">
        <v>144</v>
      </c>
      <c r="C1122" s="1177">
        <v>44210</v>
      </c>
      <c r="D1122" s="1178">
        <v>8</v>
      </c>
      <c r="E1122" s="1179" t="s">
        <v>293</v>
      </c>
      <c r="F1122" s="1527" t="s">
        <v>278</v>
      </c>
      <c r="G1122" s="1167">
        <v>3.8101851851851852E-2</v>
      </c>
      <c r="H1122" s="1168">
        <v>10.23</v>
      </c>
      <c r="I1122" s="1180">
        <f t="shared" si="114"/>
        <v>3.724521197639477E-3</v>
      </c>
      <c r="J1122" s="1170">
        <v>141</v>
      </c>
      <c r="K1122" s="1757"/>
      <c r="L1122" s="1568">
        <v>216</v>
      </c>
      <c r="M1122" s="1591">
        <v>52</v>
      </c>
      <c r="N1122" s="1171">
        <f t="shared" si="118"/>
        <v>1.0374403641615968</v>
      </c>
      <c r="O1122" s="1172" t="s">
        <v>339</v>
      </c>
      <c r="P1122" s="1173" t="str">
        <f>IFERROR(VLOOKUP(F1122,#REF!,12,FALSE),"")</f>
        <v/>
      </c>
      <c r="Q1122" s="1174" t="s">
        <v>8</v>
      </c>
      <c r="R1122" s="1174" t="str">
        <f>IFERROR(VLOOKUP(F1122,#REF!,14,FALSE),"")</f>
        <v/>
      </c>
      <c r="S1122" s="1175">
        <f t="shared" si="115"/>
        <v>1.5319148936170213</v>
      </c>
      <c r="U1122" s="1728"/>
      <c r="V1122" s="1176">
        <f t="shared" si="116"/>
        <v>0</v>
      </c>
      <c r="W1122" s="1767"/>
      <c r="X1122" s="1176"/>
    </row>
    <row r="1123" spans="2:24" ht="16" thickBot="1" x14ac:dyDescent="0.25">
      <c r="B1123" s="1656" t="e">
        <f>SUM(#REF!)</f>
        <v>#REF!</v>
      </c>
      <c r="C1123" s="1177">
        <v>44211</v>
      </c>
      <c r="D1123" s="1178">
        <v>9</v>
      </c>
      <c r="E1123" s="1179" t="s">
        <v>292</v>
      </c>
      <c r="F1123" s="1527" t="s">
        <v>278</v>
      </c>
      <c r="G1123" s="1167">
        <v>4.8506944444444443E-2</v>
      </c>
      <c r="H1123" s="1168">
        <v>12.5</v>
      </c>
      <c r="I1123" s="1180">
        <f t="shared" si="114"/>
        <v>3.8805555555555555E-3</v>
      </c>
      <c r="J1123" s="1170">
        <v>142</v>
      </c>
      <c r="K1123" s="1757"/>
      <c r="L1123" s="1568"/>
      <c r="M1123" s="1591">
        <v>42</v>
      </c>
      <c r="N1123" s="1171"/>
      <c r="O1123" s="1172" t="s">
        <v>311</v>
      </c>
      <c r="P1123" s="1173" t="str">
        <f>IFERROR(VLOOKUP(F1123,#REF!,12,FALSE),"")</f>
        <v/>
      </c>
      <c r="Q1123" s="1174" t="s">
        <v>8</v>
      </c>
      <c r="R1123" s="1174" t="str">
        <f>IFERROR(VLOOKUP(F1123,#REF!,14,FALSE),"")</f>
        <v/>
      </c>
      <c r="S1123" s="1175"/>
      <c r="U1123" s="1728"/>
      <c r="V1123" s="1176">
        <f t="shared" si="116"/>
        <v>0</v>
      </c>
      <c r="W1123" s="1767"/>
      <c r="X1123" s="1176"/>
    </row>
    <row r="1124" spans="2:24" x14ac:dyDescent="0.2">
      <c r="B1124" s="1657" t="s">
        <v>256</v>
      </c>
      <c r="C1124" s="1177">
        <v>44212</v>
      </c>
      <c r="D1124" s="1178"/>
      <c r="E1124" s="1179"/>
      <c r="F1124" s="1527"/>
      <c r="G1124" s="1167"/>
      <c r="H1124" s="1168" t="str">
        <f>IFERROR(VLOOKUP(F1124,#REF!,10,FALSE),"")</f>
        <v/>
      </c>
      <c r="I1124" s="1180" t="str">
        <f t="shared" si="114"/>
        <v/>
      </c>
      <c r="J1124" s="1170"/>
      <c r="K1124" s="1757"/>
      <c r="L1124" s="1568"/>
      <c r="M1124" s="1591"/>
      <c r="N1124" s="1171" t="str">
        <f t="shared" ref="N1124:N1167" si="119">IFERROR((L1124/67)/(1/(I1124*24)/3.6),"")</f>
        <v/>
      </c>
      <c r="O1124" s="1172"/>
      <c r="P1124" s="1173" t="str">
        <f>IFERROR(VLOOKUP(F1124,#REF!,12,FALSE),"")</f>
        <v/>
      </c>
      <c r="Q1124" s="1174" t="s">
        <v>8</v>
      </c>
      <c r="R1124" s="1174" t="str">
        <f>IFERROR(VLOOKUP(F1124,#REF!,14,FALSE),"")</f>
        <v/>
      </c>
      <c r="S1124" s="1175" t="str">
        <f t="shared" ref="S1124:S1167" si="120">IFERROR(L1124/J1124,"")</f>
        <v/>
      </c>
      <c r="U1124" s="1728"/>
      <c r="V1124" s="1176">
        <f t="shared" si="116"/>
        <v>0</v>
      </c>
      <c r="W1124" s="1767"/>
      <c r="X1124" s="1176"/>
    </row>
    <row r="1125" spans="2:24" ht="16" thickBot="1" x14ac:dyDescent="0.25">
      <c r="B1125" s="1658" t="e">
        <f>AVERAGE(#REF!)</f>
        <v>#REF!</v>
      </c>
      <c r="C1125" s="1145">
        <v>44213</v>
      </c>
      <c r="D1125" s="1097">
        <v>10</v>
      </c>
      <c r="E1125" s="1098" t="s">
        <v>293</v>
      </c>
      <c r="F1125" s="1529" t="s">
        <v>273</v>
      </c>
      <c r="G1125" s="1193">
        <v>6.1666666666666668E-2</v>
      </c>
      <c r="H1125" s="1194">
        <v>15.73</v>
      </c>
      <c r="I1125" s="1195">
        <f t="shared" ref="I1125" si="121">IFERROR(G1125/H1125,"")</f>
        <v>3.9203221021402836E-3</v>
      </c>
      <c r="J1125" s="1196">
        <v>137</v>
      </c>
      <c r="K1125" s="1760"/>
      <c r="L1125" s="1570">
        <v>206</v>
      </c>
      <c r="M1125" s="1594">
        <v>61</v>
      </c>
      <c r="N1125" s="1197">
        <f t="shared" si="119"/>
        <v>1.0414247895930393</v>
      </c>
      <c r="O1125" s="1198" t="s">
        <v>311</v>
      </c>
      <c r="P1125" s="1146" t="str">
        <f>IFERROR(VLOOKUP(F1125,#REF!,12,FALSE),"")</f>
        <v/>
      </c>
      <c r="Q1125" s="321" t="s">
        <v>8</v>
      </c>
      <c r="R1125" s="321" t="str">
        <f>IFERROR(VLOOKUP(F1125,#REF!,14,FALSE),"")</f>
        <v/>
      </c>
      <c r="S1125" s="1106">
        <f t="shared" si="120"/>
        <v>1.5036496350364963</v>
      </c>
      <c r="U1125" s="1728"/>
      <c r="V1125" s="1147">
        <f t="shared" si="116"/>
        <v>0</v>
      </c>
      <c r="W1125" s="1768"/>
      <c r="X1125" s="1147"/>
    </row>
    <row r="1126" spans="2:24" ht="16" thickBot="1" x14ac:dyDescent="0.25">
      <c r="B1126" s="1661">
        <f>B1119+1</f>
        <v>3</v>
      </c>
      <c r="C1126" s="1199">
        <v>44214</v>
      </c>
      <c r="D1126" s="1108"/>
      <c r="E1126" s="1109"/>
      <c r="F1126" s="1505"/>
      <c r="G1126" s="1200"/>
      <c r="H1126" s="1201" t="str">
        <f>IFERROR(VLOOKUP(F1126,#REF!,10,FALSE),"")</f>
        <v/>
      </c>
      <c r="I1126" s="1202" t="str">
        <f t="shared" ref="I1126:I1189" si="122">IFERROR(G1126/H1126,"")</f>
        <v/>
      </c>
      <c r="J1126" s="1203"/>
      <c r="K1126" s="1756"/>
      <c r="L1126" s="1577"/>
      <c r="M1126" s="1374"/>
      <c r="N1126" s="1111" t="str">
        <f t="shared" si="119"/>
        <v/>
      </c>
      <c r="O1126" s="1204"/>
      <c r="P1126" s="1113" t="str">
        <f>IFERROR(VLOOKUP(F1126,#REF!,12,FALSE),"")</f>
        <v/>
      </c>
      <c r="Q1126" s="1205" t="s">
        <v>8</v>
      </c>
      <c r="R1126" s="1206" t="str">
        <f>IFERROR(VLOOKUP(F1126,#REF!,14,FALSE),"")</f>
        <v/>
      </c>
      <c r="S1126" s="1207" t="str">
        <f t="shared" si="120"/>
        <v/>
      </c>
      <c r="U1126" s="1728"/>
      <c r="V1126" s="1108">
        <f t="shared" si="116"/>
        <v>0</v>
      </c>
      <c r="W1126" s="1766"/>
      <c r="X1126" s="1108"/>
    </row>
    <row r="1127" spans="2:24" x14ac:dyDescent="0.2">
      <c r="B1127" s="1666" t="s">
        <v>142</v>
      </c>
      <c r="C1127" s="1208">
        <v>44215</v>
      </c>
      <c r="D1127" s="864"/>
      <c r="E1127" s="865"/>
      <c r="F1127" s="1503"/>
      <c r="G1127" s="1209"/>
      <c r="H1127" s="1210" t="str">
        <f>IFERROR(VLOOKUP(F1127,#REF!,10,FALSE),"")</f>
        <v/>
      </c>
      <c r="I1127" s="1211" t="str">
        <f t="shared" si="122"/>
        <v/>
      </c>
      <c r="J1127" s="1212"/>
      <c r="K1127" s="1741"/>
      <c r="L1127" s="1578"/>
      <c r="M1127" s="1602"/>
      <c r="N1127" s="1171" t="str">
        <f t="shared" si="119"/>
        <v/>
      </c>
      <c r="O1127" s="1213"/>
      <c r="P1127" s="1214" t="str">
        <f>IFERROR(VLOOKUP(F1127,#REF!,12,FALSE),"")</f>
        <v/>
      </c>
      <c r="Q1127" s="1215" t="s">
        <v>8</v>
      </c>
      <c r="R1127" s="1216" t="str">
        <f>IFERROR(VLOOKUP(F1127,#REF!,14,FALSE),"")</f>
        <v/>
      </c>
      <c r="S1127" s="1217" t="str">
        <f t="shared" si="120"/>
        <v/>
      </c>
      <c r="U1127" s="1728"/>
      <c r="V1127" s="864">
        <f t="shared" si="116"/>
        <v>0</v>
      </c>
      <c r="W1127" s="1767"/>
      <c r="X1127" s="864"/>
    </row>
    <row r="1128" spans="2:24" ht="16" thickBot="1" x14ac:dyDescent="0.25">
      <c r="B1128" s="1654">
        <f>SUM(H1126:H1132)</f>
        <v>18.760000000000002</v>
      </c>
      <c r="C1128" s="1208">
        <v>44216</v>
      </c>
      <c r="D1128" s="864">
        <v>11</v>
      </c>
      <c r="E1128" s="865" t="s">
        <v>293</v>
      </c>
      <c r="F1128" s="1503" t="s">
        <v>282</v>
      </c>
      <c r="G1128" s="1209">
        <v>3.7673611111111109E-2</v>
      </c>
      <c r="H1128" s="1210">
        <v>9.1300000000000008</v>
      </c>
      <c r="I1128" s="1211">
        <f t="shared" si="122"/>
        <v>4.1263539004502857E-3</v>
      </c>
      <c r="J1128" s="1212">
        <v>133</v>
      </c>
      <c r="K1128" s="1741"/>
      <c r="L1128" s="1578">
        <v>198</v>
      </c>
      <c r="M1128" s="1602">
        <v>30</v>
      </c>
      <c r="N1128" s="1171">
        <f t="shared" si="119"/>
        <v>1.0535874842654198</v>
      </c>
      <c r="O1128" s="1213" t="s">
        <v>339</v>
      </c>
      <c r="P1128" s="1214" t="str">
        <f>IFERROR(VLOOKUP(F1128,#REF!,12,FALSE),"")</f>
        <v/>
      </c>
      <c r="Q1128" s="1215" t="s">
        <v>8</v>
      </c>
      <c r="R1128" s="1216" t="str">
        <f>IFERROR(VLOOKUP(F1128,#REF!,14,FALSE),"")</f>
        <v/>
      </c>
      <c r="S1128" s="1217">
        <f t="shared" si="120"/>
        <v>1.4887218045112782</v>
      </c>
      <c r="U1128" s="1728"/>
      <c r="V1128" s="864">
        <f t="shared" si="116"/>
        <v>0</v>
      </c>
      <c r="W1128" s="1767"/>
      <c r="X1128" s="864"/>
    </row>
    <row r="1129" spans="2:24" x14ac:dyDescent="0.2">
      <c r="B1129" s="1667" t="s">
        <v>144</v>
      </c>
      <c r="C1129" s="1208">
        <v>44217</v>
      </c>
      <c r="D1129" s="864"/>
      <c r="E1129" s="865"/>
      <c r="F1129" s="1503"/>
      <c r="G1129" s="1209"/>
      <c r="H1129" s="1210" t="str">
        <f>IFERROR(VLOOKUP(F1129,#REF!,10,FALSE),"")</f>
        <v/>
      </c>
      <c r="I1129" s="1211" t="str">
        <f t="shared" si="122"/>
        <v/>
      </c>
      <c r="J1129" s="1212"/>
      <c r="K1129" s="1741"/>
      <c r="L1129" s="1578"/>
      <c r="M1129" s="1602"/>
      <c r="N1129" s="1171" t="str">
        <f t="shared" si="119"/>
        <v/>
      </c>
      <c r="O1129" s="1213"/>
      <c r="P1129" s="1214" t="str">
        <f>IFERROR(VLOOKUP(F1129,#REF!,12,FALSE),"")</f>
        <v/>
      </c>
      <c r="Q1129" s="1215" t="s">
        <v>8</v>
      </c>
      <c r="R1129" s="1216" t="str">
        <f>IFERROR(VLOOKUP(F1129,#REF!,14,FALSE),"")</f>
        <v/>
      </c>
      <c r="S1129" s="1217" t="str">
        <f t="shared" si="120"/>
        <v/>
      </c>
      <c r="U1129" s="1728"/>
      <c r="V1129" s="864">
        <f t="shared" si="116"/>
        <v>0</v>
      </c>
      <c r="W1129" s="1767"/>
      <c r="X1129" s="864"/>
    </row>
    <row r="1130" spans="2:24" ht="16" thickBot="1" x14ac:dyDescent="0.25">
      <c r="B1130" s="1668" t="e">
        <f>SUM(#REF!)</f>
        <v>#REF!</v>
      </c>
      <c r="C1130" s="1208">
        <v>44218</v>
      </c>
      <c r="D1130" s="864">
        <v>12</v>
      </c>
      <c r="E1130" s="865" t="s">
        <v>293</v>
      </c>
      <c r="F1130" s="1503" t="s">
        <v>285</v>
      </c>
      <c r="G1130" s="1209">
        <v>3.7106481481481483E-2</v>
      </c>
      <c r="H1130" s="1210">
        <v>9.6300000000000008</v>
      </c>
      <c r="I1130" s="1211">
        <f t="shared" si="122"/>
        <v>3.8532171839544631E-3</v>
      </c>
      <c r="J1130" s="1212">
        <v>141</v>
      </c>
      <c r="K1130" s="1741"/>
      <c r="L1130" s="1578">
        <v>210</v>
      </c>
      <c r="M1130" s="1602">
        <v>35</v>
      </c>
      <c r="N1130" s="1171">
        <f t="shared" si="119"/>
        <v>1.0434742176965639</v>
      </c>
      <c r="O1130" s="1213" t="s">
        <v>259</v>
      </c>
      <c r="P1130" s="1214" t="str">
        <f>IFERROR(VLOOKUP(F1130,#REF!,12,FALSE),"")</f>
        <v/>
      </c>
      <c r="Q1130" s="1215" t="s">
        <v>8</v>
      </c>
      <c r="R1130" s="1216" t="str">
        <f>IFERROR(VLOOKUP(F1130,#REF!,14,FALSE),"")</f>
        <v/>
      </c>
      <c r="S1130" s="1217">
        <f t="shared" si="120"/>
        <v>1.4893617021276595</v>
      </c>
      <c r="U1130" s="1728"/>
      <c r="V1130" s="864">
        <f t="shared" si="116"/>
        <v>0</v>
      </c>
      <c r="W1130" s="1767"/>
      <c r="X1130" s="864"/>
    </row>
    <row r="1131" spans="2:24" x14ac:dyDescent="0.2">
      <c r="B1131" s="1669" t="s">
        <v>256</v>
      </c>
      <c r="C1131" s="1208">
        <v>44219</v>
      </c>
      <c r="D1131" s="864"/>
      <c r="E1131" s="865"/>
      <c r="F1131" s="1503"/>
      <c r="G1131" s="1209"/>
      <c r="H1131" s="1210" t="str">
        <f>IFERROR(VLOOKUP(F1131,#REF!,10,FALSE),"")</f>
        <v/>
      </c>
      <c r="I1131" s="1211" t="str">
        <f t="shared" si="122"/>
        <v/>
      </c>
      <c r="J1131" s="1212"/>
      <c r="K1131" s="1741"/>
      <c r="L1131" s="1578"/>
      <c r="M1131" s="1602"/>
      <c r="N1131" s="1171" t="str">
        <f t="shared" si="119"/>
        <v/>
      </c>
      <c r="O1131" s="1213"/>
      <c r="P1131" s="1214" t="str">
        <f>IFERROR(VLOOKUP(F1131,#REF!,12,FALSE),"")</f>
        <v/>
      </c>
      <c r="Q1131" s="1215" t="s">
        <v>8</v>
      </c>
      <c r="R1131" s="1216" t="str">
        <f>IFERROR(VLOOKUP(F1131,#REF!,14,FALSE),"")</f>
        <v/>
      </c>
      <c r="S1131" s="1217" t="str">
        <f t="shared" si="120"/>
        <v/>
      </c>
      <c r="U1131" s="1728"/>
      <c r="V1131" s="864">
        <f t="shared" si="116"/>
        <v>0</v>
      </c>
      <c r="W1131" s="1767"/>
      <c r="X1131" s="864"/>
    </row>
    <row r="1132" spans="2:24" ht="16" thickBot="1" x14ac:dyDescent="0.25">
      <c r="B1132" s="1670" t="e">
        <f>AVERAGE(#REF!)</f>
        <v>#REF!</v>
      </c>
      <c r="C1132" s="1218">
        <v>44220</v>
      </c>
      <c r="D1132" s="1219"/>
      <c r="E1132" s="1220"/>
      <c r="F1132" s="1530"/>
      <c r="G1132" s="1221"/>
      <c r="H1132" s="1222" t="str">
        <f>IFERROR(VLOOKUP(F1132,#REF!,10,FALSE),"")</f>
        <v/>
      </c>
      <c r="I1132" s="1223" t="str">
        <f t="shared" si="122"/>
        <v/>
      </c>
      <c r="J1132" s="1224"/>
      <c r="K1132" s="1741"/>
      <c r="L1132" s="1579"/>
      <c r="M1132" s="1603"/>
      <c r="N1132" s="1197" t="str">
        <f t="shared" si="119"/>
        <v/>
      </c>
      <c r="O1132" s="1225"/>
      <c r="P1132" s="1146" t="str">
        <f>IFERROR(VLOOKUP(F1132,#REF!,12,FALSE),"")</f>
        <v/>
      </c>
      <c r="Q1132" s="1226" t="s">
        <v>8</v>
      </c>
      <c r="R1132" s="1227" t="str">
        <f>IFERROR(VLOOKUP(F1132,#REF!,14,FALSE),"")</f>
        <v/>
      </c>
      <c r="S1132" s="1228" t="str">
        <f t="shared" si="120"/>
        <v/>
      </c>
      <c r="U1132" s="1728"/>
      <c r="V1132" s="1219">
        <f t="shared" si="116"/>
        <v>0</v>
      </c>
      <c r="W1132" s="1768"/>
      <c r="X1132" s="1219"/>
    </row>
    <row r="1133" spans="2:24" ht="16" thickBot="1" x14ac:dyDescent="0.25">
      <c r="B1133" s="1661">
        <f>B1126+1</f>
        <v>4</v>
      </c>
      <c r="C1133" s="1199">
        <v>44221</v>
      </c>
      <c r="D1133" s="1108"/>
      <c r="E1133" s="1109"/>
      <c r="F1133" s="1505"/>
      <c r="G1133" s="1200"/>
      <c r="H1133" s="1201" t="str">
        <f>IFERROR(VLOOKUP(F1133,#REF!,10,FALSE),"")</f>
        <v/>
      </c>
      <c r="I1133" s="1202" t="str">
        <f t="shared" si="122"/>
        <v/>
      </c>
      <c r="J1133" s="1203"/>
      <c r="K1133" s="1741"/>
      <c r="L1133" s="1577"/>
      <c r="M1133" s="1374"/>
      <c r="N1133" s="1111" t="str">
        <f t="shared" si="119"/>
        <v/>
      </c>
      <c r="O1133" s="1204"/>
      <c r="P1133" s="1113" t="str">
        <f>IFERROR(VLOOKUP(F1133,#REF!,12,FALSE),"")</f>
        <v/>
      </c>
      <c r="Q1133" s="1205" t="s">
        <v>8</v>
      </c>
      <c r="R1133" s="1206" t="str">
        <f>IFERROR(VLOOKUP(F1133,#REF!,14,FALSE),"")</f>
        <v/>
      </c>
      <c r="S1133" s="1207" t="str">
        <f t="shared" si="120"/>
        <v/>
      </c>
      <c r="U1133" s="1728"/>
      <c r="V1133" s="1108">
        <f t="shared" si="116"/>
        <v>0</v>
      </c>
      <c r="W1133" s="1766"/>
      <c r="X1133" s="1108"/>
    </row>
    <row r="1134" spans="2:24" x14ac:dyDescent="0.2">
      <c r="B1134" s="1666" t="s">
        <v>142</v>
      </c>
      <c r="C1134" s="1208">
        <v>44222</v>
      </c>
      <c r="D1134" s="864">
        <v>13</v>
      </c>
      <c r="E1134" s="865" t="s">
        <v>293</v>
      </c>
      <c r="F1134" s="1503" t="s">
        <v>278</v>
      </c>
      <c r="G1134" s="1209">
        <v>3.8726851851851853E-2</v>
      </c>
      <c r="H1134" s="1210">
        <v>10.29</v>
      </c>
      <c r="I1134" s="1211">
        <f t="shared" si="122"/>
        <v>3.7635424540186451E-3</v>
      </c>
      <c r="J1134" s="1212">
        <v>140</v>
      </c>
      <c r="K1134" s="1741"/>
      <c r="L1134" s="1578">
        <v>216</v>
      </c>
      <c r="M1134" s="1602">
        <v>47</v>
      </c>
      <c r="N1134" s="1171">
        <f t="shared" si="119"/>
        <v>1.0483094730429487</v>
      </c>
      <c r="O1134" s="1213" t="s">
        <v>311</v>
      </c>
      <c r="P1134" s="1214" t="str">
        <f>IFERROR(VLOOKUP(F1134,#REF!,12,FALSE),"")</f>
        <v/>
      </c>
      <c r="Q1134" s="1229" t="s">
        <v>8</v>
      </c>
      <c r="R1134" s="1216" t="str">
        <f>IFERROR(VLOOKUP(F1134,#REF!,14,FALSE),"")</f>
        <v/>
      </c>
      <c r="S1134" s="1217">
        <f t="shared" si="120"/>
        <v>1.5428571428571429</v>
      </c>
      <c r="U1134" s="1728"/>
      <c r="V1134" s="864">
        <f t="shared" si="116"/>
        <v>0</v>
      </c>
      <c r="W1134" s="1767"/>
      <c r="X1134" s="864"/>
    </row>
    <row r="1135" spans="2:24" ht="16" thickBot="1" x14ac:dyDescent="0.25">
      <c r="B1135" s="1654">
        <f>SUM(H1133:H1139)</f>
        <v>48.07</v>
      </c>
      <c r="C1135" s="1208">
        <v>44223</v>
      </c>
      <c r="D1135" s="864">
        <v>14</v>
      </c>
      <c r="E1135" s="865" t="s">
        <v>293</v>
      </c>
      <c r="F1135" s="1503" t="s">
        <v>161</v>
      </c>
      <c r="G1135" s="1209">
        <v>4.116898148148148E-2</v>
      </c>
      <c r="H1135" s="1210">
        <v>11.3</v>
      </c>
      <c r="I1135" s="1211">
        <f t="shared" si="122"/>
        <v>3.6432726974762368E-3</v>
      </c>
      <c r="J1135" s="1212">
        <v>151</v>
      </c>
      <c r="K1135" s="1741"/>
      <c r="L1135" s="1578">
        <v>217</v>
      </c>
      <c r="M1135" s="1602">
        <v>22</v>
      </c>
      <c r="N1135" s="1171">
        <f t="shared" si="119"/>
        <v>1.0195073306036189</v>
      </c>
      <c r="O1135" s="1213" t="s">
        <v>341</v>
      </c>
      <c r="P1135" s="1214" t="str">
        <f>IFERROR(VLOOKUP(F1135,#REF!,12,FALSE),"")</f>
        <v/>
      </c>
      <c r="Q1135" s="1229" t="s">
        <v>8</v>
      </c>
      <c r="R1135" s="1216" t="str">
        <f>IFERROR(VLOOKUP(F1135,#REF!,14,FALSE),"")</f>
        <v/>
      </c>
      <c r="S1135" s="1217">
        <f t="shared" si="120"/>
        <v>1.4370860927152318</v>
      </c>
      <c r="U1135" s="1728"/>
      <c r="V1135" s="864">
        <f t="shared" si="116"/>
        <v>0</v>
      </c>
      <c r="W1135" s="1767"/>
      <c r="X1135" s="864"/>
    </row>
    <row r="1136" spans="2:24" x14ac:dyDescent="0.2">
      <c r="B1136" s="1667" t="s">
        <v>144</v>
      </c>
      <c r="C1136" s="1208">
        <v>44224</v>
      </c>
      <c r="D1136" s="864"/>
      <c r="E1136" s="865"/>
      <c r="F1136" s="1503"/>
      <c r="G1136" s="1209"/>
      <c r="H1136" s="1210" t="str">
        <f>IFERROR(VLOOKUP(F1136,#REF!,10,FALSE),"")</f>
        <v/>
      </c>
      <c r="I1136" s="1211" t="str">
        <f t="shared" si="122"/>
        <v/>
      </c>
      <c r="J1136" s="1212"/>
      <c r="K1136" s="1741"/>
      <c r="L1136" s="1578"/>
      <c r="M1136" s="1602"/>
      <c r="N1136" s="1171" t="str">
        <f t="shared" si="119"/>
        <v/>
      </c>
      <c r="O1136" s="1213"/>
      <c r="P1136" s="1214" t="str">
        <f>IFERROR(VLOOKUP(F1136,#REF!,12,FALSE),"")</f>
        <v/>
      </c>
      <c r="Q1136" s="1229" t="s">
        <v>8</v>
      </c>
      <c r="R1136" s="1216" t="str">
        <f>IFERROR(VLOOKUP(F1136,#REF!,14,FALSE),"")</f>
        <v/>
      </c>
      <c r="S1136" s="1217" t="str">
        <f t="shared" si="120"/>
        <v/>
      </c>
      <c r="U1136" s="1728"/>
      <c r="V1136" s="864">
        <f t="shared" si="116"/>
        <v>0</v>
      </c>
      <c r="W1136" s="1767"/>
      <c r="X1136" s="864"/>
    </row>
    <row r="1137" spans="2:24" ht="16" thickBot="1" x14ac:dyDescent="0.25">
      <c r="B1137" s="1668" t="e">
        <f>SUM(#REF!)</f>
        <v>#REF!</v>
      </c>
      <c r="C1137" s="1208">
        <v>44225</v>
      </c>
      <c r="D1137" s="864">
        <v>15</v>
      </c>
      <c r="E1137" s="865" t="s">
        <v>293</v>
      </c>
      <c r="F1137" s="1503" t="s">
        <v>302</v>
      </c>
      <c r="G1137" s="1209">
        <v>3.2870370370370376E-2</v>
      </c>
      <c r="H1137" s="1210">
        <v>9.7100000000000009</v>
      </c>
      <c r="I1137" s="1211">
        <f t="shared" si="122"/>
        <v>3.3852080710989056E-3</v>
      </c>
      <c r="J1137" s="1212">
        <v>156</v>
      </c>
      <c r="K1137" s="1741"/>
      <c r="L1137" s="1578">
        <v>235</v>
      </c>
      <c r="M1137" s="1602">
        <v>39</v>
      </c>
      <c r="N1137" s="1171">
        <f t="shared" si="119"/>
        <v>1.025869622023764</v>
      </c>
      <c r="O1137" s="1213" t="s">
        <v>341</v>
      </c>
      <c r="P1137" s="1214" t="str">
        <f>IFERROR(VLOOKUP(F1137,#REF!,12,FALSE),"")</f>
        <v/>
      </c>
      <c r="Q1137" s="1229" t="s">
        <v>8</v>
      </c>
      <c r="R1137" s="1216" t="str">
        <f>IFERROR(VLOOKUP(F1137,#REF!,14,FALSE),"")</f>
        <v/>
      </c>
      <c r="S1137" s="1217">
        <f t="shared" si="120"/>
        <v>1.5064102564102564</v>
      </c>
      <c r="U1137" s="1728"/>
      <c r="V1137" s="864">
        <f t="shared" si="116"/>
        <v>0</v>
      </c>
      <c r="W1137" s="1767"/>
      <c r="X1137" s="864"/>
    </row>
    <row r="1138" spans="2:24" x14ac:dyDescent="0.2">
      <c r="B1138" s="1669" t="s">
        <v>256</v>
      </c>
      <c r="C1138" s="1208">
        <v>44226</v>
      </c>
      <c r="D1138" s="864"/>
      <c r="E1138" s="865"/>
      <c r="F1138" s="1503"/>
      <c r="G1138" s="1209"/>
      <c r="H1138" s="1210" t="str">
        <f>IFERROR(VLOOKUP(F1138,#REF!,10,FALSE),"")</f>
        <v/>
      </c>
      <c r="I1138" s="1211" t="str">
        <f t="shared" si="122"/>
        <v/>
      </c>
      <c r="J1138" s="1212"/>
      <c r="K1138" s="1741"/>
      <c r="L1138" s="1578"/>
      <c r="M1138" s="1602"/>
      <c r="N1138" s="1171" t="str">
        <f t="shared" si="119"/>
        <v/>
      </c>
      <c r="O1138" s="1213"/>
      <c r="P1138" s="1214" t="str">
        <f>IFERROR(VLOOKUP(F1138,#REF!,12,FALSE),"")</f>
        <v/>
      </c>
      <c r="Q1138" s="1229" t="s">
        <v>8</v>
      </c>
      <c r="R1138" s="1216" t="str">
        <f>IFERROR(VLOOKUP(F1138,#REF!,14,FALSE),"")</f>
        <v/>
      </c>
      <c r="S1138" s="1217" t="str">
        <f t="shared" si="120"/>
        <v/>
      </c>
      <c r="U1138" s="1728"/>
      <c r="V1138" s="864">
        <f t="shared" si="116"/>
        <v>0</v>
      </c>
      <c r="W1138" s="1767"/>
      <c r="X1138" s="864"/>
    </row>
    <row r="1139" spans="2:24" ht="16" thickBot="1" x14ac:dyDescent="0.25">
      <c r="B1139" s="1670" t="e">
        <f>AVERAGE(#REF!)</f>
        <v>#REF!</v>
      </c>
      <c r="C1139" s="544">
        <v>44227</v>
      </c>
      <c r="D1139" s="67">
        <v>16</v>
      </c>
      <c r="E1139" s="208" t="s">
        <v>293</v>
      </c>
      <c r="F1139" s="1429" t="s">
        <v>273</v>
      </c>
      <c r="G1139" s="1230">
        <v>6.3483796296296302E-2</v>
      </c>
      <c r="H1139" s="1231">
        <v>16.77</v>
      </c>
      <c r="I1139" s="1232">
        <f t="shared" si="122"/>
        <v>3.7855573223790281E-3</v>
      </c>
      <c r="J1139" s="256">
        <v>142</v>
      </c>
      <c r="K1139" s="1741"/>
      <c r="L1139" s="1580">
        <v>214</v>
      </c>
      <c r="M1139" s="1561">
        <v>43</v>
      </c>
      <c r="N1139" s="172">
        <f t="shared" si="119"/>
        <v>1.0446782189232728</v>
      </c>
      <c r="O1139" s="1233" t="s">
        <v>311</v>
      </c>
      <c r="P1139" s="447" t="str">
        <f>IFERROR(VLOOKUP(F1139,#REF!,12,FALSE),"")</f>
        <v/>
      </c>
      <c r="Q1139" s="1234" t="s">
        <v>8</v>
      </c>
      <c r="R1139" s="1235" t="str">
        <f>IFERROR(VLOOKUP(F1139,#REF!,14,FALSE),"")</f>
        <v/>
      </c>
      <c r="S1139" s="1236">
        <f t="shared" si="120"/>
        <v>1.5070422535211268</v>
      </c>
      <c r="U1139" s="1728"/>
      <c r="V1139" s="67">
        <f t="shared" si="116"/>
        <v>0</v>
      </c>
      <c r="W1139" s="1768"/>
      <c r="X1139" s="67"/>
    </row>
    <row r="1140" spans="2:24" ht="16" thickBot="1" x14ac:dyDescent="0.25">
      <c r="B1140" s="1661">
        <f>B1133+1</f>
        <v>5</v>
      </c>
      <c r="C1140" s="1237">
        <v>44228</v>
      </c>
      <c r="D1140" s="70"/>
      <c r="E1140" s="71"/>
      <c r="F1140" s="1430"/>
      <c r="G1140" s="1238"/>
      <c r="H1140" s="1239" t="str">
        <f>IFERROR(VLOOKUP(F1140,#REF!,10,FALSE),"")</f>
        <v/>
      </c>
      <c r="I1140" s="1240" t="str">
        <f t="shared" si="122"/>
        <v/>
      </c>
      <c r="J1140" s="265"/>
      <c r="K1140" s="1741"/>
      <c r="L1140" s="1581"/>
      <c r="M1140" s="265"/>
      <c r="N1140" s="77" t="str">
        <f t="shared" si="119"/>
        <v/>
      </c>
      <c r="O1140" s="1241"/>
      <c r="P1140" s="79" t="str">
        <f>IFERROR(VLOOKUP(F1140,#REF!,12,FALSE),"")</f>
        <v/>
      </c>
      <c r="Q1140" s="1242" t="s">
        <v>8</v>
      </c>
      <c r="R1140" s="1243" t="str">
        <f>IFERROR(VLOOKUP(F1140,#REF!,14,FALSE),"")</f>
        <v/>
      </c>
      <c r="S1140" s="1244" t="str">
        <f t="shared" si="120"/>
        <v/>
      </c>
      <c r="U1140" s="1728"/>
      <c r="V1140" s="70">
        <f t="shared" si="116"/>
        <v>0</v>
      </c>
      <c r="W1140" s="1766"/>
      <c r="X1140" s="70"/>
    </row>
    <row r="1141" spans="2:24" x14ac:dyDescent="0.2">
      <c r="B1141" s="1666" t="s">
        <v>142</v>
      </c>
      <c r="C1141" s="1208">
        <v>44229</v>
      </c>
      <c r="D1141" s="864">
        <v>17</v>
      </c>
      <c r="E1141" s="865" t="s">
        <v>293</v>
      </c>
      <c r="F1141" s="1503" t="s">
        <v>278</v>
      </c>
      <c r="G1141" s="1209">
        <v>3.7245370370370366E-2</v>
      </c>
      <c r="H1141" s="1210">
        <v>9.9499999999999993</v>
      </c>
      <c r="I1141" s="1211">
        <f t="shared" si="122"/>
        <v>3.7432533035548108E-3</v>
      </c>
      <c r="J1141" s="1212">
        <v>141</v>
      </c>
      <c r="K1141" s="1741"/>
      <c r="L1141" s="1578">
        <v>217</v>
      </c>
      <c r="M1141" s="1602">
        <v>31</v>
      </c>
      <c r="N1141" s="1171">
        <f t="shared" si="119"/>
        <v>1.047485187129678</v>
      </c>
      <c r="O1141" s="1213" t="s">
        <v>339</v>
      </c>
      <c r="P1141" s="1214" t="str">
        <f>IFERROR(VLOOKUP(F1141,#REF!,12,FALSE),"")</f>
        <v/>
      </c>
      <c r="Q1141" s="1215" t="s">
        <v>8</v>
      </c>
      <c r="R1141" s="1216" t="str">
        <f>IFERROR(VLOOKUP(F1141,#REF!,14,FALSE),"")</f>
        <v/>
      </c>
      <c r="S1141" s="1217">
        <f t="shared" si="120"/>
        <v>1.5390070921985815</v>
      </c>
      <c r="U1141" s="1728"/>
      <c r="V1141" s="864">
        <f t="shared" si="116"/>
        <v>0</v>
      </c>
      <c r="W1141" s="1767"/>
      <c r="X1141" s="864"/>
    </row>
    <row r="1142" spans="2:24" ht="16" thickBot="1" x14ac:dyDescent="0.25">
      <c r="B1142" s="1654">
        <f>SUM(H1140:H1146)</f>
        <v>49.38</v>
      </c>
      <c r="C1142" s="1208">
        <v>44230</v>
      </c>
      <c r="D1142" s="864"/>
      <c r="E1142" s="865"/>
      <c r="F1142" s="1503"/>
      <c r="G1142" s="1209"/>
      <c r="H1142" s="1210" t="str">
        <f>IFERROR(VLOOKUP(F1142,#REF!,10,FALSE),"")</f>
        <v/>
      </c>
      <c r="I1142" s="1211" t="str">
        <f t="shared" si="122"/>
        <v/>
      </c>
      <c r="J1142" s="1212"/>
      <c r="K1142" s="1741"/>
      <c r="L1142" s="1578"/>
      <c r="M1142" s="1602"/>
      <c r="N1142" s="1171" t="str">
        <f t="shared" si="119"/>
        <v/>
      </c>
      <c r="O1142" s="1213"/>
      <c r="P1142" s="1214" t="str">
        <f>IFERROR(VLOOKUP(F1142,#REF!,12,FALSE),"")</f>
        <v/>
      </c>
      <c r="Q1142" s="1215" t="s">
        <v>8</v>
      </c>
      <c r="R1142" s="1216" t="str">
        <f>IFERROR(VLOOKUP(F1142,#REF!,14,FALSE),"")</f>
        <v/>
      </c>
      <c r="S1142" s="1217" t="str">
        <f t="shared" si="120"/>
        <v/>
      </c>
      <c r="U1142" s="1728"/>
      <c r="V1142" s="864">
        <f t="shared" si="116"/>
        <v>0</v>
      </c>
      <c r="W1142" s="1767"/>
      <c r="X1142" s="864"/>
    </row>
    <row r="1143" spans="2:24" x14ac:dyDescent="0.2">
      <c r="B1143" s="1667" t="s">
        <v>144</v>
      </c>
      <c r="C1143" s="1208">
        <v>44231</v>
      </c>
      <c r="D1143" s="864">
        <v>18</v>
      </c>
      <c r="E1143" s="865" t="s">
        <v>293</v>
      </c>
      <c r="F1143" s="1503" t="s">
        <v>303</v>
      </c>
      <c r="G1143" s="1209">
        <v>4.2766203703703702E-2</v>
      </c>
      <c r="H1143" s="1210">
        <v>12.71</v>
      </c>
      <c r="I1143" s="1211">
        <f t="shared" si="122"/>
        <v>3.3647681906926593E-3</v>
      </c>
      <c r="J1143" s="1212">
        <v>155</v>
      </c>
      <c r="K1143" s="1741"/>
      <c r="L1143" s="1578">
        <v>236</v>
      </c>
      <c r="M1143" s="1602">
        <v>38</v>
      </c>
      <c r="N1143" s="1171">
        <f t="shared" si="119"/>
        <v>1.0240144673955163</v>
      </c>
      <c r="O1143" s="1213" t="s">
        <v>341</v>
      </c>
      <c r="P1143" s="1214" t="str">
        <f>IFERROR(VLOOKUP(F1143,#REF!,12,FALSE),"")</f>
        <v/>
      </c>
      <c r="Q1143" s="1215" t="s">
        <v>8</v>
      </c>
      <c r="R1143" s="1216" t="str">
        <f>IFERROR(VLOOKUP(F1143,#REF!,14,FALSE),"")</f>
        <v/>
      </c>
      <c r="S1143" s="1217">
        <f t="shared" si="120"/>
        <v>1.5225806451612902</v>
      </c>
      <c r="U1143" s="1728"/>
      <c r="V1143" s="864">
        <f t="shared" si="116"/>
        <v>0</v>
      </c>
      <c r="W1143" s="1767"/>
      <c r="X1143" s="864"/>
    </row>
    <row r="1144" spans="2:24" ht="16" thickBot="1" x14ac:dyDescent="0.25">
      <c r="B1144" s="1668" t="e">
        <f>SUM(#REF!)</f>
        <v>#REF!</v>
      </c>
      <c r="C1144" s="1208">
        <v>44232</v>
      </c>
      <c r="D1144" s="864">
        <v>19</v>
      </c>
      <c r="E1144" s="865" t="s">
        <v>293</v>
      </c>
      <c r="F1144" s="1503" t="s">
        <v>282</v>
      </c>
      <c r="G1144" s="1209">
        <v>4.0219907407407406E-2</v>
      </c>
      <c r="H1144" s="1210">
        <v>9.94</v>
      </c>
      <c r="I1144" s="1211">
        <f t="shared" si="122"/>
        <v>4.0462683508458155E-3</v>
      </c>
      <c r="J1144" s="1212">
        <v>131</v>
      </c>
      <c r="K1144" s="1741"/>
      <c r="L1144" s="1578">
        <v>200</v>
      </c>
      <c r="M1144" s="1602">
        <v>27</v>
      </c>
      <c r="N1144" s="1171">
        <f t="shared" si="119"/>
        <v>1.0435748821285924</v>
      </c>
      <c r="O1144" s="1213" t="s">
        <v>339</v>
      </c>
      <c r="P1144" s="1214" t="str">
        <f>IFERROR(VLOOKUP(F1144,#REF!,12,FALSE),"")</f>
        <v/>
      </c>
      <c r="Q1144" s="1215" t="s">
        <v>8</v>
      </c>
      <c r="R1144" s="1216" t="str">
        <f>IFERROR(VLOOKUP(F1144,#REF!,14,FALSE),"")</f>
        <v/>
      </c>
      <c r="S1144" s="1217">
        <f t="shared" si="120"/>
        <v>1.5267175572519085</v>
      </c>
      <c r="U1144" s="1728"/>
      <c r="V1144" s="864">
        <f t="shared" si="116"/>
        <v>0</v>
      </c>
      <c r="W1144" s="1767"/>
      <c r="X1144" s="864"/>
    </row>
    <row r="1145" spans="2:24" x14ac:dyDescent="0.2">
      <c r="B1145" s="1669" t="s">
        <v>256</v>
      </c>
      <c r="C1145" s="1208">
        <v>44233</v>
      </c>
      <c r="D1145" s="864"/>
      <c r="E1145" s="865"/>
      <c r="F1145" s="1503"/>
      <c r="G1145" s="1209"/>
      <c r="H1145" s="1210" t="str">
        <f>IFERROR(VLOOKUP(F1145,#REF!,10,FALSE),"")</f>
        <v/>
      </c>
      <c r="I1145" s="1211" t="str">
        <f t="shared" si="122"/>
        <v/>
      </c>
      <c r="J1145" s="1212"/>
      <c r="K1145" s="1741"/>
      <c r="L1145" s="1578"/>
      <c r="M1145" s="1602"/>
      <c r="N1145" s="1171" t="str">
        <f t="shared" si="119"/>
        <v/>
      </c>
      <c r="O1145" s="1213"/>
      <c r="P1145" s="1214" t="str">
        <f>IFERROR(VLOOKUP(F1145,#REF!,12,FALSE),"")</f>
        <v/>
      </c>
      <c r="Q1145" s="1215" t="s">
        <v>8</v>
      </c>
      <c r="R1145" s="1216" t="str">
        <f>IFERROR(VLOOKUP(F1145,#REF!,14,FALSE),"")</f>
        <v/>
      </c>
      <c r="S1145" s="1217" t="str">
        <f t="shared" si="120"/>
        <v/>
      </c>
      <c r="U1145" s="1728"/>
      <c r="V1145" s="864">
        <f t="shared" si="116"/>
        <v>0</v>
      </c>
      <c r="W1145" s="1767"/>
      <c r="X1145" s="864"/>
    </row>
    <row r="1146" spans="2:24" ht="16" thickBot="1" x14ac:dyDescent="0.25">
      <c r="B1146" s="1670" t="e">
        <f>AVERAGE(#REF!)</f>
        <v>#REF!</v>
      </c>
      <c r="C1146" s="1218">
        <v>44234</v>
      </c>
      <c r="D1146" s="1219">
        <v>20</v>
      </c>
      <c r="E1146" s="1220" t="s">
        <v>293</v>
      </c>
      <c r="F1146" s="1530" t="s">
        <v>273</v>
      </c>
      <c r="G1146" s="1221">
        <v>6.4317129629629641E-2</v>
      </c>
      <c r="H1146" s="1222">
        <v>16.78</v>
      </c>
      <c r="I1146" s="1223">
        <f t="shared" si="122"/>
        <v>3.8329636251269151E-3</v>
      </c>
      <c r="J1146" s="1224">
        <v>142</v>
      </c>
      <c r="K1146" s="1741"/>
      <c r="L1146" s="1579">
        <v>213</v>
      </c>
      <c r="M1146" s="1603">
        <v>47</v>
      </c>
      <c r="N1146" s="1197">
        <f t="shared" si="119"/>
        <v>1.0528178535214276</v>
      </c>
      <c r="O1146" s="1225" t="s">
        <v>311</v>
      </c>
      <c r="P1146" s="1146" t="str">
        <f>IFERROR(VLOOKUP(F1146,#REF!,12,FALSE),"")</f>
        <v/>
      </c>
      <c r="Q1146" s="1226" t="s">
        <v>8</v>
      </c>
      <c r="R1146" s="1227" t="str">
        <f>IFERROR(VLOOKUP(F1146,#REF!,14,FALSE),"")</f>
        <v/>
      </c>
      <c r="S1146" s="1228">
        <f t="shared" si="120"/>
        <v>1.5</v>
      </c>
      <c r="U1146" s="1728"/>
      <c r="V1146" s="1219">
        <f t="shared" ref="V1146:V1209" si="123">U1145-T1145</f>
        <v>0</v>
      </c>
      <c r="W1146" s="1768"/>
      <c r="X1146" s="1219"/>
    </row>
    <row r="1147" spans="2:24" ht="16" thickBot="1" x14ac:dyDescent="0.25">
      <c r="B1147" s="1661">
        <f>B1140+1</f>
        <v>6</v>
      </c>
      <c r="C1147" s="1199">
        <v>44235</v>
      </c>
      <c r="D1147" s="1108"/>
      <c r="E1147" s="1109"/>
      <c r="F1147" s="1505"/>
      <c r="G1147" s="1200"/>
      <c r="H1147" s="1201" t="str">
        <f>IFERROR(VLOOKUP(F1147,#REF!,10,FALSE),"")</f>
        <v/>
      </c>
      <c r="I1147" s="1202" t="str">
        <f t="shared" si="122"/>
        <v/>
      </c>
      <c r="J1147" s="1203"/>
      <c r="K1147" s="1741"/>
      <c r="L1147" s="1577"/>
      <c r="M1147" s="1374"/>
      <c r="N1147" s="1111" t="str">
        <f t="shared" si="119"/>
        <v/>
      </c>
      <c r="O1147" s="1204"/>
      <c r="P1147" s="1113" t="str">
        <f>IFERROR(VLOOKUP(F1147,#REF!,12,FALSE),"")</f>
        <v/>
      </c>
      <c r="Q1147" s="1205" t="s">
        <v>8</v>
      </c>
      <c r="R1147" s="1206" t="str">
        <f>IFERROR(VLOOKUP(F1147,#REF!,14,FALSE),"")</f>
        <v/>
      </c>
      <c r="S1147" s="1207" t="str">
        <f t="shared" si="120"/>
        <v/>
      </c>
      <c r="U1147" s="1728"/>
      <c r="V1147" s="1108">
        <f t="shared" si="123"/>
        <v>0</v>
      </c>
      <c r="W1147" s="1766"/>
      <c r="X1147" s="1108"/>
    </row>
    <row r="1148" spans="2:24" x14ac:dyDescent="0.2">
      <c r="B1148" s="1666" t="s">
        <v>142</v>
      </c>
      <c r="C1148" s="1208">
        <v>44236</v>
      </c>
      <c r="D1148" s="864"/>
      <c r="E1148" s="865"/>
      <c r="F1148" s="1503"/>
      <c r="G1148" s="1209"/>
      <c r="H1148" s="1210" t="str">
        <f>IFERROR(VLOOKUP(F1148,#REF!,10,FALSE),"")</f>
        <v/>
      </c>
      <c r="I1148" s="1211" t="str">
        <f t="shared" si="122"/>
        <v/>
      </c>
      <c r="J1148" s="1212"/>
      <c r="K1148" s="1741"/>
      <c r="L1148" s="1578"/>
      <c r="M1148" s="1602"/>
      <c r="N1148" s="1171" t="str">
        <f t="shared" si="119"/>
        <v/>
      </c>
      <c r="O1148" s="1213"/>
      <c r="P1148" s="1214" t="str">
        <f>IFERROR(VLOOKUP(F1148,#REF!,12,FALSE),"")</f>
        <v/>
      </c>
      <c r="Q1148" s="1229" t="s">
        <v>8</v>
      </c>
      <c r="R1148" s="1216" t="str">
        <f>IFERROR(VLOOKUP(F1148,#REF!,14,FALSE),"")</f>
        <v/>
      </c>
      <c r="S1148" s="1217" t="str">
        <f t="shared" si="120"/>
        <v/>
      </c>
      <c r="U1148" s="1728"/>
      <c r="V1148" s="864">
        <f t="shared" si="123"/>
        <v>0</v>
      </c>
      <c r="W1148" s="1767"/>
      <c r="X1148" s="864"/>
    </row>
    <row r="1149" spans="2:24" ht="16" thickBot="1" x14ac:dyDescent="0.25">
      <c r="B1149" s="1654">
        <f>SUM(H1147:H1153)</f>
        <v>29.9</v>
      </c>
      <c r="C1149" s="1208">
        <v>44237</v>
      </c>
      <c r="D1149" s="864">
        <v>21</v>
      </c>
      <c r="E1149" s="865" t="s">
        <v>293</v>
      </c>
      <c r="F1149" s="1503" t="s">
        <v>285</v>
      </c>
      <c r="G1149" s="1209">
        <v>3.4108796296296297E-2</v>
      </c>
      <c r="H1149" s="1210">
        <v>9.1199999999999992</v>
      </c>
      <c r="I1149" s="1211">
        <f t="shared" si="122"/>
        <v>3.7399995938921381E-3</v>
      </c>
      <c r="J1149" s="1212">
        <v>139</v>
      </c>
      <c r="K1149" s="1741"/>
      <c r="L1149" s="1578">
        <v>218</v>
      </c>
      <c r="M1149" s="1602">
        <v>33</v>
      </c>
      <c r="N1149" s="1171">
        <f t="shared" si="119"/>
        <v>1.0513976171772716</v>
      </c>
      <c r="O1149" s="1213" t="s">
        <v>259</v>
      </c>
      <c r="P1149" s="1214" t="str">
        <f>IFERROR(VLOOKUP(F1149,#REF!,12,FALSE),"")</f>
        <v/>
      </c>
      <c r="Q1149" s="1229" t="s">
        <v>8</v>
      </c>
      <c r="R1149" s="1216" t="str">
        <f>IFERROR(VLOOKUP(F1149,#REF!,14,FALSE),"")</f>
        <v/>
      </c>
      <c r="S1149" s="1217">
        <f t="shared" si="120"/>
        <v>1.5683453237410072</v>
      </c>
      <c r="U1149" s="1728"/>
      <c r="V1149" s="864">
        <f t="shared" si="123"/>
        <v>0</v>
      </c>
      <c r="W1149" s="1767"/>
      <c r="X1149" s="864"/>
    </row>
    <row r="1150" spans="2:24" x14ac:dyDescent="0.2">
      <c r="B1150" s="1667" t="s">
        <v>144</v>
      </c>
      <c r="C1150" s="1208">
        <v>44238</v>
      </c>
      <c r="D1150" s="864"/>
      <c r="E1150" s="865"/>
      <c r="F1150" s="1503"/>
      <c r="G1150" s="1209"/>
      <c r="H1150" s="1210" t="str">
        <f>IFERROR(VLOOKUP(F1150,#REF!,10,FALSE),"")</f>
        <v/>
      </c>
      <c r="I1150" s="1211" t="str">
        <f t="shared" si="122"/>
        <v/>
      </c>
      <c r="J1150" s="1212"/>
      <c r="K1150" s="1741"/>
      <c r="L1150" s="1578"/>
      <c r="M1150" s="1602"/>
      <c r="N1150" s="1171" t="str">
        <f t="shared" si="119"/>
        <v/>
      </c>
      <c r="O1150" s="1213"/>
      <c r="P1150" s="1214" t="str">
        <f>IFERROR(VLOOKUP(F1150,#REF!,12,FALSE),"")</f>
        <v/>
      </c>
      <c r="Q1150" s="1229" t="s">
        <v>8</v>
      </c>
      <c r="R1150" s="1216" t="str">
        <f>IFERROR(VLOOKUP(F1150,#REF!,14,FALSE),"")</f>
        <v/>
      </c>
      <c r="S1150" s="1217" t="str">
        <f t="shared" si="120"/>
        <v/>
      </c>
      <c r="U1150" s="1728"/>
      <c r="V1150" s="864">
        <f t="shared" si="123"/>
        <v>0</v>
      </c>
      <c r="W1150" s="1767"/>
      <c r="X1150" s="864"/>
    </row>
    <row r="1151" spans="2:24" ht="16" thickBot="1" x14ac:dyDescent="0.25">
      <c r="B1151" s="1668" t="e">
        <f>SUM(#REF!)</f>
        <v>#REF!</v>
      </c>
      <c r="C1151" s="1208">
        <v>44239</v>
      </c>
      <c r="D1151" s="864">
        <v>22</v>
      </c>
      <c r="E1151" s="865" t="s">
        <v>293</v>
      </c>
      <c r="F1151" s="1503" t="s">
        <v>278</v>
      </c>
      <c r="G1151" s="1209">
        <v>3.9733796296296302E-2</v>
      </c>
      <c r="H1151" s="1210">
        <v>10.220000000000001</v>
      </c>
      <c r="I1151" s="1211">
        <f t="shared" si="122"/>
        <v>3.8878469957237083E-3</v>
      </c>
      <c r="J1151" s="1212">
        <v>144</v>
      </c>
      <c r="K1151" s="1741"/>
      <c r="L1151" s="1578">
        <v>211</v>
      </c>
      <c r="M1151" s="1602">
        <v>31</v>
      </c>
      <c r="N1151" s="1171">
        <f t="shared" si="119"/>
        <v>1.057865759266291</v>
      </c>
      <c r="O1151" s="1213" t="s">
        <v>339</v>
      </c>
      <c r="P1151" s="1214" t="str">
        <f>IFERROR(VLOOKUP(F1151,#REF!,12,FALSE),"")</f>
        <v/>
      </c>
      <c r="Q1151" s="1229" t="s">
        <v>8</v>
      </c>
      <c r="R1151" s="1216" t="str">
        <f>IFERROR(VLOOKUP(F1151,#REF!,14,FALSE),"")</f>
        <v/>
      </c>
      <c r="S1151" s="1217">
        <f t="shared" si="120"/>
        <v>1.4652777777777777</v>
      </c>
      <c r="U1151" s="1728"/>
      <c r="V1151" s="864">
        <f t="shared" si="123"/>
        <v>0</v>
      </c>
      <c r="W1151" s="1767"/>
      <c r="X1151" s="864"/>
    </row>
    <row r="1152" spans="2:24" x14ac:dyDescent="0.2">
      <c r="B1152" s="1669" t="s">
        <v>256</v>
      </c>
      <c r="C1152" s="1208">
        <v>44240</v>
      </c>
      <c r="D1152" s="864"/>
      <c r="E1152" s="865"/>
      <c r="F1152" s="1503"/>
      <c r="G1152" s="1209"/>
      <c r="H1152" s="1210" t="str">
        <f>IFERROR(VLOOKUP(F1152,#REF!,10,FALSE),"")</f>
        <v/>
      </c>
      <c r="I1152" s="1211" t="str">
        <f t="shared" si="122"/>
        <v/>
      </c>
      <c r="J1152" s="1212"/>
      <c r="K1152" s="1741"/>
      <c r="L1152" s="1578"/>
      <c r="M1152" s="1602"/>
      <c r="N1152" s="1171" t="str">
        <f t="shared" si="119"/>
        <v/>
      </c>
      <c r="O1152" s="1213"/>
      <c r="P1152" s="1214" t="str">
        <f>IFERROR(VLOOKUP(F1152,#REF!,12,FALSE),"")</f>
        <v/>
      </c>
      <c r="Q1152" s="1229" t="s">
        <v>8</v>
      </c>
      <c r="R1152" s="1216" t="str">
        <f>IFERROR(VLOOKUP(F1152,#REF!,14,FALSE),"")</f>
        <v/>
      </c>
      <c r="S1152" s="1217" t="str">
        <f t="shared" si="120"/>
        <v/>
      </c>
      <c r="U1152" s="1728"/>
      <c r="V1152" s="864">
        <f t="shared" si="123"/>
        <v>0</v>
      </c>
      <c r="W1152" s="1767"/>
      <c r="X1152" s="864"/>
    </row>
    <row r="1153" spans="2:24" ht="16" thickBot="1" x14ac:dyDescent="0.25">
      <c r="B1153" s="1670" t="e">
        <f>AVERAGE(#REF!)</f>
        <v>#REF!</v>
      </c>
      <c r="C1153" s="544">
        <v>44241</v>
      </c>
      <c r="D1153" s="67">
        <v>23</v>
      </c>
      <c r="E1153" s="208" t="s">
        <v>293</v>
      </c>
      <c r="F1153" s="1429" t="s">
        <v>278</v>
      </c>
      <c r="G1153" s="1230">
        <v>3.9444444444444442E-2</v>
      </c>
      <c r="H1153" s="1231">
        <v>10.56</v>
      </c>
      <c r="I1153" s="1232">
        <f t="shared" si="122"/>
        <v>3.7352693602693597E-3</v>
      </c>
      <c r="J1153" s="256">
        <v>139</v>
      </c>
      <c r="K1153" s="1741"/>
      <c r="L1153" s="1580">
        <v>218</v>
      </c>
      <c r="M1153" s="1561">
        <v>30</v>
      </c>
      <c r="N1153" s="172">
        <f t="shared" si="119"/>
        <v>1.050067842605156</v>
      </c>
      <c r="O1153" s="1233" t="s">
        <v>311</v>
      </c>
      <c r="P1153" s="447" t="str">
        <f>IFERROR(VLOOKUP(F1153,#REF!,12,FALSE),"")</f>
        <v/>
      </c>
      <c r="Q1153" s="1234" t="s">
        <v>8</v>
      </c>
      <c r="R1153" s="1235" t="str">
        <f>IFERROR(VLOOKUP(F1153,#REF!,14,FALSE),"")</f>
        <v/>
      </c>
      <c r="S1153" s="1236">
        <f t="shared" si="120"/>
        <v>1.5683453237410072</v>
      </c>
      <c r="U1153" s="1728"/>
      <c r="V1153" s="67">
        <f t="shared" si="123"/>
        <v>0</v>
      </c>
      <c r="W1153" s="1768"/>
      <c r="X1153" s="67"/>
    </row>
    <row r="1154" spans="2:24" ht="16" thickBot="1" x14ac:dyDescent="0.25">
      <c r="B1154" s="1661">
        <f>B1147+1</f>
        <v>7</v>
      </c>
      <c r="C1154" s="1237">
        <v>44242</v>
      </c>
      <c r="D1154" s="70"/>
      <c r="E1154" s="71"/>
      <c r="F1154" s="1505"/>
      <c r="G1154" s="1238"/>
      <c r="H1154" s="1239" t="str">
        <f>IFERROR(VLOOKUP(F1154,#REF!,10,FALSE),"")</f>
        <v/>
      </c>
      <c r="I1154" s="1240" t="str">
        <f t="shared" si="122"/>
        <v/>
      </c>
      <c r="J1154" s="265"/>
      <c r="K1154" s="1741"/>
      <c r="L1154" s="1581"/>
      <c r="M1154" s="265"/>
      <c r="N1154" s="77" t="str">
        <f t="shared" si="119"/>
        <v/>
      </c>
      <c r="O1154" s="1241"/>
      <c r="P1154" s="79" t="str">
        <f>IFERROR(VLOOKUP(F1154,#REF!,12,FALSE),"")</f>
        <v/>
      </c>
      <c r="Q1154" s="1242" t="s">
        <v>8</v>
      </c>
      <c r="R1154" s="1243" t="str">
        <f>IFERROR(VLOOKUP(F1154,#REF!,14,FALSE),"")</f>
        <v/>
      </c>
      <c r="S1154" s="1244" t="str">
        <f t="shared" si="120"/>
        <v/>
      </c>
      <c r="U1154" s="1728"/>
      <c r="V1154" s="70">
        <f t="shared" si="123"/>
        <v>0</v>
      </c>
      <c r="W1154" s="1766"/>
      <c r="X1154" s="70"/>
    </row>
    <row r="1155" spans="2:24" x14ac:dyDescent="0.2">
      <c r="B1155" s="1666" t="s">
        <v>142</v>
      </c>
      <c r="C1155" s="1208">
        <v>44243</v>
      </c>
      <c r="D1155" s="864">
        <v>24</v>
      </c>
      <c r="E1155" s="865" t="s">
        <v>293</v>
      </c>
      <c r="F1155" s="1503" t="s">
        <v>278</v>
      </c>
      <c r="G1155" s="1209">
        <v>3.9583333333333331E-2</v>
      </c>
      <c r="H1155" s="1210">
        <v>10.55</v>
      </c>
      <c r="I1155" s="1211">
        <f t="shared" si="122"/>
        <v>3.7519747235387041E-3</v>
      </c>
      <c r="J1155" s="1212">
        <v>140</v>
      </c>
      <c r="K1155" s="1741"/>
      <c r="L1155" s="1578">
        <v>218</v>
      </c>
      <c r="M1155" s="1602">
        <v>29</v>
      </c>
      <c r="N1155" s="1171">
        <f t="shared" si="119"/>
        <v>1.0547640942208389</v>
      </c>
      <c r="O1155" s="1213" t="s">
        <v>259</v>
      </c>
      <c r="P1155" s="1214" t="str">
        <f>IFERROR(VLOOKUP(F1155,#REF!,12,FALSE),"")</f>
        <v/>
      </c>
      <c r="Q1155" s="1215" t="s">
        <v>8</v>
      </c>
      <c r="R1155" s="1216" t="str">
        <f>IFERROR(VLOOKUP(F1155,#REF!,14,FALSE),"")</f>
        <v/>
      </c>
      <c r="S1155" s="1217">
        <f t="shared" si="120"/>
        <v>1.5571428571428572</v>
      </c>
      <c r="U1155" s="1728"/>
      <c r="V1155" s="864">
        <f t="shared" si="123"/>
        <v>0</v>
      </c>
      <c r="W1155" s="1767"/>
      <c r="X1155" s="864"/>
    </row>
    <row r="1156" spans="2:24" ht="16" thickBot="1" x14ac:dyDescent="0.25">
      <c r="B1156" s="1654">
        <f>SUM(H1154:H1160)</f>
        <v>48.379999999999995</v>
      </c>
      <c r="C1156" s="1208">
        <v>44244</v>
      </c>
      <c r="D1156" s="864">
        <v>25</v>
      </c>
      <c r="E1156" s="865" t="s">
        <v>293</v>
      </c>
      <c r="F1156" s="1503" t="s">
        <v>314</v>
      </c>
      <c r="G1156" s="1209">
        <v>4.6643518518518522E-2</v>
      </c>
      <c r="H1156" s="1210">
        <v>12.45</v>
      </c>
      <c r="I1156" s="1211">
        <f t="shared" si="122"/>
        <v>3.7464673508850218E-3</v>
      </c>
      <c r="J1156" s="1212">
        <v>148</v>
      </c>
      <c r="K1156" s="1741"/>
      <c r="L1156" s="1578">
        <v>211</v>
      </c>
      <c r="M1156" s="1602">
        <v>28</v>
      </c>
      <c r="N1156" s="1171">
        <f t="shared" si="119"/>
        <v>1.01939699094887</v>
      </c>
      <c r="O1156" s="1213" t="s">
        <v>341</v>
      </c>
      <c r="P1156" s="1214" t="str">
        <f>IFERROR(VLOOKUP(F1156,#REF!,12,FALSE),"")</f>
        <v/>
      </c>
      <c r="Q1156" s="1215" t="s">
        <v>8</v>
      </c>
      <c r="R1156" s="1216" t="str">
        <f>IFERROR(VLOOKUP(F1156,#REF!,14,FALSE),"")</f>
        <v/>
      </c>
      <c r="S1156" s="1217">
        <f t="shared" si="120"/>
        <v>1.4256756756756757</v>
      </c>
      <c r="U1156" s="1728"/>
      <c r="V1156" s="864">
        <f t="shared" si="123"/>
        <v>0</v>
      </c>
      <c r="W1156" s="1767"/>
      <c r="X1156" s="864"/>
    </row>
    <row r="1157" spans="2:24" x14ac:dyDescent="0.2">
      <c r="B1157" s="1667" t="s">
        <v>144</v>
      </c>
      <c r="C1157" s="1208">
        <v>44245</v>
      </c>
      <c r="D1157" s="864">
        <v>26</v>
      </c>
      <c r="E1157" s="865" t="s">
        <v>293</v>
      </c>
      <c r="F1157" s="1503" t="s">
        <v>282</v>
      </c>
      <c r="G1157" s="1209">
        <v>3.3958333333333333E-2</v>
      </c>
      <c r="H1157" s="1210">
        <v>8.11</v>
      </c>
      <c r="I1157" s="1211">
        <f t="shared" si="122"/>
        <v>4.1872174270448006E-3</v>
      </c>
      <c r="J1157" s="1212">
        <v>135</v>
      </c>
      <c r="K1157" s="1741"/>
      <c r="L1157" s="1578">
        <v>196</v>
      </c>
      <c r="M1157" s="1602">
        <v>18</v>
      </c>
      <c r="N1157" s="1171">
        <f t="shared" si="119"/>
        <v>1.0583285790529473</v>
      </c>
      <c r="O1157" s="1213" t="s">
        <v>339</v>
      </c>
      <c r="P1157" s="1214" t="str">
        <f>IFERROR(VLOOKUP(F1157,#REF!,12,FALSE),"")</f>
        <v/>
      </c>
      <c r="Q1157" s="1215" t="s">
        <v>8</v>
      </c>
      <c r="R1157" s="1216" t="str">
        <f>IFERROR(VLOOKUP(F1157,#REF!,14,FALSE),"")</f>
        <v/>
      </c>
      <c r="S1157" s="1217">
        <f t="shared" si="120"/>
        <v>1.4518518518518519</v>
      </c>
      <c r="U1157" s="1728"/>
      <c r="V1157" s="864">
        <f t="shared" si="123"/>
        <v>0</v>
      </c>
      <c r="W1157" s="1767"/>
      <c r="X1157" s="864"/>
    </row>
    <row r="1158" spans="2:24" ht="16" thickBot="1" x14ac:dyDescent="0.25">
      <c r="B1158" s="1668" t="e">
        <f>SUM(#REF!)</f>
        <v>#REF!</v>
      </c>
      <c r="C1158" s="1208">
        <v>44246</v>
      </c>
      <c r="D1158" s="864"/>
      <c r="E1158" s="865"/>
      <c r="F1158" s="1503"/>
      <c r="G1158" s="1209"/>
      <c r="H1158" s="1210" t="str">
        <f>IFERROR(VLOOKUP(F1158,#REF!,10,FALSE),"")</f>
        <v/>
      </c>
      <c r="I1158" s="1211" t="str">
        <f t="shared" si="122"/>
        <v/>
      </c>
      <c r="J1158" s="1212"/>
      <c r="K1158" s="1741"/>
      <c r="L1158" s="1578"/>
      <c r="M1158" s="1602"/>
      <c r="N1158" s="1171" t="str">
        <f t="shared" si="119"/>
        <v/>
      </c>
      <c r="O1158" s="1213"/>
      <c r="P1158" s="1214" t="str">
        <f>IFERROR(VLOOKUP(F1158,#REF!,12,FALSE),"")</f>
        <v/>
      </c>
      <c r="Q1158" s="1215" t="s">
        <v>8</v>
      </c>
      <c r="R1158" s="1216" t="str">
        <f>IFERROR(VLOOKUP(F1158,#REF!,14,FALSE),"")</f>
        <v/>
      </c>
      <c r="S1158" s="1217" t="str">
        <f t="shared" si="120"/>
        <v/>
      </c>
      <c r="U1158" s="1728"/>
      <c r="V1158" s="864">
        <f t="shared" si="123"/>
        <v>0</v>
      </c>
      <c r="W1158" s="1767"/>
      <c r="X1158" s="864"/>
    </row>
    <row r="1159" spans="2:24" x14ac:dyDescent="0.2">
      <c r="B1159" s="1669" t="s">
        <v>256</v>
      </c>
      <c r="C1159" s="1208">
        <v>44247</v>
      </c>
      <c r="D1159" s="864">
        <v>27</v>
      </c>
      <c r="E1159" s="865" t="s">
        <v>292</v>
      </c>
      <c r="F1159" s="1503" t="s">
        <v>274</v>
      </c>
      <c r="G1159" s="1209">
        <v>6.9606481481481478E-2</v>
      </c>
      <c r="H1159" s="1210">
        <v>17.27</v>
      </c>
      <c r="I1159" s="1211">
        <f t="shared" si="122"/>
        <v>4.0304853202942376E-3</v>
      </c>
      <c r="J1159" s="1212">
        <v>134</v>
      </c>
      <c r="K1159" s="1741"/>
      <c r="L1159" s="1578">
        <v>201</v>
      </c>
      <c r="M1159" s="1602">
        <v>65</v>
      </c>
      <c r="N1159" s="1171">
        <f t="shared" si="119"/>
        <v>1.0447017950202664</v>
      </c>
      <c r="O1159" s="1213" t="s">
        <v>295</v>
      </c>
      <c r="P1159" s="1214" t="str">
        <f>IFERROR(VLOOKUP(F1159,#REF!,12,FALSE),"")</f>
        <v/>
      </c>
      <c r="Q1159" s="1215" t="s">
        <v>8</v>
      </c>
      <c r="R1159" s="1216" t="str">
        <f>IFERROR(VLOOKUP(F1159,#REF!,14,FALSE),"")</f>
        <v/>
      </c>
      <c r="S1159" s="1217">
        <f t="shared" si="120"/>
        <v>1.5</v>
      </c>
      <c r="U1159" s="1728"/>
      <c r="V1159" s="864">
        <f t="shared" si="123"/>
        <v>0</v>
      </c>
      <c r="W1159" s="1767"/>
      <c r="X1159" s="864"/>
    </row>
    <row r="1160" spans="2:24" ht="16" thickBot="1" x14ac:dyDescent="0.25">
      <c r="B1160" s="1670" t="e">
        <f>AVERAGE(#REF!)</f>
        <v>#REF!</v>
      </c>
      <c r="C1160" s="1245">
        <v>44248</v>
      </c>
      <c r="D1160" s="1097"/>
      <c r="E1160" s="1098"/>
      <c r="F1160" s="1429"/>
      <c r="G1160" s="1246"/>
      <c r="H1160" s="1247" t="str">
        <f>IFERROR(VLOOKUP(F1160,#REF!,10,FALSE),"")</f>
        <v/>
      </c>
      <c r="I1160" s="1248" t="str">
        <f t="shared" si="122"/>
        <v/>
      </c>
      <c r="J1160" s="1249"/>
      <c r="K1160" s="1741"/>
      <c r="L1160" s="984"/>
      <c r="M1160" s="1603"/>
      <c r="N1160" s="1250" t="str">
        <f t="shared" si="119"/>
        <v/>
      </c>
      <c r="O1160" s="1251"/>
      <c r="P1160" s="1146" t="str">
        <f>IFERROR(VLOOKUP(F1160,#REF!,12,FALSE),"")</f>
        <v/>
      </c>
      <c r="Q1160" s="1252" t="s">
        <v>8</v>
      </c>
      <c r="R1160" s="1253" t="str">
        <f>IFERROR(VLOOKUP(F1160,#REF!,14,FALSE),"")</f>
        <v/>
      </c>
      <c r="S1160" s="1106" t="str">
        <f t="shared" si="120"/>
        <v/>
      </c>
      <c r="U1160" s="1728"/>
      <c r="V1160" s="1097">
        <f t="shared" si="123"/>
        <v>0</v>
      </c>
      <c r="W1160" s="1768"/>
      <c r="X1160" s="1097"/>
    </row>
    <row r="1161" spans="2:24" ht="16" thickBot="1" x14ac:dyDescent="0.25">
      <c r="B1161" s="1661">
        <f>B1154+1</f>
        <v>8</v>
      </c>
      <c r="C1161" s="1199">
        <v>44249</v>
      </c>
      <c r="D1161" s="1108">
        <v>28</v>
      </c>
      <c r="E1161" s="1109" t="s">
        <v>293</v>
      </c>
      <c r="F1161" s="1505" t="s">
        <v>279</v>
      </c>
      <c r="G1161" s="1200">
        <v>3.9189814814814809E-2</v>
      </c>
      <c r="H1161" s="1201">
        <v>10.32</v>
      </c>
      <c r="I1161" s="1202">
        <f t="shared" si="122"/>
        <v>3.797462675854148E-3</v>
      </c>
      <c r="J1161" s="1203">
        <v>138</v>
      </c>
      <c r="K1161" s="1741"/>
      <c r="L1161" s="1577">
        <v>214</v>
      </c>
      <c r="M1161" s="1374">
        <v>27</v>
      </c>
      <c r="N1161" s="1111">
        <f t="shared" si="119"/>
        <v>1.0479636700219828</v>
      </c>
      <c r="O1161" s="1204" t="s">
        <v>311</v>
      </c>
      <c r="P1161" s="1113" t="str">
        <f>IFERROR(VLOOKUP(F1161,#REF!,12,FALSE),"")</f>
        <v/>
      </c>
      <c r="Q1161" s="1254" t="s">
        <v>8</v>
      </c>
      <c r="R1161" s="1255" t="str">
        <f>IFERROR(VLOOKUP(F1161,#REF!,14,FALSE),"")</f>
        <v/>
      </c>
      <c r="S1161" s="1207">
        <f t="shared" si="120"/>
        <v>1.5507246376811594</v>
      </c>
      <c r="U1161" s="1728"/>
      <c r="V1161" s="1108">
        <f t="shared" si="123"/>
        <v>0</v>
      </c>
      <c r="W1161" s="1766"/>
      <c r="X1161" s="1108"/>
    </row>
    <row r="1162" spans="2:24" x14ac:dyDescent="0.2">
      <c r="B1162" s="1666" t="s">
        <v>142</v>
      </c>
      <c r="C1162" s="1256">
        <v>44250</v>
      </c>
      <c r="D1162" s="1257"/>
      <c r="E1162" s="1258"/>
      <c r="F1162" s="1531"/>
      <c r="G1162" s="1259"/>
      <c r="H1162" s="1260" t="str">
        <f>IFERROR(VLOOKUP(F1162,#REF!,10,FALSE),"")</f>
        <v/>
      </c>
      <c r="I1162" s="1261" t="str">
        <f t="shared" si="122"/>
        <v/>
      </c>
      <c r="J1162" s="1262"/>
      <c r="K1162" s="1741"/>
      <c r="L1162" s="1578"/>
      <c r="M1162" s="1602"/>
      <c r="N1162" s="1263" t="str">
        <f t="shared" si="119"/>
        <v/>
      </c>
      <c r="O1162" s="1264"/>
      <c r="P1162" s="1265" t="str">
        <f>IFERROR(VLOOKUP(F1162,#REF!,12,FALSE),"")</f>
        <v/>
      </c>
      <c r="Q1162" s="1266" t="s">
        <v>8</v>
      </c>
      <c r="R1162" s="1267" t="str">
        <f>IFERROR(VLOOKUP(F1162,#REF!,14,FALSE),"")</f>
        <v/>
      </c>
      <c r="S1162" s="1268" t="str">
        <f t="shared" si="120"/>
        <v/>
      </c>
      <c r="U1162" s="1728"/>
      <c r="V1162" s="1257">
        <f t="shared" si="123"/>
        <v>0</v>
      </c>
      <c r="W1162" s="1767"/>
      <c r="X1162" s="1257"/>
    </row>
    <row r="1163" spans="2:24" ht="16" thickBot="1" x14ac:dyDescent="0.25">
      <c r="B1163" s="1654">
        <f>SUM(H1161:H1167)</f>
        <v>50.81</v>
      </c>
      <c r="C1163" s="1256">
        <v>44251</v>
      </c>
      <c r="D1163" s="1257">
        <v>29</v>
      </c>
      <c r="E1163" s="1258" t="s">
        <v>293</v>
      </c>
      <c r="F1163" s="1531" t="s">
        <v>304</v>
      </c>
      <c r="G1163" s="1259">
        <v>3.9872685185185185E-2</v>
      </c>
      <c r="H1163" s="1260">
        <v>11.47</v>
      </c>
      <c r="I1163" s="1261">
        <f t="shared" si="122"/>
        <v>3.4762585165810968E-3</v>
      </c>
      <c r="J1163" s="1262">
        <v>150</v>
      </c>
      <c r="K1163" s="1741"/>
      <c r="L1163" s="1578">
        <v>228</v>
      </c>
      <c r="M1163" s="1602">
        <v>30</v>
      </c>
      <c r="N1163" s="1263">
        <f t="shared" si="119"/>
        <v>1.0220822652214083</v>
      </c>
      <c r="O1163" s="1264" t="s">
        <v>341</v>
      </c>
      <c r="P1163" s="1265" t="str">
        <f>IFERROR(VLOOKUP(F1163,#REF!,12,FALSE),"")</f>
        <v/>
      </c>
      <c r="Q1163" s="1266" t="s">
        <v>8</v>
      </c>
      <c r="R1163" s="1267" t="str">
        <f>IFERROR(VLOOKUP(F1163,#REF!,14,FALSE),"")</f>
        <v/>
      </c>
      <c r="S1163" s="1268">
        <f t="shared" si="120"/>
        <v>1.52</v>
      </c>
      <c r="U1163" s="1728"/>
      <c r="V1163" s="1257">
        <f t="shared" si="123"/>
        <v>0</v>
      </c>
      <c r="W1163" s="1767"/>
      <c r="X1163" s="1257"/>
    </row>
    <row r="1164" spans="2:24" x14ac:dyDescent="0.2">
      <c r="B1164" s="1667" t="s">
        <v>144</v>
      </c>
      <c r="C1164" s="1256">
        <v>44252</v>
      </c>
      <c r="D1164" s="1257">
        <v>30</v>
      </c>
      <c r="E1164" s="1258" t="s">
        <v>293</v>
      </c>
      <c r="F1164" s="1531" t="s">
        <v>282</v>
      </c>
      <c r="G1164" s="1259">
        <v>3.7430555555555557E-2</v>
      </c>
      <c r="H1164" s="1260">
        <v>9.39</v>
      </c>
      <c r="I1164" s="1261">
        <f t="shared" si="122"/>
        <v>3.986214649153946E-3</v>
      </c>
      <c r="J1164" s="1262">
        <v>130</v>
      </c>
      <c r="K1164" s="1741"/>
      <c r="L1164" s="1578">
        <v>205</v>
      </c>
      <c r="M1164" s="1602">
        <v>32</v>
      </c>
      <c r="N1164" s="1263">
        <f t="shared" si="119"/>
        <v>1.0537885651614134</v>
      </c>
      <c r="O1164" s="1264" t="s">
        <v>339</v>
      </c>
      <c r="P1164" s="1265" t="str">
        <f>IFERROR(VLOOKUP(F1164,#REF!,12,FALSE),"")</f>
        <v/>
      </c>
      <c r="Q1164" s="1266" t="s">
        <v>8</v>
      </c>
      <c r="R1164" s="1267" t="str">
        <f>IFERROR(VLOOKUP(F1164,#REF!,14,FALSE),"")</f>
        <v/>
      </c>
      <c r="S1164" s="1268">
        <f t="shared" si="120"/>
        <v>1.5769230769230769</v>
      </c>
      <c r="U1164" s="1728"/>
      <c r="V1164" s="1257">
        <f t="shared" si="123"/>
        <v>0</v>
      </c>
      <c r="W1164" s="1767"/>
      <c r="X1164" s="1257"/>
    </row>
    <row r="1165" spans="2:24" ht="16" thickBot="1" x14ac:dyDescent="0.25">
      <c r="B1165" s="1668" t="e">
        <f>SUM(#REF!)</f>
        <v>#REF!</v>
      </c>
      <c r="C1165" s="1256">
        <v>44253</v>
      </c>
      <c r="D1165" s="1257"/>
      <c r="E1165" s="1258"/>
      <c r="F1165" s="1531"/>
      <c r="G1165" s="1259"/>
      <c r="H1165" s="1260" t="str">
        <f>IFERROR(VLOOKUP(F1165,#REF!,10,FALSE),"")</f>
        <v/>
      </c>
      <c r="I1165" s="1261" t="str">
        <f t="shared" si="122"/>
        <v/>
      </c>
      <c r="J1165" s="1262"/>
      <c r="K1165" s="1741"/>
      <c r="L1165" s="1578"/>
      <c r="M1165" s="1602"/>
      <c r="N1165" s="1263" t="str">
        <f t="shared" si="119"/>
        <v/>
      </c>
      <c r="O1165" s="1264"/>
      <c r="P1165" s="1265" t="str">
        <f>IFERROR(VLOOKUP(F1165,#REF!,12,FALSE),"")</f>
        <v/>
      </c>
      <c r="Q1165" s="1266" t="s">
        <v>8</v>
      </c>
      <c r="R1165" s="1267" t="str">
        <f>IFERROR(VLOOKUP(F1165,#REF!,14,FALSE),"")</f>
        <v/>
      </c>
      <c r="S1165" s="1268" t="str">
        <f t="shared" si="120"/>
        <v/>
      </c>
      <c r="U1165" s="1728"/>
      <c r="V1165" s="1257">
        <f t="shared" si="123"/>
        <v>0</v>
      </c>
      <c r="W1165" s="1767"/>
      <c r="X1165" s="1257"/>
    </row>
    <row r="1166" spans="2:24" x14ac:dyDescent="0.2">
      <c r="B1166" s="1669" t="s">
        <v>256</v>
      </c>
      <c r="C1166" s="1256">
        <v>44254</v>
      </c>
      <c r="D1166" s="1257">
        <v>31</v>
      </c>
      <c r="E1166" s="1258" t="s">
        <v>292</v>
      </c>
      <c r="F1166" s="1531" t="s">
        <v>275</v>
      </c>
      <c r="G1166" s="1259">
        <v>7.4189814814814806E-2</v>
      </c>
      <c r="H1166" s="1260">
        <v>19.63</v>
      </c>
      <c r="I1166" s="1261">
        <f t="shared" si="122"/>
        <v>3.7794098224561796E-3</v>
      </c>
      <c r="J1166" s="1262">
        <v>136</v>
      </c>
      <c r="K1166" s="1741"/>
      <c r="L1166" s="1578">
        <v>213</v>
      </c>
      <c r="M1166" s="1602">
        <v>76</v>
      </c>
      <c r="N1166" s="1263">
        <f t="shared" si="119"/>
        <v>1.0381079827556052</v>
      </c>
      <c r="O1166" s="1264" t="s">
        <v>311</v>
      </c>
      <c r="P1166" s="1265" t="str">
        <f>IFERROR(VLOOKUP(F1166,#REF!,12,FALSE),"")</f>
        <v/>
      </c>
      <c r="Q1166" s="1266" t="s">
        <v>8</v>
      </c>
      <c r="R1166" s="1267" t="str">
        <f>IFERROR(VLOOKUP(F1166,#REF!,14,FALSE),"")</f>
        <v/>
      </c>
      <c r="S1166" s="1268">
        <f t="shared" si="120"/>
        <v>1.5661764705882353</v>
      </c>
      <c r="U1166" s="1728"/>
      <c r="V1166" s="1257">
        <f t="shared" si="123"/>
        <v>0</v>
      </c>
      <c r="W1166" s="1767"/>
      <c r="X1166" s="1257"/>
    </row>
    <row r="1167" spans="2:24" ht="16" thickBot="1" x14ac:dyDescent="0.25">
      <c r="B1167" s="1670" t="e">
        <f>AVERAGE(#REF!)</f>
        <v>#REF!</v>
      </c>
      <c r="C1167" s="544">
        <v>44255</v>
      </c>
      <c r="D1167" s="67"/>
      <c r="E1167" s="208"/>
      <c r="F1167" s="1429"/>
      <c r="G1167" s="1230"/>
      <c r="H1167" s="1231" t="str">
        <f>IFERROR(VLOOKUP(F1167,#REF!,10,FALSE),"")</f>
        <v/>
      </c>
      <c r="I1167" s="1232" t="str">
        <f t="shared" si="122"/>
        <v/>
      </c>
      <c r="J1167" s="256"/>
      <c r="K1167" s="1741"/>
      <c r="L1167" s="1580"/>
      <c r="M1167" s="1561"/>
      <c r="N1167" s="172" t="str">
        <f t="shared" si="119"/>
        <v/>
      </c>
      <c r="O1167" s="1233"/>
      <c r="P1167" s="447" t="str">
        <f>IFERROR(VLOOKUP(F1167,#REF!,12,FALSE),"")</f>
        <v/>
      </c>
      <c r="Q1167" s="1269" t="s">
        <v>8</v>
      </c>
      <c r="R1167" s="1235" t="str">
        <f>IFERROR(VLOOKUP(F1167,#REF!,14,FALSE),"")</f>
        <v/>
      </c>
      <c r="S1167" s="1236" t="str">
        <f t="shared" si="120"/>
        <v/>
      </c>
      <c r="U1167" s="1728"/>
      <c r="V1167" s="67">
        <f t="shared" si="123"/>
        <v>0</v>
      </c>
      <c r="W1167" s="1768"/>
      <c r="X1167" s="67"/>
    </row>
    <row r="1168" spans="2:24" ht="16" thickBot="1" x14ac:dyDescent="0.25">
      <c r="B1168" s="1661">
        <f>B1161+1</f>
        <v>9</v>
      </c>
      <c r="C1168" s="1270">
        <v>44256</v>
      </c>
      <c r="D1168" s="194">
        <v>32</v>
      </c>
      <c r="E1168" s="195" t="s">
        <v>293</v>
      </c>
      <c r="F1168" s="1509" t="s">
        <v>279</v>
      </c>
      <c r="G1168" s="1271">
        <v>3.6909722222222226E-2</v>
      </c>
      <c r="H1168" s="1272">
        <v>10.199999999999999</v>
      </c>
      <c r="I1168" s="1273">
        <f t="shared" si="122"/>
        <v>3.6186002178649245E-3</v>
      </c>
      <c r="J1168" s="1274"/>
      <c r="K1168" s="1741"/>
      <c r="L1168" s="1581"/>
      <c r="M1168" s="265">
        <v>30</v>
      </c>
      <c r="N1168" s="1275"/>
      <c r="O1168" s="1276" t="s">
        <v>259</v>
      </c>
      <c r="P1168" s="224" t="str">
        <f>IFERROR(VLOOKUP(F1168,#REF!,12,FALSE),"")</f>
        <v/>
      </c>
      <c r="Q1168" s="80" t="s">
        <v>8</v>
      </c>
      <c r="R1168" s="1277" t="str">
        <f>IFERROR(VLOOKUP(F1168,#REF!,14,FALSE),"")</f>
        <v/>
      </c>
      <c r="S1168" s="83"/>
      <c r="U1168" s="1728"/>
      <c r="V1168" s="194">
        <f t="shared" si="123"/>
        <v>0</v>
      </c>
      <c r="W1168" s="1766"/>
      <c r="X1168" s="194"/>
    </row>
    <row r="1169" spans="2:24" x14ac:dyDescent="0.2">
      <c r="B1169" s="1666" t="s">
        <v>142</v>
      </c>
      <c r="C1169" s="1208">
        <v>44257</v>
      </c>
      <c r="D1169" s="864"/>
      <c r="E1169" s="865"/>
      <c r="F1169" s="1503"/>
      <c r="G1169" s="1209"/>
      <c r="H1169" s="1210" t="str">
        <f>IFERROR(VLOOKUP(F1169,#REF!,10,FALSE),"")</f>
        <v/>
      </c>
      <c r="I1169" s="1211" t="str">
        <f t="shared" si="122"/>
        <v/>
      </c>
      <c r="J1169" s="1212"/>
      <c r="K1169" s="1741"/>
      <c r="L1169" s="1578"/>
      <c r="M1169" s="1602"/>
      <c r="N1169" s="1171" t="str">
        <f t="shared" ref="N1169:N1200" si="124">IFERROR((L1169/67)/(1/(I1169*24)/3.6),"")</f>
        <v/>
      </c>
      <c r="O1169" s="1213"/>
      <c r="P1169" s="1214" t="str">
        <f>IFERROR(VLOOKUP(F1169,#REF!,12,FALSE),"")</f>
        <v/>
      </c>
      <c r="Q1169" s="1215" t="s">
        <v>8</v>
      </c>
      <c r="R1169" s="1216" t="str">
        <f>IFERROR(VLOOKUP(F1169,#REF!,14,FALSE),"")</f>
        <v/>
      </c>
      <c r="S1169" s="1217" t="str">
        <f t="shared" ref="S1169:S1200" si="125">IFERROR(L1169/J1169,"")</f>
        <v/>
      </c>
      <c r="U1169" s="1728"/>
      <c r="V1169" s="864">
        <f t="shared" si="123"/>
        <v>0</v>
      </c>
      <c r="W1169" s="1767"/>
      <c r="X1169" s="864"/>
    </row>
    <row r="1170" spans="2:24" ht="16" thickBot="1" x14ac:dyDescent="0.25">
      <c r="B1170" s="1654">
        <f>SUM(H1168:H1174)</f>
        <v>50.97</v>
      </c>
      <c r="C1170" s="1208">
        <v>44258</v>
      </c>
      <c r="D1170" s="864">
        <v>33</v>
      </c>
      <c r="E1170" s="865" t="s">
        <v>293</v>
      </c>
      <c r="F1170" s="1503" t="s">
        <v>318</v>
      </c>
      <c r="G1170" s="1209">
        <v>4.1817129629629628E-2</v>
      </c>
      <c r="H1170" s="1210">
        <v>12.47</v>
      </c>
      <c r="I1170" s="1211">
        <f t="shared" si="122"/>
        <v>3.3534185749502505E-3</v>
      </c>
      <c r="J1170" s="1212">
        <v>153</v>
      </c>
      <c r="K1170" s="1741"/>
      <c r="L1170" s="1578">
        <v>239</v>
      </c>
      <c r="M1170" s="1602">
        <v>41</v>
      </c>
      <c r="N1170" s="1171">
        <f t="shared" si="124"/>
        <v>1.0335336150043686</v>
      </c>
      <c r="O1170" s="1213" t="s">
        <v>341</v>
      </c>
      <c r="P1170" s="1214" t="str">
        <f>IFERROR(VLOOKUP(F1170,#REF!,12,FALSE),"")</f>
        <v/>
      </c>
      <c r="Q1170" s="1215" t="s">
        <v>8</v>
      </c>
      <c r="R1170" s="1216" t="str">
        <f>IFERROR(VLOOKUP(F1170,#REF!,14,FALSE),"")</f>
        <v/>
      </c>
      <c r="S1170" s="1217">
        <f t="shared" si="125"/>
        <v>1.5620915032679739</v>
      </c>
      <c r="U1170" s="1728"/>
      <c r="V1170" s="864">
        <f t="shared" si="123"/>
        <v>0</v>
      </c>
      <c r="W1170" s="1767"/>
      <c r="X1170" s="864"/>
    </row>
    <row r="1171" spans="2:24" x14ac:dyDescent="0.2">
      <c r="B1171" s="1667" t="s">
        <v>144</v>
      </c>
      <c r="C1171" s="1208">
        <v>44259</v>
      </c>
      <c r="D1171" s="864">
        <v>34</v>
      </c>
      <c r="E1171" s="865" t="s">
        <v>293</v>
      </c>
      <c r="F1171" s="1503" t="s">
        <v>282</v>
      </c>
      <c r="G1171" s="1209">
        <v>3.6354166666666667E-2</v>
      </c>
      <c r="H1171" s="1210">
        <v>9.26</v>
      </c>
      <c r="I1171" s="1211">
        <f t="shared" si="122"/>
        <v>3.9259359251259899E-3</v>
      </c>
      <c r="J1171" s="1212">
        <v>129</v>
      </c>
      <c r="K1171" s="1741"/>
      <c r="L1171" s="1578">
        <v>207</v>
      </c>
      <c r="M1171" s="1602">
        <v>27</v>
      </c>
      <c r="N1171" s="1171">
        <f t="shared" si="124"/>
        <v>1.0479787885625864</v>
      </c>
      <c r="O1171" s="1213" t="s">
        <v>339</v>
      </c>
      <c r="P1171" s="1214" t="str">
        <f>IFERROR(VLOOKUP(F1171,#REF!,12,FALSE),"")</f>
        <v/>
      </c>
      <c r="Q1171" s="1215" t="s">
        <v>8</v>
      </c>
      <c r="R1171" s="1216" t="str">
        <f>IFERROR(VLOOKUP(F1171,#REF!,14,FALSE),"")</f>
        <v/>
      </c>
      <c r="S1171" s="1217">
        <f t="shared" si="125"/>
        <v>1.6046511627906976</v>
      </c>
      <c r="U1171" s="1728"/>
      <c r="V1171" s="864">
        <f t="shared" si="123"/>
        <v>0</v>
      </c>
      <c r="W1171" s="1767"/>
      <c r="X1171" s="864"/>
    </row>
    <row r="1172" spans="2:24" ht="16" thickBot="1" x14ac:dyDescent="0.25">
      <c r="B1172" s="1668" t="e">
        <f>SUM(#REF!)</f>
        <v>#REF!</v>
      </c>
      <c r="C1172" s="1208">
        <v>44260</v>
      </c>
      <c r="D1172" s="864"/>
      <c r="E1172" s="865"/>
      <c r="F1172" s="1503"/>
      <c r="G1172" s="1209"/>
      <c r="H1172" s="1210" t="str">
        <f>IFERROR(VLOOKUP(F1172,#REF!,10,FALSE),"")</f>
        <v/>
      </c>
      <c r="I1172" s="1211" t="str">
        <f t="shared" si="122"/>
        <v/>
      </c>
      <c r="J1172" s="1212"/>
      <c r="K1172" s="1741"/>
      <c r="L1172" s="1578"/>
      <c r="M1172" s="1602"/>
      <c r="N1172" s="1171" t="str">
        <f t="shared" si="124"/>
        <v/>
      </c>
      <c r="O1172" s="1213"/>
      <c r="P1172" s="1214" t="str">
        <f>IFERROR(VLOOKUP(F1172,#REF!,12,FALSE),"")</f>
        <v/>
      </c>
      <c r="Q1172" s="1215" t="s">
        <v>8</v>
      </c>
      <c r="R1172" s="1216" t="str">
        <f>IFERROR(VLOOKUP(F1172,#REF!,14,FALSE),"")</f>
        <v/>
      </c>
      <c r="S1172" s="1217" t="str">
        <f t="shared" si="125"/>
        <v/>
      </c>
      <c r="U1172" s="1728"/>
      <c r="V1172" s="864">
        <f t="shared" si="123"/>
        <v>0</v>
      </c>
      <c r="W1172" s="1767"/>
      <c r="X1172" s="864"/>
    </row>
    <row r="1173" spans="2:24" x14ac:dyDescent="0.2">
      <c r="B1173" s="1669" t="s">
        <v>256</v>
      </c>
      <c r="C1173" s="1208">
        <v>44261</v>
      </c>
      <c r="D1173" s="864">
        <v>35</v>
      </c>
      <c r="E1173" s="865" t="s">
        <v>293</v>
      </c>
      <c r="F1173" s="1503" t="s">
        <v>320</v>
      </c>
      <c r="G1173" s="1209">
        <v>6.4062500000000008E-2</v>
      </c>
      <c r="H1173" s="1210">
        <v>19.04</v>
      </c>
      <c r="I1173" s="1211">
        <f t="shared" si="122"/>
        <v>3.3646271008403368E-3</v>
      </c>
      <c r="J1173" s="1212">
        <v>147</v>
      </c>
      <c r="K1173" s="1741"/>
      <c r="L1173" s="1578">
        <v>240</v>
      </c>
      <c r="M1173" s="1602">
        <v>77</v>
      </c>
      <c r="N1173" s="1171">
        <f t="shared" si="124"/>
        <v>1.0413269785526154</v>
      </c>
      <c r="O1173" s="1213" t="s">
        <v>311</v>
      </c>
      <c r="P1173" s="1214" t="str">
        <f>IFERROR(VLOOKUP(F1173,#REF!,12,FALSE),"")</f>
        <v/>
      </c>
      <c r="Q1173" s="1215" t="s">
        <v>8</v>
      </c>
      <c r="R1173" s="1216" t="str">
        <f>IFERROR(VLOOKUP(F1173,#REF!,14,FALSE),"")</f>
        <v/>
      </c>
      <c r="S1173" s="1217">
        <f t="shared" si="125"/>
        <v>1.6326530612244898</v>
      </c>
      <c r="U1173" s="1728"/>
      <c r="V1173" s="864">
        <f t="shared" si="123"/>
        <v>0</v>
      </c>
      <c r="W1173" s="1767"/>
      <c r="X1173" s="864"/>
    </row>
    <row r="1174" spans="2:24" ht="16" thickBot="1" x14ac:dyDescent="0.25">
      <c r="B1174" s="1670" t="e">
        <f>AVERAGE(#REF!)</f>
        <v>#REF!</v>
      </c>
      <c r="C1174" s="1245">
        <v>44262</v>
      </c>
      <c r="D1174" s="1097"/>
      <c r="E1174" s="1098"/>
      <c r="F1174" s="1532"/>
      <c r="G1174" s="1246"/>
      <c r="H1174" s="1247" t="str">
        <f>IFERROR(VLOOKUP(F1174,#REF!,10,FALSE),"")</f>
        <v/>
      </c>
      <c r="I1174" s="1248" t="str">
        <f t="shared" si="122"/>
        <v/>
      </c>
      <c r="J1174" s="1249"/>
      <c r="K1174" s="1741"/>
      <c r="L1174" s="984"/>
      <c r="M1174" s="1603"/>
      <c r="N1174" s="1250" t="str">
        <f t="shared" si="124"/>
        <v/>
      </c>
      <c r="O1174" s="1251"/>
      <c r="P1174" s="1146" t="str">
        <f>IFERROR(VLOOKUP(F1174,#REF!,12,FALSE),"")</f>
        <v/>
      </c>
      <c r="Q1174" s="1252" t="s">
        <v>8</v>
      </c>
      <c r="R1174" s="1253" t="str">
        <f>IFERROR(VLOOKUP(F1174,#REF!,14,FALSE),"")</f>
        <v/>
      </c>
      <c r="S1174" s="1106" t="str">
        <f t="shared" si="125"/>
        <v/>
      </c>
      <c r="U1174" s="1728"/>
      <c r="V1174" s="1097">
        <f t="shared" si="123"/>
        <v>0</v>
      </c>
      <c r="W1174" s="1768"/>
      <c r="X1174" s="1097"/>
    </row>
    <row r="1175" spans="2:24" ht="16" thickBot="1" x14ac:dyDescent="0.25">
      <c r="B1175" s="1661">
        <f>B1168+1</f>
        <v>10</v>
      </c>
      <c r="C1175" s="1199">
        <v>44263</v>
      </c>
      <c r="D1175" s="1108">
        <v>36</v>
      </c>
      <c r="E1175" s="1109" t="s">
        <v>293</v>
      </c>
      <c r="F1175" s="1505" t="s">
        <v>279</v>
      </c>
      <c r="G1175" s="1200">
        <v>3.802083333333333E-2</v>
      </c>
      <c r="H1175" s="1201">
        <v>10.1</v>
      </c>
      <c r="I1175" s="1202">
        <f t="shared" si="122"/>
        <v>3.7644389438943895E-3</v>
      </c>
      <c r="J1175" s="1203">
        <v>138</v>
      </c>
      <c r="K1175" s="1741"/>
      <c r="L1175" s="1577">
        <v>216</v>
      </c>
      <c r="M1175" s="1374">
        <v>29</v>
      </c>
      <c r="N1175" s="1111">
        <f t="shared" si="124"/>
        <v>1.0485591842766366</v>
      </c>
      <c r="O1175" s="1204" t="s">
        <v>259</v>
      </c>
      <c r="P1175" s="1113" t="str">
        <f>IFERROR(VLOOKUP(F1175,#REF!,12,FALSE),"")</f>
        <v/>
      </c>
      <c r="Q1175" s="1254" t="s">
        <v>8</v>
      </c>
      <c r="R1175" s="1255" t="str">
        <f>IFERROR(VLOOKUP(F1175,#REF!,14,FALSE),"")</f>
        <v/>
      </c>
      <c r="S1175" s="1207">
        <f t="shared" si="125"/>
        <v>1.5652173913043479</v>
      </c>
      <c r="U1175" s="1728"/>
      <c r="V1175" s="1108">
        <f t="shared" si="123"/>
        <v>0</v>
      </c>
      <c r="W1175" s="1766"/>
      <c r="X1175" s="1108"/>
    </row>
    <row r="1176" spans="2:24" x14ac:dyDescent="0.2">
      <c r="B1176" s="1666" t="s">
        <v>142</v>
      </c>
      <c r="C1176" s="1256">
        <v>44264</v>
      </c>
      <c r="D1176" s="1257"/>
      <c r="E1176" s="1258"/>
      <c r="F1176" s="1531"/>
      <c r="G1176" s="1259"/>
      <c r="H1176" s="1260" t="str">
        <f>IFERROR(VLOOKUP(F1176,#REF!,10,FALSE),"")</f>
        <v/>
      </c>
      <c r="I1176" s="1261" t="str">
        <f t="shared" si="122"/>
        <v/>
      </c>
      <c r="J1176" s="1262"/>
      <c r="K1176" s="1741"/>
      <c r="L1176" s="1578"/>
      <c r="M1176" s="1602"/>
      <c r="N1176" s="1263" t="str">
        <f t="shared" si="124"/>
        <v/>
      </c>
      <c r="O1176" s="1264"/>
      <c r="P1176" s="1265" t="str">
        <f>IFERROR(VLOOKUP(F1176,#REF!,12,FALSE),"")</f>
        <v/>
      </c>
      <c r="Q1176" s="1266" t="s">
        <v>8</v>
      </c>
      <c r="R1176" s="1267" t="str">
        <f>IFERROR(VLOOKUP(F1176,#REF!,14,FALSE),"")</f>
        <v/>
      </c>
      <c r="S1176" s="1268" t="str">
        <f t="shared" si="125"/>
        <v/>
      </c>
      <c r="U1176" s="1728"/>
      <c r="V1176" s="1257">
        <f t="shared" si="123"/>
        <v>0</v>
      </c>
      <c r="W1176" s="1767"/>
      <c r="X1176" s="1257"/>
    </row>
    <row r="1177" spans="2:24" ht="16" thickBot="1" x14ac:dyDescent="0.25">
      <c r="B1177" s="1654">
        <f>SUM(H1175:H1181)</f>
        <v>45.76</v>
      </c>
      <c r="C1177" s="1256">
        <v>44265</v>
      </c>
      <c r="D1177" s="1257">
        <v>37</v>
      </c>
      <c r="E1177" s="1258" t="s">
        <v>293</v>
      </c>
      <c r="F1177" s="1531" t="s">
        <v>285</v>
      </c>
      <c r="G1177" s="1259">
        <v>3.6585648148148145E-2</v>
      </c>
      <c r="H1177" s="1260">
        <v>9.5500000000000007</v>
      </c>
      <c r="I1177" s="1261">
        <f t="shared" si="122"/>
        <v>3.8309579212720568E-3</v>
      </c>
      <c r="J1177" s="1262">
        <v>136</v>
      </c>
      <c r="K1177" s="1741"/>
      <c r="L1177" s="1578">
        <v>213</v>
      </c>
      <c r="M1177" s="1602">
        <v>32</v>
      </c>
      <c r="N1177" s="1263">
        <f t="shared" si="124"/>
        <v>1.0522669375634914</v>
      </c>
      <c r="O1177" s="1264" t="s">
        <v>339</v>
      </c>
      <c r="P1177" s="1265" t="str">
        <f>IFERROR(VLOOKUP(F1177,#REF!,12,FALSE),"")</f>
        <v/>
      </c>
      <c r="Q1177" s="1266" t="s">
        <v>8</v>
      </c>
      <c r="R1177" s="1267" t="str">
        <f>IFERROR(VLOOKUP(F1177,#REF!,14,FALSE),"")</f>
        <v/>
      </c>
      <c r="S1177" s="1268">
        <f t="shared" si="125"/>
        <v>1.5661764705882353</v>
      </c>
      <c r="U1177" s="1728"/>
      <c r="V1177" s="1257">
        <f t="shared" si="123"/>
        <v>0</v>
      </c>
      <c r="W1177" s="1767"/>
      <c r="X1177" s="1257"/>
    </row>
    <row r="1178" spans="2:24" x14ac:dyDescent="0.2">
      <c r="B1178" s="1667" t="s">
        <v>144</v>
      </c>
      <c r="C1178" s="1256">
        <v>44266</v>
      </c>
      <c r="D1178" s="1257"/>
      <c r="E1178" s="1258"/>
      <c r="F1178" s="1531"/>
      <c r="G1178" s="1259"/>
      <c r="H1178" s="1260" t="str">
        <f>IFERROR(VLOOKUP(F1178,#REF!,10,FALSE),"")</f>
        <v/>
      </c>
      <c r="I1178" s="1261" t="str">
        <f t="shared" si="122"/>
        <v/>
      </c>
      <c r="J1178" s="1262"/>
      <c r="K1178" s="1741"/>
      <c r="L1178" s="1578"/>
      <c r="M1178" s="1602"/>
      <c r="N1178" s="1263" t="str">
        <f t="shared" si="124"/>
        <v/>
      </c>
      <c r="O1178" s="1264"/>
      <c r="P1178" s="1265" t="str">
        <f>IFERROR(VLOOKUP(F1178,#REF!,12,FALSE),"")</f>
        <v/>
      </c>
      <c r="Q1178" s="1266" t="s">
        <v>8</v>
      </c>
      <c r="R1178" s="1267" t="str">
        <f>IFERROR(VLOOKUP(F1178,#REF!,14,FALSE),"")</f>
        <v/>
      </c>
      <c r="S1178" s="1268" t="str">
        <f t="shared" si="125"/>
        <v/>
      </c>
      <c r="U1178" s="1728"/>
      <c r="V1178" s="1257">
        <f t="shared" si="123"/>
        <v>0</v>
      </c>
      <c r="W1178" s="1767"/>
      <c r="X1178" s="1257"/>
    </row>
    <row r="1179" spans="2:24" ht="16" thickBot="1" x14ac:dyDescent="0.25">
      <c r="B1179" s="1668" t="e">
        <f>SUM(#REF!)</f>
        <v>#REF!</v>
      </c>
      <c r="C1179" s="1256">
        <v>44267</v>
      </c>
      <c r="D1179" s="1257">
        <v>38</v>
      </c>
      <c r="E1179" s="1258" t="s">
        <v>293</v>
      </c>
      <c r="F1179" s="1531" t="s">
        <v>11</v>
      </c>
      <c r="G1179" s="1259">
        <v>3.7488425925925925E-2</v>
      </c>
      <c r="H1179" s="1260">
        <v>10.61</v>
      </c>
      <c r="I1179" s="1261">
        <f t="shared" si="122"/>
        <v>3.5333106433483438E-3</v>
      </c>
      <c r="J1179" s="1262">
        <v>145</v>
      </c>
      <c r="K1179" s="1741"/>
      <c r="L1179" s="1578">
        <v>227</v>
      </c>
      <c r="M1179" s="1602">
        <v>48</v>
      </c>
      <c r="N1179" s="1263">
        <f t="shared" si="124"/>
        <v>1.0343002236695877</v>
      </c>
      <c r="O1179" s="1264" t="s">
        <v>341</v>
      </c>
      <c r="P1179" s="1265" t="str">
        <f>IFERROR(VLOOKUP(F1179,#REF!,12,FALSE),"")</f>
        <v/>
      </c>
      <c r="Q1179" s="1266" t="s">
        <v>8</v>
      </c>
      <c r="R1179" s="1267" t="str">
        <f>IFERROR(VLOOKUP(F1179,#REF!,14,FALSE),"")</f>
        <v/>
      </c>
      <c r="S1179" s="1268">
        <f t="shared" si="125"/>
        <v>1.5655172413793104</v>
      </c>
      <c r="U1179" s="1728"/>
      <c r="V1179" s="1257">
        <f t="shared" si="123"/>
        <v>0</v>
      </c>
      <c r="W1179" s="1767"/>
      <c r="X1179" s="1257"/>
    </row>
    <row r="1180" spans="2:24" x14ac:dyDescent="0.2">
      <c r="B1180" s="1669" t="s">
        <v>256</v>
      </c>
      <c r="C1180" s="1256">
        <v>44268</v>
      </c>
      <c r="D1180" s="1257"/>
      <c r="E1180" s="1258"/>
      <c r="F1180" s="1531"/>
      <c r="G1180" s="1259"/>
      <c r="H1180" s="1260" t="str">
        <f>IFERROR(VLOOKUP(F1180,#REF!,10,FALSE),"")</f>
        <v/>
      </c>
      <c r="I1180" s="1261" t="str">
        <f t="shared" si="122"/>
        <v/>
      </c>
      <c r="J1180" s="1262"/>
      <c r="K1180" s="1741"/>
      <c r="L1180" s="1578"/>
      <c r="M1180" s="1602"/>
      <c r="N1180" s="1263" t="str">
        <f t="shared" si="124"/>
        <v/>
      </c>
      <c r="O1180" s="1264"/>
      <c r="P1180" s="1265" t="str">
        <f>IFERROR(VLOOKUP(F1180,#REF!,12,FALSE),"")</f>
        <v/>
      </c>
      <c r="Q1180" s="1266" t="s">
        <v>8</v>
      </c>
      <c r="R1180" s="1267" t="str">
        <f>IFERROR(VLOOKUP(F1180,#REF!,14,FALSE),"")</f>
        <v/>
      </c>
      <c r="S1180" s="1268" t="str">
        <f t="shared" si="125"/>
        <v/>
      </c>
      <c r="U1180" s="1728"/>
      <c r="V1180" s="1257">
        <f t="shared" si="123"/>
        <v>0</v>
      </c>
      <c r="W1180" s="1767"/>
      <c r="X1180" s="1257"/>
    </row>
    <row r="1181" spans="2:24" ht="16" thickBot="1" x14ac:dyDescent="0.25">
      <c r="B1181" s="1670" t="e">
        <f>AVERAGE(#REF!)</f>
        <v>#REF!</v>
      </c>
      <c r="C1181" s="544">
        <v>44269</v>
      </c>
      <c r="D1181" s="67">
        <v>39</v>
      </c>
      <c r="E1181" s="208" t="s">
        <v>293</v>
      </c>
      <c r="F1181" s="1429" t="s">
        <v>273</v>
      </c>
      <c r="G1181" s="1230">
        <v>5.9236111111111107E-2</v>
      </c>
      <c r="H1181" s="1231">
        <v>15.5</v>
      </c>
      <c r="I1181" s="1232">
        <f t="shared" si="122"/>
        <v>3.8216845878136199E-3</v>
      </c>
      <c r="J1181" s="256">
        <v>134</v>
      </c>
      <c r="K1181" s="1741"/>
      <c r="L1181" s="1580">
        <v>212</v>
      </c>
      <c r="M1181" s="1561">
        <v>82</v>
      </c>
      <c r="N1181" s="172">
        <f t="shared" si="124"/>
        <v>1.0447915262397689</v>
      </c>
      <c r="O1181" s="1233" t="s">
        <v>311</v>
      </c>
      <c r="P1181" s="447" t="str">
        <f>IFERROR(VLOOKUP(F1181,#REF!,12,FALSE),"")</f>
        <v/>
      </c>
      <c r="Q1181" s="1269" t="s">
        <v>8</v>
      </c>
      <c r="R1181" s="1235" t="str">
        <f>IFERROR(VLOOKUP(F1181,#REF!,14,FALSE),"")</f>
        <v/>
      </c>
      <c r="S1181" s="1236">
        <f t="shared" si="125"/>
        <v>1.5820895522388059</v>
      </c>
      <c r="U1181" s="1728"/>
      <c r="V1181" s="67">
        <f t="shared" si="123"/>
        <v>0</v>
      </c>
      <c r="W1181" s="1768"/>
      <c r="X1181" s="67"/>
    </row>
    <row r="1182" spans="2:24" ht="16" thickBot="1" x14ac:dyDescent="0.25">
      <c r="B1182" s="1661">
        <f>B1175+1</f>
        <v>11</v>
      </c>
      <c r="C1182" s="1270">
        <v>44270</v>
      </c>
      <c r="D1182" s="194"/>
      <c r="E1182" s="195"/>
      <c r="F1182" s="1533"/>
      <c r="G1182" s="1271"/>
      <c r="H1182" s="1272" t="str">
        <f>IFERROR(VLOOKUP(F1182,#REF!,10,FALSE),"")</f>
        <v/>
      </c>
      <c r="I1182" s="1273" t="str">
        <f t="shared" si="122"/>
        <v/>
      </c>
      <c r="J1182" s="1274"/>
      <c r="K1182" s="1741"/>
      <c r="L1182" s="1581"/>
      <c r="M1182" s="265"/>
      <c r="N1182" s="1275" t="str">
        <f t="shared" si="124"/>
        <v/>
      </c>
      <c r="O1182" s="1276"/>
      <c r="P1182" s="224" t="str">
        <f>IFERROR(VLOOKUP(F1182,#REF!,12,FALSE),"")</f>
        <v/>
      </c>
      <c r="Q1182" s="80" t="s">
        <v>8</v>
      </c>
      <c r="R1182" s="1277" t="str">
        <f>IFERROR(VLOOKUP(F1182,#REF!,14,FALSE),"")</f>
        <v/>
      </c>
      <c r="S1182" s="83" t="str">
        <f t="shared" si="125"/>
        <v/>
      </c>
      <c r="U1182" s="1728"/>
      <c r="V1182" s="194">
        <f t="shared" si="123"/>
        <v>0</v>
      </c>
      <c r="W1182" s="1766"/>
      <c r="X1182" s="194"/>
    </row>
    <row r="1183" spans="2:24" x14ac:dyDescent="0.2">
      <c r="B1183" s="1666" t="s">
        <v>142</v>
      </c>
      <c r="C1183" s="1208">
        <v>44271</v>
      </c>
      <c r="D1183" s="864">
        <v>40</v>
      </c>
      <c r="E1183" s="865" t="s">
        <v>293</v>
      </c>
      <c r="F1183" s="1534" t="s">
        <v>282</v>
      </c>
      <c r="G1183" s="1209">
        <v>3.1979166666666663E-2</v>
      </c>
      <c r="H1183" s="1210">
        <v>8.2200000000000006</v>
      </c>
      <c r="I1183" s="1211">
        <f t="shared" si="122"/>
        <v>3.890409570154095E-3</v>
      </c>
      <c r="J1183" s="1212">
        <v>131</v>
      </c>
      <c r="K1183" s="1741"/>
      <c r="L1183" s="1578">
        <v>209</v>
      </c>
      <c r="M1183" s="1602">
        <v>42</v>
      </c>
      <c r="N1183" s="1171">
        <f t="shared" si="124"/>
        <v>1.0485292515524565</v>
      </c>
      <c r="O1183" s="1213" t="s">
        <v>339</v>
      </c>
      <c r="P1183" s="1214" t="str">
        <f>IFERROR(VLOOKUP(F1183,#REF!,12,FALSE),"")</f>
        <v/>
      </c>
      <c r="Q1183" s="1215" t="s">
        <v>8</v>
      </c>
      <c r="R1183" s="1216" t="str">
        <f>IFERROR(VLOOKUP(F1183,#REF!,14,FALSE),"")</f>
        <v/>
      </c>
      <c r="S1183" s="1217">
        <f t="shared" si="125"/>
        <v>1.5954198473282444</v>
      </c>
      <c r="U1183" s="1728"/>
      <c r="V1183" s="864">
        <f t="shared" si="123"/>
        <v>0</v>
      </c>
      <c r="W1183" s="1767"/>
      <c r="X1183" s="864"/>
    </row>
    <row r="1184" spans="2:24" ht="16" thickBot="1" x14ac:dyDescent="0.25">
      <c r="B1184" s="1654">
        <f>SUM(H1182:H1188)</f>
        <v>26.410000000000004</v>
      </c>
      <c r="C1184" s="1208">
        <v>44272</v>
      </c>
      <c r="D1184" s="864"/>
      <c r="E1184" s="865"/>
      <c r="F1184" s="1534"/>
      <c r="G1184" s="1209"/>
      <c r="H1184" s="1210" t="str">
        <f>IFERROR(VLOOKUP(F1184,#REF!,10,FALSE),"")</f>
        <v/>
      </c>
      <c r="I1184" s="1211" t="str">
        <f t="shared" si="122"/>
        <v/>
      </c>
      <c r="J1184" s="1212"/>
      <c r="K1184" s="1741"/>
      <c r="L1184" s="1578"/>
      <c r="M1184" s="1602"/>
      <c r="N1184" s="1171" t="str">
        <f t="shared" si="124"/>
        <v/>
      </c>
      <c r="O1184" s="1213"/>
      <c r="P1184" s="1214" t="str">
        <f>IFERROR(VLOOKUP(F1184,#REF!,12,FALSE),"")</f>
        <v/>
      </c>
      <c r="Q1184" s="1215" t="s">
        <v>8</v>
      </c>
      <c r="R1184" s="1216" t="str">
        <f>IFERROR(VLOOKUP(F1184,#REF!,14,FALSE),"")</f>
        <v/>
      </c>
      <c r="S1184" s="1217" t="str">
        <f t="shared" si="125"/>
        <v/>
      </c>
      <c r="U1184" s="1728"/>
      <c r="V1184" s="864">
        <f t="shared" si="123"/>
        <v>0</v>
      </c>
      <c r="W1184" s="1767"/>
      <c r="X1184" s="864"/>
    </row>
    <row r="1185" spans="2:24" x14ac:dyDescent="0.2">
      <c r="B1185" s="1667" t="s">
        <v>144</v>
      </c>
      <c r="C1185" s="1208">
        <v>44273</v>
      </c>
      <c r="D1185" s="864">
        <v>41</v>
      </c>
      <c r="E1185" s="865" t="s">
        <v>293</v>
      </c>
      <c r="F1185" s="1534" t="s">
        <v>312</v>
      </c>
      <c r="G1185" s="1209">
        <v>3.5798611111111107E-2</v>
      </c>
      <c r="H1185" s="1210">
        <v>9.52</v>
      </c>
      <c r="I1185" s="1211">
        <f t="shared" si="122"/>
        <v>3.7603583099906626E-3</v>
      </c>
      <c r="J1185" s="1212">
        <v>145</v>
      </c>
      <c r="K1185" s="1741"/>
      <c r="L1185" s="1578">
        <v>211</v>
      </c>
      <c r="M1185" s="1602">
        <v>21</v>
      </c>
      <c r="N1185" s="1171">
        <f t="shared" si="124"/>
        <v>1.0231766587231907</v>
      </c>
      <c r="O1185" s="1213" t="s">
        <v>341</v>
      </c>
      <c r="P1185" s="1214" t="str">
        <f>IFERROR(VLOOKUP(F1185,#REF!,12,FALSE),"")</f>
        <v/>
      </c>
      <c r="Q1185" s="1215" t="s">
        <v>8</v>
      </c>
      <c r="R1185" s="1216" t="str">
        <f>IFERROR(VLOOKUP(F1185,#REF!,14,FALSE),"")</f>
        <v/>
      </c>
      <c r="S1185" s="1217">
        <f t="shared" si="125"/>
        <v>1.4551724137931035</v>
      </c>
      <c r="U1185" s="1728"/>
      <c r="V1185" s="864">
        <f t="shared" si="123"/>
        <v>0</v>
      </c>
      <c r="W1185" s="1767"/>
      <c r="X1185" s="864"/>
    </row>
    <row r="1186" spans="2:24" ht="16" thickBot="1" x14ac:dyDescent="0.25">
      <c r="B1186" s="1668" t="e">
        <f>SUM(#REF!)</f>
        <v>#REF!</v>
      </c>
      <c r="C1186" s="1208">
        <v>44274</v>
      </c>
      <c r="D1186" s="864"/>
      <c r="E1186" s="865"/>
      <c r="F1186" s="1534"/>
      <c r="G1186" s="1209"/>
      <c r="H1186" s="1210" t="str">
        <f>IFERROR(VLOOKUP(F1186,#REF!,10,FALSE),"")</f>
        <v/>
      </c>
      <c r="I1186" s="1211" t="str">
        <f t="shared" si="122"/>
        <v/>
      </c>
      <c r="J1186" s="1212"/>
      <c r="K1186" s="1741"/>
      <c r="L1186" s="1578"/>
      <c r="M1186" s="1602"/>
      <c r="N1186" s="1171" t="str">
        <f t="shared" si="124"/>
        <v/>
      </c>
      <c r="O1186" s="1213"/>
      <c r="P1186" s="1214" t="str">
        <f>IFERROR(VLOOKUP(F1186,#REF!,12,FALSE),"")</f>
        <v/>
      </c>
      <c r="Q1186" s="1215" t="s">
        <v>8</v>
      </c>
      <c r="R1186" s="1216" t="str">
        <f>IFERROR(VLOOKUP(F1186,#REF!,14,FALSE),"")</f>
        <v/>
      </c>
      <c r="S1186" s="1217" t="str">
        <f t="shared" si="125"/>
        <v/>
      </c>
      <c r="U1186" s="1728"/>
      <c r="V1186" s="864">
        <f t="shared" si="123"/>
        <v>0</v>
      </c>
      <c r="W1186" s="1767"/>
      <c r="X1186" s="864"/>
    </row>
    <row r="1187" spans="2:24" x14ac:dyDescent="0.2">
      <c r="B1187" s="1669" t="s">
        <v>256</v>
      </c>
      <c r="C1187" s="1208">
        <v>44275</v>
      </c>
      <c r="D1187" s="864">
        <v>42</v>
      </c>
      <c r="E1187" s="865" t="s">
        <v>293</v>
      </c>
      <c r="F1187" s="1534" t="s">
        <v>279</v>
      </c>
      <c r="G1187" s="1209">
        <v>3.3391203703703708E-2</v>
      </c>
      <c r="H1187" s="1210">
        <v>8.67</v>
      </c>
      <c r="I1187" s="1211">
        <f t="shared" si="122"/>
        <v>3.8513499081549835E-3</v>
      </c>
      <c r="J1187" s="1212">
        <v>138</v>
      </c>
      <c r="K1187" s="1741"/>
      <c r="L1187" s="1578">
        <v>211</v>
      </c>
      <c r="M1187" s="1602">
        <v>29</v>
      </c>
      <c r="N1187" s="1171">
        <f t="shared" si="124"/>
        <v>1.0479350651586361</v>
      </c>
      <c r="O1187" s="1213" t="s">
        <v>339</v>
      </c>
      <c r="P1187" s="1214" t="str">
        <f>IFERROR(VLOOKUP(F1187,#REF!,12,FALSE),"")</f>
        <v/>
      </c>
      <c r="Q1187" s="1215" t="s">
        <v>8</v>
      </c>
      <c r="R1187" s="1216" t="str">
        <f>IFERROR(VLOOKUP(F1187,#REF!,14,FALSE),"")</f>
        <v/>
      </c>
      <c r="S1187" s="1217">
        <f t="shared" si="125"/>
        <v>1.5289855072463767</v>
      </c>
      <c r="U1187" s="1728"/>
      <c r="V1187" s="864">
        <f t="shared" si="123"/>
        <v>0</v>
      </c>
      <c r="W1187" s="1767"/>
      <c r="X1187" s="864"/>
    </row>
    <row r="1188" spans="2:24" ht="16" thickBot="1" x14ac:dyDescent="0.25">
      <c r="B1188" s="1670" t="e">
        <f>AVERAGE(#REF!)</f>
        <v>#REF!</v>
      </c>
      <c r="C1188" s="1245">
        <v>44276</v>
      </c>
      <c r="D1188" s="1097"/>
      <c r="E1188" s="1098"/>
      <c r="F1188" s="1535"/>
      <c r="G1188" s="1246"/>
      <c r="H1188" s="1247" t="str">
        <f>IFERROR(VLOOKUP(F1188,#REF!,10,FALSE),"")</f>
        <v/>
      </c>
      <c r="I1188" s="1248" t="str">
        <f t="shared" si="122"/>
        <v/>
      </c>
      <c r="J1188" s="1249"/>
      <c r="K1188" s="1741"/>
      <c r="L1188" s="984"/>
      <c r="M1188" s="1603"/>
      <c r="N1188" s="1250" t="str">
        <f t="shared" si="124"/>
        <v/>
      </c>
      <c r="O1188" s="1251"/>
      <c r="P1188" s="1146" t="str">
        <f>IFERROR(VLOOKUP(F1188,#REF!,12,FALSE),"")</f>
        <v/>
      </c>
      <c r="Q1188" s="1252" t="s">
        <v>8</v>
      </c>
      <c r="R1188" s="1253" t="str">
        <f>IFERROR(VLOOKUP(F1188,#REF!,14,FALSE),"")</f>
        <v/>
      </c>
      <c r="S1188" s="1106" t="str">
        <f t="shared" si="125"/>
        <v/>
      </c>
      <c r="U1188" s="1728"/>
      <c r="V1188" s="1097">
        <f t="shared" si="123"/>
        <v>0</v>
      </c>
      <c r="W1188" s="1768"/>
      <c r="X1188" s="1097"/>
    </row>
    <row r="1189" spans="2:24" ht="16" thickBot="1" x14ac:dyDescent="0.25">
      <c r="B1189" s="1661">
        <f>B1182+1</f>
        <v>12</v>
      </c>
      <c r="C1189" s="1199">
        <v>44277</v>
      </c>
      <c r="D1189" s="1108">
        <v>43</v>
      </c>
      <c r="E1189" s="1109" t="s">
        <v>293</v>
      </c>
      <c r="F1189" s="1536" t="s">
        <v>269</v>
      </c>
      <c r="G1189" s="1200">
        <v>3.8009259259259263E-2</v>
      </c>
      <c r="H1189" s="1201">
        <v>9.7799999999999994</v>
      </c>
      <c r="I1189" s="1202">
        <f t="shared" si="122"/>
        <v>3.8864273271226242E-3</v>
      </c>
      <c r="J1189" s="1203">
        <v>142</v>
      </c>
      <c r="K1189" s="1741"/>
      <c r="L1189" s="1577">
        <v>209</v>
      </c>
      <c r="M1189" s="1374">
        <v>19</v>
      </c>
      <c r="N1189" s="1111">
        <f t="shared" si="124"/>
        <v>1.0474559716753657</v>
      </c>
      <c r="O1189" s="1204" t="s">
        <v>311</v>
      </c>
      <c r="P1189" s="1113" t="str">
        <f>IFERROR(VLOOKUP(F1189,#REF!,12,FALSE),"")</f>
        <v/>
      </c>
      <c r="Q1189" s="1254" t="s">
        <v>8</v>
      </c>
      <c r="R1189" s="1255" t="str">
        <f>IFERROR(VLOOKUP(F1189,#REF!,14,FALSE),"")</f>
        <v/>
      </c>
      <c r="S1189" s="1207">
        <f t="shared" si="125"/>
        <v>1.471830985915493</v>
      </c>
      <c r="U1189" s="1728"/>
      <c r="V1189" s="1108">
        <f t="shared" si="123"/>
        <v>0</v>
      </c>
      <c r="W1189" s="1766"/>
      <c r="X1189" s="1108"/>
    </row>
    <row r="1190" spans="2:24" x14ac:dyDescent="0.2">
      <c r="B1190" s="1666" t="s">
        <v>142</v>
      </c>
      <c r="C1190" s="1256">
        <v>44278</v>
      </c>
      <c r="D1190" s="1257"/>
      <c r="E1190" s="1258"/>
      <c r="F1190" s="1537"/>
      <c r="G1190" s="1259"/>
      <c r="H1190" s="1260" t="str">
        <f>IFERROR(VLOOKUP(F1190,#REF!,10,FALSE),"")</f>
        <v/>
      </c>
      <c r="I1190" s="1261" t="str">
        <f t="shared" ref="I1190:I1253" si="126">IFERROR(G1190/H1190,"")</f>
        <v/>
      </c>
      <c r="J1190" s="1262"/>
      <c r="K1190" s="1741"/>
      <c r="L1190" s="1578"/>
      <c r="M1190" s="1602"/>
      <c r="N1190" s="1263" t="str">
        <f t="shared" si="124"/>
        <v/>
      </c>
      <c r="O1190" s="1264"/>
      <c r="P1190" s="1265" t="str">
        <f>IFERROR(VLOOKUP(F1190,#REF!,12,FALSE),"")</f>
        <v/>
      </c>
      <c r="Q1190" s="1266" t="s">
        <v>8</v>
      </c>
      <c r="R1190" s="1267" t="str">
        <f>IFERROR(VLOOKUP(F1190,#REF!,14,FALSE),"")</f>
        <v/>
      </c>
      <c r="S1190" s="1268" t="str">
        <f t="shared" si="125"/>
        <v/>
      </c>
      <c r="U1190" s="1728"/>
      <c r="V1190" s="1257">
        <f t="shared" si="123"/>
        <v>0</v>
      </c>
      <c r="W1190" s="1767"/>
      <c r="X1190" s="1257"/>
    </row>
    <row r="1191" spans="2:24" ht="16" thickBot="1" x14ac:dyDescent="0.25">
      <c r="B1191" s="1654">
        <f>SUM(H1189:H1195)</f>
        <v>24.459999999999997</v>
      </c>
      <c r="C1191" s="1256">
        <v>44279</v>
      </c>
      <c r="D1191" s="1257">
        <v>44</v>
      </c>
      <c r="E1191" s="1258" t="s">
        <v>293</v>
      </c>
      <c r="F1191" s="1537" t="s">
        <v>11</v>
      </c>
      <c r="G1191" s="1259">
        <v>3.0312499999999996E-2</v>
      </c>
      <c r="H1191" s="1260">
        <v>8.4499999999999993</v>
      </c>
      <c r="I1191" s="1261">
        <f t="shared" si="126"/>
        <v>3.5872781065088757E-3</v>
      </c>
      <c r="J1191" s="1262">
        <v>144</v>
      </c>
      <c r="K1191" s="1741"/>
      <c r="L1191" s="1578">
        <v>224</v>
      </c>
      <c r="M1191" s="1602">
        <v>34</v>
      </c>
      <c r="N1191" s="1263">
        <f t="shared" si="124"/>
        <v>1.0362200830168684</v>
      </c>
      <c r="O1191" s="1264" t="s">
        <v>280</v>
      </c>
      <c r="P1191" s="1265" t="str">
        <f>IFERROR(VLOOKUP(F1191,#REF!,12,FALSE),"")</f>
        <v/>
      </c>
      <c r="Q1191" s="1266" t="s">
        <v>8</v>
      </c>
      <c r="R1191" s="1267" t="str">
        <f>IFERROR(VLOOKUP(F1191,#REF!,14,FALSE),"")</f>
        <v/>
      </c>
      <c r="S1191" s="1268">
        <f t="shared" si="125"/>
        <v>1.5555555555555556</v>
      </c>
      <c r="U1191" s="1728"/>
      <c r="V1191" s="1257">
        <f t="shared" si="123"/>
        <v>0</v>
      </c>
      <c r="W1191" s="1767"/>
      <c r="X1191" s="1257"/>
    </row>
    <row r="1192" spans="2:24" x14ac:dyDescent="0.2">
      <c r="B1192" s="1667" t="s">
        <v>144</v>
      </c>
      <c r="C1192" s="1256">
        <v>44280</v>
      </c>
      <c r="D1192" s="1257"/>
      <c r="E1192" s="1258"/>
      <c r="F1192" s="1537"/>
      <c r="G1192" s="1259"/>
      <c r="H1192" s="1260" t="str">
        <f>IFERROR(VLOOKUP(F1192,#REF!,10,FALSE),"")</f>
        <v/>
      </c>
      <c r="I1192" s="1261" t="str">
        <f t="shared" si="126"/>
        <v/>
      </c>
      <c r="J1192" s="1262"/>
      <c r="K1192" s="1741"/>
      <c r="L1192" s="1578"/>
      <c r="M1192" s="1602"/>
      <c r="N1192" s="1263" t="str">
        <f t="shared" si="124"/>
        <v/>
      </c>
      <c r="O1192" s="1264"/>
      <c r="P1192" s="1265" t="str">
        <f>IFERROR(VLOOKUP(F1192,#REF!,12,FALSE),"")</f>
        <v/>
      </c>
      <c r="Q1192" s="1266" t="s">
        <v>8</v>
      </c>
      <c r="R1192" s="1267" t="str">
        <f>IFERROR(VLOOKUP(F1192,#REF!,14,FALSE),"")</f>
        <v/>
      </c>
      <c r="S1192" s="1268" t="str">
        <f t="shared" si="125"/>
        <v/>
      </c>
      <c r="U1192" s="1728"/>
      <c r="V1192" s="1257">
        <f t="shared" si="123"/>
        <v>0</v>
      </c>
      <c r="W1192" s="1767"/>
      <c r="X1192" s="1257"/>
    </row>
    <row r="1193" spans="2:24" ht="16" thickBot="1" x14ac:dyDescent="0.25">
      <c r="B1193" s="1668" t="e">
        <f>SUM(#REF!)</f>
        <v>#REF!</v>
      </c>
      <c r="C1193" s="1256">
        <v>44281</v>
      </c>
      <c r="D1193" s="1257">
        <v>45</v>
      </c>
      <c r="E1193" s="1258" t="s">
        <v>292</v>
      </c>
      <c r="F1193" s="1537" t="s">
        <v>283</v>
      </c>
      <c r="G1193" s="1259">
        <v>2.4583333333333332E-2</v>
      </c>
      <c r="H1193" s="1260">
        <v>6.23</v>
      </c>
      <c r="I1193" s="1261">
        <f t="shared" si="126"/>
        <v>3.9459604066345638E-3</v>
      </c>
      <c r="J1193" s="1262">
        <v>132</v>
      </c>
      <c r="K1193" s="1741"/>
      <c r="L1193" s="1578">
        <v>205</v>
      </c>
      <c r="M1193" s="1602">
        <v>24</v>
      </c>
      <c r="N1193" s="1263">
        <f t="shared" si="124"/>
        <v>1.0431470257061404</v>
      </c>
      <c r="O1193" s="1264" t="s">
        <v>339</v>
      </c>
      <c r="P1193" s="1265" t="str">
        <f>IFERROR(VLOOKUP(F1193,#REF!,12,FALSE),"")</f>
        <v/>
      </c>
      <c r="Q1193" s="1266" t="s">
        <v>8</v>
      </c>
      <c r="R1193" s="1267" t="str">
        <f>IFERROR(VLOOKUP(F1193,#REF!,14,FALSE),"")</f>
        <v/>
      </c>
      <c r="S1193" s="1268">
        <f t="shared" si="125"/>
        <v>1.553030303030303</v>
      </c>
      <c r="U1193" s="1728"/>
      <c r="V1193" s="1257">
        <f t="shared" si="123"/>
        <v>0</v>
      </c>
      <c r="W1193" s="1767"/>
      <c r="X1193" s="1257"/>
    </row>
    <row r="1194" spans="2:24" x14ac:dyDescent="0.2">
      <c r="B1194" s="1669" t="s">
        <v>256</v>
      </c>
      <c r="C1194" s="1256">
        <v>44282</v>
      </c>
      <c r="D1194" s="1257"/>
      <c r="E1194" s="1258"/>
      <c r="F1194" s="1537"/>
      <c r="G1194" s="1259"/>
      <c r="H1194" s="1260" t="str">
        <f>IFERROR(VLOOKUP(F1194,#REF!,10,FALSE),"")</f>
        <v/>
      </c>
      <c r="I1194" s="1261" t="str">
        <f t="shared" si="126"/>
        <v/>
      </c>
      <c r="J1194" s="1262"/>
      <c r="K1194" s="1741"/>
      <c r="L1194" s="1578"/>
      <c r="M1194" s="1602"/>
      <c r="N1194" s="1263" t="str">
        <f t="shared" si="124"/>
        <v/>
      </c>
      <c r="O1194" s="1264"/>
      <c r="P1194" s="1265" t="str">
        <f>IFERROR(VLOOKUP(F1194,#REF!,12,FALSE),"")</f>
        <v/>
      </c>
      <c r="Q1194" s="1266" t="s">
        <v>8</v>
      </c>
      <c r="R1194" s="1267" t="str">
        <f>IFERROR(VLOOKUP(F1194,#REF!,14,FALSE),"")</f>
        <v/>
      </c>
      <c r="S1194" s="1268" t="str">
        <f t="shared" si="125"/>
        <v/>
      </c>
      <c r="U1194" s="1728"/>
      <c r="V1194" s="1257">
        <f t="shared" si="123"/>
        <v>0</v>
      </c>
      <c r="W1194" s="1767"/>
      <c r="X1194" s="1257"/>
    </row>
    <row r="1195" spans="2:24" ht="16" thickBot="1" x14ac:dyDescent="0.25">
      <c r="B1195" s="1670" t="e">
        <f>AVERAGE(#REF!)</f>
        <v>#REF!</v>
      </c>
      <c r="C1195" s="544">
        <v>44283</v>
      </c>
      <c r="D1195" s="67"/>
      <c r="E1195" s="208"/>
      <c r="F1195" s="1538"/>
      <c r="G1195" s="1230"/>
      <c r="H1195" s="1231"/>
      <c r="I1195" s="1232" t="str">
        <f t="shared" si="126"/>
        <v/>
      </c>
      <c r="J1195" s="256"/>
      <c r="K1195" s="1741"/>
      <c r="L1195" s="1580"/>
      <c r="M1195" s="1561"/>
      <c r="N1195" s="172" t="str">
        <f t="shared" si="124"/>
        <v/>
      </c>
      <c r="O1195" s="1233"/>
      <c r="P1195" s="447" t="str">
        <f>IFERROR(VLOOKUP(F1195,#REF!,12,FALSE),"")</f>
        <v/>
      </c>
      <c r="Q1195" s="1269" t="s">
        <v>8</v>
      </c>
      <c r="R1195" s="1235" t="str">
        <f>IFERROR(VLOOKUP(F1195,#REF!,14,FALSE),"")</f>
        <v/>
      </c>
      <c r="S1195" s="1236" t="str">
        <f t="shared" si="125"/>
        <v/>
      </c>
      <c r="U1195" s="1728"/>
      <c r="V1195" s="67">
        <f t="shared" si="123"/>
        <v>0</v>
      </c>
      <c r="W1195" s="1768"/>
      <c r="X1195" s="67"/>
    </row>
    <row r="1196" spans="2:24" ht="16" thickBot="1" x14ac:dyDescent="0.25">
      <c r="B1196" s="1661">
        <f>B1189+1</f>
        <v>13</v>
      </c>
      <c r="C1196" s="1270">
        <v>44284</v>
      </c>
      <c r="D1196" s="194">
        <v>46</v>
      </c>
      <c r="E1196" s="195" t="s">
        <v>293</v>
      </c>
      <c r="F1196" s="1509" t="s">
        <v>285</v>
      </c>
      <c r="G1196" s="1271">
        <v>3.1805555555555552E-2</v>
      </c>
      <c r="H1196" s="1272">
        <v>8.1199999999999992</v>
      </c>
      <c r="I1196" s="1273">
        <f t="shared" si="126"/>
        <v>3.9169403393541323E-3</v>
      </c>
      <c r="J1196" s="1274">
        <v>135</v>
      </c>
      <c r="K1196" s="1741"/>
      <c r="L1196" s="1581">
        <v>209</v>
      </c>
      <c r="M1196" s="265">
        <v>20</v>
      </c>
      <c r="N1196" s="1275">
        <f t="shared" si="124"/>
        <v>1.0556797294316593</v>
      </c>
      <c r="O1196" s="1276" t="s">
        <v>339</v>
      </c>
      <c r="P1196" s="224" t="str">
        <f>IFERROR(VLOOKUP(F1196,#REF!,12,FALSE),"")</f>
        <v/>
      </c>
      <c r="Q1196" s="80" t="s">
        <v>8</v>
      </c>
      <c r="R1196" s="1277" t="str">
        <f>IFERROR(VLOOKUP(F1196,#REF!,14,FALSE),"")</f>
        <v/>
      </c>
      <c r="S1196" s="83">
        <f t="shared" si="125"/>
        <v>1.5481481481481481</v>
      </c>
      <c r="U1196" s="1728"/>
      <c r="V1196" s="194">
        <f t="shared" si="123"/>
        <v>0</v>
      </c>
      <c r="W1196" s="1766"/>
      <c r="X1196" s="194"/>
    </row>
    <row r="1197" spans="2:24" x14ac:dyDescent="0.2">
      <c r="B1197" s="1666" t="s">
        <v>142</v>
      </c>
      <c r="C1197" s="1208">
        <v>44285</v>
      </c>
      <c r="D1197" s="864"/>
      <c r="E1197" s="865"/>
      <c r="F1197" s="1503"/>
      <c r="G1197" s="1209"/>
      <c r="H1197" s="1210" t="str">
        <f>IFERROR(VLOOKUP(F1197,#REF!,10,FALSE),"")</f>
        <v/>
      </c>
      <c r="I1197" s="1211" t="str">
        <f t="shared" si="126"/>
        <v/>
      </c>
      <c r="J1197" s="1212"/>
      <c r="K1197" s="1741"/>
      <c r="L1197" s="1578"/>
      <c r="M1197" s="1602"/>
      <c r="N1197" s="1171" t="str">
        <f t="shared" si="124"/>
        <v/>
      </c>
      <c r="O1197" s="1213"/>
      <c r="P1197" s="1214" t="str">
        <f>IFERROR(VLOOKUP(F1197,#REF!,12,FALSE),"")</f>
        <v/>
      </c>
      <c r="Q1197" s="1215" t="s">
        <v>8</v>
      </c>
      <c r="R1197" s="1216" t="str">
        <f>IFERROR(VLOOKUP(F1197,#REF!,14,FALSE),"")</f>
        <v/>
      </c>
      <c r="S1197" s="1217" t="str">
        <f t="shared" si="125"/>
        <v/>
      </c>
      <c r="U1197" s="1728"/>
      <c r="V1197" s="864">
        <f t="shared" si="123"/>
        <v>0</v>
      </c>
      <c r="W1197" s="1767"/>
      <c r="X1197" s="864"/>
    </row>
    <row r="1198" spans="2:24" ht="16" thickBot="1" x14ac:dyDescent="0.25">
      <c r="B1198" s="1654">
        <f>SUM(H1196:H1202)</f>
        <v>26.52</v>
      </c>
      <c r="C1198" s="1208">
        <v>44286</v>
      </c>
      <c r="D1198" s="864">
        <v>47</v>
      </c>
      <c r="E1198" s="865" t="s">
        <v>293</v>
      </c>
      <c r="F1198" s="1503" t="s">
        <v>284</v>
      </c>
      <c r="G1198" s="1209">
        <v>3.3067129629629634E-2</v>
      </c>
      <c r="H1198" s="1210">
        <v>8.4</v>
      </c>
      <c r="I1198" s="1211">
        <f t="shared" si="126"/>
        <v>3.9365630511463846E-3</v>
      </c>
      <c r="J1198" s="1212">
        <v>138</v>
      </c>
      <c r="K1198" s="1741"/>
      <c r="L1198" s="1578">
        <v>210</v>
      </c>
      <c r="M1198" s="1602">
        <v>29</v>
      </c>
      <c r="N1198" s="1171">
        <f t="shared" si="124"/>
        <v>1.066044776119403</v>
      </c>
      <c r="O1198" s="1213" t="s">
        <v>311</v>
      </c>
      <c r="P1198" s="1214" t="str">
        <f>IFERROR(VLOOKUP(F1198,#REF!,12,FALSE),"")</f>
        <v/>
      </c>
      <c r="Q1198" s="1215" t="s">
        <v>8</v>
      </c>
      <c r="R1198" s="1216" t="str">
        <f>IFERROR(VLOOKUP(F1198,#REF!,14,FALSE),"")</f>
        <v/>
      </c>
      <c r="S1198" s="1217">
        <f t="shared" si="125"/>
        <v>1.5217391304347827</v>
      </c>
      <c r="U1198" s="1728"/>
      <c r="V1198" s="864">
        <f t="shared" si="123"/>
        <v>0</v>
      </c>
      <c r="W1198" s="1767"/>
      <c r="X1198" s="864"/>
    </row>
    <row r="1199" spans="2:24" x14ac:dyDescent="0.2">
      <c r="B1199" s="1667" t="s">
        <v>144</v>
      </c>
      <c r="C1199" s="1208">
        <v>44287</v>
      </c>
      <c r="D1199" s="864"/>
      <c r="E1199" s="865"/>
      <c r="F1199" s="1503"/>
      <c r="G1199" s="1209"/>
      <c r="H1199" s="1210" t="str">
        <f>IFERROR(VLOOKUP(F1199,#REF!,10,FALSE),"")</f>
        <v/>
      </c>
      <c r="I1199" s="1211" t="str">
        <f t="shared" si="126"/>
        <v/>
      </c>
      <c r="J1199" s="1212"/>
      <c r="K1199" s="1741"/>
      <c r="L1199" s="1578"/>
      <c r="M1199" s="1602"/>
      <c r="N1199" s="1171" t="str">
        <f t="shared" si="124"/>
        <v/>
      </c>
      <c r="O1199" s="1213"/>
      <c r="P1199" s="1214" t="str">
        <f>IFERROR(VLOOKUP(F1199,#REF!,12,FALSE),"")</f>
        <v/>
      </c>
      <c r="Q1199" s="1215" t="s">
        <v>8</v>
      </c>
      <c r="R1199" s="1216" t="str">
        <f>IFERROR(VLOOKUP(F1199,#REF!,14,FALSE),"")</f>
        <v/>
      </c>
      <c r="S1199" s="1217" t="str">
        <f t="shared" si="125"/>
        <v/>
      </c>
      <c r="U1199" s="1728"/>
      <c r="V1199" s="864">
        <f t="shared" si="123"/>
        <v>0</v>
      </c>
      <c r="W1199" s="1767"/>
      <c r="X1199" s="864"/>
    </row>
    <row r="1200" spans="2:24" ht="16" thickBot="1" x14ac:dyDescent="0.25">
      <c r="B1200" s="1668" t="e">
        <f>SUM(#REF!)</f>
        <v>#REF!</v>
      </c>
      <c r="C1200" s="1208">
        <v>44288</v>
      </c>
      <c r="D1200" s="864">
        <v>48</v>
      </c>
      <c r="E1200" s="865" t="s">
        <v>293</v>
      </c>
      <c r="F1200" s="1539" t="s">
        <v>198</v>
      </c>
      <c r="G1200" s="1209">
        <v>3.0208333333333334E-2</v>
      </c>
      <c r="H1200" s="1210">
        <v>10</v>
      </c>
      <c r="I1200" s="1211">
        <f t="shared" si="126"/>
        <v>3.0208333333333333E-3</v>
      </c>
      <c r="J1200" s="1212">
        <v>161</v>
      </c>
      <c r="K1200" s="1741"/>
      <c r="L1200" s="1578">
        <v>261</v>
      </c>
      <c r="M1200" s="1602">
        <v>57</v>
      </c>
      <c r="N1200" s="1171">
        <f t="shared" si="124"/>
        <v>1.0167313432835821</v>
      </c>
      <c r="O1200" s="1213" t="s">
        <v>341</v>
      </c>
      <c r="P1200" s="1214" t="str">
        <f>IFERROR(VLOOKUP(F1200,#REF!,12,FALSE),"")</f>
        <v/>
      </c>
      <c r="Q1200" s="1215" t="s">
        <v>8</v>
      </c>
      <c r="R1200" s="1216" t="str">
        <f>IFERROR(VLOOKUP(F1200,#REF!,14,FALSE),"")</f>
        <v/>
      </c>
      <c r="S1200" s="1217">
        <f t="shared" si="125"/>
        <v>1.6211180124223603</v>
      </c>
      <c r="U1200" s="1728"/>
      <c r="V1200" s="864">
        <f t="shared" si="123"/>
        <v>0</v>
      </c>
      <c r="W1200" s="1767"/>
      <c r="X1200" s="864"/>
    </row>
    <row r="1201" spans="2:24" x14ac:dyDescent="0.2">
      <c r="B1201" s="1669" t="s">
        <v>256</v>
      </c>
      <c r="C1201" s="1208">
        <v>44289</v>
      </c>
      <c r="D1201" s="864"/>
      <c r="E1201" s="865"/>
      <c r="F1201" s="1503"/>
      <c r="G1201" s="1209"/>
      <c r="H1201" s="1210" t="str">
        <f>IFERROR(VLOOKUP(F1201,#REF!,10,FALSE),"")</f>
        <v/>
      </c>
      <c r="I1201" s="1211" t="str">
        <f t="shared" si="126"/>
        <v/>
      </c>
      <c r="J1201" s="1212"/>
      <c r="K1201" s="1741"/>
      <c r="L1201" s="1578"/>
      <c r="M1201" s="1602"/>
      <c r="N1201" s="1171" t="str">
        <f t="shared" ref="N1201:N1235" si="127">IFERROR((L1201/67)/(1/(I1201*24)/3.6),"")</f>
        <v/>
      </c>
      <c r="O1201" s="1213"/>
      <c r="P1201" s="1214" t="str">
        <f>IFERROR(VLOOKUP(F1201,#REF!,12,FALSE),"")</f>
        <v/>
      </c>
      <c r="Q1201" s="1215" t="s">
        <v>8</v>
      </c>
      <c r="R1201" s="1216" t="str">
        <f>IFERROR(VLOOKUP(F1201,#REF!,14,FALSE),"")</f>
        <v/>
      </c>
      <c r="S1201" s="1217" t="str">
        <f t="shared" ref="S1201:S1235" si="128">IFERROR(L1201/J1201,"")</f>
        <v/>
      </c>
      <c r="U1201" s="1728"/>
      <c r="V1201" s="864">
        <f t="shared" si="123"/>
        <v>0</v>
      </c>
      <c r="W1201" s="1767"/>
      <c r="X1201" s="864"/>
    </row>
    <row r="1202" spans="2:24" ht="16" thickBot="1" x14ac:dyDescent="0.25">
      <c r="B1202" s="1670" t="e">
        <f>AVERAGE(#REF!)</f>
        <v>#REF!</v>
      </c>
      <c r="C1202" s="1245">
        <v>44290</v>
      </c>
      <c r="D1202" s="1097"/>
      <c r="E1202" s="1098"/>
      <c r="F1202" s="1532"/>
      <c r="G1202" s="1246"/>
      <c r="H1202" s="1247" t="str">
        <f>IFERROR(VLOOKUP(F1202,#REF!,10,FALSE),"")</f>
        <v/>
      </c>
      <c r="I1202" s="1248" t="str">
        <f t="shared" si="126"/>
        <v/>
      </c>
      <c r="J1202" s="1249"/>
      <c r="K1202" s="1741"/>
      <c r="L1202" s="984"/>
      <c r="M1202" s="1603"/>
      <c r="N1202" s="1250" t="str">
        <f t="shared" si="127"/>
        <v/>
      </c>
      <c r="O1202" s="1251"/>
      <c r="P1202" s="1146" t="str">
        <f>IFERROR(VLOOKUP(F1202,#REF!,12,FALSE),"")</f>
        <v/>
      </c>
      <c r="Q1202" s="1252" t="s">
        <v>8</v>
      </c>
      <c r="R1202" s="1253" t="str">
        <f>IFERROR(VLOOKUP(F1202,#REF!,14,FALSE),"")</f>
        <v/>
      </c>
      <c r="S1202" s="1106" t="str">
        <f t="shared" si="128"/>
        <v/>
      </c>
      <c r="U1202" s="1728"/>
      <c r="V1202" s="1097">
        <f t="shared" si="123"/>
        <v>0</v>
      </c>
      <c r="W1202" s="1768"/>
      <c r="X1202" s="1097"/>
    </row>
    <row r="1203" spans="2:24" ht="16" thickBot="1" x14ac:dyDescent="0.25">
      <c r="B1203" s="1661">
        <f>B1196+1</f>
        <v>14</v>
      </c>
      <c r="C1203" s="1199">
        <v>44291</v>
      </c>
      <c r="D1203" s="1108"/>
      <c r="E1203" s="1109"/>
      <c r="F1203" s="1505"/>
      <c r="G1203" s="1200"/>
      <c r="H1203" s="1201" t="str">
        <f>IFERROR(VLOOKUP(F1203,#REF!,10,FALSE),"")</f>
        <v/>
      </c>
      <c r="I1203" s="1202" t="str">
        <f t="shared" si="126"/>
        <v/>
      </c>
      <c r="J1203" s="1203"/>
      <c r="K1203" s="1741"/>
      <c r="L1203" s="1577"/>
      <c r="M1203" s="1374"/>
      <c r="N1203" s="1111" t="str">
        <f t="shared" si="127"/>
        <v/>
      </c>
      <c r="O1203" s="1204"/>
      <c r="P1203" s="1113" t="str">
        <f>IFERROR(VLOOKUP(F1203,#REF!,12,FALSE),"")</f>
        <v/>
      </c>
      <c r="Q1203" s="1254" t="s">
        <v>8</v>
      </c>
      <c r="R1203" s="1255" t="str">
        <f>IFERROR(VLOOKUP(F1203,#REF!,14,FALSE),"")</f>
        <v/>
      </c>
      <c r="S1203" s="1207" t="str">
        <f t="shared" si="128"/>
        <v/>
      </c>
      <c r="U1203" s="1728"/>
      <c r="V1203" s="1108">
        <f t="shared" si="123"/>
        <v>0</v>
      </c>
      <c r="W1203" s="1766"/>
      <c r="X1203" s="1108"/>
    </row>
    <row r="1204" spans="2:24" x14ac:dyDescent="0.2">
      <c r="B1204" s="1666" t="s">
        <v>142</v>
      </c>
      <c r="C1204" s="1278">
        <v>44292</v>
      </c>
      <c r="D1204" s="1279"/>
      <c r="E1204" s="1280"/>
      <c r="F1204" s="1540"/>
      <c r="G1204" s="1281"/>
      <c r="H1204" s="1282" t="str">
        <f>IFERROR(VLOOKUP(F1204,#REF!,10,FALSE),"")</f>
        <v/>
      </c>
      <c r="I1204" s="1283" t="str">
        <f t="shared" si="126"/>
        <v/>
      </c>
      <c r="J1204" s="1284"/>
      <c r="K1204" s="1741"/>
      <c r="L1204" s="1578"/>
      <c r="M1204" s="1602"/>
      <c r="N1204" s="1285" t="str">
        <f t="shared" si="127"/>
        <v/>
      </c>
      <c r="O1204" s="1286"/>
      <c r="P1204" s="1287" t="str">
        <f>IFERROR(VLOOKUP(F1204,#REF!,12,FALSE),"")</f>
        <v/>
      </c>
      <c r="Q1204" s="1288" t="s">
        <v>8</v>
      </c>
      <c r="R1204" s="1289" t="str">
        <f>IFERROR(VLOOKUP(F1204,#REF!,14,FALSE),"")</f>
        <v/>
      </c>
      <c r="S1204" s="1290" t="str">
        <f t="shared" si="128"/>
        <v/>
      </c>
      <c r="U1204" s="1728"/>
      <c r="V1204" s="1279">
        <f t="shared" si="123"/>
        <v>0</v>
      </c>
      <c r="W1204" s="1767"/>
      <c r="X1204" s="1279"/>
    </row>
    <row r="1205" spans="2:24" ht="16" thickBot="1" x14ac:dyDescent="0.25">
      <c r="B1205" s="1654">
        <f>SUM(H1203:H1209)</f>
        <v>22.299999999999997</v>
      </c>
      <c r="C1205" s="1278">
        <v>44293</v>
      </c>
      <c r="D1205" s="1279"/>
      <c r="E1205" s="1280"/>
      <c r="F1205" s="1540"/>
      <c r="G1205" s="1281"/>
      <c r="H1205" s="1282" t="str">
        <f>IFERROR(VLOOKUP(F1205,#REF!,10,FALSE),"")</f>
        <v/>
      </c>
      <c r="I1205" s="1283" t="str">
        <f t="shared" si="126"/>
        <v/>
      </c>
      <c r="J1205" s="1284"/>
      <c r="K1205" s="1741"/>
      <c r="L1205" s="1578"/>
      <c r="M1205" s="1602"/>
      <c r="N1205" s="1285" t="str">
        <f t="shared" si="127"/>
        <v/>
      </c>
      <c r="O1205" s="1286"/>
      <c r="P1205" s="1287" t="str">
        <f>IFERROR(VLOOKUP(F1205,#REF!,12,FALSE),"")</f>
        <v/>
      </c>
      <c r="Q1205" s="1288" t="s">
        <v>8</v>
      </c>
      <c r="R1205" s="1289" t="str">
        <f>IFERROR(VLOOKUP(F1205,#REF!,14,FALSE),"")</f>
        <v/>
      </c>
      <c r="S1205" s="1290" t="str">
        <f t="shared" si="128"/>
        <v/>
      </c>
      <c r="U1205" s="1728"/>
      <c r="V1205" s="1279">
        <f t="shared" si="123"/>
        <v>0</v>
      </c>
      <c r="W1205" s="1767"/>
      <c r="X1205" s="1279"/>
    </row>
    <row r="1206" spans="2:24" x14ac:dyDescent="0.2">
      <c r="B1206" s="1667" t="s">
        <v>144</v>
      </c>
      <c r="C1206" s="1278">
        <v>44294</v>
      </c>
      <c r="D1206" s="1279">
        <v>49</v>
      </c>
      <c r="E1206" s="1280" t="s">
        <v>292</v>
      </c>
      <c r="F1206" s="1540" t="s">
        <v>278</v>
      </c>
      <c r="G1206" s="1281">
        <v>4.5104166666666667E-2</v>
      </c>
      <c r="H1206" s="1282">
        <v>11.1</v>
      </c>
      <c r="I1206" s="1283">
        <f t="shared" si="126"/>
        <v>4.0634384384384383E-3</v>
      </c>
      <c r="J1206" s="1284">
        <v>133</v>
      </c>
      <c r="K1206" s="1741"/>
      <c r="L1206" s="1578">
        <v>202</v>
      </c>
      <c r="M1206" s="1602">
        <v>47</v>
      </c>
      <c r="N1206" s="1285">
        <f t="shared" si="127"/>
        <v>1.0584832593787816</v>
      </c>
      <c r="O1206" s="1286" t="s">
        <v>339</v>
      </c>
      <c r="P1206" s="1287" t="str">
        <f>IFERROR(VLOOKUP(F1206,#REF!,12,FALSE),"")</f>
        <v/>
      </c>
      <c r="Q1206" s="1288" t="s">
        <v>8</v>
      </c>
      <c r="R1206" s="1289" t="str">
        <f>IFERROR(VLOOKUP(F1206,#REF!,14,FALSE),"")</f>
        <v/>
      </c>
      <c r="S1206" s="1290">
        <f t="shared" si="128"/>
        <v>1.518796992481203</v>
      </c>
      <c r="U1206" s="1728"/>
      <c r="V1206" s="1279">
        <f t="shared" si="123"/>
        <v>0</v>
      </c>
      <c r="W1206" s="1767"/>
      <c r="X1206" s="1279"/>
    </row>
    <row r="1207" spans="2:24" ht="16" thickBot="1" x14ac:dyDescent="0.25">
      <c r="B1207" s="1668" t="e">
        <f>SUM(#REF!)</f>
        <v>#REF!</v>
      </c>
      <c r="C1207" s="1278">
        <v>44295</v>
      </c>
      <c r="D1207" s="1279"/>
      <c r="E1207" s="1280"/>
      <c r="F1207" s="1540"/>
      <c r="G1207" s="1281"/>
      <c r="H1207" s="1282" t="str">
        <f>IFERROR(VLOOKUP(F1207,#REF!,10,FALSE),"")</f>
        <v/>
      </c>
      <c r="I1207" s="1283" t="str">
        <f t="shared" si="126"/>
        <v/>
      </c>
      <c r="J1207" s="1284"/>
      <c r="K1207" s="1741"/>
      <c r="L1207" s="1578"/>
      <c r="M1207" s="1602"/>
      <c r="N1207" s="1285" t="str">
        <f t="shared" si="127"/>
        <v/>
      </c>
      <c r="O1207" s="1286"/>
      <c r="P1207" s="1287" t="str">
        <f>IFERROR(VLOOKUP(F1207,#REF!,12,FALSE),"")</f>
        <v/>
      </c>
      <c r="Q1207" s="1288" t="s">
        <v>8</v>
      </c>
      <c r="R1207" s="1289" t="str">
        <f>IFERROR(VLOOKUP(F1207,#REF!,14,FALSE),"")</f>
        <v/>
      </c>
      <c r="S1207" s="1290" t="str">
        <f t="shared" si="128"/>
        <v/>
      </c>
      <c r="U1207" s="1728"/>
      <c r="V1207" s="1279">
        <f t="shared" si="123"/>
        <v>0</v>
      </c>
      <c r="W1207" s="1767"/>
      <c r="X1207" s="1279"/>
    </row>
    <row r="1208" spans="2:24" x14ac:dyDescent="0.2">
      <c r="B1208" s="1669" t="s">
        <v>256</v>
      </c>
      <c r="C1208" s="1278">
        <v>44296</v>
      </c>
      <c r="D1208" s="1279">
        <v>50</v>
      </c>
      <c r="E1208" s="1280" t="s">
        <v>292</v>
      </c>
      <c r="F1208" s="1540" t="s">
        <v>278</v>
      </c>
      <c r="G1208" s="1281">
        <v>4.4571759259259262E-2</v>
      </c>
      <c r="H1208" s="1282">
        <v>11.2</v>
      </c>
      <c r="I1208" s="1283">
        <f t="shared" si="126"/>
        <v>3.9796213624338633E-3</v>
      </c>
      <c r="J1208" s="1284">
        <v>130</v>
      </c>
      <c r="K1208" s="1741"/>
      <c r="L1208" s="1578">
        <v>205</v>
      </c>
      <c r="M1208" s="1602">
        <v>45</v>
      </c>
      <c r="N1208" s="1285">
        <f t="shared" si="127"/>
        <v>1.0520455756929641</v>
      </c>
      <c r="O1208" s="1286" t="s">
        <v>311</v>
      </c>
      <c r="P1208" s="1287" t="str">
        <f>IFERROR(VLOOKUP(F1208,#REF!,12,FALSE),"")</f>
        <v/>
      </c>
      <c r="Q1208" s="1288" t="s">
        <v>8</v>
      </c>
      <c r="R1208" s="1289" t="str">
        <f>IFERROR(VLOOKUP(F1208,#REF!,14,FALSE),"")</f>
        <v/>
      </c>
      <c r="S1208" s="1290">
        <f t="shared" si="128"/>
        <v>1.5769230769230769</v>
      </c>
      <c r="U1208" s="1728"/>
      <c r="V1208" s="1279">
        <f t="shared" si="123"/>
        <v>0</v>
      </c>
      <c r="W1208" s="1767"/>
      <c r="X1208" s="1279"/>
    </row>
    <row r="1209" spans="2:24" ht="16" thickBot="1" x14ac:dyDescent="0.25">
      <c r="B1209" s="1670" t="e">
        <f>AVERAGE(#REF!)</f>
        <v>#REF!</v>
      </c>
      <c r="C1209" s="1291">
        <v>44297</v>
      </c>
      <c r="D1209" s="1143"/>
      <c r="E1209" s="1292"/>
      <c r="F1209" s="1541"/>
      <c r="G1209" s="1293"/>
      <c r="H1209" s="1294" t="str">
        <f>IFERROR(VLOOKUP(F1209,#REF!,10,FALSE),"")</f>
        <v/>
      </c>
      <c r="I1209" s="1295" t="str">
        <f t="shared" si="126"/>
        <v/>
      </c>
      <c r="J1209" s="1296"/>
      <c r="K1209" s="1741"/>
      <c r="L1209" s="1580"/>
      <c r="M1209" s="1561"/>
      <c r="N1209" s="1297" t="str">
        <f t="shared" si="127"/>
        <v/>
      </c>
      <c r="O1209" s="1298"/>
      <c r="P1209" s="1299" t="str">
        <f>IFERROR(VLOOKUP(F1209,#REF!,12,FALSE),"")</f>
        <v/>
      </c>
      <c r="Q1209" s="1300" t="s">
        <v>8</v>
      </c>
      <c r="R1209" s="1301" t="str">
        <f>IFERROR(VLOOKUP(F1209,#REF!,14,FALSE),"")</f>
        <v/>
      </c>
      <c r="S1209" s="1142" t="str">
        <f t="shared" si="128"/>
        <v/>
      </c>
      <c r="U1209" s="1728"/>
      <c r="V1209" s="1143">
        <f t="shared" si="123"/>
        <v>0</v>
      </c>
      <c r="W1209" s="1768"/>
      <c r="X1209" s="1143"/>
    </row>
    <row r="1210" spans="2:24" ht="16" thickBot="1" x14ac:dyDescent="0.25">
      <c r="B1210" s="1661">
        <f>B1203+1</f>
        <v>15</v>
      </c>
      <c r="C1210" s="1237">
        <v>44298</v>
      </c>
      <c r="D1210" s="70"/>
      <c r="E1210" s="71"/>
      <c r="F1210" s="1542"/>
      <c r="G1210" s="1238"/>
      <c r="H1210" s="1239" t="str">
        <f>IFERROR(VLOOKUP(F1210,#REF!,10,FALSE),"")</f>
        <v/>
      </c>
      <c r="I1210" s="1240" t="str">
        <f t="shared" si="126"/>
        <v/>
      </c>
      <c r="J1210" s="265"/>
      <c r="K1210" s="1741"/>
      <c r="L1210" s="1581"/>
      <c r="M1210" s="265"/>
      <c r="N1210" s="77" t="str">
        <f t="shared" si="127"/>
        <v/>
      </c>
      <c r="O1210" s="1241"/>
      <c r="P1210" s="79" t="str">
        <f>IFERROR(VLOOKUP(F1210,#REF!,12,FALSE),"")</f>
        <v/>
      </c>
      <c r="Q1210" s="1242" t="s">
        <v>8</v>
      </c>
      <c r="R1210" s="1243" t="str">
        <f>IFERROR(VLOOKUP(F1210,#REF!,14,FALSE),"")</f>
        <v/>
      </c>
      <c r="S1210" s="1244" t="str">
        <f t="shared" si="128"/>
        <v/>
      </c>
      <c r="U1210" s="1728"/>
      <c r="V1210" s="70">
        <f t="shared" ref="V1210:V1273" si="129">U1209-T1209</f>
        <v>0</v>
      </c>
      <c r="W1210" s="1766"/>
      <c r="X1210" s="70"/>
    </row>
    <row r="1211" spans="2:24" x14ac:dyDescent="0.2">
      <c r="B1211" s="1666" t="s">
        <v>142</v>
      </c>
      <c r="C1211" s="1208">
        <v>44299</v>
      </c>
      <c r="D1211" s="864">
        <v>51</v>
      </c>
      <c r="E1211" s="865" t="s">
        <v>293</v>
      </c>
      <c r="F1211" s="1543" t="s">
        <v>285</v>
      </c>
      <c r="G1211" s="1209">
        <v>3.3067129629629634E-2</v>
      </c>
      <c r="H1211" s="1210">
        <v>8.3800000000000008</v>
      </c>
      <c r="I1211" s="1211">
        <f t="shared" si="126"/>
        <v>3.9459581896932735E-3</v>
      </c>
      <c r="J1211" s="1212">
        <v>136</v>
      </c>
      <c r="K1211" s="1741"/>
      <c r="L1211" s="1578">
        <v>207</v>
      </c>
      <c r="M1211" s="1602">
        <v>37</v>
      </c>
      <c r="N1211" s="1171">
        <f t="shared" si="127"/>
        <v>1.0533234780750187</v>
      </c>
      <c r="O1211" s="1213" t="s">
        <v>339</v>
      </c>
      <c r="P1211" s="1214" t="str">
        <f>IFERROR(VLOOKUP(F1211,#REF!,12,FALSE),"")</f>
        <v/>
      </c>
      <c r="Q1211" s="1215" t="s">
        <v>8</v>
      </c>
      <c r="R1211" s="1216" t="str">
        <f>IFERROR(VLOOKUP(F1211,#REF!,14,FALSE),"")</f>
        <v/>
      </c>
      <c r="S1211" s="1217">
        <f t="shared" si="128"/>
        <v>1.5220588235294117</v>
      </c>
      <c r="U1211" s="1728"/>
      <c r="V1211" s="864">
        <f t="shared" si="129"/>
        <v>0</v>
      </c>
      <c r="W1211" s="1767"/>
      <c r="X1211" s="864"/>
    </row>
    <row r="1212" spans="2:24" ht="16" thickBot="1" x14ac:dyDescent="0.25">
      <c r="B1212" s="1654">
        <f>SUM(H1210:H1216)</f>
        <v>18.78</v>
      </c>
      <c r="C1212" s="1208">
        <v>44300</v>
      </c>
      <c r="D1212" s="864"/>
      <c r="E1212" s="865"/>
      <c r="F1212" s="1543"/>
      <c r="G1212" s="1209"/>
      <c r="H1212" s="1210" t="str">
        <f>IFERROR(VLOOKUP(F1212,#REF!,10,FALSE),"")</f>
        <v/>
      </c>
      <c r="I1212" s="1211" t="str">
        <f t="shared" si="126"/>
        <v/>
      </c>
      <c r="J1212" s="1212"/>
      <c r="K1212" s="1741"/>
      <c r="L1212" s="1578"/>
      <c r="M1212" s="1602"/>
      <c r="N1212" s="1171" t="str">
        <f t="shared" si="127"/>
        <v/>
      </c>
      <c r="O1212" s="1213"/>
      <c r="P1212" s="1214" t="str">
        <f>IFERROR(VLOOKUP(F1212,#REF!,12,FALSE),"")</f>
        <v/>
      </c>
      <c r="Q1212" s="1215" t="s">
        <v>8</v>
      </c>
      <c r="R1212" s="1216" t="str">
        <f>IFERROR(VLOOKUP(F1212,#REF!,14,FALSE),"")</f>
        <v/>
      </c>
      <c r="S1212" s="1217" t="str">
        <f t="shared" si="128"/>
        <v/>
      </c>
      <c r="U1212" s="1728"/>
      <c r="V1212" s="864">
        <f t="shared" si="129"/>
        <v>0</v>
      </c>
      <c r="W1212" s="1767"/>
      <c r="X1212" s="864"/>
    </row>
    <row r="1213" spans="2:24" x14ac:dyDescent="0.2">
      <c r="B1213" s="1667" t="s">
        <v>144</v>
      </c>
      <c r="C1213" s="1208">
        <v>44301</v>
      </c>
      <c r="D1213" s="864"/>
      <c r="E1213" s="865"/>
      <c r="F1213" s="1540"/>
      <c r="G1213" s="1209"/>
      <c r="H1213" s="1210" t="str">
        <f>IFERROR(VLOOKUP(F1213,#REF!,10,FALSE),"")</f>
        <v/>
      </c>
      <c r="I1213" s="1211" t="str">
        <f t="shared" si="126"/>
        <v/>
      </c>
      <c r="J1213" s="1212"/>
      <c r="K1213" s="1741"/>
      <c r="L1213" s="1578"/>
      <c r="M1213" s="1602"/>
      <c r="N1213" s="1171" t="str">
        <f t="shared" si="127"/>
        <v/>
      </c>
      <c r="O1213" s="1213"/>
      <c r="P1213" s="1214" t="str">
        <f>IFERROR(VLOOKUP(F1213,#REF!,12,FALSE),"")</f>
        <v/>
      </c>
      <c r="Q1213" s="1215" t="s">
        <v>8</v>
      </c>
      <c r="R1213" s="1216" t="str">
        <f>IFERROR(VLOOKUP(F1213,#REF!,14,FALSE),"")</f>
        <v/>
      </c>
      <c r="S1213" s="1217" t="str">
        <f t="shared" si="128"/>
        <v/>
      </c>
      <c r="U1213" s="1728"/>
      <c r="V1213" s="864">
        <f t="shared" si="129"/>
        <v>0</v>
      </c>
      <c r="W1213" s="1767"/>
      <c r="X1213" s="864"/>
    </row>
    <row r="1214" spans="2:24" ht="16" thickBot="1" x14ac:dyDescent="0.25">
      <c r="B1214" s="1668" t="e">
        <f>SUM(#REF!)</f>
        <v>#REF!</v>
      </c>
      <c r="C1214" s="1208">
        <v>44302</v>
      </c>
      <c r="D1214" s="864"/>
      <c r="E1214" s="865"/>
      <c r="F1214" s="1540"/>
      <c r="G1214" s="1209"/>
      <c r="H1214" s="1210" t="str">
        <f>IFERROR(VLOOKUP(F1214,#REF!,10,FALSE),"")</f>
        <v/>
      </c>
      <c r="I1214" s="1211" t="str">
        <f t="shared" si="126"/>
        <v/>
      </c>
      <c r="J1214" s="1212"/>
      <c r="K1214" s="1741"/>
      <c r="L1214" s="1578"/>
      <c r="M1214" s="1602"/>
      <c r="N1214" s="1171" t="str">
        <f t="shared" si="127"/>
        <v/>
      </c>
      <c r="O1214" s="1213"/>
      <c r="P1214" s="1214" t="str">
        <f>IFERROR(VLOOKUP(F1214,#REF!,12,FALSE),"")</f>
        <v/>
      </c>
      <c r="Q1214" s="1215" t="s">
        <v>8</v>
      </c>
      <c r="R1214" s="1216" t="str">
        <f>IFERROR(VLOOKUP(F1214,#REF!,14,FALSE),"")</f>
        <v/>
      </c>
      <c r="S1214" s="1217" t="str">
        <f t="shared" si="128"/>
        <v/>
      </c>
      <c r="U1214" s="1728"/>
      <c r="V1214" s="864">
        <f t="shared" si="129"/>
        <v>0</v>
      </c>
      <c r="W1214" s="1767"/>
      <c r="X1214" s="864"/>
    </row>
    <row r="1215" spans="2:24" x14ac:dyDescent="0.2">
      <c r="B1215" s="1669" t="s">
        <v>256</v>
      </c>
      <c r="C1215" s="1208">
        <v>44303</v>
      </c>
      <c r="D1215" s="864">
        <v>52</v>
      </c>
      <c r="E1215" s="865" t="s">
        <v>293</v>
      </c>
      <c r="F1215" s="1540" t="s">
        <v>278</v>
      </c>
      <c r="G1215" s="1209">
        <v>3.9583333333333331E-2</v>
      </c>
      <c r="H1215" s="1210">
        <v>10.4</v>
      </c>
      <c r="I1215" s="1211">
        <f t="shared" si="126"/>
        <v>3.8060897435897431E-3</v>
      </c>
      <c r="J1215" s="1212">
        <v>139</v>
      </c>
      <c r="K1215" s="1741"/>
      <c r="L1215" s="1578">
        <v>214</v>
      </c>
      <c r="M1215" s="1602">
        <v>38</v>
      </c>
      <c r="N1215" s="1171">
        <f t="shared" si="127"/>
        <v>1.0503444316877151</v>
      </c>
      <c r="O1215" s="1213" t="s">
        <v>311</v>
      </c>
      <c r="P1215" s="1214" t="str">
        <f>IFERROR(VLOOKUP(F1215,#REF!,12,FALSE),"")</f>
        <v/>
      </c>
      <c r="Q1215" s="1215" t="s">
        <v>8</v>
      </c>
      <c r="R1215" s="1216" t="str">
        <f>IFERROR(VLOOKUP(F1215,#REF!,14,FALSE),"")</f>
        <v/>
      </c>
      <c r="S1215" s="1217">
        <f t="shared" si="128"/>
        <v>1.539568345323741</v>
      </c>
      <c r="U1215" s="1728"/>
      <c r="V1215" s="864">
        <f t="shared" si="129"/>
        <v>0</v>
      </c>
      <c r="W1215" s="1767"/>
      <c r="X1215" s="864"/>
    </row>
    <row r="1216" spans="2:24" ht="16" thickBot="1" x14ac:dyDescent="0.25">
      <c r="B1216" s="1670" t="e">
        <f>AVERAGE(#REF!)</f>
        <v>#REF!</v>
      </c>
      <c r="C1216" s="1245">
        <v>44304</v>
      </c>
      <c r="D1216" s="1097"/>
      <c r="E1216" s="1098"/>
      <c r="F1216" s="1541"/>
      <c r="G1216" s="1246"/>
      <c r="H1216" s="1247" t="str">
        <f>IFERROR(VLOOKUP(F1216,#REF!,10,FALSE),"")</f>
        <v/>
      </c>
      <c r="I1216" s="1248" t="str">
        <f t="shared" si="126"/>
        <v/>
      </c>
      <c r="J1216" s="1249"/>
      <c r="K1216" s="1741"/>
      <c r="L1216" s="984"/>
      <c r="M1216" s="1603"/>
      <c r="N1216" s="1250" t="str">
        <f t="shared" si="127"/>
        <v/>
      </c>
      <c r="O1216" s="1251"/>
      <c r="P1216" s="1146" t="str">
        <f>IFERROR(VLOOKUP(F1216,#REF!,12,FALSE),"")</f>
        <v/>
      </c>
      <c r="Q1216" s="1252" t="s">
        <v>8</v>
      </c>
      <c r="R1216" s="1253" t="str">
        <f>IFERROR(VLOOKUP(F1216,#REF!,14,FALSE),"")</f>
        <v/>
      </c>
      <c r="S1216" s="1106" t="str">
        <f t="shared" si="128"/>
        <v/>
      </c>
      <c r="U1216" s="1728"/>
      <c r="V1216" s="1097">
        <f t="shared" si="129"/>
        <v>0</v>
      </c>
      <c r="W1216" s="1768"/>
      <c r="X1216" s="1097"/>
    </row>
    <row r="1217" spans="2:24" ht="16" thickBot="1" x14ac:dyDescent="0.25">
      <c r="B1217" s="1661">
        <f>B1210+1</f>
        <v>16</v>
      </c>
      <c r="C1217" s="1199">
        <v>44305</v>
      </c>
      <c r="D1217" s="1108"/>
      <c r="E1217" s="1109"/>
      <c r="F1217" s="1505"/>
      <c r="G1217" s="1200"/>
      <c r="H1217" s="1201" t="str">
        <f>IFERROR(VLOOKUP(F1217,#REF!,10,FALSE),"")</f>
        <v/>
      </c>
      <c r="I1217" s="1202" t="str">
        <f t="shared" si="126"/>
        <v/>
      </c>
      <c r="J1217" s="1203"/>
      <c r="K1217" s="1741"/>
      <c r="L1217" s="1577"/>
      <c r="M1217" s="1374"/>
      <c r="N1217" s="1111" t="str">
        <f t="shared" si="127"/>
        <v/>
      </c>
      <c r="O1217" s="1204"/>
      <c r="P1217" s="1113" t="str">
        <f>IFERROR(VLOOKUP(F1217,#REF!,12,FALSE),"")</f>
        <v/>
      </c>
      <c r="Q1217" s="1254" t="s">
        <v>8</v>
      </c>
      <c r="R1217" s="1255" t="str">
        <f>IFERROR(VLOOKUP(F1217,#REF!,14,FALSE),"")</f>
        <v/>
      </c>
      <c r="S1217" s="1207" t="str">
        <f t="shared" si="128"/>
        <v/>
      </c>
      <c r="U1217" s="1728"/>
      <c r="V1217" s="1108">
        <f t="shared" si="129"/>
        <v>0</v>
      </c>
      <c r="W1217" s="1766"/>
      <c r="X1217" s="1108"/>
    </row>
    <row r="1218" spans="2:24" x14ac:dyDescent="0.2">
      <c r="B1218" s="1666" t="s">
        <v>142</v>
      </c>
      <c r="C1218" s="1278">
        <v>44306</v>
      </c>
      <c r="D1218" s="1279">
        <v>53</v>
      </c>
      <c r="E1218" s="1280" t="s">
        <v>293</v>
      </c>
      <c r="F1218" s="1540" t="s">
        <v>312</v>
      </c>
      <c r="G1218" s="1281">
        <v>2.7662037037037041E-2</v>
      </c>
      <c r="H1218" s="1282">
        <v>7.01</v>
      </c>
      <c r="I1218" s="1283">
        <f t="shared" si="126"/>
        <v>3.9460823162677664E-3</v>
      </c>
      <c r="J1218" s="1284">
        <v>149</v>
      </c>
      <c r="K1218" s="1741"/>
      <c r="L1218" s="1578">
        <v>201</v>
      </c>
      <c r="M1218" s="1602">
        <v>18</v>
      </c>
      <c r="N1218" s="1285">
        <f t="shared" si="127"/>
        <v>1.0228245363766053</v>
      </c>
      <c r="O1218" s="1286" t="s">
        <v>341</v>
      </c>
      <c r="P1218" s="1287" t="str">
        <f>IFERROR(VLOOKUP(F1218,#REF!,12,FALSE),"")</f>
        <v/>
      </c>
      <c r="Q1218" s="1288" t="s">
        <v>8</v>
      </c>
      <c r="R1218" s="1289" t="str">
        <f>IFERROR(VLOOKUP(F1218,#REF!,14,FALSE),"")</f>
        <v/>
      </c>
      <c r="S1218" s="1290">
        <f t="shared" si="128"/>
        <v>1.348993288590604</v>
      </c>
      <c r="U1218" s="1728"/>
      <c r="V1218" s="1279">
        <f t="shared" si="129"/>
        <v>0</v>
      </c>
      <c r="W1218" s="1767"/>
      <c r="X1218" s="1279"/>
    </row>
    <row r="1219" spans="2:24" ht="16" thickBot="1" x14ac:dyDescent="0.25">
      <c r="B1219" s="1654">
        <f>SUM(H1217:H1223)</f>
        <v>20.65</v>
      </c>
      <c r="C1219" s="1278">
        <v>44307</v>
      </c>
      <c r="D1219" s="1279"/>
      <c r="E1219" s="1280"/>
      <c r="F1219" s="1540"/>
      <c r="G1219" s="1281"/>
      <c r="H1219" s="1282" t="str">
        <f>IFERROR(VLOOKUP(F1219,#REF!,10,FALSE),"")</f>
        <v/>
      </c>
      <c r="I1219" s="1283" t="str">
        <f t="shared" si="126"/>
        <v/>
      </c>
      <c r="J1219" s="1284"/>
      <c r="K1219" s="1741"/>
      <c r="L1219" s="1578"/>
      <c r="M1219" s="1602"/>
      <c r="N1219" s="1285" t="str">
        <f t="shared" si="127"/>
        <v/>
      </c>
      <c r="O1219" s="1286"/>
      <c r="P1219" s="1287" t="str">
        <f>IFERROR(VLOOKUP(F1219,#REF!,12,FALSE),"")</f>
        <v/>
      </c>
      <c r="Q1219" s="1288" t="s">
        <v>8</v>
      </c>
      <c r="R1219" s="1289" t="str">
        <f>IFERROR(VLOOKUP(F1219,#REF!,14,FALSE),"")</f>
        <v/>
      </c>
      <c r="S1219" s="1290" t="str">
        <f t="shared" si="128"/>
        <v/>
      </c>
      <c r="U1219" s="1728"/>
      <c r="V1219" s="1279">
        <f t="shared" si="129"/>
        <v>0</v>
      </c>
      <c r="W1219" s="1767"/>
      <c r="X1219" s="1279"/>
    </row>
    <row r="1220" spans="2:24" x14ac:dyDescent="0.2">
      <c r="B1220" s="1667" t="s">
        <v>144</v>
      </c>
      <c r="C1220" s="1278">
        <v>44308</v>
      </c>
      <c r="D1220" s="1279">
        <v>54</v>
      </c>
      <c r="E1220" s="1280" t="s">
        <v>293</v>
      </c>
      <c r="F1220" s="1540" t="s">
        <v>285</v>
      </c>
      <c r="G1220" s="1281">
        <v>3.3414351851851855E-2</v>
      </c>
      <c r="H1220" s="1282">
        <v>8.64</v>
      </c>
      <c r="I1220" s="1283">
        <f t="shared" si="126"/>
        <v>3.8674018347050754E-3</v>
      </c>
      <c r="J1220" s="1284">
        <v>144</v>
      </c>
      <c r="K1220" s="1741"/>
      <c r="L1220" s="1578">
        <v>212</v>
      </c>
      <c r="M1220" s="1602">
        <v>35</v>
      </c>
      <c r="N1220" s="1285">
        <f t="shared" si="127"/>
        <v>1.0572899391929242</v>
      </c>
      <c r="O1220" s="1286" t="s">
        <v>311</v>
      </c>
      <c r="P1220" s="1287" t="str">
        <f>IFERROR(VLOOKUP(F1220,#REF!,12,FALSE),"")</f>
        <v/>
      </c>
      <c r="Q1220" s="1288" t="s">
        <v>8</v>
      </c>
      <c r="R1220" s="1289" t="str">
        <f>IFERROR(VLOOKUP(F1220,#REF!,14,FALSE),"")</f>
        <v/>
      </c>
      <c r="S1220" s="1290">
        <f t="shared" si="128"/>
        <v>1.4722222222222223</v>
      </c>
      <c r="U1220" s="1728"/>
      <c r="V1220" s="1279">
        <f t="shared" si="129"/>
        <v>0</v>
      </c>
      <c r="W1220" s="1767"/>
      <c r="X1220" s="1279"/>
    </row>
    <row r="1221" spans="2:24" ht="16" thickBot="1" x14ac:dyDescent="0.25">
      <c r="B1221" s="1668" t="e">
        <f>SUM(#REF!)</f>
        <v>#REF!</v>
      </c>
      <c r="C1221" s="1278">
        <v>44309</v>
      </c>
      <c r="D1221" s="1279"/>
      <c r="E1221" s="1280"/>
      <c r="F1221" s="1540"/>
      <c r="G1221" s="1281"/>
      <c r="H1221" s="1282" t="str">
        <f>IFERROR(VLOOKUP(F1221,#REF!,10,FALSE),"")</f>
        <v/>
      </c>
      <c r="I1221" s="1283" t="str">
        <f t="shared" si="126"/>
        <v/>
      </c>
      <c r="J1221" s="1284"/>
      <c r="K1221" s="1741"/>
      <c r="L1221" s="1578"/>
      <c r="M1221" s="1602"/>
      <c r="N1221" s="1285" t="str">
        <f t="shared" si="127"/>
        <v/>
      </c>
      <c r="O1221" s="1286"/>
      <c r="P1221" s="1287" t="str">
        <f>IFERROR(VLOOKUP(F1221,#REF!,12,FALSE),"")</f>
        <v/>
      </c>
      <c r="Q1221" s="1288" t="s">
        <v>8</v>
      </c>
      <c r="R1221" s="1289" t="str">
        <f>IFERROR(VLOOKUP(F1221,#REF!,14,FALSE),"")</f>
        <v/>
      </c>
      <c r="S1221" s="1290" t="str">
        <f t="shared" si="128"/>
        <v/>
      </c>
      <c r="U1221" s="1728"/>
      <c r="V1221" s="1279">
        <f t="shared" si="129"/>
        <v>0</v>
      </c>
      <c r="W1221" s="1767"/>
      <c r="X1221" s="1279"/>
    </row>
    <row r="1222" spans="2:24" x14ac:dyDescent="0.2">
      <c r="B1222" s="1669" t="s">
        <v>256</v>
      </c>
      <c r="C1222" s="1278">
        <v>44310</v>
      </c>
      <c r="D1222" s="1279">
        <v>55</v>
      </c>
      <c r="E1222" s="1280" t="s">
        <v>293</v>
      </c>
      <c r="F1222" s="1539" t="s">
        <v>319</v>
      </c>
      <c r="G1222" s="1281">
        <v>1.4618055555555556E-2</v>
      </c>
      <c r="H1222" s="1282">
        <v>5</v>
      </c>
      <c r="I1222" s="1283">
        <f t="shared" si="126"/>
        <v>2.9236111111111112E-3</v>
      </c>
      <c r="J1222" s="1284">
        <v>170</v>
      </c>
      <c r="K1222" s="1741"/>
      <c r="L1222" s="1578">
        <v>269</v>
      </c>
      <c r="M1222" s="1602">
        <v>24</v>
      </c>
      <c r="N1222" s="1285">
        <f t="shared" si="127"/>
        <v>1.0141701492537314</v>
      </c>
      <c r="O1222" s="1286" t="s">
        <v>341</v>
      </c>
      <c r="P1222" s="1287" t="str">
        <f>IFERROR(VLOOKUP(F1222,#REF!,12,FALSE),"")</f>
        <v/>
      </c>
      <c r="Q1222" s="1288" t="s">
        <v>8</v>
      </c>
      <c r="R1222" s="1289" t="str">
        <f>IFERROR(VLOOKUP(F1222,#REF!,14,FALSE),"")</f>
        <v/>
      </c>
      <c r="S1222" s="1290">
        <f t="shared" si="128"/>
        <v>1.5823529411764705</v>
      </c>
      <c r="U1222" s="1728"/>
      <c r="V1222" s="1279">
        <f t="shared" si="129"/>
        <v>0</v>
      </c>
      <c r="W1222" s="1767"/>
      <c r="X1222" s="1279"/>
    </row>
    <row r="1223" spans="2:24" ht="16" thickBot="1" x14ac:dyDescent="0.25">
      <c r="B1223" s="1670" t="e">
        <f>AVERAGE(#REF!)</f>
        <v>#REF!</v>
      </c>
      <c r="C1223" s="1291">
        <v>44311</v>
      </c>
      <c r="D1223" s="1143"/>
      <c r="E1223" s="1292"/>
      <c r="F1223" s="1541"/>
      <c r="G1223" s="1293"/>
      <c r="H1223" s="1294" t="str">
        <f>IFERROR(VLOOKUP(F1223,#REF!,10,FALSE),"")</f>
        <v/>
      </c>
      <c r="I1223" s="1295" t="str">
        <f t="shared" si="126"/>
        <v/>
      </c>
      <c r="J1223" s="1296"/>
      <c r="K1223" s="1741"/>
      <c r="L1223" s="1580"/>
      <c r="M1223" s="1561"/>
      <c r="N1223" s="1297" t="str">
        <f t="shared" si="127"/>
        <v/>
      </c>
      <c r="O1223" s="1298"/>
      <c r="P1223" s="1299" t="str">
        <f>IFERROR(VLOOKUP(F1223,#REF!,12,FALSE),"")</f>
        <v/>
      </c>
      <c r="Q1223" s="1300" t="s">
        <v>8</v>
      </c>
      <c r="R1223" s="1301" t="str">
        <f>IFERROR(VLOOKUP(F1223,#REF!,14,FALSE),"")</f>
        <v/>
      </c>
      <c r="S1223" s="1142" t="str">
        <f t="shared" si="128"/>
        <v/>
      </c>
      <c r="U1223" s="1728"/>
      <c r="V1223" s="1143">
        <f t="shared" si="129"/>
        <v>0</v>
      </c>
      <c r="W1223" s="1768"/>
      <c r="X1223" s="1143"/>
    </row>
    <row r="1224" spans="2:24" ht="16" thickBot="1" x14ac:dyDescent="0.25">
      <c r="B1224" s="1661">
        <f>B1217+1</f>
        <v>17</v>
      </c>
      <c r="C1224" s="1237">
        <v>44312</v>
      </c>
      <c r="D1224" s="70">
        <v>56</v>
      </c>
      <c r="E1224" s="71" t="s">
        <v>293</v>
      </c>
      <c r="F1224" s="1505" t="s">
        <v>283</v>
      </c>
      <c r="G1224" s="1238">
        <v>3.1435185185185184E-2</v>
      </c>
      <c r="H1224" s="1239">
        <v>7.9</v>
      </c>
      <c r="I1224" s="1240">
        <f t="shared" si="126"/>
        <v>3.9791373652133142E-3</v>
      </c>
      <c r="J1224" s="265">
        <v>139</v>
      </c>
      <c r="K1224" s="1741"/>
      <c r="L1224" s="1581">
        <v>207</v>
      </c>
      <c r="M1224" s="265">
        <v>30</v>
      </c>
      <c r="N1224" s="77">
        <f t="shared" si="127"/>
        <v>1.062180238050255</v>
      </c>
      <c r="O1224" s="1241" t="s">
        <v>339</v>
      </c>
      <c r="P1224" s="79" t="str">
        <f>IFERROR(VLOOKUP(F1224,#REF!,12,FALSE),"")</f>
        <v/>
      </c>
      <c r="Q1224" s="1242" t="s">
        <v>8</v>
      </c>
      <c r="R1224" s="1243" t="str">
        <f>IFERROR(VLOOKUP(F1224,#REF!,14,FALSE),"")</f>
        <v/>
      </c>
      <c r="S1224" s="1244">
        <f t="shared" si="128"/>
        <v>1.4892086330935252</v>
      </c>
      <c r="U1224" s="1728"/>
      <c r="V1224" s="70">
        <f t="shared" si="129"/>
        <v>0</v>
      </c>
      <c r="W1224" s="1766"/>
      <c r="X1224" s="70"/>
    </row>
    <row r="1225" spans="2:24" x14ac:dyDescent="0.2">
      <c r="B1225" s="1666" t="s">
        <v>142</v>
      </c>
      <c r="C1225" s="1208">
        <v>44313</v>
      </c>
      <c r="D1225" s="864"/>
      <c r="E1225" s="865"/>
      <c r="F1225" s="1540"/>
      <c r="G1225" s="1209"/>
      <c r="H1225" s="1210" t="str">
        <f>IFERROR(VLOOKUP(F1225,#REF!,10,FALSE),"")</f>
        <v/>
      </c>
      <c r="I1225" s="1211" t="str">
        <f t="shared" si="126"/>
        <v/>
      </c>
      <c r="J1225" s="1212"/>
      <c r="K1225" s="1741"/>
      <c r="L1225" s="1578"/>
      <c r="M1225" s="1602"/>
      <c r="N1225" s="1171" t="str">
        <f t="shared" si="127"/>
        <v/>
      </c>
      <c r="O1225" s="1213"/>
      <c r="P1225" s="1214" t="str">
        <f>IFERROR(VLOOKUP(F1225,#REF!,12,FALSE),"")</f>
        <v/>
      </c>
      <c r="Q1225" s="1215" t="s">
        <v>8</v>
      </c>
      <c r="R1225" s="1216" t="str">
        <f>IFERROR(VLOOKUP(F1225,#REF!,14,FALSE),"")</f>
        <v/>
      </c>
      <c r="S1225" s="1217" t="str">
        <f t="shared" si="128"/>
        <v/>
      </c>
      <c r="U1225" s="1728"/>
      <c r="V1225" s="864">
        <f t="shared" si="129"/>
        <v>0</v>
      </c>
      <c r="W1225" s="1767"/>
      <c r="X1225" s="864"/>
    </row>
    <row r="1226" spans="2:24" ht="16" thickBot="1" x14ac:dyDescent="0.25">
      <c r="B1226" s="1654">
        <f>SUM(H1224:H1230)</f>
        <v>28.5</v>
      </c>
      <c r="C1226" s="1208">
        <v>44314</v>
      </c>
      <c r="D1226" s="864">
        <v>57</v>
      </c>
      <c r="E1226" s="865" t="s">
        <v>293</v>
      </c>
      <c r="F1226" s="1540" t="s">
        <v>285</v>
      </c>
      <c r="G1226" s="1209">
        <v>0.04</v>
      </c>
      <c r="H1226" s="1210">
        <v>10.1</v>
      </c>
      <c r="I1226" s="1211">
        <f t="shared" si="126"/>
        <v>3.9603960396039604E-3</v>
      </c>
      <c r="J1226" s="1212">
        <v>137</v>
      </c>
      <c r="K1226" s="1741"/>
      <c r="L1226" s="1578">
        <v>208</v>
      </c>
      <c r="M1226" s="1602">
        <v>29</v>
      </c>
      <c r="N1226" s="1171">
        <f t="shared" si="127"/>
        <v>1.0622846165213538</v>
      </c>
      <c r="O1226" s="1213" t="s">
        <v>311</v>
      </c>
      <c r="P1226" s="1214" t="str">
        <f>IFERROR(VLOOKUP(F1226,#REF!,12,FALSE),"")</f>
        <v/>
      </c>
      <c r="Q1226" s="1215" t="s">
        <v>8</v>
      </c>
      <c r="R1226" s="1216" t="str">
        <f>IFERROR(VLOOKUP(F1226,#REF!,14,FALSE),"")</f>
        <v/>
      </c>
      <c r="S1226" s="1217">
        <f t="shared" si="128"/>
        <v>1.5182481751824817</v>
      </c>
      <c r="U1226" s="1728"/>
      <c r="V1226" s="864">
        <f t="shared" si="129"/>
        <v>0</v>
      </c>
      <c r="W1226" s="1767"/>
      <c r="X1226" s="864"/>
    </row>
    <row r="1227" spans="2:24" x14ac:dyDescent="0.2">
      <c r="B1227" s="1667" t="s">
        <v>144</v>
      </c>
      <c r="C1227" s="1208">
        <v>44315</v>
      </c>
      <c r="D1227" s="864"/>
      <c r="E1227" s="865"/>
      <c r="F1227" s="1540"/>
      <c r="G1227" s="1209"/>
      <c r="H1227" s="1210" t="str">
        <f>IFERROR(VLOOKUP(F1227,#REF!,10,FALSE),"")</f>
        <v/>
      </c>
      <c r="I1227" s="1211" t="str">
        <f t="shared" si="126"/>
        <v/>
      </c>
      <c r="J1227" s="1212"/>
      <c r="K1227" s="1741"/>
      <c r="L1227" s="1578"/>
      <c r="M1227" s="1602"/>
      <c r="N1227" s="1171" t="str">
        <f t="shared" si="127"/>
        <v/>
      </c>
      <c r="O1227" s="1213"/>
      <c r="P1227" s="1214" t="str">
        <f>IFERROR(VLOOKUP(F1227,#REF!,12,FALSE),"")</f>
        <v/>
      </c>
      <c r="Q1227" s="1215" t="s">
        <v>8</v>
      </c>
      <c r="R1227" s="1216" t="str">
        <f>IFERROR(VLOOKUP(F1227,#REF!,14,FALSE),"")</f>
        <v/>
      </c>
      <c r="S1227" s="1217" t="str">
        <f t="shared" si="128"/>
        <v/>
      </c>
      <c r="U1227" s="1728"/>
      <c r="V1227" s="864">
        <f t="shared" si="129"/>
        <v>0</v>
      </c>
      <c r="W1227" s="1767"/>
      <c r="X1227" s="864"/>
    </row>
    <row r="1228" spans="2:24" ht="16" thickBot="1" x14ac:dyDescent="0.25">
      <c r="B1228" s="1668" t="e">
        <f>SUM(#REF!)</f>
        <v>#REF!</v>
      </c>
      <c r="C1228" s="1208">
        <v>44316</v>
      </c>
      <c r="D1228" s="864"/>
      <c r="E1228" s="865"/>
      <c r="F1228" s="1540"/>
      <c r="G1228" s="1209"/>
      <c r="H1228" s="1210" t="str">
        <f>IFERROR(VLOOKUP(F1228,#REF!,10,FALSE),"")</f>
        <v/>
      </c>
      <c r="I1228" s="1211" t="str">
        <f t="shared" si="126"/>
        <v/>
      </c>
      <c r="J1228" s="1212"/>
      <c r="K1228" s="1741"/>
      <c r="L1228" s="1578"/>
      <c r="M1228" s="1602"/>
      <c r="N1228" s="1171" t="str">
        <f t="shared" si="127"/>
        <v/>
      </c>
      <c r="O1228" s="1213"/>
      <c r="P1228" s="1214" t="str">
        <f>IFERROR(VLOOKUP(F1228,#REF!,12,FALSE),"")</f>
        <v/>
      </c>
      <c r="Q1228" s="1215" t="s">
        <v>8</v>
      </c>
      <c r="R1228" s="1216" t="str">
        <f>IFERROR(VLOOKUP(F1228,#REF!,14,FALSE),"")</f>
        <v/>
      </c>
      <c r="S1228" s="1217" t="str">
        <f t="shared" si="128"/>
        <v/>
      </c>
      <c r="U1228" s="1728"/>
      <c r="V1228" s="864">
        <f t="shared" si="129"/>
        <v>0</v>
      </c>
      <c r="W1228" s="1767"/>
      <c r="X1228" s="864"/>
    </row>
    <row r="1229" spans="2:24" x14ac:dyDescent="0.2">
      <c r="B1229" s="1669" t="s">
        <v>256</v>
      </c>
      <c r="C1229" s="1208">
        <v>44317</v>
      </c>
      <c r="D1229" s="864">
        <v>58</v>
      </c>
      <c r="E1229" s="865" t="s">
        <v>292</v>
      </c>
      <c r="F1229" s="1540" t="s">
        <v>279</v>
      </c>
      <c r="G1229" s="1209">
        <v>4.280092592592593E-2</v>
      </c>
      <c r="H1229" s="1210">
        <v>10.5</v>
      </c>
      <c r="I1229" s="1211">
        <f t="shared" si="126"/>
        <v>4.0762786596119935E-3</v>
      </c>
      <c r="J1229" s="1212">
        <v>127</v>
      </c>
      <c r="K1229" s="1741"/>
      <c r="L1229" s="1578">
        <v>199</v>
      </c>
      <c r="M1229" s="1602">
        <v>34</v>
      </c>
      <c r="N1229" s="1171">
        <f t="shared" si="127"/>
        <v>1.0460582800284295</v>
      </c>
      <c r="O1229" s="1213" t="s">
        <v>311</v>
      </c>
      <c r="P1229" s="1214" t="str">
        <f>IFERROR(VLOOKUP(F1229,#REF!,12,FALSE),"")</f>
        <v/>
      </c>
      <c r="Q1229" s="1215" t="s">
        <v>8</v>
      </c>
      <c r="R1229" s="1216" t="str">
        <f>IFERROR(VLOOKUP(F1229,#REF!,14,FALSE),"")</f>
        <v/>
      </c>
      <c r="S1229" s="1217">
        <f t="shared" si="128"/>
        <v>1.5669291338582678</v>
      </c>
      <c r="U1229" s="1728"/>
      <c r="V1229" s="864">
        <f t="shared" si="129"/>
        <v>0</v>
      </c>
      <c r="W1229" s="1767"/>
      <c r="X1229" s="864"/>
    </row>
    <row r="1230" spans="2:24" ht="16" thickBot="1" x14ac:dyDescent="0.25">
      <c r="B1230" s="1670" t="e">
        <f>AVERAGE(#REF!)</f>
        <v>#REF!</v>
      </c>
      <c r="C1230" s="1245">
        <v>44318</v>
      </c>
      <c r="D1230" s="1097"/>
      <c r="E1230" s="1098"/>
      <c r="F1230" s="1541"/>
      <c r="G1230" s="1246"/>
      <c r="H1230" s="1247" t="str">
        <f>IFERROR(VLOOKUP(F1230,#REF!,10,FALSE),"")</f>
        <v/>
      </c>
      <c r="I1230" s="1248" t="str">
        <f t="shared" si="126"/>
        <v/>
      </c>
      <c r="J1230" s="1249"/>
      <c r="K1230" s="1741"/>
      <c r="L1230" s="984"/>
      <c r="M1230" s="1603"/>
      <c r="N1230" s="1250" t="str">
        <f t="shared" si="127"/>
        <v/>
      </c>
      <c r="O1230" s="1251"/>
      <c r="P1230" s="1146" t="str">
        <f>IFERROR(VLOOKUP(F1230,#REF!,12,FALSE),"")</f>
        <v/>
      </c>
      <c r="Q1230" s="1252" t="s">
        <v>8</v>
      </c>
      <c r="R1230" s="1253" t="str">
        <f>IFERROR(VLOOKUP(F1230,#REF!,14,FALSE),"")</f>
        <v/>
      </c>
      <c r="S1230" s="1106" t="str">
        <f t="shared" si="128"/>
        <v/>
      </c>
      <c r="U1230" s="1728"/>
      <c r="V1230" s="1097">
        <f t="shared" si="129"/>
        <v>0</v>
      </c>
      <c r="W1230" s="1768"/>
      <c r="X1230" s="1097"/>
    </row>
    <row r="1231" spans="2:24" ht="16" thickBot="1" x14ac:dyDescent="0.25">
      <c r="B1231" s="1661">
        <f>B1224+1</f>
        <v>18</v>
      </c>
      <c r="C1231" s="1199">
        <v>44319</v>
      </c>
      <c r="D1231" s="1108">
        <v>59</v>
      </c>
      <c r="E1231" s="1109" t="s">
        <v>293</v>
      </c>
      <c r="F1231" s="1505" t="s">
        <v>278</v>
      </c>
      <c r="G1231" s="1200">
        <v>3.5567129629629629E-2</v>
      </c>
      <c r="H1231" s="1201">
        <v>9.77</v>
      </c>
      <c r="I1231" s="1202">
        <f t="shared" si="126"/>
        <v>3.6404431555403919E-3</v>
      </c>
      <c r="J1231" s="1203">
        <v>143</v>
      </c>
      <c r="K1231" s="1741"/>
      <c r="L1231" s="1577">
        <v>224</v>
      </c>
      <c r="M1231" s="1374">
        <v>42</v>
      </c>
      <c r="N1231" s="1111">
        <f t="shared" si="127"/>
        <v>1.0515773232099481</v>
      </c>
      <c r="O1231" s="1204" t="s">
        <v>280</v>
      </c>
      <c r="P1231" s="1113" t="str">
        <f>IFERROR(VLOOKUP(F1231,#REF!,12,FALSE),"")</f>
        <v/>
      </c>
      <c r="Q1231" s="1254" t="s">
        <v>8</v>
      </c>
      <c r="R1231" s="1255" t="str">
        <f>IFERROR(VLOOKUP(F1231,#REF!,14,FALSE),"")</f>
        <v/>
      </c>
      <c r="S1231" s="1207">
        <f t="shared" si="128"/>
        <v>1.5664335664335665</v>
      </c>
      <c r="U1231" s="1728"/>
      <c r="V1231" s="1108">
        <f t="shared" si="129"/>
        <v>0</v>
      </c>
      <c r="W1231" s="1766"/>
      <c r="X1231" s="1108"/>
    </row>
    <row r="1232" spans="2:24" x14ac:dyDescent="0.2">
      <c r="B1232" s="1666" t="s">
        <v>142</v>
      </c>
      <c r="C1232" s="1278">
        <v>44320</v>
      </c>
      <c r="D1232" s="1279">
        <v>60</v>
      </c>
      <c r="E1232" s="1280" t="s">
        <v>293</v>
      </c>
      <c r="F1232" s="1540" t="s">
        <v>285</v>
      </c>
      <c r="G1232" s="1281">
        <v>3.0810185185185187E-2</v>
      </c>
      <c r="H1232" s="1282">
        <v>7.91</v>
      </c>
      <c r="I1232" s="1283">
        <f t="shared" si="126"/>
        <v>3.8950929437655104E-3</v>
      </c>
      <c r="J1232" s="1284">
        <v>138</v>
      </c>
      <c r="K1232" s="1741"/>
      <c r="L1232" s="1578">
        <v>210</v>
      </c>
      <c r="M1232" s="1602">
        <v>59</v>
      </c>
      <c r="N1232" s="1285">
        <f t="shared" si="127"/>
        <v>1.054814423457932</v>
      </c>
      <c r="O1232" s="1286" t="s">
        <v>311</v>
      </c>
      <c r="P1232" s="1287" t="str">
        <f>IFERROR(VLOOKUP(F1232,#REF!,12,FALSE),"")</f>
        <v/>
      </c>
      <c r="Q1232" s="1288" t="s">
        <v>8</v>
      </c>
      <c r="R1232" s="1289" t="str">
        <f>IFERROR(VLOOKUP(F1232,#REF!,14,FALSE),"")</f>
        <v/>
      </c>
      <c r="S1232" s="1290">
        <f t="shared" si="128"/>
        <v>1.5217391304347827</v>
      </c>
      <c r="U1232" s="1728"/>
      <c r="V1232" s="1279">
        <f t="shared" si="129"/>
        <v>0</v>
      </c>
      <c r="W1232" s="1767"/>
      <c r="X1232" s="1279"/>
    </row>
    <row r="1233" spans="2:24" ht="16" thickBot="1" x14ac:dyDescent="0.25">
      <c r="B1233" s="1654">
        <f>SUM(H1231:H1237)</f>
        <v>25.68</v>
      </c>
      <c r="C1233" s="1278">
        <v>44321</v>
      </c>
      <c r="D1233" s="1279"/>
      <c r="E1233" s="1280"/>
      <c r="F1233" s="1540"/>
      <c r="G1233" s="1281"/>
      <c r="H1233" s="1282" t="str">
        <f>IFERROR(VLOOKUP(F1233,#REF!,10,FALSE),"")</f>
        <v/>
      </c>
      <c r="I1233" s="1283" t="str">
        <f t="shared" si="126"/>
        <v/>
      </c>
      <c r="J1233" s="1284"/>
      <c r="K1233" s="1741"/>
      <c r="L1233" s="1578"/>
      <c r="M1233" s="1602"/>
      <c r="N1233" s="1285" t="str">
        <f t="shared" si="127"/>
        <v/>
      </c>
      <c r="O1233" s="1286"/>
      <c r="P1233" s="1287" t="str">
        <f>IFERROR(VLOOKUP(F1233,#REF!,12,FALSE),"")</f>
        <v/>
      </c>
      <c r="Q1233" s="1288" t="s">
        <v>8</v>
      </c>
      <c r="R1233" s="1289" t="str">
        <f>IFERROR(VLOOKUP(F1233,#REF!,14,FALSE),"")</f>
        <v/>
      </c>
      <c r="S1233" s="1290" t="str">
        <f t="shared" si="128"/>
        <v/>
      </c>
      <c r="U1233" s="1728"/>
      <c r="V1233" s="1279">
        <f t="shared" si="129"/>
        <v>0</v>
      </c>
      <c r="W1233" s="1767"/>
      <c r="X1233" s="1279"/>
    </row>
    <row r="1234" spans="2:24" x14ac:dyDescent="0.2">
      <c r="B1234" s="1667" t="s">
        <v>144</v>
      </c>
      <c r="C1234" s="1278">
        <v>44322</v>
      </c>
      <c r="D1234" s="1279"/>
      <c r="E1234" s="1280"/>
      <c r="F1234" s="1540"/>
      <c r="G1234" s="1281"/>
      <c r="H1234" s="1282" t="str">
        <f>IFERROR(VLOOKUP(F1234,#REF!,10,FALSE),"")</f>
        <v/>
      </c>
      <c r="I1234" s="1283" t="str">
        <f t="shared" si="126"/>
        <v/>
      </c>
      <c r="J1234" s="1284"/>
      <c r="K1234" s="1741"/>
      <c r="L1234" s="1578"/>
      <c r="M1234" s="1602"/>
      <c r="N1234" s="1285" t="str">
        <f t="shared" si="127"/>
        <v/>
      </c>
      <c r="O1234" s="1286"/>
      <c r="P1234" s="1287" t="str">
        <f>IFERROR(VLOOKUP(F1234,#REF!,12,FALSE),"")</f>
        <v/>
      </c>
      <c r="Q1234" s="1288" t="s">
        <v>8</v>
      </c>
      <c r="R1234" s="1289" t="str">
        <f>IFERROR(VLOOKUP(F1234,#REF!,14,FALSE),"")</f>
        <v/>
      </c>
      <c r="S1234" s="1290" t="str">
        <f t="shared" si="128"/>
        <v/>
      </c>
      <c r="U1234" s="1728"/>
      <c r="V1234" s="1279">
        <f t="shared" si="129"/>
        <v>0</v>
      </c>
      <c r="W1234" s="1767"/>
      <c r="X1234" s="1279"/>
    </row>
    <row r="1235" spans="2:24" ht="16" thickBot="1" x14ac:dyDescent="0.25">
      <c r="B1235" s="1668" t="e">
        <f>SUM(#REF!)</f>
        <v>#REF!</v>
      </c>
      <c r="C1235" s="1278">
        <v>44323</v>
      </c>
      <c r="D1235" s="1279"/>
      <c r="E1235" s="1280"/>
      <c r="F1235" s="1540"/>
      <c r="G1235" s="1281"/>
      <c r="H1235" s="1282" t="str">
        <f>IFERROR(VLOOKUP(F1235,#REF!,10,FALSE),"")</f>
        <v/>
      </c>
      <c r="I1235" s="1283" t="str">
        <f t="shared" si="126"/>
        <v/>
      </c>
      <c r="J1235" s="1284"/>
      <c r="K1235" s="1741"/>
      <c r="L1235" s="1578"/>
      <c r="M1235" s="1602"/>
      <c r="N1235" s="1285" t="str">
        <f t="shared" si="127"/>
        <v/>
      </c>
      <c r="O1235" s="1286"/>
      <c r="P1235" s="1287" t="str">
        <f>IFERROR(VLOOKUP(F1235,#REF!,12,FALSE),"")</f>
        <v/>
      </c>
      <c r="Q1235" s="1288" t="s">
        <v>8</v>
      </c>
      <c r="R1235" s="1289" t="str">
        <f>IFERROR(VLOOKUP(F1235,#REF!,14,FALSE),"")</f>
        <v/>
      </c>
      <c r="S1235" s="1290" t="str">
        <f t="shared" si="128"/>
        <v/>
      </c>
      <c r="U1235" s="1728"/>
      <c r="V1235" s="1279">
        <f t="shared" si="129"/>
        <v>0</v>
      </c>
      <c r="W1235" s="1767"/>
      <c r="X1235" s="1279"/>
    </row>
    <row r="1236" spans="2:24" x14ac:dyDescent="0.2">
      <c r="B1236" s="1669" t="s">
        <v>256</v>
      </c>
      <c r="C1236" s="1278">
        <v>44324</v>
      </c>
      <c r="D1236" s="1279">
        <v>61</v>
      </c>
      <c r="E1236" s="1280" t="s">
        <v>293</v>
      </c>
      <c r="F1236" s="1540" t="s">
        <v>306</v>
      </c>
      <c r="G1236" s="1281">
        <v>4.1122685185185186E-2</v>
      </c>
      <c r="H1236" s="1282">
        <v>8</v>
      </c>
      <c r="I1236" s="1283">
        <f t="shared" si="126"/>
        <v>5.1403356481481482E-3</v>
      </c>
      <c r="J1236" s="1284">
        <v>145</v>
      </c>
      <c r="K1236" s="1741"/>
      <c r="L1236" s="1578">
        <v>193</v>
      </c>
      <c r="M1236" s="1602">
        <v>402</v>
      </c>
      <c r="N1236" s="1285"/>
      <c r="O1236" s="1286" t="s">
        <v>299</v>
      </c>
      <c r="P1236" s="1287" t="str">
        <f>IFERROR(VLOOKUP(F1236,#REF!,12,FALSE),"")</f>
        <v/>
      </c>
      <c r="Q1236" s="1288" t="s">
        <v>8</v>
      </c>
      <c r="R1236" s="1289" t="str">
        <f>IFERROR(VLOOKUP(F1236,#REF!,14,FALSE),"")</f>
        <v/>
      </c>
      <c r="S1236" s="1290"/>
      <c r="U1236" s="1728"/>
      <c r="V1236" s="1279">
        <f t="shared" si="129"/>
        <v>0</v>
      </c>
      <c r="W1236" s="1767"/>
      <c r="X1236" s="1279"/>
    </row>
    <row r="1237" spans="2:24" ht="16" thickBot="1" x14ac:dyDescent="0.25">
      <c r="B1237" s="1670" t="e">
        <f>AVERAGE(#REF!)</f>
        <v>#REF!</v>
      </c>
      <c r="C1237" s="1291">
        <v>44325</v>
      </c>
      <c r="D1237" s="1143"/>
      <c r="E1237" s="1292"/>
      <c r="F1237" s="1541"/>
      <c r="G1237" s="1293"/>
      <c r="H1237" s="1294" t="str">
        <f>IFERROR(VLOOKUP(F1237,#REF!,10,FALSE),"")</f>
        <v/>
      </c>
      <c r="I1237" s="1295" t="str">
        <f t="shared" si="126"/>
        <v/>
      </c>
      <c r="J1237" s="1296"/>
      <c r="K1237" s="1741"/>
      <c r="L1237" s="1580"/>
      <c r="M1237" s="1561"/>
      <c r="N1237" s="1297" t="str">
        <f t="shared" ref="N1237:N1268" si="130">IFERROR((L1237/67)/(1/(I1237*24)/3.6),"")</f>
        <v/>
      </c>
      <c r="O1237" s="1298"/>
      <c r="P1237" s="1299" t="str">
        <f>IFERROR(VLOOKUP(F1237,#REF!,12,FALSE),"")</f>
        <v/>
      </c>
      <c r="Q1237" s="1300" t="s">
        <v>8</v>
      </c>
      <c r="R1237" s="1301" t="str">
        <f>IFERROR(VLOOKUP(F1237,#REF!,14,FALSE),"")</f>
        <v/>
      </c>
      <c r="S1237" s="1142" t="str">
        <f t="shared" ref="S1237:S1268" si="131">IFERROR(L1237/J1237,"")</f>
        <v/>
      </c>
      <c r="U1237" s="1728"/>
      <c r="V1237" s="1143">
        <f t="shared" si="129"/>
        <v>0</v>
      </c>
      <c r="W1237" s="1768"/>
      <c r="X1237" s="1143"/>
    </row>
    <row r="1238" spans="2:24" ht="16" thickBot="1" x14ac:dyDescent="0.25">
      <c r="B1238" s="1661">
        <f>B1231+1</f>
        <v>19</v>
      </c>
      <c r="C1238" s="1237">
        <v>44326</v>
      </c>
      <c r="D1238" s="70"/>
      <c r="E1238" s="71"/>
      <c r="F1238" s="1430"/>
      <c r="G1238" s="1238"/>
      <c r="H1238" s="1239" t="str">
        <f>IFERROR(VLOOKUP(F1238,#REF!,10,FALSE),"")</f>
        <v/>
      </c>
      <c r="I1238" s="1240" t="str">
        <f t="shared" si="126"/>
        <v/>
      </c>
      <c r="J1238" s="265"/>
      <c r="K1238" s="1741"/>
      <c r="L1238" s="1581"/>
      <c r="M1238" s="265"/>
      <c r="N1238" s="77" t="str">
        <f t="shared" si="130"/>
        <v/>
      </c>
      <c r="O1238" s="1241"/>
      <c r="P1238" s="79" t="str">
        <f>IFERROR(VLOOKUP(F1238,#REF!,12,FALSE),"")</f>
        <v/>
      </c>
      <c r="Q1238" s="1242" t="s">
        <v>8</v>
      </c>
      <c r="R1238" s="1243" t="str">
        <f>IFERROR(VLOOKUP(F1238,#REF!,14,FALSE),"")</f>
        <v/>
      </c>
      <c r="S1238" s="1244" t="str">
        <f t="shared" si="131"/>
        <v/>
      </c>
      <c r="U1238" s="1728"/>
      <c r="V1238" s="70">
        <f t="shared" si="129"/>
        <v>0</v>
      </c>
      <c r="W1238" s="1766"/>
      <c r="X1238" s="70"/>
    </row>
    <row r="1239" spans="2:24" x14ac:dyDescent="0.2">
      <c r="B1239" s="1666" t="s">
        <v>142</v>
      </c>
      <c r="C1239" s="1208">
        <v>44327</v>
      </c>
      <c r="D1239" s="864"/>
      <c r="E1239" s="865"/>
      <c r="F1239" s="1503"/>
      <c r="G1239" s="1209"/>
      <c r="H1239" s="1210" t="str">
        <f>IFERROR(VLOOKUP(F1239,#REF!,10,FALSE),"")</f>
        <v/>
      </c>
      <c r="I1239" s="1211" t="str">
        <f t="shared" si="126"/>
        <v/>
      </c>
      <c r="J1239" s="1212"/>
      <c r="K1239" s="1741"/>
      <c r="L1239" s="1578"/>
      <c r="M1239" s="1602"/>
      <c r="N1239" s="1171" t="str">
        <f t="shared" si="130"/>
        <v/>
      </c>
      <c r="O1239" s="1213"/>
      <c r="P1239" s="1214" t="str">
        <f>IFERROR(VLOOKUP(F1239,#REF!,12,FALSE),"")</f>
        <v/>
      </c>
      <c r="Q1239" s="1215" t="s">
        <v>8</v>
      </c>
      <c r="R1239" s="1216" t="str">
        <f>IFERROR(VLOOKUP(F1239,#REF!,14,FALSE),"")</f>
        <v/>
      </c>
      <c r="S1239" s="1217" t="str">
        <f t="shared" si="131"/>
        <v/>
      </c>
      <c r="U1239" s="1728"/>
      <c r="V1239" s="864">
        <f t="shared" si="129"/>
        <v>0</v>
      </c>
      <c r="W1239" s="1767"/>
      <c r="X1239" s="864"/>
    </row>
    <row r="1240" spans="2:24" ht="16" thickBot="1" x14ac:dyDescent="0.25">
      <c r="B1240" s="1654">
        <f>SUM(H1238:H1244)</f>
        <v>10.38</v>
      </c>
      <c r="C1240" s="1208">
        <v>44328</v>
      </c>
      <c r="D1240" s="864"/>
      <c r="E1240" s="865"/>
      <c r="F1240" s="1503"/>
      <c r="G1240" s="1209"/>
      <c r="H1240" s="1210" t="str">
        <f>IFERROR(VLOOKUP(F1240,#REF!,10,FALSE),"")</f>
        <v/>
      </c>
      <c r="I1240" s="1211" t="str">
        <f t="shared" si="126"/>
        <v/>
      </c>
      <c r="J1240" s="1212"/>
      <c r="K1240" s="1741"/>
      <c r="L1240" s="1578"/>
      <c r="M1240" s="1602"/>
      <c r="N1240" s="1171" t="str">
        <f t="shared" si="130"/>
        <v/>
      </c>
      <c r="O1240" s="1213"/>
      <c r="P1240" s="1214" t="str">
        <f>IFERROR(VLOOKUP(F1240,#REF!,12,FALSE),"")</f>
        <v/>
      </c>
      <c r="Q1240" s="1215" t="s">
        <v>8</v>
      </c>
      <c r="R1240" s="1216" t="str">
        <f>IFERROR(VLOOKUP(F1240,#REF!,14,FALSE),"")</f>
        <v/>
      </c>
      <c r="S1240" s="1217" t="str">
        <f t="shared" si="131"/>
        <v/>
      </c>
      <c r="U1240" s="1728"/>
      <c r="V1240" s="864">
        <f t="shared" si="129"/>
        <v>0</v>
      </c>
      <c r="W1240" s="1767"/>
      <c r="X1240" s="864"/>
    </row>
    <row r="1241" spans="2:24" x14ac:dyDescent="0.2">
      <c r="B1241" s="1667" t="s">
        <v>144</v>
      </c>
      <c r="C1241" s="1208">
        <v>44329</v>
      </c>
      <c r="D1241" s="864"/>
      <c r="E1241" s="865"/>
      <c r="F1241" s="1503"/>
      <c r="G1241" s="1209"/>
      <c r="H1241" s="1210" t="str">
        <f>IFERROR(VLOOKUP(F1241,#REF!,10,FALSE),"")</f>
        <v/>
      </c>
      <c r="I1241" s="1211" t="str">
        <f t="shared" si="126"/>
        <v/>
      </c>
      <c r="J1241" s="1212"/>
      <c r="K1241" s="1741"/>
      <c r="L1241" s="1578"/>
      <c r="M1241" s="1602"/>
      <c r="N1241" s="1171" t="str">
        <f t="shared" si="130"/>
        <v/>
      </c>
      <c r="O1241" s="1213"/>
      <c r="P1241" s="1214" t="str">
        <f>IFERROR(VLOOKUP(F1241,#REF!,12,FALSE),"")</f>
        <v/>
      </c>
      <c r="Q1241" s="1215" t="s">
        <v>8</v>
      </c>
      <c r="R1241" s="1216" t="str">
        <f>IFERROR(VLOOKUP(F1241,#REF!,14,FALSE),"")</f>
        <v/>
      </c>
      <c r="S1241" s="1217" t="str">
        <f t="shared" si="131"/>
        <v/>
      </c>
      <c r="U1241" s="1728"/>
      <c r="V1241" s="864">
        <f t="shared" si="129"/>
        <v>0</v>
      </c>
      <c r="W1241" s="1767"/>
      <c r="X1241" s="864"/>
    </row>
    <row r="1242" spans="2:24" ht="16" thickBot="1" x14ac:dyDescent="0.25">
      <c r="B1242" s="1668" t="e">
        <f>SUM(#REF!)</f>
        <v>#REF!</v>
      </c>
      <c r="C1242" s="1208">
        <v>44330</v>
      </c>
      <c r="D1242" s="864">
        <v>62</v>
      </c>
      <c r="E1242" s="865" t="s">
        <v>292</v>
      </c>
      <c r="F1242" s="1503" t="s">
        <v>277</v>
      </c>
      <c r="G1242" s="1209">
        <v>4.3611111111111107E-2</v>
      </c>
      <c r="H1242" s="1210">
        <v>10.38</v>
      </c>
      <c r="I1242" s="1211">
        <f t="shared" si="126"/>
        <v>4.2014557910511662E-3</v>
      </c>
      <c r="J1242" s="1212">
        <v>124</v>
      </c>
      <c r="K1242" s="1741"/>
      <c r="L1242" s="1578">
        <v>194</v>
      </c>
      <c r="M1242" s="1602">
        <v>34</v>
      </c>
      <c r="N1242" s="1171">
        <f t="shared" si="130"/>
        <v>1.0510913639893018</v>
      </c>
      <c r="O1242" s="1213" t="s">
        <v>339</v>
      </c>
      <c r="P1242" s="1214" t="str">
        <f>IFERROR(VLOOKUP(F1242,#REF!,12,FALSE),"")</f>
        <v/>
      </c>
      <c r="Q1242" s="1215" t="s">
        <v>8</v>
      </c>
      <c r="R1242" s="1216" t="str">
        <f>IFERROR(VLOOKUP(F1242,#REF!,14,FALSE),"")</f>
        <v/>
      </c>
      <c r="S1242" s="1217">
        <f t="shared" si="131"/>
        <v>1.564516129032258</v>
      </c>
      <c r="U1242" s="1728"/>
      <c r="V1242" s="864">
        <f t="shared" si="129"/>
        <v>0</v>
      </c>
      <c r="W1242" s="1767"/>
      <c r="X1242" s="864"/>
    </row>
    <row r="1243" spans="2:24" x14ac:dyDescent="0.2">
      <c r="B1243" s="1669" t="s">
        <v>256</v>
      </c>
      <c r="C1243" s="1208">
        <v>44331</v>
      </c>
      <c r="D1243" s="864"/>
      <c r="E1243" s="865"/>
      <c r="F1243" s="1503"/>
      <c r="G1243" s="1209"/>
      <c r="H1243" s="1210" t="str">
        <f>IFERROR(VLOOKUP(F1243,#REF!,10,FALSE),"")</f>
        <v/>
      </c>
      <c r="I1243" s="1211" t="str">
        <f t="shared" si="126"/>
        <v/>
      </c>
      <c r="J1243" s="1212"/>
      <c r="K1243" s="1741"/>
      <c r="L1243" s="1578"/>
      <c r="M1243" s="1602"/>
      <c r="N1243" s="1171" t="str">
        <f t="shared" si="130"/>
        <v/>
      </c>
      <c r="O1243" s="1213"/>
      <c r="P1243" s="1214" t="str">
        <f>IFERROR(VLOOKUP(F1243,#REF!,12,FALSE),"")</f>
        <v/>
      </c>
      <c r="Q1243" s="1215" t="s">
        <v>8</v>
      </c>
      <c r="R1243" s="1216" t="str">
        <f>IFERROR(VLOOKUP(F1243,#REF!,14,FALSE),"")</f>
        <v/>
      </c>
      <c r="S1243" s="1217" t="str">
        <f t="shared" si="131"/>
        <v/>
      </c>
      <c r="U1243" s="1728"/>
      <c r="V1243" s="864">
        <f t="shared" si="129"/>
        <v>0</v>
      </c>
      <c r="W1243" s="1767"/>
      <c r="X1243" s="864"/>
    </row>
    <row r="1244" spans="2:24" ht="16" thickBot="1" x14ac:dyDescent="0.25">
      <c r="B1244" s="1670" t="e">
        <f>AVERAGE(#REF!)</f>
        <v>#REF!</v>
      </c>
      <c r="C1244" s="1245">
        <v>44332</v>
      </c>
      <c r="D1244" s="1097"/>
      <c r="E1244" s="1098"/>
      <c r="F1244" s="1544"/>
      <c r="G1244" s="1246"/>
      <c r="H1244" s="1210" t="str">
        <f>IFERROR(VLOOKUP(F1244,#REF!,10,FALSE),"")</f>
        <v/>
      </c>
      <c r="I1244" s="1248" t="str">
        <f t="shared" si="126"/>
        <v/>
      </c>
      <c r="J1244" s="1249"/>
      <c r="K1244" s="1741"/>
      <c r="L1244" s="984"/>
      <c r="M1244" s="1603"/>
      <c r="N1244" s="1250" t="str">
        <f t="shared" si="130"/>
        <v/>
      </c>
      <c r="O1244" s="1251"/>
      <c r="P1244" s="1146" t="str">
        <f>IFERROR(VLOOKUP(F1244,#REF!,12,FALSE),"")</f>
        <v/>
      </c>
      <c r="Q1244" s="1252" t="s">
        <v>8</v>
      </c>
      <c r="R1244" s="1253" t="str">
        <f>IFERROR(VLOOKUP(F1244,#REF!,14,FALSE),"")</f>
        <v/>
      </c>
      <c r="S1244" s="1106" t="str">
        <f t="shared" si="131"/>
        <v/>
      </c>
      <c r="U1244" s="1728"/>
      <c r="V1244" s="1097">
        <f t="shared" si="129"/>
        <v>0</v>
      </c>
      <c r="W1244" s="1768"/>
      <c r="X1244" s="1097"/>
    </row>
    <row r="1245" spans="2:24" ht="16" thickBot="1" x14ac:dyDescent="0.25">
      <c r="B1245" s="1661">
        <f>B1238+1</f>
        <v>20</v>
      </c>
      <c r="C1245" s="1199">
        <v>44333</v>
      </c>
      <c r="D1245" s="1108">
        <v>63</v>
      </c>
      <c r="E1245" s="1109" t="s">
        <v>292</v>
      </c>
      <c r="F1245" s="1505" t="s">
        <v>278</v>
      </c>
      <c r="G1245" s="1200">
        <v>4.3692129629629629E-2</v>
      </c>
      <c r="H1245" s="1201">
        <v>10.46</v>
      </c>
      <c r="I1245" s="1202">
        <f t="shared" si="126"/>
        <v>4.1770678422208057E-3</v>
      </c>
      <c r="J1245" s="1203">
        <v>131</v>
      </c>
      <c r="K1245" s="1741"/>
      <c r="L1245" s="1577">
        <v>195</v>
      </c>
      <c r="M1245" s="1374">
        <v>36</v>
      </c>
      <c r="N1245" s="1111">
        <f t="shared" si="130"/>
        <v>1.0503767015781513</v>
      </c>
      <c r="O1245" s="1204" t="s">
        <v>339</v>
      </c>
      <c r="P1245" s="1113" t="str">
        <f>IFERROR(VLOOKUP(F1245,#REF!,12,FALSE),"")</f>
        <v/>
      </c>
      <c r="Q1245" s="1254" t="s">
        <v>8</v>
      </c>
      <c r="R1245" s="1255" t="str">
        <f>IFERROR(VLOOKUP(F1245,#REF!,14,FALSE),"")</f>
        <v/>
      </c>
      <c r="S1245" s="1207">
        <f t="shared" si="131"/>
        <v>1.4885496183206106</v>
      </c>
      <c r="U1245" s="1728"/>
      <c r="V1245" s="1108">
        <f t="shared" si="129"/>
        <v>0</v>
      </c>
      <c r="W1245" s="1766"/>
      <c r="X1245" s="1108"/>
    </row>
    <row r="1246" spans="2:24" x14ac:dyDescent="0.2">
      <c r="B1246" s="1666" t="s">
        <v>142</v>
      </c>
      <c r="C1246" s="1278">
        <v>44334</v>
      </c>
      <c r="D1246" s="1279"/>
      <c r="E1246" s="1280"/>
      <c r="F1246" s="1540"/>
      <c r="G1246" s="1281"/>
      <c r="H1246" s="1282" t="str">
        <f>IFERROR(VLOOKUP(F1246,#REF!,10,FALSE),"")</f>
        <v/>
      </c>
      <c r="I1246" s="1283" t="str">
        <f t="shared" si="126"/>
        <v/>
      </c>
      <c r="J1246" s="1284"/>
      <c r="K1246" s="1741"/>
      <c r="L1246" s="1578"/>
      <c r="M1246" s="1602"/>
      <c r="N1246" s="1285" t="str">
        <f t="shared" si="130"/>
        <v/>
      </c>
      <c r="O1246" s="1286"/>
      <c r="P1246" s="1287" t="str">
        <f>IFERROR(VLOOKUP(F1246,#REF!,12,FALSE),"")</f>
        <v/>
      </c>
      <c r="Q1246" s="1288" t="s">
        <v>8</v>
      </c>
      <c r="R1246" s="1289" t="str">
        <f>IFERROR(VLOOKUP(F1246,#REF!,14,FALSE),"")</f>
        <v/>
      </c>
      <c r="S1246" s="1290" t="str">
        <f t="shared" si="131"/>
        <v/>
      </c>
      <c r="U1246" s="1728"/>
      <c r="V1246" s="1279">
        <f t="shared" si="129"/>
        <v>0</v>
      </c>
      <c r="W1246" s="1767"/>
      <c r="X1246" s="1279"/>
    </row>
    <row r="1247" spans="2:24" ht="16" thickBot="1" x14ac:dyDescent="0.25">
      <c r="B1247" s="1654">
        <f>SUM(H1245:H1251)</f>
        <v>30.990000000000002</v>
      </c>
      <c r="C1247" s="1278">
        <v>44335</v>
      </c>
      <c r="D1247" s="1279">
        <v>64</v>
      </c>
      <c r="E1247" s="1280" t="s">
        <v>292</v>
      </c>
      <c r="F1247" s="1540" t="s">
        <v>278</v>
      </c>
      <c r="G1247" s="1281">
        <v>3.9675925925925927E-2</v>
      </c>
      <c r="H1247" s="1282">
        <v>9.99</v>
      </c>
      <c r="I1247" s="1283">
        <f t="shared" si="126"/>
        <v>3.9715641567493421E-3</v>
      </c>
      <c r="J1247" s="1284">
        <v>137</v>
      </c>
      <c r="K1247" s="1741"/>
      <c r="L1247" s="1578">
        <v>206</v>
      </c>
      <c r="M1247" s="1602">
        <v>25</v>
      </c>
      <c r="N1247" s="1285">
        <f t="shared" si="130"/>
        <v>1.0550371266789176</v>
      </c>
      <c r="O1247" s="1286" t="s">
        <v>311</v>
      </c>
      <c r="P1247" s="1287" t="str">
        <f>IFERROR(VLOOKUP(F1247,#REF!,12,FALSE),"")</f>
        <v/>
      </c>
      <c r="Q1247" s="1288" t="s">
        <v>8</v>
      </c>
      <c r="R1247" s="1289" t="str">
        <f>IFERROR(VLOOKUP(F1247,#REF!,14,FALSE),"")</f>
        <v/>
      </c>
      <c r="S1247" s="1290">
        <f t="shared" si="131"/>
        <v>1.5036496350364963</v>
      </c>
      <c r="U1247" s="1728"/>
      <c r="V1247" s="1279">
        <f t="shared" si="129"/>
        <v>0</v>
      </c>
      <c r="W1247" s="1767"/>
      <c r="X1247" s="1279"/>
    </row>
    <row r="1248" spans="2:24" x14ac:dyDescent="0.2">
      <c r="B1248" s="1667" t="s">
        <v>144</v>
      </c>
      <c r="C1248" s="1278">
        <v>44336</v>
      </c>
      <c r="D1248" s="1279"/>
      <c r="E1248" s="1280"/>
      <c r="F1248" s="1540"/>
      <c r="G1248" s="1281"/>
      <c r="H1248" s="1282" t="str">
        <f>IFERROR(VLOOKUP(F1248,#REF!,10,FALSE),"")</f>
        <v/>
      </c>
      <c r="I1248" s="1283" t="str">
        <f t="shared" si="126"/>
        <v/>
      </c>
      <c r="J1248" s="1284"/>
      <c r="K1248" s="1741"/>
      <c r="L1248" s="1578"/>
      <c r="M1248" s="1602"/>
      <c r="N1248" s="1285" t="str">
        <f t="shared" si="130"/>
        <v/>
      </c>
      <c r="O1248" s="1286"/>
      <c r="P1248" s="1287" t="str">
        <f>IFERROR(VLOOKUP(F1248,#REF!,12,FALSE),"")</f>
        <v/>
      </c>
      <c r="Q1248" s="1288" t="s">
        <v>8</v>
      </c>
      <c r="R1248" s="1289" t="str">
        <f>IFERROR(VLOOKUP(F1248,#REF!,14,FALSE),"")</f>
        <v/>
      </c>
      <c r="S1248" s="1290" t="str">
        <f t="shared" si="131"/>
        <v/>
      </c>
      <c r="U1248" s="1728"/>
      <c r="V1248" s="1279">
        <f t="shared" si="129"/>
        <v>0</v>
      </c>
      <c r="W1248" s="1767"/>
      <c r="X1248" s="1279"/>
    </row>
    <row r="1249" spans="2:24" ht="16" thickBot="1" x14ac:dyDescent="0.25">
      <c r="B1249" s="1668" t="e">
        <f>SUM(#REF!)</f>
        <v>#REF!</v>
      </c>
      <c r="C1249" s="1278">
        <v>44337</v>
      </c>
      <c r="D1249" s="1279"/>
      <c r="E1249" s="1280"/>
      <c r="F1249" s="1540"/>
      <c r="G1249" s="1281"/>
      <c r="H1249" s="1282" t="str">
        <f>IFERROR(VLOOKUP(F1249,#REF!,10,FALSE),"")</f>
        <v/>
      </c>
      <c r="I1249" s="1283" t="str">
        <f t="shared" si="126"/>
        <v/>
      </c>
      <c r="J1249" s="1284"/>
      <c r="K1249" s="1741"/>
      <c r="L1249" s="1578"/>
      <c r="M1249" s="1602"/>
      <c r="N1249" s="1285" t="str">
        <f t="shared" si="130"/>
        <v/>
      </c>
      <c r="O1249" s="1286"/>
      <c r="P1249" s="1287" t="str">
        <f>IFERROR(VLOOKUP(F1249,#REF!,12,FALSE),"")</f>
        <v/>
      </c>
      <c r="Q1249" s="1288" t="s">
        <v>8</v>
      </c>
      <c r="R1249" s="1289" t="str">
        <f>IFERROR(VLOOKUP(F1249,#REF!,14,FALSE),"")</f>
        <v/>
      </c>
      <c r="S1249" s="1290" t="str">
        <f t="shared" si="131"/>
        <v/>
      </c>
      <c r="U1249" s="1728"/>
      <c r="V1249" s="1279">
        <f t="shared" si="129"/>
        <v>0</v>
      </c>
      <c r="W1249" s="1767"/>
      <c r="X1249" s="1279"/>
    </row>
    <row r="1250" spans="2:24" x14ac:dyDescent="0.2">
      <c r="B1250" s="1669" t="s">
        <v>256</v>
      </c>
      <c r="C1250" s="1278">
        <v>44338</v>
      </c>
      <c r="D1250" s="1279">
        <v>65</v>
      </c>
      <c r="E1250" s="1280" t="s">
        <v>293</v>
      </c>
      <c r="F1250" s="1540" t="s">
        <v>278</v>
      </c>
      <c r="G1250" s="1281">
        <v>4.0937500000000002E-2</v>
      </c>
      <c r="H1250" s="1282">
        <v>10.54</v>
      </c>
      <c r="I1250" s="1283">
        <f t="shared" si="126"/>
        <v>3.8840132827324481E-3</v>
      </c>
      <c r="J1250" s="1284">
        <v>149</v>
      </c>
      <c r="K1250" s="1741"/>
      <c r="L1250" s="1578">
        <v>213</v>
      </c>
      <c r="M1250" s="1602">
        <v>46</v>
      </c>
      <c r="N1250" s="1285">
        <f t="shared" si="130"/>
        <v>1.0668398991758477</v>
      </c>
      <c r="O1250" s="1286" t="s">
        <v>311</v>
      </c>
      <c r="P1250" s="1287" t="str">
        <f>IFERROR(VLOOKUP(F1250,#REF!,12,FALSE),"")</f>
        <v/>
      </c>
      <c r="Q1250" s="1288" t="s">
        <v>8</v>
      </c>
      <c r="R1250" s="1289" t="str">
        <f>IFERROR(VLOOKUP(F1250,#REF!,14,FALSE),"")</f>
        <v/>
      </c>
      <c r="S1250" s="1290">
        <f t="shared" si="131"/>
        <v>1.4295302013422819</v>
      </c>
      <c r="U1250" s="1728"/>
      <c r="V1250" s="1279">
        <f t="shared" si="129"/>
        <v>0</v>
      </c>
      <c r="W1250" s="1767"/>
      <c r="X1250" s="1279"/>
    </row>
    <row r="1251" spans="2:24" ht="16" thickBot="1" x14ac:dyDescent="0.25">
      <c r="B1251" s="1670" t="e">
        <f>AVERAGE(#REF!)</f>
        <v>#REF!</v>
      </c>
      <c r="C1251" s="1291">
        <v>44339</v>
      </c>
      <c r="D1251" s="1143"/>
      <c r="E1251" s="1292"/>
      <c r="F1251" s="1541"/>
      <c r="G1251" s="1293"/>
      <c r="H1251" s="1294" t="str">
        <f>IFERROR(VLOOKUP(F1251,#REF!,10,FALSE),"")</f>
        <v/>
      </c>
      <c r="I1251" s="1295" t="str">
        <f t="shared" si="126"/>
        <v/>
      </c>
      <c r="J1251" s="1296"/>
      <c r="K1251" s="1741"/>
      <c r="L1251" s="1580"/>
      <c r="M1251" s="1561"/>
      <c r="N1251" s="1297" t="str">
        <f t="shared" si="130"/>
        <v/>
      </c>
      <c r="O1251" s="1298"/>
      <c r="P1251" s="1299" t="str">
        <f>IFERROR(VLOOKUP(F1251,#REF!,12,FALSE),"")</f>
        <v/>
      </c>
      <c r="Q1251" s="1300" t="s">
        <v>8</v>
      </c>
      <c r="R1251" s="1301" t="str">
        <f>IFERROR(VLOOKUP(F1251,#REF!,14,FALSE),"")</f>
        <v/>
      </c>
      <c r="S1251" s="1142" t="str">
        <f t="shared" si="131"/>
        <v/>
      </c>
      <c r="U1251" s="1728"/>
      <c r="V1251" s="1143">
        <f t="shared" si="129"/>
        <v>0</v>
      </c>
      <c r="W1251" s="1768"/>
      <c r="X1251" s="1143"/>
    </row>
    <row r="1252" spans="2:24" ht="16" thickBot="1" x14ac:dyDescent="0.25">
      <c r="B1252" s="1661">
        <f>B1245+1</f>
        <v>21</v>
      </c>
      <c r="C1252" s="1237">
        <v>44340</v>
      </c>
      <c r="D1252" s="70"/>
      <c r="E1252" s="71"/>
      <c r="F1252" s="1544"/>
      <c r="G1252" s="1238"/>
      <c r="H1252" s="1210" t="str">
        <f>IFERROR(VLOOKUP(F1252,#REF!,10,FALSE),"")</f>
        <v/>
      </c>
      <c r="I1252" s="1240" t="str">
        <f t="shared" si="126"/>
        <v/>
      </c>
      <c r="J1252" s="265"/>
      <c r="K1252" s="1741"/>
      <c r="L1252" s="1581"/>
      <c r="M1252" s="265"/>
      <c r="N1252" s="77" t="str">
        <f t="shared" si="130"/>
        <v/>
      </c>
      <c r="O1252" s="1241"/>
      <c r="P1252" s="79" t="str">
        <f>IFERROR(VLOOKUP(F1252,#REF!,12,FALSE),"")</f>
        <v/>
      </c>
      <c r="Q1252" s="1242" t="s">
        <v>8</v>
      </c>
      <c r="R1252" s="1243" t="str">
        <f>IFERROR(VLOOKUP(F1252,#REF!,14,FALSE),"")</f>
        <v/>
      </c>
      <c r="S1252" s="1244" t="str">
        <f t="shared" si="131"/>
        <v/>
      </c>
      <c r="U1252" s="1728"/>
      <c r="V1252" s="70">
        <f t="shared" si="129"/>
        <v>0</v>
      </c>
      <c r="W1252" s="1766"/>
      <c r="X1252" s="70"/>
    </row>
    <row r="1253" spans="2:24" x14ac:dyDescent="0.2">
      <c r="B1253" s="1666" t="s">
        <v>142</v>
      </c>
      <c r="C1253" s="1208">
        <v>44341</v>
      </c>
      <c r="D1253" s="864"/>
      <c r="E1253" s="865"/>
      <c r="F1253" s="1503"/>
      <c r="G1253" s="1209"/>
      <c r="H1253" s="1210" t="str">
        <f>IFERROR(VLOOKUP(F1253,#REF!,10,FALSE),"")</f>
        <v/>
      </c>
      <c r="I1253" s="1211" t="str">
        <f t="shared" si="126"/>
        <v/>
      </c>
      <c r="J1253" s="1212"/>
      <c r="K1253" s="1741"/>
      <c r="L1253" s="1578"/>
      <c r="M1253" s="1602"/>
      <c r="N1253" s="1171" t="str">
        <f t="shared" si="130"/>
        <v/>
      </c>
      <c r="O1253" s="1213"/>
      <c r="P1253" s="1214" t="str">
        <f>IFERROR(VLOOKUP(F1253,#REF!,12,FALSE),"")</f>
        <v/>
      </c>
      <c r="Q1253" s="1215" t="s">
        <v>8</v>
      </c>
      <c r="R1253" s="1216" t="str">
        <f>IFERROR(VLOOKUP(F1253,#REF!,14,FALSE),"")</f>
        <v/>
      </c>
      <c r="S1253" s="1217" t="str">
        <f t="shared" si="131"/>
        <v/>
      </c>
      <c r="U1253" s="1728"/>
      <c r="V1253" s="864">
        <f t="shared" si="129"/>
        <v>0</v>
      </c>
      <c r="W1253" s="1767"/>
      <c r="X1253" s="864"/>
    </row>
    <row r="1254" spans="2:24" ht="16" thickBot="1" x14ac:dyDescent="0.25">
      <c r="B1254" s="1654">
        <f>SUM(H1252:H1258)</f>
        <v>21.6</v>
      </c>
      <c r="C1254" s="1208">
        <v>44342</v>
      </c>
      <c r="D1254" s="864"/>
      <c r="E1254" s="865"/>
      <c r="F1254" s="1503"/>
      <c r="G1254" s="1209"/>
      <c r="H1254" s="1210" t="str">
        <f>IFERROR(VLOOKUP(F1254,#REF!,10,FALSE),"")</f>
        <v/>
      </c>
      <c r="I1254" s="1211" t="str">
        <f t="shared" ref="I1254:I1317" si="132">IFERROR(G1254/H1254,"")</f>
        <v/>
      </c>
      <c r="J1254" s="1212"/>
      <c r="K1254" s="1741"/>
      <c r="L1254" s="1578"/>
      <c r="M1254" s="1602"/>
      <c r="N1254" s="1171" t="str">
        <f t="shared" si="130"/>
        <v/>
      </c>
      <c r="O1254" s="1213"/>
      <c r="P1254" s="1214" t="str">
        <f>IFERROR(VLOOKUP(F1254,#REF!,12,FALSE),"")</f>
        <v/>
      </c>
      <c r="Q1254" s="1215" t="s">
        <v>8</v>
      </c>
      <c r="R1254" s="1216" t="str">
        <f>IFERROR(VLOOKUP(F1254,#REF!,14,FALSE),"")</f>
        <v/>
      </c>
      <c r="S1254" s="1217" t="str">
        <f t="shared" si="131"/>
        <v/>
      </c>
      <c r="U1254" s="1728"/>
      <c r="V1254" s="864">
        <f t="shared" si="129"/>
        <v>0</v>
      </c>
      <c r="W1254" s="1767"/>
      <c r="X1254" s="864"/>
    </row>
    <row r="1255" spans="2:24" x14ac:dyDescent="0.2">
      <c r="B1255" s="1667" t="s">
        <v>144</v>
      </c>
      <c r="C1255" s="1208">
        <v>44343</v>
      </c>
      <c r="D1255" s="864">
        <v>66</v>
      </c>
      <c r="E1255" s="865" t="s">
        <v>292</v>
      </c>
      <c r="F1255" s="1503" t="s">
        <v>278</v>
      </c>
      <c r="G1255" s="1209">
        <v>4.4849537037037035E-2</v>
      </c>
      <c r="H1255" s="1210">
        <v>11</v>
      </c>
      <c r="I1255" s="1211">
        <f t="shared" si="132"/>
        <v>4.0772306397306394E-3</v>
      </c>
      <c r="J1255" s="1212">
        <v>139</v>
      </c>
      <c r="K1255" s="1741"/>
      <c r="L1255" s="1578">
        <v>201</v>
      </c>
      <c r="M1255" s="1602">
        <v>34</v>
      </c>
      <c r="N1255" s="1171">
        <f t="shared" si="130"/>
        <v>1.0568181818181817</v>
      </c>
      <c r="O1255" s="1213" t="s">
        <v>311</v>
      </c>
      <c r="P1255" s="1214" t="str">
        <f>IFERROR(VLOOKUP(F1255,#REF!,12,FALSE),"")</f>
        <v/>
      </c>
      <c r="Q1255" s="1215" t="s">
        <v>8</v>
      </c>
      <c r="R1255" s="1216" t="str">
        <f>IFERROR(VLOOKUP(F1255,#REF!,14,FALSE),"")</f>
        <v/>
      </c>
      <c r="S1255" s="1217">
        <f t="shared" si="131"/>
        <v>1.4460431654676258</v>
      </c>
      <c r="U1255" s="1728"/>
      <c r="V1255" s="864">
        <f t="shared" si="129"/>
        <v>0</v>
      </c>
      <c r="W1255" s="1767"/>
      <c r="X1255" s="864"/>
    </row>
    <row r="1256" spans="2:24" ht="16" thickBot="1" x14ac:dyDescent="0.25">
      <c r="B1256" s="1668" t="e">
        <f>SUM(#REF!)</f>
        <v>#REF!</v>
      </c>
      <c r="C1256" s="1208">
        <v>44344</v>
      </c>
      <c r="D1256" s="864"/>
      <c r="E1256" s="865"/>
      <c r="F1256" s="1503"/>
      <c r="G1256" s="1209"/>
      <c r="H1256" s="1210" t="str">
        <f>IFERROR(VLOOKUP(F1256,#REF!,10,FALSE),"")</f>
        <v/>
      </c>
      <c r="I1256" s="1211" t="str">
        <f t="shared" si="132"/>
        <v/>
      </c>
      <c r="J1256" s="1212"/>
      <c r="K1256" s="1741"/>
      <c r="L1256" s="1578"/>
      <c r="M1256" s="1602"/>
      <c r="N1256" s="1171" t="str">
        <f t="shared" si="130"/>
        <v/>
      </c>
      <c r="O1256" s="1213"/>
      <c r="P1256" s="1214" t="str">
        <f>IFERROR(VLOOKUP(F1256,#REF!,12,FALSE),"")</f>
        <v/>
      </c>
      <c r="Q1256" s="1215" t="s">
        <v>8</v>
      </c>
      <c r="R1256" s="1216" t="str">
        <f>IFERROR(VLOOKUP(F1256,#REF!,14,FALSE),"")</f>
        <v/>
      </c>
      <c r="S1256" s="1217" t="str">
        <f t="shared" si="131"/>
        <v/>
      </c>
      <c r="U1256" s="1728"/>
      <c r="V1256" s="864">
        <f t="shared" si="129"/>
        <v>0</v>
      </c>
      <c r="W1256" s="1767"/>
      <c r="X1256" s="864"/>
    </row>
    <row r="1257" spans="2:24" x14ac:dyDescent="0.2">
      <c r="B1257" s="1669" t="s">
        <v>256</v>
      </c>
      <c r="C1257" s="1208">
        <v>44345</v>
      </c>
      <c r="D1257" s="864">
        <v>67</v>
      </c>
      <c r="E1257" s="865" t="s">
        <v>293</v>
      </c>
      <c r="F1257" s="1503" t="s">
        <v>278</v>
      </c>
      <c r="G1257" s="1209">
        <v>4.0787037037037038E-2</v>
      </c>
      <c r="H1257" s="1210">
        <v>10.6</v>
      </c>
      <c r="I1257" s="1211">
        <f t="shared" si="132"/>
        <v>3.8478336827393435E-3</v>
      </c>
      <c r="J1257" s="1212">
        <v>141</v>
      </c>
      <c r="K1257" s="1741"/>
      <c r="L1257" s="1578">
        <v>214</v>
      </c>
      <c r="M1257" s="1602">
        <v>36</v>
      </c>
      <c r="N1257" s="1171">
        <f t="shared" si="130"/>
        <v>1.061864263587722</v>
      </c>
      <c r="O1257" s="1213" t="s">
        <v>311</v>
      </c>
      <c r="P1257" s="1214" t="str">
        <f>IFERROR(VLOOKUP(F1257,#REF!,12,FALSE),"")</f>
        <v/>
      </c>
      <c r="Q1257" s="1215" t="s">
        <v>8</v>
      </c>
      <c r="R1257" s="1216" t="str">
        <f>IFERROR(VLOOKUP(F1257,#REF!,14,FALSE),"")</f>
        <v/>
      </c>
      <c r="S1257" s="1217">
        <f t="shared" si="131"/>
        <v>1.5177304964539007</v>
      </c>
      <c r="U1257" s="1728"/>
      <c r="V1257" s="864">
        <f t="shared" si="129"/>
        <v>0</v>
      </c>
      <c r="W1257" s="1767"/>
      <c r="X1257" s="864"/>
    </row>
    <row r="1258" spans="2:24" ht="16" thickBot="1" x14ac:dyDescent="0.25">
      <c r="B1258" s="1670" t="e">
        <f>AVERAGE(#REF!)</f>
        <v>#REF!</v>
      </c>
      <c r="C1258" s="544">
        <v>44346</v>
      </c>
      <c r="D1258" s="67"/>
      <c r="E1258" s="208"/>
      <c r="F1258" s="1429"/>
      <c r="G1258" s="1230"/>
      <c r="H1258" s="1231" t="str">
        <f>IFERROR(VLOOKUP(F1258,#REF!,10,FALSE),"")</f>
        <v/>
      </c>
      <c r="I1258" s="1232" t="str">
        <f t="shared" si="132"/>
        <v/>
      </c>
      <c r="J1258" s="256"/>
      <c r="K1258" s="1741"/>
      <c r="L1258" s="1580"/>
      <c r="M1258" s="1561"/>
      <c r="N1258" s="172" t="str">
        <f t="shared" si="130"/>
        <v/>
      </c>
      <c r="O1258" s="1233"/>
      <c r="P1258" s="447" t="str">
        <f>IFERROR(VLOOKUP(F1258,#REF!,12,FALSE),"")</f>
        <v/>
      </c>
      <c r="Q1258" s="1269" t="s">
        <v>8</v>
      </c>
      <c r="R1258" s="1235" t="str">
        <f>IFERROR(VLOOKUP(F1258,#REF!,14,FALSE),"")</f>
        <v/>
      </c>
      <c r="S1258" s="1236" t="str">
        <f t="shared" si="131"/>
        <v/>
      </c>
      <c r="U1258" s="1728"/>
      <c r="V1258" s="67">
        <f t="shared" si="129"/>
        <v>0</v>
      </c>
      <c r="W1258" s="1768"/>
      <c r="X1258" s="67"/>
    </row>
    <row r="1259" spans="2:24" ht="16" thickBot="1" x14ac:dyDescent="0.25">
      <c r="B1259" s="1661">
        <f>B1252+1</f>
        <v>22</v>
      </c>
      <c r="C1259" s="1237">
        <v>44347</v>
      </c>
      <c r="D1259" s="70"/>
      <c r="E1259" s="71"/>
      <c r="F1259" s="1430"/>
      <c r="G1259" s="1238"/>
      <c r="H1259" s="1239" t="str">
        <f>IFERROR(VLOOKUP(F1259,#REF!,10,FALSE),"")</f>
        <v/>
      </c>
      <c r="I1259" s="1240" t="str">
        <f t="shared" si="132"/>
        <v/>
      </c>
      <c r="J1259" s="265"/>
      <c r="K1259" s="1741"/>
      <c r="L1259" s="1581"/>
      <c r="M1259" s="265"/>
      <c r="N1259" s="77" t="str">
        <f t="shared" si="130"/>
        <v/>
      </c>
      <c r="O1259" s="1241"/>
      <c r="P1259" s="79" t="str">
        <f>IFERROR(VLOOKUP(F1259,#REF!,12,FALSE),"")</f>
        <v/>
      </c>
      <c r="Q1259" s="1242" t="s">
        <v>8</v>
      </c>
      <c r="R1259" s="1243" t="str">
        <f>IFERROR(VLOOKUP(F1259,#REF!,14,FALSE),"")</f>
        <v/>
      </c>
      <c r="S1259" s="1244" t="str">
        <f t="shared" si="131"/>
        <v/>
      </c>
      <c r="U1259" s="1728"/>
      <c r="V1259" s="70">
        <f t="shared" si="129"/>
        <v>0</v>
      </c>
      <c r="W1259" s="1766"/>
      <c r="X1259" s="70"/>
    </row>
    <row r="1260" spans="2:24" x14ac:dyDescent="0.2">
      <c r="B1260" s="1666" t="s">
        <v>142</v>
      </c>
      <c r="C1260" s="1208">
        <v>44348</v>
      </c>
      <c r="D1260" s="864">
        <v>68</v>
      </c>
      <c r="E1260" s="865" t="s">
        <v>293</v>
      </c>
      <c r="F1260" s="1503" t="s">
        <v>278</v>
      </c>
      <c r="G1260" s="1209">
        <v>3.5543981481481475E-2</v>
      </c>
      <c r="H1260" s="1210">
        <v>9.36</v>
      </c>
      <c r="I1260" s="1211">
        <f t="shared" si="132"/>
        <v>3.7974339189616965E-3</v>
      </c>
      <c r="J1260" s="1212">
        <v>147</v>
      </c>
      <c r="K1260" s="1741"/>
      <c r="L1260" s="1578">
        <v>216</v>
      </c>
      <c r="M1260" s="1602">
        <v>19</v>
      </c>
      <c r="N1260" s="1171">
        <f t="shared" si="130"/>
        <v>1.0577497129735933</v>
      </c>
      <c r="O1260" s="1213" t="s">
        <v>311</v>
      </c>
      <c r="P1260" s="1214" t="str">
        <f>IFERROR(VLOOKUP(F1260,#REF!,12,FALSE),"")</f>
        <v/>
      </c>
      <c r="Q1260" s="1215" t="s">
        <v>8</v>
      </c>
      <c r="R1260" s="1216" t="str">
        <f>IFERROR(VLOOKUP(F1260,#REF!,14,FALSE),"")</f>
        <v/>
      </c>
      <c r="S1260" s="1217">
        <f t="shared" si="131"/>
        <v>1.4693877551020409</v>
      </c>
      <c r="U1260" s="1728"/>
      <c r="V1260" s="864">
        <f t="shared" si="129"/>
        <v>0</v>
      </c>
      <c r="W1260" s="1767"/>
      <c r="X1260" s="864"/>
    </row>
    <row r="1261" spans="2:24" ht="16" thickBot="1" x14ac:dyDescent="0.25">
      <c r="B1261" s="1654">
        <f>SUM(H1259:H1265)</f>
        <v>28.979999999999997</v>
      </c>
      <c r="C1261" s="1208">
        <v>44349</v>
      </c>
      <c r="D1261" s="864"/>
      <c r="E1261" s="865"/>
      <c r="F1261" s="1503"/>
      <c r="G1261" s="1209"/>
      <c r="H1261" s="1210" t="str">
        <f>IFERROR(VLOOKUP(F1261,#REF!,10,FALSE),"")</f>
        <v/>
      </c>
      <c r="I1261" s="1211" t="str">
        <f t="shared" si="132"/>
        <v/>
      </c>
      <c r="J1261" s="1212"/>
      <c r="K1261" s="1741"/>
      <c r="L1261" s="1578"/>
      <c r="M1261" s="1602"/>
      <c r="N1261" s="1171" t="str">
        <f t="shared" si="130"/>
        <v/>
      </c>
      <c r="O1261" s="1213"/>
      <c r="P1261" s="1214" t="str">
        <f>IFERROR(VLOOKUP(F1261,#REF!,12,FALSE),"")</f>
        <v/>
      </c>
      <c r="Q1261" s="1215" t="s">
        <v>8</v>
      </c>
      <c r="R1261" s="1216" t="str">
        <f>IFERROR(VLOOKUP(F1261,#REF!,14,FALSE),"")</f>
        <v/>
      </c>
      <c r="S1261" s="1217" t="str">
        <f t="shared" si="131"/>
        <v/>
      </c>
      <c r="U1261" s="1728"/>
      <c r="V1261" s="864">
        <f t="shared" si="129"/>
        <v>0</v>
      </c>
      <c r="W1261" s="1767"/>
      <c r="X1261" s="864"/>
    </row>
    <row r="1262" spans="2:24" x14ac:dyDescent="0.2">
      <c r="B1262" s="1667" t="s">
        <v>144</v>
      </c>
      <c r="C1262" s="1208">
        <v>44350</v>
      </c>
      <c r="D1262" s="864">
        <v>69</v>
      </c>
      <c r="E1262" s="865" t="s">
        <v>292</v>
      </c>
      <c r="F1262" s="1544" t="s">
        <v>278</v>
      </c>
      <c r="G1262" s="1209">
        <v>4.2997685185185187E-2</v>
      </c>
      <c r="H1262" s="1210">
        <v>10.65</v>
      </c>
      <c r="I1262" s="1211">
        <f t="shared" si="132"/>
        <v>4.0373413319422713E-3</v>
      </c>
      <c r="J1262" s="1212">
        <v>146</v>
      </c>
      <c r="K1262" s="1741"/>
      <c r="L1262" s="1578">
        <v>203</v>
      </c>
      <c r="M1262" s="1602">
        <v>34</v>
      </c>
      <c r="N1262" s="1171">
        <f t="shared" si="130"/>
        <v>1.0568915983462968</v>
      </c>
      <c r="O1262" s="1213" t="s">
        <v>311</v>
      </c>
      <c r="P1262" s="1214" t="str">
        <f>IFERROR(VLOOKUP(F1262,#REF!,12,FALSE),"")</f>
        <v/>
      </c>
      <c r="Q1262" s="1215" t="s">
        <v>8</v>
      </c>
      <c r="R1262" s="1216" t="str">
        <f>IFERROR(VLOOKUP(F1262,#REF!,14,FALSE),"")</f>
        <v/>
      </c>
      <c r="S1262" s="1217">
        <f t="shared" si="131"/>
        <v>1.3904109589041096</v>
      </c>
      <c r="U1262" s="1728"/>
      <c r="V1262" s="864">
        <f t="shared" si="129"/>
        <v>0</v>
      </c>
      <c r="W1262" s="1767"/>
      <c r="X1262" s="864"/>
    </row>
    <row r="1263" spans="2:24" ht="16" thickBot="1" x14ac:dyDescent="0.25">
      <c r="B1263" s="1668" t="e">
        <f>SUM(#REF!)</f>
        <v>#REF!</v>
      </c>
      <c r="C1263" s="1208">
        <v>44351</v>
      </c>
      <c r="D1263" s="864"/>
      <c r="E1263" s="865"/>
      <c r="F1263" s="1544"/>
      <c r="G1263" s="1209"/>
      <c r="H1263" s="1210"/>
      <c r="I1263" s="1211" t="str">
        <f t="shared" si="132"/>
        <v/>
      </c>
      <c r="J1263" s="1212"/>
      <c r="K1263" s="1741"/>
      <c r="L1263" s="1578"/>
      <c r="M1263" s="1602"/>
      <c r="N1263" s="1171" t="str">
        <f t="shared" si="130"/>
        <v/>
      </c>
      <c r="O1263" s="1213"/>
      <c r="P1263" s="1214" t="str">
        <f>IFERROR(VLOOKUP(F1263,#REF!,12,FALSE),"")</f>
        <v/>
      </c>
      <c r="Q1263" s="1215" t="s">
        <v>8</v>
      </c>
      <c r="R1263" s="1216" t="str">
        <f>IFERROR(VLOOKUP(F1263,#REF!,14,FALSE),"")</f>
        <v/>
      </c>
      <c r="S1263" s="1217" t="str">
        <f t="shared" si="131"/>
        <v/>
      </c>
      <c r="U1263" s="1728"/>
      <c r="V1263" s="864">
        <f t="shared" si="129"/>
        <v>0</v>
      </c>
      <c r="W1263" s="1767"/>
      <c r="X1263" s="864"/>
    </row>
    <row r="1264" spans="2:24" x14ac:dyDescent="0.2">
      <c r="B1264" s="1669" t="s">
        <v>256</v>
      </c>
      <c r="C1264" s="1208">
        <v>44352</v>
      </c>
      <c r="D1264" s="864"/>
      <c r="E1264" s="865"/>
      <c r="F1264" s="1503"/>
      <c r="G1264" s="1209"/>
      <c r="H1264" s="1210" t="str">
        <f>IFERROR(VLOOKUP(F1264,#REF!,10,FALSE),"")</f>
        <v/>
      </c>
      <c r="I1264" s="1211" t="str">
        <f t="shared" si="132"/>
        <v/>
      </c>
      <c r="J1264" s="1212"/>
      <c r="K1264" s="1741"/>
      <c r="L1264" s="1578"/>
      <c r="M1264" s="1602"/>
      <c r="N1264" s="1171" t="str">
        <f t="shared" si="130"/>
        <v/>
      </c>
      <c r="O1264" s="1213"/>
      <c r="P1264" s="1214" t="str">
        <f>IFERROR(VLOOKUP(F1264,#REF!,12,FALSE),"")</f>
        <v/>
      </c>
      <c r="Q1264" s="1215" t="s">
        <v>8</v>
      </c>
      <c r="R1264" s="1216" t="str">
        <f>IFERROR(VLOOKUP(F1264,#REF!,14,FALSE),"")</f>
        <v/>
      </c>
      <c r="S1264" s="1217" t="str">
        <f t="shared" si="131"/>
        <v/>
      </c>
      <c r="U1264" s="1728"/>
      <c r="V1264" s="864">
        <f t="shared" si="129"/>
        <v>0</v>
      </c>
      <c r="W1264" s="1767"/>
      <c r="X1264" s="864"/>
    </row>
    <row r="1265" spans="2:24" ht="16" thickBot="1" x14ac:dyDescent="0.25">
      <c r="B1265" s="1670" t="e">
        <f>AVERAGE(#REF!)</f>
        <v>#REF!</v>
      </c>
      <c r="C1265" s="1245">
        <v>44353</v>
      </c>
      <c r="D1265" s="1097">
        <v>70</v>
      </c>
      <c r="E1265" s="1098" t="s">
        <v>292</v>
      </c>
      <c r="F1265" s="1532" t="s">
        <v>278</v>
      </c>
      <c r="G1265" s="1246">
        <v>3.695601851851852E-2</v>
      </c>
      <c r="H1265" s="1247">
        <v>8.9700000000000006</v>
      </c>
      <c r="I1265" s="1248">
        <f t="shared" si="132"/>
        <v>4.1199574714067466E-3</v>
      </c>
      <c r="J1265" s="1249">
        <v>133</v>
      </c>
      <c r="K1265" s="1741"/>
      <c r="L1265" s="984">
        <v>199</v>
      </c>
      <c r="M1265" s="1603">
        <v>33</v>
      </c>
      <c r="N1265" s="1250">
        <f t="shared" si="130"/>
        <v>1.0572671758265528</v>
      </c>
      <c r="O1265" s="1251" t="s">
        <v>311</v>
      </c>
      <c r="P1265" s="1146" t="str">
        <f>IFERROR(VLOOKUP(F1265,#REF!,12,FALSE),"")</f>
        <v/>
      </c>
      <c r="Q1265" s="1252" t="s">
        <v>8</v>
      </c>
      <c r="R1265" s="1253" t="str">
        <f>IFERROR(VLOOKUP(F1265,#REF!,14,FALSE),"")</f>
        <v/>
      </c>
      <c r="S1265" s="1106">
        <f t="shared" si="131"/>
        <v>1.4962406015037595</v>
      </c>
      <c r="U1265" s="1728"/>
      <c r="V1265" s="1097">
        <f t="shared" si="129"/>
        <v>0</v>
      </c>
      <c r="W1265" s="1768"/>
      <c r="X1265" s="1097"/>
    </row>
    <row r="1266" spans="2:24" ht="16" thickBot="1" x14ac:dyDescent="0.25">
      <c r="B1266" s="1661">
        <f>B1259+1</f>
        <v>23</v>
      </c>
      <c r="C1266" s="1199">
        <v>44354</v>
      </c>
      <c r="D1266" s="1108"/>
      <c r="E1266" s="1109"/>
      <c r="F1266" s="1505"/>
      <c r="G1266" s="1200"/>
      <c r="H1266" s="1201" t="str">
        <f>IFERROR(VLOOKUP(F1266,#REF!,10,FALSE),"")</f>
        <v/>
      </c>
      <c r="I1266" s="1202" t="str">
        <f t="shared" si="132"/>
        <v/>
      </c>
      <c r="J1266" s="1203"/>
      <c r="K1266" s="1741"/>
      <c r="L1266" s="1577"/>
      <c r="M1266" s="1374"/>
      <c r="N1266" s="1111" t="str">
        <f t="shared" si="130"/>
        <v/>
      </c>
      <c r="O1266" s="1204"/>
      <c r="P1266" s="1113" t="str">
        <f>IFERROR(VLOOKUP(F1266,#REF!,12,FALSE),"")</f>
        <v/>
      </c>
      <c r="Q1266" s="1254" t="s">
        <v>8</v>
      </c>
      <c r="R1266" s="1255" t="str">
        <f>IFERROR(VLOOKUP(F1266,#REF!,14,FALSE),"")</f>
        <v/>
      </c>
      <c r="S1266" s="1207" t="str">
        <f t="shared" si="131"/>
        <v/>
      </c>
      <c r="U1266" s="1728"/>
      <c r="V1266" s="1108">
        <f t="shared" si="129"/>
        <v>0</v>
      </c>
      <c r="W1266" s="1766"/>
      <c r="X1266" s="1108"/>
    </row>
    <row r="1267" spans="2:24" x14ac:dyDescent="0.2">
      <c r="B1267" s="1666" t="s">
        <v>142</v>
      </c>
      <c r="C1267" s="1278">
        <v>44355</v>
      </c>
      <c r="D1267" s="1279"/>
      <c r="E1267" s="1280"/>
      <c r="F1267" s="1540"/>
      <c r="G1267" s="1281"/>
      <c r="H1267" s="1282" t="str">
        <f>IFERROR(VLOOKUP(F1267,#REF!,10,FALSE),"")</f>
        <v/>
      </c>
      <c r="I1267" s="1283" t="str">
        <f t="shared" si="132"/>
        <v/>
      </c>
      <c r="J1267" s="1284"/>
      <c r="K1267" s="1741"/>
      <c r="L1267" s="1578"/>
      <c r="M1267" s="1602"/>
      <c r="N1267" s="1285" t="str">
        <f t="shared" si="130"/>
        <v/>
      </c>
      <c r="O1267" s="1286"/>
      <c r="P1267" s="1287" t="str">
        <f>IFERROR(VLOOKUP(F1267,#REF!,12,FALSE),"")</f>
        <v/>
      </c>
      <c r="Q1267" s="1288" t="s">
        <v>8</v>
      </c>
      <c r="R1267" s="1289" t="str">
        <f>IFERROR(VLOOKUP(F1267,#REF!,14,FALSE),"")</f>
        <v/>
      </c>
      <c r="S1267" s="1290" t="str">
        <f t="shared" si="131"/>
        <v/>
      </c>
      <c r="U1267" s="1728"/>
      <c r="V1267" s="1279">
        <f t="shared" si="129"/>
        <v>0</v>
      </c>
      <c r="W1267" s="1767"/>
      <c r="X1267" s="1279"/>
    </row>
    <row r="1268" spans="2:24" ht="16" thickBot="1" x14ac:dyDescent="0.25">
      <c r="B1268" s="1654">
        <f>SUM(H1266:H1272)</f>
        <v>8.68</v>
      </c>
      <c r="C1268" s="1278">
        <v>44356</v>
      </c>
      <c r="D1268" s="1279"/>
      <c r="E1268" s="1280"/>
      <c r="F1268" s="1540"/>
      <c r="G1268" s="1281"/>
      <c r="H1268" s="1282" t="str">
        <f>IFERROR(VLOOKUP(F1268,#REF!,10,FALSE),"")</f>
        <v/>
      </c>
      <c r="I1268" s="1283" t="str">
        <f t="shared" si="132"/>
        <v/>
      </c>
      <c r="J1268" s="1284"/>
      <c r="K1268" s="1741"/>
      <c r="L1268" s="1578"/>
      <c r="M1268" s="1602"/>
      <c r="N1268" s="1285" t="str">
        <f t="shared" si="130"/>
        <v/>
      </c>
      <c r="O1268" s="1286"/>
      <c r="P1268" s="1287" t="str">
        <f>IFERROR(VLOOKUP(F1268,#REF!,12,FALSE),"")</f>
        <v/>
      </c>
      <c r="Q1268" s="1288" t="s">
        <v>8</v>
      </c>
      <c r="R1268" s="1289" t="str">
        <f>IFERROR(VLOOKUP(F1268,#REF!,14,FALSE),"")</f>
        <v/>
      </c>
      <c r="S1268" s="1290" t="str">
        <f t="shared" si="131"/>
        <v/>
      </c>
      <c r="U1268" s="1728"/>
      <c r="V1268" s="1279">
        <f t="shared" si="129"/>
        <v>0</v>
      </c>
      <c r="W1268" s="1767"/>
      <c r="X1268" s="1279"/>
    </row>
    <row r="1269" spans="2:24" x14ac:dyDescent="0.2">
      <c r="B1269" s="1667" t="s">
        <v>144</v>
      </c>
      <c r="C1269" s="1278">
        <v>44357</v>
      </c>
      <c r="D1269" s="1279"/>
      <c r="E1269" s="1280"/>
      <c r="F1269" s="1540"/>
      <c r="G1269" s="1281"/>
      <c r="H1269" s="1282" t="str">
        <f>IFERROR(VLOOKUP(F1269,#REF!,10,FALSE),"")</f>
        <v/>
      </c>
      <c r="I1269" s="1283" t="str">
        <f t="shared" si="132"/>
        <v/>
      </c>
      <c r="J1269" s="1284"/>
      <c r="K1269" s="1741"/>
      <c r="L1269" s="1578"/>
      <c r="M1269" s="1602"/>
      <c r="N1269" s="1285" t="str">
        <f t="shared" ref="N1269:N1300" si="133">IFERROR((L1269/67)/(1/(I1269*24)/3.6),"")</f>
        <v/>
      </c>
      <c r="O1269" s="1286"/>
      <c r="P1269" s="1287" t="str">
        <f>IFERROR(VLOOKUP(F1269,#REF!,12,FALSE),"")</f>
        <v/>
      </c>
      <c r="Q1269" s="1288" t="s">
        <v>8</v>
      </c>
      <c r="R1269" s="1289" t="str">
        <f>IFERROR(VLOOKUP(F1269,#REF!,14,FALSE),"")</f>
        <v/>
      </c>
      <c r="S1269" s="1290" t="str">
        <f t="shared" ref="S1269:S1300" si="134">IFERROR(L1269/J1269,"")</f>
        <v/>
      </c>
      <c r="U1269" s="1728"/>
      <c r="V1269" s="1279">
        <f t="shared" si="129"/>
        <v>0</v>
      </c>
      <c r="W1269" s="1767"/>
      <c r="X1269" s="1279"/>
    </row>
    <row r="1270" spans="2:24" ht="16" thickBot="1" x14ac:dyDescent="0.25">
      <c r="B1270" s="1668" t="e">
        <f>SUM(#REF!)</f>
        <v>#REF!</v>
      </c>
      <c r="C1270" s="1278">
        <v>44358</v>
      </c>
      <c r="D1270" s="1279"/>
      <c r="E1270" s="1280"/>
      <c r="F1270" s="1540"/>
      <c r="G1270" s="1281"/>
      <c r="H1270" s="1282" t="str">
        <f>IFERROR(VLOOKUP(F1270,#REF!,10,FALSE),"")</f>
        <v/>
      </c>
      <c r="I1270" s="1283" t="str">
        <f t="shared" si="132"/>
        <v/>
      </c>
      <c r="J1270" s="1284"/>
      <c r="K1270" s="1741"/>
      <c r="L1270" s="1578"/>
      <c r="M1270" s="1602"/>
      <c r="N1270" s="1285" t="str">
        <f t="shared" si="133"/>
        <v/>
      </c>
      <c r="O1270" s="1286"/>
      <c r="P1270" s="1287" t="str">
        <f>IFERROR(VLOOKUP(F1270,#REF!,12,FALSE),"")</f>
        <v/>
      </c>
      <c r="Q1270" s="1288" t="s">
        <v>8</v>
      </c>
      <c r="R1270" s="1289" t="str">
        <f>IFERROR(VLOOKUP(F1270,#REF!,14,FALSE),"")</f>
        <v/>
      </c>
      <c r="S1270" s="1290" t="str">
        <f t="shared" si="134"/>
        <v/>
      </c>
      <c r="U1270" s="1728"/>
      <c r="V1270" s="1279">
        <f t="shared" si="129"/>
        <v>0</v>
      </c>
      <c r="W1270" s="1767"/>
      <c r="X1270" s="1279"/>
    </row>
    <row r="1271" spans="2:24" x14ac:dyDescent="0.2">
      <c r="B1271" s="1669" t="s">
        <v>256</v>
      </c>
      <c r="C1271" s="1278">
        <v>44359</v>
      </c>
      <c r="D1271" s="1279">
        <v>71</v>
      </c>
      <c r="E1271" s="1280" t="s">
        <v>293</v>
      </c>
      <c r="F1271" s="1540" t="s">
        <v>285</v>
      </c>
      <c r="G1271" s="1281">
        <v>3.4062500000000002E-2</v>
      </c>
      <c r="H1271" s="1282">
        <v>8.68</v>
      </c>
      <c r="I1271" s="1283">
        <f t="shared" si="132"/>
        <v>3.9242511520737331E-3</v>
      </c>
      <c r="J1271" s="1284">
        <v>140</v>
      </c>
      <c r="K1271" s="1741"/>
      <c r="L1271" s="1578">
        <v>209</v>
      </c>
      <c r="M1271" s="1602">
        <v>12</v>
      </c>
      <c r="N1271" s="1285">
        <f t="shared" si="133"/>
        <v>1.0576501134878604</v>
      </c>
      <c r="O1271" s="1286" t="s">
        <v>311</v>
      </c>
      <c r="P1271" s="1287" t="str">
        <f>IFERROR(VLOOKUP(F1271,#REF!,12,FALSE),"")</f>
        <v/>
      </c>
      <c r="Q1271" s="1288" t="s">
        <v>8</v>
      </c>
      <c r="R1271" s="1289" t="str">
        <f>IFERROR(VLOOKUP(F1271,#REF!,14,FALSE),"")</f>
        <v/>
      </c>
      <c r="S1271" s="1290">
        <f t="shared" si="134"/>
        <v>1.4928571428571429</v>
      </c>
      <c r="U1271" s="1728"/>
      <c r="V1271" s="1279">
        <f t="shared" si="129"/>
        <v>0</v>
      </c>
      <c r="W1271" s="1767"/>
      <c r="X1271" s="1279"/>
    </row>
    <row r="1272" spans="2:24" ht="16" thickBot="1" x14ac:dyDescent="0.25">
      <c r="B1272" s="1670" t="e">
        <f>AVERAGE(#REF!)</f>
        <v>#REF!</v>
      </c>
      <c r="C1272" s="1291">
        <v>44360</v>
      </c>
      <c r="D1272" s="1143"/>
      <c r="E1272" s="1292"/>
      <c r="F1272" s="1541"/>
      <c r="G1272" s="1293"/>
      <c r="H1272" s="1294" t="str">
        <f>IFERROR(VLOOKUP(F1272,#REF!,10,FALSE),"")</f>
        <v/>
      </c>
      <c r="I1272" s="1295" t="str">
        <f t="shared" si="132"/>
        <v/>
      </c>
      <c r="J1272" s="1296"/>
      <c r="K1272" s="1741"/>
      <c r="L1272" s="1580"/>
      <c r="M1272" s="1561"/>
      <c r="N1272" s="1297" t="str">
        <f t="shared" si="133"/>
        <v/>
      </c>
      <c r="O1272" s="1298"/>
      <c r="P1272" s="1299" t="str">
        <f>IFERROR(VLOOKUP(F1272,#REF!,12,FALSE),"")</f>
        <v/>
      </c>
      <c r="Q1272" s="1300" t="s">
        <v>8</v>
      </c>
      <c r="R1272" s="1301" t="str">
        <f>IFERROR(VLOOKUP(F1272,#REF!,14,FALSE),"")</f>
        <v/>
      </c>
      <c r="S1272" s="1142" t="str">
        <f t="shared" si="134"/>
        <v/>
      </c>
      <c r="U1272" s="1728"/>
      <c r="V1272" s="1143">
        <f t="shared" si="129"/>
        <v>0</v>
      </c>
      <c r="W1272" s="1768"/>
      <c r="X1272" s="1143"/>
    </row>
    <row r="1273" spans="2:24" ht="16" thickBot="1" x14ac:dyDescent="0.25">
      <c r="B1273" s="1661">
        <f>B1266+1</f>
        <v>24</v>
      </c>
      <c r="C1273" s="1237">
        <v>44361</v>
      </c>
      <c r="D1273" s="70"/>
      <c r="E1273" s="71"/>
      <c r="F1273" s="1430"/>
      <c r="G1273" s="1238"/>
      <c r="H1273" s="1239" t="str">
        <f>IFERROR(VLOOKUP(F1273,#REF!,10,FALSE),"")</f>
        <v/>
      </c>
      <c r="I1273" s="1240" t="str">
        <f t="shared" si="132"/>
        <v/>
      </c>
      <c r="J1273" s="265"/>
      <c r="K1273" s="1741"/>
      <c r="L1273" s="1581"/>
      <c r="M1273" s="265"/>
      <c r="N1273" s="77" t="str">
        <f t="shared" si="133"/>
        <v/>
      </c>
      <c r="O1273" s="1241"/>
      <c r="P1273" s="79" t="str">
        <f>IFERROR(VLOOKUP(F1273,#REF!,12,FALSE),"")</f>
        <v/>
      </c>
      <c r="Q1273" s="1242" t="s">
        <v>8</v>
      </c>
      <c r="R1273" s="1243" t="str">
        <f>IFERROR(VLOOKUP(F1273,#REF!,14,FALSE),"")</f>
        <v/>
      </c>
      <c r="S1273" s="1244" t="str">
        <f t="shared" si="134"/>
        <v/>
      </c>
      <c r="U1273" s="1728"/>
      <c r="V1273" s="70">
        <f t="shared" si="129"/>
        <v>0</v>
      </c>
      <c r="W1273" s="1766"/>
      <c r="X1273" s="70"/>
    </row>
    <row r="1274" spans="2:24" x14ac:dyDescent="0.2">
      <c r="B1274" s="1666" t="s">
        <v>142</v>
      </c>
      <c r="C1274" s="1208">
        <v>44362</v>
      </c>
      <c r="D1274" s="864">
        <v>72</v>
      </c>
      <c r="E1274" s="865" t="s">
        <v>293</v>
      </c>
      <c r="F1274" s="1503" t="s">
        <v>285</v>
      </c>
      <c r="G1274" s="1209">
        <v>3.3587962962962965E-2</v>
      </c>
      <c r="H1274" s="1210">
        <v>8.42</v>
      </c>
      <c r="I1274" s="1211">
        <f t="shared" si="132"/>
        <v>3.9890692355062903E-3</v>
      </c>
      <c r="J1274" s="1212">
        <v>139</v>
      </c>
      <c r="K1274" s="1741"/>
      <c r="L1274" s="1578">
        <v>205</v>
      </c>
      <c r="M1274" s="1602">
        <v>12</v>
      </c>
      <c r="N1274" s="1171">
        <f t="shared" si="133"/>
        <v>1.0545431984968272</v>
      </c>
      <c r="O1274" s="1213" t="s">
        <v>311</v>
      </c>
      <c r="P1274" s="1214" t="str">
        <f>IFERROR(VLOOKUP(F1274,#REF!,12,FALSE),"")</f>
        <v/>
      </c>
      <c r="Q1274" s="1215" t="s">
        <v>8</v>
      </c>
      <c r="R1274" s="1216" t="str">
        <f>IFERROR(VLOOKUP(F1274,#REF!,14,FALSE),"")</f>
        <v/>
      </c>
      <c r="S1274" s="1217">
        <f t="shared" si="134"/>
        <v>1.474820143884892</v>
      </c>
      <c r="U1274" s="1728"/>
      <c r="V1274" s="864">
        <f t="shared" ref="V1274:V1337" si="135">U1273-T1273</f>
        <v>0</v>
      </c>
      <c r="W1274" s="1767"/>
      <c r="X1274" s="864"/>
    </row>
    <row r="1275" spans="2:24" ht="16" thickBot="1" x14ac:dyDescent="0.25">
      <c r="B1275" s="1654">
        <f>SUM(H1273:H1279)</f>
        <v>16.78</v>
      </c>
      <c r="C1275" s="1208">
        <v>44363</v>
      </c>
      <c r="D1275" s="864"/>
      <c r="E1275" s="865"/>
      <c r="F1275" s="1503"/>
      <c r="G1275" s="1209"/>
      <c r="H1275" s="1210" t="str">
        <f>IFERROR(VLOOKUP(F1275,#REF!,10,FALSE),"")</f>
        <v/>
      </c>
      <c r="I1275" s="1211" t="str">
        <f t="shared" si="132"/>
        <v/>
      </c>
      <c r="J1275" s="1212"/>
      <c r="K1275" s="1741"/>
      <c r="L1275" s="1578"/>
      <c r="M1275" s="1602"/>
      <c r="N1275" s="1171" t="str">
        <f t="shared" si="133"/>
        <v/>
      </c>
      <c r="O1275" s="1213"/>
      <c r="P1275" s="1214" t="str">
        <f>IFERROR(VLOOKUP(F1275,#REF!,12,FALSE),"")</f>
        <v/>
      </c>
      <c r="Q1275" s="1215" t="s">
        <v>8</v>
      </c>
      <c r="R1275" s="1216" t="str">
        <f>IFERROR(VLOOKUP(F1275,#REF!,14,FALSE),"")</f>
        <v/>
      </c>
      <c r="S1275" s="1217" t="str">
        <f t="shared" si="134"/>
        <v/>
      </c>
      <c r="U1275" s="1728"/>
      <c r="V1275" s="864">
        <f t="shared" si="135"/>
        <v>0</v>
      </c>
      <c r="W1275" s="1767"/>
      <c r="X1275" s="864"/>
    </row>
    <row r="1276" spans="2:24" x14ac:dyDescent="0.2">
      <c r="B1276" s="1667" t="s">
        <v>144</v>
      </c>
      <c r="C1276" s="1208">
        <v>44364</v>
      </c>
      <c r="D1276" s="864"/>
      <c r="E1276" s="865"/>
      <c r="F1276" s="1503"/>
      <c r="G1276" s="1209"/>
      <c r="H1276" s="1210" t="str">
        <f>IFERROR(VLOOKUP(F1276,#REF!,10,FALSE),"")</f>
        <v/>
      </c>
      <c r="I1276" s="1211" t="str">
        <f t="shared" si="132"/>
        <v/>
      </c>
      <c r="J1276" s="1212"/>
      <c r="K1276" s="1741"/>
      <c r="L1276" s="1578"/>
      <c r="M1276" s="1602"/>
      <c r="N1276" s="1171" t="str">
        <f t="shared" si="133"/>
        <v/>
      </c>
      <c r="O1276" s="1213"/>
      <c r="P1276" s="1214" t="str">
        <f>IFERROR(VLOOKUP(F1276,#REF!,12,FALSE),"")</f>
        <v/>
      </c>
      <c r="Q1276" s="1215" t="s">
        <v>8</v>
      </c>
      <c r="R1276" s="1216" t="str">
        <f>IFERROR(VLOOKUP(F1276,#REF!,14,FALSE),"")</f>
        <v/>
      </c>
      <c r="S1276" s="1217" t="str">
        <f t="shared" si="134"/>
        <v/>
      </c>
      <c r="U1276" s="1728"/>
      <c r="V1276" s="864">
        <f t="shared" si="135"/>
        <v>0</v>
      </c>
      <c r="W1276" s="1767"/>
      <c r="X1276" s="864"/>
    </row>
    <row r="1277" spans="2:24" ht="16" thickBot="1" x14ac:dyDescent="0.25">
      <c r="B1277" s="1668" t="e">
        <f>SUM(#REF!)</f>
        <v>#REF!</v>
      </c>
      <c r="C1277" s="1208">
        <v>44365</v>
      </c>
      <c r="D1277" s="864">
        <v>73</v>
      </c>
      <c r="E1277" s="865" t="s">
        <v>293</v>
      </c>
      <c r="F1277" s="1503" t="s">
        <v>285</v>
      </c>
      <c r="G1277" s="1209">
        <v>3.3622685185185179E-2</v>
      </c>
      <c r="H1277" s="1210">
        <v>8.36</v>
      </c>
      <c r="I1277" s="1211">
        <f t="shared" si="132"/>
        <v>4.0218522948786105E-3</v>
      </c>
      <c r="J1277" s="1212">
        <v>137</v>
      </c>
      <c r="K1277" s="1741"/>
      <c r="L1277" s="1578">
        <v>202</v>
      </c>
      <c r="M1277" s="1602">
        <v>12</v>
      </c>
      <c r="N1277" s="1171">
        <f t="shared" si="133"/>
        <v>1.0476505034635435</v>
      </c>
      <c r="O1277" s="1213" t="s">
        <v>339</v>
      </c>
      <c r="P1277" s="1214" t="str">
        <f>IFERROR(VLOOKUP(F1277,#REF!,12,FALSE),"")</f>
        <v/>
      </c>
      <c r="Q1277" s="1215" t="s">
        <v>8</v>
      </c>
      <c r="R1277" s="1216" t="str">
        <f>IFERROR(VLOOKUP(F1277,#REF!,14,FALSE),"")</f>
        <v/>
      </c>
      <c r="S1277" s="1217">
        <f t="shared" si="134"/>
        <v>1.4744525547445255</v>
      </c>
      <c r="U1277" s="1728"/>
      <c r="V1277" s="864">
        <f t="shared" si="135"/>
        <v>0</v>
      </c>
      <c r="W1277" s="1767"/>
      <c r="X1277" s="864"/>
    </row>
    <row r="1278" spans="2:24" x14ac:dyDescent="0.2">
      <c r="B1278" s="1669" t="s">
        <v>256</v>
      </c>
      <c r="C1278" s="1208">
        <v>44366</v>
      </c>
      <c r="D1278" s="864"/>
      <c r="E1278" s="865"/>
      <c r="F1278" s="1503"/>
      <c r="G1278" s="1209"/>
      <c r="H1278" s="1210" t="str">
        <f>IFERROR(VLOOKUP(F1278,#REF!,10,FALSE),"")</f>
        <v/>
      </c>
      <c r="I1278" s="1211" t="str">
        <f t="shared" si="132"/>
        <v/>
      </c>
      <c r="J1278" s="1212"/>
      <c r="K1278" s="1741"/>
      <c r="L1278" s="1578"/>
      <c r="M1278" s="1602"/>
      <c r="N1278" s="1171" t="str">
        <f t="shared" si="133"/>
        <v/>
      </c>
      <c r="O1278" s="1213"/>
      <c r="P1278" s="1214" t="str">
        <f>IFERROR(VLOOKUP(F1278,#REF!,12,FALSE),"")</f>
        <v/>
      </c>
      <c r="Q1278" s="1215" t="s">
        <v>8</v>
      </c>
      <c r="R1278" s="1216" t="str">
        <f>IFERROR(VLOOKUP(F1278,#REF!,14,FALSE),"")</f>
        <v/>
      </c>
      <c r="S1278" s="1217" t="str">
        <f t="shared" si="134"/>
        <v/>
      </c>
      <c r="U1278" s="1728"/>
      <c r="V1278" s="864">
        <f t="shared" si="135"/>
        <v>0</v>
      </c>
      <c r="W1278" s="1767"/>
      <c r="X1278" s="864"/>
    </row>
    <row r="1279" spans="2:24" ht="16" thickBot="1" x14ac:dyDescent="0.25">
      <c r="B1279" s="1670" t="e">
        <f>AVERAGE(#REF!)</f>
        <v>#REF!</v>
      </c>
      <c r="C1279" s="1245">
        <v>44367</v>
      </c>
      <c r="D1279" s="1097"/>
      <c r="E1279" s="1098"/>
      <c r="F1279" s="1532"/>
      <c r="G1279" s="1246"/>
      <c r="H1279" s="1247" t="str">
        <f>IFERROR(VLOOKUP(F1279,#REF!,10,FALSE),"")</f>
        <v/>
      </c>
      <c r="I1279" s="1248" t="str">
        <f t="shared" si="132"/>
        <v/>
      </c>
      <c r="J1279" s="1249"/>
      <c r="K1279" s="1741"/>
      <c r="L1279" s="984"/>
      <c r="M1279" s="1603"/>
      <c r="N1279" s="1250" t="str">
        <f t="shared" si="133"/>
        <v/>
      </c>
      <c r="O1279" s="1251"/>
      <c r="P1279" s="1146" t="str">
        <f>IFERROR(VLOOKUP(F1279,#REF!,12,FALSE),"")</f>
        <v/>
      </c>
      <c r="Q1279" s="1252" t="s">
        <v>8</v>
      </c>
      <c r="R1279" s="1253" t="str">
        <f>IFERROR(VLOOKUP(F1279,#REF!,14,FALSE),"")</f>
        <v/>
      </c>
      <c r="S1279" s="1106" t="str">
        <f t="shared" si="134"/>
        <v/>
      </c>
      <c r="U1279" s="1728"/>
      <c r="V1279" s="1097">
        <f t="shared" si="135"/>
        <v>0</v>
      </c>
      <c r="W1279" s="1768"/>
      <c r="X1279" s="1097"/>
    </row>
    <row r="1280" spans="2:24" ht="16" thickBot="1" x14ac:dyDescent="0.25">
      <c r="B1280" s="1661">
        <f>B1273+1</f>
        <v>25</v>
      </c>
      <c r="C1280" s="1199">
        <v>44368</v>
      </c>
      <c r="D1280" s="1108">
        <v>74</v>
      </c>
      <c r="E1280" s="1109" t="s">
        <v>293</v>
      </c>
      <c r="F1280" s="1505" t="s">
        <v>278</v>
      </c>
      <c r="G1280" s="1200">
        <v>3.3460648148148149E-2</v>
      </c>
      <c r="H1280" s="1201">
        <v>8.5</v>
      </c>
      <c r="I1280" s="1202">
        <f t="shared" si="132"/>
        <v>3.9365468409586057E-3</v>
      </c>
      <c r="J1280" s="1203">
        <v>142</v>
      </c>
      <c r="K1280" s="1741"/>
      <c r="L1280" s="1577">
        <v>206</v>
      </c>
      <c r="M1280" s="1374">
        <v>23</v>
      </c>
      <c r="N1280" s="1111">
        <f t="shared" si="133"/>
        <v>1.0457348551360843</v>
      </c>
      <c r="O1280" s="1204" t="s">
        <v>339</v>
      </c>
      <c r="P1280" s="1113" t="str">
        <f>IFERROR(VLOOKUP(F1280,#REF!,12,FALSE),"")</f>
        <v/>
      </c>
      <c r="Q1280" s="1254" t="s">
        <v>8</v>
      </c>
      <c r="R1280" s="1255" t="str">
        <f>IFERROR(VLOOKUP(F1280,#REF!,14,FALSE),"")</f>
        <v/>
      </c>
      <c r="S1280" s="1207">
        <f t="shared" si="134"/>
        <v>1.4507042253521127</v>
      </c>
      <c r="U1280" s="1728"/>
      <c r="V1280" s="1108">
        <f t="shared" si="135"/>
        <v>0</v>
      </c>
      <c r="W1280" s="1766"/>
      <c r="X1280" s="1108"/>
    </row>
    <row r="1281" spans="2:24" x14ac:dyDescent="0.2">
      <c r="B1281" s="1666" t="s">
        <v>142</v>
      </c>
      <c r="C1281" s="1208">
        <v>44369</v>
      </c>
      <c r="D1281" s="864"/>
      <c r="E1281" s="865"/>
      <c r="F1281" s="1503"/>
      <c r="G1281" s="1209"/>
      <c r="H1281" s="1210" t="str">
        <f>IFERROR(VLOOKUP(F1281,#REF!,10,FALSE),"")</f>
        <v/>
      </c>
      <c r="I1281" s="1211" t="str">
        <f t="shared" si="132"/>
        <v/>
      </c>
      <c r="J1281" s="1212"/>
      <c r="K1281" s="1741"/>
      <c r="L1281" s="1578"/>
      <c r="M1281" s="1602"/>
      <c r="N1281" s="1171" t="str">
        <f t="shared" si="133"/>
        <v/>
      </c>
      <c r="O1281" s="1213"/>
      <c r="P1281" s="1302" t="str">
        <f>IFERROR(VLOOKUP(F1281,#REF!,12,FALSE),"")</f>
        <v/>
      </c>
      <c r="Q1281" s="1303" t="s">
        <v>8</v>
      </c>
      <c r="R1281" s="1304" t="str">
        <f>IFERROR(VLOOKUP(F1281,#REF!,14,FALSE),"")</f>
        <v/>
      </c>
      <c r="S1281" s="1217" t="str">
        <f t="shared" si="134"/>
        <v/>
      </c>
      <c r="U1281" s="1728"/>
      <c r="V1281" s="864">
        <f t="shared" si="135"/>
        <v>0</v>
      </c>
      <c r="W1281" s="1767"/>
      <c r="X1281" s="864"/>
    </row>
    <row r="1282" spans="2:24" ht="16" thickBot="1" x14ac:dyDescent="0.25">
      <c r="B1282" s="1654">
        <f>SUM(H1280:H1286)</f>
        <v>25.51</v>
      </c>
      <c r="C1282" s="1208">
        <v>44370</v>
      </c>
      <c r="D1282" s="864">
        <v>75</v>
      </c>
      <c r="E1282" s="865" t="s">
        <v>292</v>
      </c>
      <c r="F1282" s="1503" t="s">
        <v>278</v>
      </c>
      <c r="G1282" s="1209">
        <v>4.1631944444444451E-2</v>
      </c>
      <c r="H1282" s="1210">
        <v>10.3</v>
      </c>
      <c r="I1282" s="1211">
        <f t="shared" si="132"/>
        <v>4.041936353829558E-3</v>
      </c>
      <c r="J1282" s="1212">
        <v>135</v>
      </c>
      <c r="K1282" s="1741"/>
      <c r="L1282" s="1578">
        <v>201</v>
      </c>
      <c r="M1282" s="1602">
        <v>29</v>
      </c>
      <c r="N1282" s="1171">
        <f t="shared" si="133"/>
        <v>1.0476699029126215</v>
      </c>
      <c r="O1282" s="1213" t="s">
        <v>311</v>
      </c>
      <c r="P1282" s="1302" t="str">
        <f>IFERROR(VLOOKUP(F1282,#REF!,12,FALSE),"")</f>
        <v/>
      </c>
      <c r="Q1282" s="1303" t="s">
        <v>8</v>
      </c>
      <c r="R1282" s="1304" t="str">
        <f>IFERROR(VLOOKUP(F1282,#REF!,14,FALSE),"")</f>
        <v/>
      </c>
      <c r="S1282" s="1217">
        <f t="shared" si="134"/>
        <v>1.4888888888888889</v>
      </c>
      <c r="U1282" s="1728"/>
      <c r="V1282" s="864">
        <f t="shared" si="135"/>
        <v>0</v>
      </c>
      <c r="W1282" s="1767"/>
      <c r="X1282" s="864"/>
    </row>
    <row r="1283" spans="2:24" x14ac:dyDescent="0.2">
      <c r="B1283" s="1667" t="s">
        <v>144</v>
      </c>
      <c r="C1283" s="1208">
        <v>44371</v>
      </c>
      <c r="D1283" s="864"/>
      <c r="E1283" s="865"/>
      <c r="F1283" s="1503"/>
      <c r="G1283" s="1209"/>
      <c r="H1283" s="1210" t="str">
        <f>IFERROR(VLOOKUP(F1283,#REF!,10,FALSE),"")</f>
        <v/>
      </c>
      <c r="I1283" s="1211" t="str">
        <f t="shared" si="132"/>
        <v/>
      </c>
      <c r="J1283" s="1212"/>
      <c r="K1283" s="1741"/>
      <c r="L1283" s="1578"/>
      <c r="M1283" s="1602"/>
      <c r="N1283" s="1171" t="str">
        <f t="shared" si="133"/>
        <v/>
      </c>
      <c r="O1283" s="1213"/>
      <c r="P1283" s="1302" t="str">
        <f>IFERROR(VLOOKUP(F1283,#REF!,12,FALSE),"")</f>
        <v/>
      </c>
      <c r="Q1283" s="1303" t="s">
        <v>8</v>
      </c>
      <c r="R1283" s="1304" t="str">
        <f>IFERROR(VLOOKUP(F1283,#REF!,14,FALSE),"")</f>
        <v/>
      </c>
      <c r="S1283" s="1217" t="str">
        <f t="shared" si="134"/>
        <v/>
      </c>
      <c r="U1283" s="1728"/>
      <c r="V1283" s="864">
        <f t="shared" si="135"/>
        <v>0</v>
      </c>
      <c r="W1283" s="1767"/>
      <c r="X1283" s="864"/>
    </row>
    <row r="1284" spans="2:24" ht="16" thickBot="1" x14ac:dyDescent="0.25">
      <c r="B1284" s="1668" t="e">
        <f>SUM(#REF!)</f>
        <v>#REF!</v>
      </c>
      <c r="C1284" s="1208">
        <v>44372</v>
      </c>
      <c r="D1284" s="864">
        <v>76</v>
      </c>
      <c r="E1284" s="865" t="s">
        <v>293</v>
      </c>
      <c r="F1284" s="1503" t="s">
        <v>284</v>
      </c>
      <c r="G1284" s="1209">
        <v>2.7106481481481481E-2</v>
      </c>
      <c r="H1284" s="1210">
        <v>6.71</v>
      </c>
      <c r="I1284" s="1211">
        <f t="shared" si="132"/>
        <v>4.0397140806976871E-3</v>
      </c>
      <c r="J1284" s="1212">
        <v>138</v>
      </c>
      <c r="K1284" s="1741"/>
      <c r="L1284" s="1578">
        <v>204</v>
      </c>
      <c r="M1284" s="1602">
        <v>11</v>
      </c>
      <c r="N1284" s="1171">
        <f t="shared" si="133"/>
        <v>1.0627221567275396</v>
      </c>
      <c r="O1284" s="1213" t="s">
        <v>311</v>
      </c>
      <c r="P1284" s="1302" t="str">
        <f>IFERROR(VLOOKUP(F1284,#REF!,12,FALSE),"")</f>
        <v/>
      </c>
      <c r="Q1284" s="1303" t="s">
        <v>8</v>
      </c>
      <c r="R1284" s="1304" t="str">
        <f>IFERROR(VLOOKUP(F1284,#REF!,14,FALSE),"")</f>
        <v/>
      </c>
      <c r="S1284" s="1217">
        <f t="shared" si="134"/>
        <v>1.4782608695652173</v>
      </c>
      <c r="U1284" s="1728"/>
      <c r="V1284" s="864">
        <f t="shared" si="135"/>
        <v>0</v>
      </c>
      <c r="W1284" s="1767"/>
      <c r="X1284" s="864"/>
    </row>
    <row r="1285" spans="2:24" x14ac:dyDescent="0.2">
      <c r="B1285" s="1669" t="s">
        <v>256</v>
      </c>
      <c r="C1285" s="1208">
        <v>44373</v>
      </c>
      <c r="D1285" s="864"/>
      <c r="E1285" s="865"/>
      <c r="F1285" s="1503"/>
      <c r="G1285" s="1209"/>
      <c r="H1285" s="1210" t="str">
        <f>IFERROR(VLOOKUP(F1285,#REF!,10,FALSE),"")</f>
        <v/>
      </c>
      <c r="I1285" s="1211" t="str">
        <f t="shared" si="132"/>
        <v/>
      </c>
      <c r="J1285" s="1212"/>
      <c r="K1285" s="1741"/>
      <c r="L1285" s="1578"/>
      <c r="M1285" s="1602"/>
      <c r="N1285" s="1171" t="str">
        <f t="shared" si="133"/>
        <v/>
      </c>
      <c r="O1285" s="1213"/>
      <c r="P1285" s="1302" t="str">
        <f>IFERROR(VLOOKUP(F1285,#REF!,12,FALSE),"")</f>
        <v/>
      </c>
      <c r="Q1285" s="1303" t="s">
        <v>8</v>
      </c>
      <c r="R1285" s="1304" t="str">
        <f>IFERROR(VLOOKUP(F1285,#REF!,14,FALSE),"")</f>
        <v/>
      </c>
      <c r="S1285" s="1217" t="str">
        <f t="shared" si="134"/>
        <v/>
      </c>
      <c r="U1285" s="1728"/>
      <c r="V1285" s="864">
        <f t="shared" si="135"/>
        <v>0</v>
      </c>
      <c r="W1285" s="1767"/>
      <c r="X1285" s="864"/>
    </row>
    <row r="1286" spans="2:24" ht="16" thickBot="1" x14ac:dyDescent="0.25">
      <c r="B1286" s="1670" t="e">
        <f>AVERAGE(#REF!)</f>
        <v>#REF!</v>
      </c>
      <c r="C1286" s="544">
        <v>44374</v>
      </c>
      <c r="D1286" s="67"/>
      <c r="E1286" s="208"/>
      <c r="F1286" s="1429"/>
      <c r="G1286" s="1230"/>
      <c r="H1286" s="1231" t="str">
        <f>IFERROR(VLOOKUP(F1286,#REF!,10,FALSE),"")</f>
        <v/>
      </c>
      <c r="I1286" s="1232" t="str">
        <f t="shared" si="132"/>
        <v/>
      </c>
      <c r="J1286" s="256"/>
      <c r="K1286" s="1741"/>
      <c r="L1286" s="1580"/>
      <c r="M1286" s="1561"/>
      <c r="N1286" s="172" t="str">
        <f t="shared" si="133"/>
        <v/>
      </c>
      <c r="O1286" s="1233"/>
      <c r="P1286" s="447" t="str">
        <f>IFERROR(VLOOKUP(F1286,#REF!,12,FALSE),"")</f>
        <v/>
      </c>
      <c r="Q1286" s="1269" t="s">
        <v>8</v>
      </c>
      <c r="R1286" s="1235" t="str">
        <f>IFERROR(VLOOKUP(F1286,#REF!,14,FALSE),"")</f>
        <v/>
      </c>
      <c r="S1286" s="1236" t="str">
        <f t="shared" si="134"/>
        <v/>
      </c>
      <c r="U1286" s="1728"/>
      <c r="V1286" s="67">
        <f t="shared" si="135"/>
        <v>0</v>
      </c>
      <c r="W1286" s="1768"/>
      <c r="X1286" s="67"/>
    </row>
    <row r="1287" spans="2:24" ht="16" thickBot="1" x14ac:dyDescent="0.25">
      <c r="B1287" s="1661">
        <f>B1280+1</f>
        <v>26</v>
      </c>
      <c r="C1287" s="1237">
        <v>44375</v>
      </c>
      <c r="D1287" s="70"/>
      <c r="E1287" s="71"/>
      <c r="F1287" s="1505"/>
      <c r="G1287" s="1238"/>
      <c r="H1287" s="1239" t="str">
        <f>IFERROR(VLOOKUP(F1287,#REF!,10,FALSE),"")</f>
        <v/>
      </c>
      <c r="I1287" s="1240" t="str">
        <f t="shared" si="132"/>
        <v/>
      </c>
      <c r="J1287" s="265"/>
      <c r="K1287" s="1741"/>
      <c r="L1287" s="1581"/>
      <c r="M1287" s="265"/>
      <c r="N1287" s="77" t="str">
        <f t="shared" si="133"/>
        <v/>
      </c>
      <c r="O1287" s="1241"/>
      <c r="P1287" s="79" t="str">
        <f>IFERROR(VLOOKUP(F1287,#REF!,12,FALSE),"")</f>
        <v/>
      </c>
      <c r="Q1287" s="1242" t="s">
        <v>8</v>
      </c>
      <c r="R1287" s="1243" t="str">
        <f>IFERROR(VLOOKUP(F1287,#REF!,14,FALSE),"")</f>
        <v/>
      </c>
      <c r="S1287" s="1244" t="str">
        <f t="shared" si="134"/>
        <v/>
      </c>
      <c r="U1287" s="1728"/>
      <c r="V1287" s="70">
        <f t="shared" si="135"/>
        <v>0</v>
      </c>
      <c r="W1287" s="1766"/>
      <c r="X1287" s="70"/>
    </row>
    <row r="1288" spans="2:24" x14ac:dyDescent="0.2">
      <c r="B1288" s="1666" t="s">
        <v>142</v>
      </c>
      <c r="C1288" s="1208">
        <v>44376</v>
      </c>
      <c r="D1288" s="864"/>
      <c r="E1288" s="865"/>
      <c r="F1288" s="1503"/>
      <c r="G1288" s="1209"/>
      <c r="H1288" s="1210" t="str">
        <f>IFERROR(VLOOKUP(F1288,#REF!,10,FALSE),"")</f>
        <v/>
      </c>
      <c r="I1288" s="1211" t="str">
        <f t="shared" si="132"/>
        <v/>
      </c>
      <c r="J1288" s="1212"/>
      <c r="K1288" s="1741"/>
      <c r="L1288" s="1578"/>
      <c r="M1288" s="1602"/>
      <c r="N1288" s="1171" t="str">
        <f t="shared" si="133"/>
        <v/>
      </c>
      <c r="O1288" s="1213"/>
      <c r="P1288" s="1214" t="str">
        <f>IFERROR(VLOOKUP(F1288,#REF!,12,FALSE),"")</f>
        <v/>
      </c>
      <c r="Q1288" s="1215" t="s">
        <v>8</v>
      </c>
      <c r="R1288" s="1216" t="str">
        <f>IFERROR(VLOOKUP(F1288,#REF!,14,FALSE),"")</f>
        <v/>
      </c>
      <c r="S1288" s="1217" t="str">
        <f t="shared" si="134"/>
        <v/>
      </c>
      <c r="U1288" s="1728"/>
      <c r="V1288" s="864">
        <f t="shared" si="135"/>
        <v>0</v>
      </c>
      <c r="W1288" s="1767"/>
      <c r="X1288" s="864"/>
    </row>
    <row r="1289" spans="2:24" ht="16" thickBot="1" x14ac:dyDescent="0.25">
      <c r="B1289" s="1654">
        <f>SUM(H1287:H1293)</f>
        <v>6.14</v>
      </c>
      <c r="C1289" s="1208">
        <v>44377</v>
      </c>
      <c r="D1289" s="864">
        <v>77</v>
      </c>
      <c r="E1289" s="865" t="s">
        <v>293</v>
      </c>
      <c r="F1289" s="1545" t="s">
        <v>284</v>
      </c>
      <c r="G1289" s="1209">
        <v>2.5416666666666667E-2</v>
      </c>
      <c r="H1289" s="1210">
        <v>6.14</v>
      </c>
      <c r="I1289" s="1211">
        <f t="shared" si="132"/>
        <v>4.1395222584147667E-3</v>
      </c>
      <c r="J1289" s="1212">
        <v>146</v>
      </c>
      <c r="K1289" s="1741"/>
      <c r="L1289" s="1578">
        <v>198</v>
      </c>
      <c r="M1289" s="1602">
        <v>18</v>
      </c>
      <c r="N1289" s="1171">
        <f t="shared" si="133"/>
        <v>1.05694977879333</v>
      </c>
      <c r="O1289" s="1213" t="s">
        <v>339</v>
      </c>
      <c r="P1289" s="1214" t="str">
        <f>IFERROR(VLOOKUP(F1289,#REF!,12,FALSE),"")</f>
        <v/>
      </c>
      <c r="Q1289" s="1215" t="s">
        <v>8</v>
      </c>
      <c r="R1289" s="1216" t="str">
        <f>IFERROR(VLOOKUP(F1289,#REF!,14,FALSE),"")</f>
        <v/>
      </c>
      <c r="S1289" s="1217">
        <f t="shared" si="134"/>
        <v>1.3561643835616439</v>
      </c>
      <c r="U1289" s="1728"/>
      <c r="V1289" s="864">
        <f t="shared" si="135"/>
        <v>0</v>
      </c>
      <c r="W1289" s="1767"/>
      <c r="X1289" s="864"/>
    </row>
    <row r="1290" spans="2:24" x14ac:dyDescent="0.2">
      <c r="B1290" s="1667" t="s">
        <v>144</v>
      </c>
      <c r="C1290" s="1208">
        <v>44378</v>
      </c>
      <c r="D1290" s="864"/>
      <c r="E1290" s="865"/>
      <c r="F1290" s="1503"/>
      <c r="G1290" s="1209"/>
      <c r="H1290" s="1210" t="str">
        <f>IFERROR(VLOOKUP(F1290,#REF!,10,FALSE),"")</f>
        <v/>
      </c>
      <c r="I1290" s="1211" t="str">
        <f t="shared" si="132"/>
        <v/>
      </c>
      <c r="J1290" s="1212"/>
      <c r="K1290" s="1741"/>
      <c r="L1290" s="1578"/>
      <c r="M1290" s="1602"/>
      <c r="N1290" s="1171" t="str">
        <f t="shared" si="133"/>
        <v/>
      </c>
      <c r="O1290" s="1213"/>
      <c r="P1290" s="1214" t="str">
        <f>IFERROR(VLOOKUP(F1290,#REF!,12,FALSE),"")</f>
        <v/>
      </c>
      <c r="Q1290" s="1215" t="s">
        <v>8</v>
      </c>
      <c r="R1290" s="1216" t="str">
        <f>IFERROR(VLOOKUP(F1290,#REF!,14,FALSE),"")</f>
        <v/>
      </c>
      <c r="S1290" s="1217" t="str">
        <f t="shared" si="134"/>
        <v/>
      </c>
      <c r="U1290" s="1728"/>
      <c r="V1290" s="864">
        <f t="shared" si="135"/>
        <v>0</v>
      </c>
      <c r="W1290" s="1767"/>
      <c r="X1290" s="864"/>
    </row>
    <row r="1291" spans="2:24" ht="16" thickBot="1" x14ac:dyDescent="0.25">
      <c r="B1291" s="1668" t="e">
        <f>SUM(#REF!)</f>
        <v>#REF!</v>
      </c>
      <c r="C1291" s="1208">
        <v>44379</v>
      </c>
      <c r="D1291" s="864"/>
      <c r="E1291" s="865"/>
      <c r="F1291" s="1503"/>
      <c r="G1291" s="1209"/>
      <c r="H1291" s="1210" t="str">
        <f>IFERROR(VLOOKUP(F1291,#REF!,10,FALSE),"")</f>
        <v/>
      </c>
      <c r="I1291" s="1211" t="str">
        <f t="shared" si="132"/>
        <v/>
      </c>
      <c r="J1291" s="1212"/>
      <c r="K1291" s="1741"/>
      <c r="L1291" s="1578"/>
      <c r="M1291" s="1602"/>
      <c r="N1291" s="1171" t="str">
        <f t="shared" si="133"/>
        <v/>
      </c>
      <c r="O1291" s="1213"/>
      <c r="P1291" s="1214" t="str">
        <f>IFERROR(VLOOKUP(F1291,#REF!,12,FALSE),"")</f>
        <v/>
      </c>
      <c r="Q1291" s="1215" t="s">
        <v>8</v>
      </c>
      <c r="R1291" s="1216" t="str">
        <f>IFERROR(VLOOKUP(F1291,#REF!,14,FALSE),"")</f>
        <v/>
      </c>
      <c r="S1291" s="1217" t="str">
        <f t="shared" si="134"/>
        <v/>
      </c>
      <c r="U1291" s="1728"/>
      <c r="V1291" s="864">
        <f t="shared" si="135"/>
        <v>0</v>
      </c>
      <c r="W1291" s="1767"/>
      <c r="X1291" s="864"/>
    </row>
    <row r="1292" spans="2:24" x14ac:dyDescent="0.2">
      <c r="B1292" s="1669" t="s">
        <v>256</v>
      </c>
      <c r="C1292" s="1208">
        <v>44380</v>
      </c>
      <c r="D1292" s="864"/>
      <c r="E1292" s="865"/>
      <c r="F1292" s="1503"/>
      <c r="G1292" s="1209"/>
      <c r="H1292" s="1210" t="str">
        <f>IFERROR(VLOOKUP(F1292,#REF!,10,FALSE),"")</f>
        <v/>
      </c>
      <c r="I1292" s="1211" t="str">
        <f t="shared" si="132"/>
        <v/>
      </c>
      <c r="J1292" s="1212"/>
      <c r="K1292" s="1741"/>
      <c r="L1292" s="1578"/>
      <c r="M1292" s="1602"/>
      <c r="N1292" s="1171" t="str">
        <f t="shared" si="133"/>
        <v/>
      </c>
      <c r="O1292" s="1213"/>
      <c r="P1292" s="1214" t="str">
        <f>IFERROR(VLOOKUP(F1292,#REF!,12,FALSE),"")</f>
        <v/>
      </c>
      <c r="Q1292" s="1215" t="s">
        <v>8</v>
      </c>
      <c r="R1292" s="1216" t="str">
        <f>IFERROR(VLOOKUP(F1292,#REF!,14,FALSE),"")</f>
        <v/>
      </c>
      <c r="S1292" s="1217" t="str">
        <f t="shared" si="134"/>
        <v/>
      </c>
      <c r="U1292" s="1728"/>
      <c r="V1292" s="864">
        <f t="shared" si="135"/>
        <v>0</v>
      </c>
      <c r="W1292" s="1767"/>
      <c r="X1292" s="864"/>
    </row>
    <row r="1293" spans="2:24" ht="16" thickBot="1" x14ac:dyDescent="0.25">
      <c r="B1293" s="1670" t="e">
        <f>AVERAGE(#REF!)</f>
        <v>#REF!</v>
      </c>
      <c r="C1293" s="1305">
        <v>44381</v>
      </c>
      <c r="D1293" s="1306"/>
      <c r="E1293" s="1046"/>
      <c r="F1293" s="1429"/>
      <c r="G1293" s="1307"/>
      <c r="H1293" s="1308" t="str">
        <f>IFERROR(VLOOKUP(F1293,#REF!,10,FALSE),"")</f>
        <v/>
      </c>
      <c r="I1293" s="1309" t="str">
        <f t="shared" si="132"/>
        <v/>
      </c>
      <c r="J1293" s="1310"/>
      <c r="K1293" s="1741"/>
      <c r="L1293" s="984"/>
      <c r="M1293" s="1603"/>
      <c r="N1293" s="1311" t="str">
        <f t="shared" si="133"/>
        <v/>
      </c>
      <c r="O1293" s="1312"/>
      <c r="P1293" s="1313" t="str">
        <f>IFERROR(VLOOKUP(F1293,#REF!,12,FALSE),"")</f>
        <v/>
      </c>
      <c r="Q1293" s="1314" t="s">
        <v>8</v>
      </c>
      <c r="R1293" s="1315" t="str">
        <f>IFERROR(VLOOKUP(F1293,#REF!,14,FALSE),"")</f>
        <v/>
      </c>
      <c r="S1293" s="1316" t="str">
        <f t="shared" si="134"/>
        <v/>
      </c>
      <c r="U1293" s="1728"/>
      <c r="V1293" s="1306">
        <f t="shared" si="135"/>
        <v>0</v>
      </c>
      <c r="W1293" s="1768"/>
      <c r="X1293" s="1306"/>
    </row>
    <row r="1294" spans="2:24" ht="16" thickBot="1" x14ac:dyDescent="0.25">
      <c r="B1294" s="1661">
        <f>B1287+1</f>
        <v>27</v>
      </c>
      <c r="C1294" s="1199">
        <v>44382</v>
      </c>
      <c r="D1294" s="1108"/>
      <c r="E1294" s="915"/>
      <c r="F1294" s="1505"/>
      <c r="G1294" s="1317"/>
      <c r="H1294" s="1201" t="str">
        <f>IFERROR(VLOOKUP(F1294,#REF!,10,FALSE),"")</f>
        <v/>
      </c>
      <c r="I1294" s="1202" t="str">
        <f t="shared" si="132"/>
        <v/>
      </c>
      <c r="J1294" s="1203"/>
      <c r="K1294" s="1741"/>
      <c r="L1294" s="1577"/>
      <c r="M1294" s="1374"/>
      <c r="N1294" s="1111" t="str">
        <f t="shared" si="133"/>
        <v/>
      </c>
      <c r="O1294" s="1204"/>
      <c r="P1294" s="1113" t="str">
        <f>IFERROR(VLOOKUP(F1294,#REF!,12,FALSE),"")</f>
        <v/>
      </c>
      <c r="Q1294" s="1254" t="s">
        <v>8</v>
      </c>
      <c r="R1294" s="1255" t="str">
        <f>IFERROR(VLOOKUP(F1294,#REF!,14,FALSE),"")</f>
        <v/>
      </c>
      <c r="S1294" s="1207" t="str">
        <f t="shared" si="134"/>
        <v/>
      </c>
      <c r="U1294" s="1728"/>
      <c r="V1294" s="1108">
        <f t="shared" si="135"/>
        <v>0</v>
      </c>
      <c r="W1294" s="1766"/>
      <c r="X1294" s="1108"/>
    </row>
    <row r="1295" spans="2:24" x14ac:dyDescent="0.2">
      <c r="B1295" s="1666" t="s">
        <v>142</v>
      </c>
      <c r="C1295" s="1208">
        <v>44383</v>
      </c>
      <c r="D1295" s="864"/>
      <c r="E1295" s="1318"/>
      <c r="F1295" s="1503"/>
      <c r="G1295" s="1319"/>
      <c r="H1295" s="1210" t="str">
        <f>IFERROR(VLOOKUP(F1295,#REF!,10,FALSE),"")</f>
        <v/>
      </c>
      <c r="I1295" s="1211" t="str">
        <f t="shared" si="132"/>
        <v/>
      </c>
      <c r="J1295" s="1212"/>
      <c r="K1295" s="1741"/>
      <c r="L1295" s="1578"/>
      <c r="M1295" s="1602"/>
      <c r="N1295" s="1171" t="str">
        <f t="shared" si="133"/>
        <v/>
      </c>
      <c r="O1295" s="1213"/>
      <c r="P1295" s="1302" t="str">
        <f>IFERROR(VLOOKUP(F1295,#REF!,12,FALSE),"")</f>
        <v/>
      </c>
      <c r="Q1295" s="1303" t="s">
        <v>8</v>
      </c>
      <c r="R1295" s="1304" t="str">
        <f>IFERROR(VLOOKUP(F1295,#REF!,14,FALSE),"")</f>
        <v/>
      </c>
      <c r="S1295" s="1217" t="str">
        <f t="shared" si="134"/>
        <v/>
      </c>
      <c r="U1295" s="1728"/>
      <c r="V1295" s="864">
        <f t="shared" si="135"/>
        <v>0</v>
      </c>
      <c r="W1295" s="1767"/>
      <c r="X1295" s="864"/>
    </row>
    <row r="1296" spans="2:24" ht="16" thickBot="1" x14ac:dyDescent="0.25">
      <c r="B1296" s="1654">
        <f>SUM(H1294:H1300)</f>
        <v>8.32</v>
      </c>
      <c r="C1296" s="1208">
        <v>44384</v>
      </c>
      <c r="D1296" s="864"/>
      <c r="E1296" s="1318"/>
      <c r="F1296" s="1503"/>
      <c r="G1296" s="1319"/>
      <c r="H1296" s="1210" t="str">
        <f>IFERROR(VLOOKUP(F1296,#REF!,10,FALSE),"")</f>
        <v/>
      </c>
      <c r="I1296" s="1211" t="str">
        <f t="shared" si="132"/>
        <v/>
      </c>
      <c r="J1296" s="1212"/>
      <c r="K1296" s="1741"/>
      <c r="L1296" s="1578"/>
      <c r="M1296" s="1602"/>
      <c r="N1296" s="1171" t="str">
        <f t="shared" si="133"/>
        <v/>
      </c>
      <c r="O1296" s="1213"/>
      <c r="P1296" s="1302" t="str">
        <f>IFERROR(VLOOKUP(F1296,#REF!,12,FALSE),"")</f>
        <v/>
      </c>
      <c r="Q1296" s="1303" t="s">
        <v>8</v>
      </c>
      <c r="R1296" s="1304" t="str">
        <f>IFERROR(VLOOKUP(F1296,#REF!,14,FALSE),"")</f>
        <v/>
      </c>
      <c r="S1296" s="1217" t="str">
        <f t="shared" si="134"/>
        <v/>
      </c>
      <c r="U1296" s="1728"/>
      <c r="V1296" s="864">
        <f t="shared" si="135"/>
        <v>0</v>
      </c>
      <c r="W1296" s="1767"/>
      <c r="X1296" s="864"/>
    </row>
    <row r="1297" spans="2:24" x14ac:dyDescent="0.2">
      <c r="B1297" s="1667" t="s">
        <v>144</v>
      </c>
      <c r="C1297" s="1208">
        <v>44385</v>
      </c>
      <c r="D1297" s="864"/>
      <c r="E1297" s="1318"/>
      <c r="F1297" s="1503"/>
      <c r="G1297" s="1319"/>
      <c r="H1297" s="1210" t="str">
        <f>IFERROR(VLOOKUP(F1297,#REF!,10,FALSE),"")</f>
        <v/>
      </c>
      <c r="I1297" s="1211" t="str">
        <f t="shared" si="132"/>
        <v/>
      </c>
      <c r="J1297" s="1212"/>
      <c r="K1297" s="1741"/>
      <c r="L1297" s="1578"/>
      <c r="M1297" s="1602"/>
      <c r="N1297" s="1171" t="str">
        <f t="shared" si="133"/>
        <v/>
      </c>
      <c r="O1297" s="1213"/>
      <c r="P1297" s="1302" t="str">
        <f>IFERROR(VLOOKUP(F1297,#REF!,12,FALSE),"")</f>
        <v/>
      </c>
      <c r="Q1297" s="1303" t="s">
        <v>8</v>
      </c>
      <c r="R1297" s="1304" t="str">
        <f>IFERROR(VLOOKUP(F1297,#REF!,14,FALSE),"")</f>
        <v/>
      </c>
      <c r="S1297" s="1217" t="str">
        <f t="shared" si="134"/>
        <v/>
      </c>
      <c r="U1297" s="1728"/>
      <c r="V1297" s="864">
        <f t="shared" si="135"/>
        <v>0</v>
      </c>
      <c r="W1297" s="1767"/>
      <c r="X1297" s="864"/>
    </row>
    <row r="1298" spans="2:24" ht="16" thickBot="1" x14ac:dyDescent="0.25">
      <c r="B1298" s="1668" t="e">
        <f>SUM(#REF!)</f>
        <v>#REF!</v>
      </c>
      <c r="C1298" s="1208">
        <v>44386</v>
      </c>
      <c r="D1298" s="864">
        <v>78</v>
      </c>
      <c r="E1298" s="1318" t="s">
        <v>293</v>
      </c>
      <c r="F1298" s="1503" t="s">
        <v>285</v>
      </c>
      <c r="G1298" s="1319">
        <v>3.6099537037037034E-2</v>
      </c>
      <c r="H1298" s="1210">
        <v>8.32</v>
      </c>
      <c r="I1298" s="1211">
        <f t="shared" si="132"/>
        <v>4.3388866631054127E-3</v>
      </c>
      <c r="J1298" s="1212">
        <v>134</v>
      </c>
      <c r="K1298" s="1741"/>
      <c r="L1298" s="1578">
        <v>188</v>
      </c>
      <c r="M1298" s="1602">
        <v>23</v>
      </c>
      <c r="N1298" s="1171">
        <f t="shared" si="133"/>
        <v>1.0519015499425948</v>
      </c>
      <c r="O1298" s="1213" t="s">
        <v>339</v>
      </c>
      <c r="P1298" s="1302" t="str">
        <f>IFERROR(VLOOKUP(F1298,#REF!,12,FALSE),"")</f>
        <v/>
      </c>
      <c r="Q1298" s="1303" t="s">
        <v>8</v>
      </c>
      <c r="R1298" s="1304" t="str">
        <f>IFERROR(VLOOKUP(F1298,#REF!,14,FALSE),"")</f>
        <v/>
      </c>
      <c r="S1298" s="1217">
        <f t="shared" si="134"/>
        <v>1.4029850746268657</v>
      </c>
      <c r="U1298" s="1728"/>
      <c r="V1298" s="864">
        <f t="shared" si="135"/>
        <v>0</v>
      </c>
      <c r="W1298" s="1767"/>
      <c r="X1298" s="864"/>
    </row>
    <row r="1299" spans="2:24" x14ac:dyDescent="0.2">
      <c r="B1299" s="1669" t="s">
        <v>256</v>
      </c>
      <c r="C1299" s="1208">
        <v>44387</v>
      </c>
      <c r="D1299" s="864"/>
      <c r="E1299" s="1318"/>
      <c r="F1299" s="1503"/>
      <c r="G1299" s="1319"/>
      <c r="H1299" s="1210" t="str">
        <f>IFERROR(VLOOKUP(F1299,#REF!,10,FALSE),"")</f>
        <v/>
      </c>
      <c r="I1299" s="1211" t="str">
        <f t="shared" si="132"/>
        <v/>
      </c>
      <c r="J1299" s="1212"/>
      <c r="K1299" s="1741"/>
      <c r="L1299" s="1578"/>
      <c r="M1299" s="1602"/>
      <c r="N1299" s="1171" t="str">
        <f t="shared" si="133"/>
        <v/>
      </c>
      <c r="O1299" s="1213"/>
      <c r="P1299" s="1302" t="str">
        <f>IFERROR(VLOOKUP(F1299,#REF!,12,FALSE),"")</f>
        <v/>
      </c>
      <c r="Q1299" s="1303" t="s">
        <v>8</v>
      </c>
      <c r="R1299" s="1304" t="str">
        <f>IFERROR(VLOOKUP(F1299,#REF!,14,FALSE),"")</f>
        <v/>
      </c>
      <c r="S1299" s="1217" t="str">
        <f t="shared" si="134"/>
        <v/>
      </c>
      <c r="U1299" s="1728"/>
      <c r="V1299" s="864">
        <f t="shared" si="135"/>
        <v>0</v>
      </c>
      <c r="W1299" s="1767"/>
      <c r="X1299" s="864"/>
    </row>
    <row r="1300" spans="2:24" ht="16" thickBot="1" x14ac:dyDescent="0.25">
      <c r="B1300" s="1670" t="e">
        <f>AVERAGE(#REF!)</f>
        <v>#REF!</v>
      </c>
      <c r="C1300" s="544">
        <v>44388</v>
      </c>
      <c r="D1300" s="67"/>
      <c r="E1300" s="336"/>
      <c r="F1300" s="1429"/>
      <c r="G1300" s="1320"/>
      <c r="H1300" s="1231" t="str">
        <f>IFERROR(VLOOKUP(F1300,#REF!,10,FALSE),"")</f>
        <v/>
      </c>
      <c r="I1300" s="1232" t="str">
        <f t="shared" si="132"/>
        <v/>
      </c>
      <c r="J1300" s="256"/>
      <c r="K1300" s="1741"/>
      <c r="L1300" s="1580"/>
      <c r="M1300" s="1561"/>
      <c r="N1300" s="172" t="str">
        <f t="shared" si="133"/>
        <v/>
      </c>
      <c r="O1300" s="1233"/>
      <c r="P1300" s="447" t="str">
        <f>IFERROR(VLOOKUP(F1300,#REF!,12,FALSE),"")</f>
        <v/>
      </c>
      <c r="Q1300" s="1269" t="s">
        <v>8</v>
      </c>
      <c r="R1300" s="1235" t="str">
        <f>IFERROR(VLOOKUP(F1300,#REF!,14,FALSE),"")</f>
        <v/>
      </c>
      <c r="S1300" s="1236" t="str">
        <f t="shared" si="134"/>
        <v/>
      </c>
      <c r="U1300" s="1728"/>
      <c r="V1300" s="67">
        <f t="shared" si="135"/>
        <v>0</v>
      </c>
      <c r="W1300" s="1768"/>
      <c r="X1300" s="67"/>
    </row>
    <row r="1301" spans="2:24" ht="16" thickBot="1" x14ac:dyDescent="0.25">
      <c r="B1301" s="1661">
        <f>B1294+1</f>
        <v>28</v>
      </c>
      <c r="C1301" s="1237">
        <v>44389</v>
      </c>
      <c r="D1301" s="70"/>
      <c r="E1301" s="931"/>
      <c r="F1301" s="1505"/>
      <c r="G1301" s="1321"/>
      <c r="H1301" s="1239" t="str">
        <f>IFERROR(VLOOKUP(F1301,#REF!,10,FALSE),"")</f>
        <v/>
      </c>
      <c r="I1301" s="1240" t="str">
        <f t="shared" si="132"/>
        <v/>
      </c>
      <c r="J1301" s="265"/>
      <c r="K1301" s="1741"/>
      <c r="L1301" s="1581"/>
      <c r="M1301" s="265"/>
      <c r="N1301" s="77" t="str">
        <f t="shared" ref="N1301:N1332" si="136">IFERROR((L1301/67)/(1/(I1301*24)/3.6),"")</f>
        <v/>
      </c>
      <c r="O1301" s="1241"/>
      <c r="P1301" s="79" t="str">
        <f>IFERROR(VLOOKUP(F1301,#REF!,12,FALSE),"")</f>
        <v/>
      </c>
      <c r="Q1301" s="1242" t="s">
        <v>8</v>
      </c>
      <c r="R1301" s="1243" t="str">
        <f>IFERROR(VLOOKUP(F1301,#REF!,14,FALSE),"")</f>
        <v/>
      </c>
      <c r="S1301" s="1244" t="str">
        <f t="shared" ref="S1301:S1332" si="137">IFERROR(L1301/J1301,"")</f>
        <v/>
      </c>
      <c r="U1301" s="1728"/>
      <c r="V1301" s="70">
        <f t="shared" si="135"/>
        <v>0</v>
      </c>
      <c r="W1301" s="1766"/>
      <c r="X1301" s="70"/>
    </row>
    <row r="1302" spans="2:24" x14ac:dyDescent="0.2">
      <c r="B1302" s="1666" t="s">
        <v>142</v>
      </c>
      <c r="C1302" s="1208">
        <v>44390</v>
      </c>
      <c r="D1302" s="864"/>
      <c r="E1302" s="1318"/>
      <c r="F1302" s="1503"/>
      <c r="G1302" s="1319"/>
      <c r="H1302" s="1210" t="str">
        <f>IFERROR(VLOOKUP(F1302,#REF!,10,FALSE),"")</f>
        <v/>
      </c>
      <c r="I1302" s="1211" t="str">
        <f t="shared" si="132"/>
        <v/>
      </c>
      <c r="J1302" s="1212"/>
      <c r="K1302" s="1741"/>
      <c r="L1302" s="1578"/>
      <c r="M1302" s="1602"/>
      <c r="N1302" s="1171" t="str">
        <f t="shared" si="136"/>
        <v/>
      </c>
      <c r="O1302" s="1213"/>
      <c r="P1302" s="1214" t="str">
        <f>IFERROR(VLOOKUP(F1302,#REF!,12,FALSE),"")</f>
        <v/>
      </c>
      <c r="Q1302" s="1215" t="s">
        <v>8</v>
      </c>
      <c r="R1302" s="1216" t="str">
        <f>IFERROR(VLOOKUP(F1302,#REF!,14,FALSE),"")</f>
        <v/>
      </c>
      <c r="S1302" s="1217" t="str">
        <f t="shared" si="137"/>
        <v/>
      </c>
      <c r="U1302" s="1728"/>
      <c r="V1302" s="864">
        <f t="shared" si="135"/>
        <v>0</v>
      </c>
      <c r="W1302" s="1767"/>
      <c r="X1302" s="864"/>
    </row>
    <row r="1303" spans="2:24" ht="16" thickBot="1" x14ac:dyDescent="0.25">
      <c r="B1303" s="1654">
        <f>SUM(H1301:H1307)</f>
        <v>8.01</v>
      </c>
      <c r="C1303" s="1208">
        <v>44391</v>
      </c>
      <c r="D1303" s="864">
        <v>79</v>
      </c>
      <c r="E1303" s="1318" t="s">
        <v>292</v>
      </c>
      <c r="F1303" s="1545" t="s">
        <v>285</v>
      </c>
      <c r="G1303" s="1319">
        <v>3.3530092592592591E-2</v>
      </c>
      <c r="H1303" s="1210">
        <v>8.01</v>
      </c>
      <c r="I1303" s="1211">
        <f t="shared" si="132"/>
        <v>4.1860290377768528E-3</v>
      </c>
      <c r="J1303" s="1212">
        <v>145</v>
      </c>
      <c r="K1303" s="1741"/>
      <c r="L1303" s="1578">
        <v>197</v>
      </c>
      <c r="M1303" s="1602">
        <v>17</v>
      </c>
      <c r="N1303" s="1171">
        <f t="shared" si="136"/>
        <v>1.0634263141222724</v>
      </c>
      <c r="O1303" s="1213" t="s">
        <v>311</v>
      </c>
      <c r="P1303" s="1214" t="str">
        <f>IFERROR(VLOOKUP(F1303,#REF!,12,FALSE),"")</f>
        <v/>
      </c>
      <c r="Q1303" s="1215" t="s">
        <v>8</v>
      </c>
      <c r="R1303" s="1216" t="str">
        <f>IFERROR(VLOOKUP(F1303,#REF!,14,FALSE),"")</f>
        <v/>
      </c>
      <c r="S1303" s="1217">
        <f t="shared" si="137"/>
        <v>1.3586206896551725</v>
      </c>
      <c r="U1303" s="1728"/>
      <c r="V1303" s="864">
        <f t="shared" si="135"/>
        <v>0</v>
      </c>
      <c r="W1303" s="1767"/>
      <c r="X1303" s="864"/>
    </row>
    <row r="1304" spans="2:24" x14ac:dyDescent="0.2">
      <c r="B1304" s="1667" t="s">
        <v>144</v>
      </c>
      <c r="C1304" s="1208">
        <v>44392</v>
      </c>
      <c r="D1304" s="864"/>
      <c r="E1304" s="1318"/>
      <c r="F1304" s="1503"/>
      <c r="G1304" s="1319"/>
      <c r="H1304" s="1210" t="str">
        <f>IFERROR(VLOOKUP(F1304,#REF!,10,FALSE),"")</f>
        <v/>
      </c>
      <c r="I1304" s="1211" t="str">
        <f t="shared" si="132"/>
        <v/>
      </c>
      <c r="J1304" s="1212"/>
      <c r="K1304" s="1741"/>
      <c r="L1304" s="1578"/>
      <c r="M1304" s="1602"/>
      <c r="N1304" s="1171" t="str">
        <f t="shared" si="136"/>
        <v/>
      </c>
      <c r="O1304" s="1213"/>
      <c r="P1304" s="1214" t="str">
        <f>IFERROR(VLOOKUP(F1304,#REF!,12,FALSE),"")</f>
        <v/>
      </c>
      <c r="Q1304" s="1215" t="s">
        <v>8</v>
      </c>
      <c r="R1304" s="1216" t="str">
        <f>IFERROR(VLOOKUP(F1304,#REF!,14,FALSE),"")</f>
        <v/>
      </c>
      <c r="S1304" s="1217" t="str">
        <f t="shared" si="137"/>
        <v/>
      </c>
      <c r="U1304" s="1728"/>
      <c r="V1304" s="864">
        <f t="shared" si="135"/>
        <v>0</v>
      </c>
      <c r="W1304" s="1767"/>
      <c r="X1304" s="864"/>
    </row>
    <row r="1305" spans="2:24" ht="16" thickBot="1" x14ac:dyDescent="0.25">
      <c r="B1305" s="1668" t="e">
        <f>SUM(#REF!)</f>
        <v>#REF!</v>
      </c>
      <c r="C1305" s="1208">
        <v>44393</v>
      </c>
      <c r="D1305" s="864"/>
      <c r="E1305" s="1318"/>
      <c r="F1305" s="1503"/>
      <c r="G1305" s="1319"/>
      <c r="H1305" s="1210" t="str">
        <f>IFERROR(VLOOKUP(F1305,#REF!,10,FALSE),"")</f>
        <v/>
      </c>
      <c r="I1305" s="1211" t="str">
        <f t="shared" si="132"/>
        <v/>
      </c>
      <c r="J1305" s="1212"/>
      <c r="K1305" s="1741"/>
      <c r="L1305" s="1578"/>
      <c r="M1305" s="1602"/>
      <c r="N1305" s="1171" t="str">
        <f t="shared" si="136"/>
        <v/>
      </c>
      <c r="O1305" s="1213"/>
      <c r="P1305" s="1214" t="str">
        <f>IFERROR(VLOOKUP(F1305,#REF!,12,FALSE),"")</f>
        <v/>
      </c>
      <c r="Q1305" s="1215" t="s">
        <v>8</v>
      </c>
      <c r="R1305" s="1216" t="str">
        <f>IFERROR(VLOOKUP(F1305,#REF!,14,FALSE),"")</f>
        <v/>
      </c>
      <c r="S1305" s="1217" t="str">
        <f t="shared" si="137"/>
        <v/>
      </c>
      <c r="U1305" s="1728"/>
      <c r="V1305" s="864">
        <f t="shared" si="135"/>
        <v>0</v>
      </c>
      <c r="W1305" s="1767"/>
      <c r="X1305" s="864"/>
    </row>
    <row r="1306" spans="2:24" x14ac:dyDescent="0.2">
      <c r="B1306" s="1669" t="s">
        <v>256</v>
      </c>
      <c r="C1306" s="1208">
        <v>44394</v>
      </c>
      <c r="D1306" s="864"/>
      <c r="E1306" s="1318"/>
      <c r="F1306" s="1503"/>
      <c r="G1306" s="1319"/>
      <c r="H1306" s="1210" t="str">
        <f>IFERROR(VLOOKUP(F1306,#REF!,10,FALSE),"")</f>
        <v/>
      </c>
      <c r="I1306" s="1211" t="str">
        <f t="shared" si="132"/>
        <v/>
      </c>
      <c r="J1306" s="1212"/>
      <c r="K1306" s="1741"/>
      <c r="L1306" s="1578"/>
      <c r="M1306" s="1602"/>
      <c r="N1306" s="1171" t="str">
        <f t="shared" si="136"/>
        <v/>
      </c>
      <c r="O1306" s="1213"/>
      <c r="P1306" s="1214" t="str">
        <f>IFERROR(VLOOKUP(F1306,#REF!,12,FALSE),"")</f>
        <v/>
      </c>
      <c r="Q1306" s="1215" t="s">
        <v>8</v>
      </c>
      <c r="R1306" s="1216" t="str">
        <f>IFERROR(VLOOKUP(F1306,#REF!,14,FALSE),"")</f>
        <v/>
      </c>
      <c r="S1306" s="1217" t="str">
        <f t="shared" si="137"/>
        <v/>
      </c>
      <c r="U1306" s="1728"/>
      <c r="V1306" s="864">
        <f t="shared" si="135"/>
        <v>0</v>
      </c>
      <c r="W1306" s="1767"/>
      <c r="X1306" s="864"/>
    </row>
    <row r="1307" spans="2:24" ht="16" thickBot="1" x14ac:dyDescent="0.25">
      <c r="B1307" s="1670" t="e">
        <f>AVERAGE(#REF!)</f>
        <v>#REF!</v>
      </c>
      <c r="C1307" s="1305">
        <v>44395</v>
      </c>
      <c r="D1307" s="1306"/>
      <c r="E1307" s="1046"/>
      <c r="F1307" s="1429"/>
      <c r="G1307" s="1307"/>
      <c r="H1307" s="1308" t="str">
        <f>IFERROR(VLOOKUP(F1307,#REF!,10,FALSE),"")</f>
        <v/>
      </c>
      <c r="I1307" s="1309" t="str">
        <f t="shared" si="132"/>
        <v/>
      </c>
      <c r="J1307" s="1310"/>
      <c r="K1307" s="1741"/>
      <c r="L1307" s="984"/>
      <c r="M1307" s="1603"/>
      <c r="N1307" s="1311" t="str">
        <f t="shared" si="136"/>
        <v/>
      </c>
      <c r="O1307" s="1312"/>
      <c r="P1307" s="1313" t="str">
        <f>IFERROR(VLOOKUP(F1307,#REF!,12,FALSE),"")</f>
        <v/>
      </c>
      <c r="Q1307" s="1314" t="s">
        <v>8</v>
      </c>
      <c r="R1307" s="1315" t="str">
        <f>IFERROR(VLOOKUP(F1307,#REF!,14,FALSE),"")</f>
        <v/>
      </c>
      <c r="S1307" s="1316" t="str">
        <f t="shared" si="137"/>
        <v/>
      </c>
      <c r="U1307" s="1728"/>
      <c r="V1307" s="1306">
        <f t="shared" si="135"/>
        <v>0</v>
      </c>
      <c r="W1307" s="1768"/>
      <c r="X1307" s="1306"/>
    </row>
    <row r="1308" spans="2:24" ht="16" thickBot="1" x14ac:dyDescent="0.25">
      <c r="B1308" s="1661">
        <f>B1301+1</f>
        <v>29</v>
      </c>
      <c r="C1308" s="1199">
        <v>44396</v>
      </c>
      <c r="D1308" s="1108"/>
      <c r="E1308" s="915"/>
      <c r="F1308" s="1505"/>
      <c r="G1308" s="1317"/>
      <c r="H1308" s="1201" t="str">
        <f>IFERROR(VLOOKUP(F1308,#REF!,10,FALSE),"")</f>
        <v/>
      </c>
      <c r="I1308" s="1202" t="str">
        <f t="shared" si="132"/>
        <v/>
      </c>
      <c r="J1308" s="1203"/>
      <c r="K1308" s="1741"/>
      <c r="L1308" s="1577"/>
      <c r="M1308" s="1374"/>
      <c r="N1308" s="1111" t="str">
        <f t="shared" si="136"/>
        <v/>
      </c>
      <c r="O1308" s="1204"/>
      <c r="P1308" s="1113" t="str">
        <f>IFERROR(VLOOKUP(F1308,#REF!,12,FALSE),"")</f>
        <v/>
      </c>
      <c r="Q1308" s="1254" t="s">
        <v>8</v>
      </c>
      <c r="R1308" s="1255" t="str">
        <f>IFERROR(VLOOKUP(F1308,#REF!,14,FALSE),"")</f>
        <v/>
      </c>
      <c r="S1308" s="1207" t="str">
        <f t="shared" si="137"/>
        <v/>
      </c>
      <c r="U1308" s="1728"/>
      <c r="V1308" s="1108">
        <f t="shared" si="135"/>
        <v>0</v>
      </c>
      <c r="W1308" s="1766"/>
      <c r="X1308" s="1108"/>
    </row>
    <row r="1309" spans="2:24" x14ac:dyDescent="0.2">
      <c r="B1309" s="1666" t="s">
        <v>142</v>
      </c>
      <c r="C1309" s="1208">
        <v>44397</v>
      </c>
      <c r="D1309" s="864"/>
      <c r="E1309" s="1318"/>
      <c r="F1309" s="1503"/>
      <c r="G1309" s="1319"/>
      <c r="H1309" s="1210" t="str">
        <f>IFERROR(VLOOKUP(F1309,#REF!,10,FALSE),"")</f>
        <v/>
      </c>
      <c r="I1309" s="1211" t="str">
        <f t="shared" si="132"/>
        <v/>
      </c>
      <c r="J1309" s="1212"/>
      <c r="K1309" s="1741"/>
      <c r="L1309" s="1578"/>
      <c r="M1309" s="1602"/>
      <c r="N1309" s="1171" t="str">
        <f t="shared" si="136"/>
        <v/>
      </c>
      <c r="O1309" s="1213"/>
      <c r="P1309" s="1302" t="str">
        <f>IFERROR(VLOOKUP(F1309,#REF!,12,FALSE),"")</f>
        <v/>
      </c>
      <c r="Q1309" s="1303" t="s">
        <v>8</v>
      </c>
      <c r="R1309" s="1304" t="str">
        <f>IFERROR(VLOOKUP(F1309,#REF!,14,FALSE),"")</f>
        <v/>
      </c>
      <c r="S1309" s="1217" t="str">
        <f t="shared" si="137"/>
        <v/>
      </c>
      <c r="U1309" s="1728"/>
      <c r="V1309" s="864">
        <f t="shared" si="135"/>
        <v>0</v>
      </c>
      <c r="W1309" s="1767"/>
      <c r="X1309" s="864"/>
    </row>
    <row r="1310" spans="2:24" ht="16" thickBot="1" x14ac:dyDescent="0.25">
      <c r="B1310" s="1654">
        <f>SUM(H1308:H1314)</f>
        <v>0</v>
      </c>
      <c r="C1310" s="1208">
        <v>44398</v>
      </c>
      <c r="D1310" s="864"/>
      <c r="E1310" s="1318"/>
      <c r="F1310" s="1503"/>
      <c r="G1310" s="1319"/>
      <c r="H1310" s="1210" t="str">
        <f>IFERROR(VLOOKUP(F1310,#REF!,10,FALSE),"")</f>
        <v/>
      </c>
      <c r="I1310" s="1211" t="str">
        <f t="shared" si="132"/>
        <v/>
      </c>
      <c r="J1310" s="1212"/>
      <c r="K1310" s="1741"/>
      <c r="L1310" s="1578"/>
      <c r="M1310" s="1602"/>
      <c r="N1310" s="1171" t="str">
        <f t="shared" si="136"/>
        <v/>
      </c>
      <c r="O1310" s="1213"/>
      <c r="P1310" s="1302" t="str">
        <f>IFERROR(VLOOKUP(F1310,#REF!,12,FALSE),"")</f>
        <v/>
      </c>
      <c r="Q1310" s="1303" t="s">
        <v>8</v>
      </c>
      <c r="R1310" s="1304" t="str">
        <f>IFERROR(VLOOKUP(F1310,#REF!,14,FALSE),"")</f>
        <v/>
      </c>
      <c r="S1310" s="1217" t="str">
        <f t="shared" si="137"/>
        <v/>
      </c>
      <c r="U1310" s="1728"/>
      <c r="V1310" s="864">
        <f t="shared" si="135"/>
        <v>0</v>
      </c>
      <c r="W1310" s="1767"/>
      <c r="X1310" s="864"/>
    </row>
    <row r="1311" spans="2:24" x14ac:dyDescent="0.2">
      <c r="B1311" s="1667" t="s">
        <v>144</v>
      </c>
      <c r="C1311" s="1208">
        <v>44399</v>
      </c>
      <c r="D1311" s="864"/>
      <c r="E1311" s="1318"/>
      <c r="F1311" s="1503"/>
      <c r="G1311" s="1319"/>
      <c r="H1311" s="1210" t="str">
        <f>IFERROR(VLOOKUP(F1311,#REF!,10,FALSE),"")</f>
        <v/>
      </c>
      <c r="I1311" s="1211" t="str">
        <f t="shared" si="132"/>
        <v/>
      </c>
      <c r="J1311" s="1212"/>
      <c r="K1311" s="1741"/>
      <c r="L1311" s="1578"/>
      <c r="M1311" s="1602"/>
      <c r="N1311" s="1171" t="str">
        <f t="shared" si="136"/>
        <v/>
      </c>
      <c r="O1311" s="1213"/>
      <c r="P1311" s="1302" t="str">
        <f>IFERROR(VLOOKUP(F1311,#REF!,12,FALSE),"")</f>
        <v/>
      </c>
      <c r="Q1311" s="1303" t="s">
        <v>8</v>
      </c>
      <c r="R1311" s="1304" t="str">
        <f>IFERROR(VLOOKUP(F1311,#REF!,14,FALSE),"")</f>
        <v/>
      </c>
      <c r="S1311" s="1217" t="str">
        <f t="shared" si="137"/>
        <v/>
      </c>
      <c r="U1311" s="1728"/>
      <c r="V1311" s="864">
        <f t="shared" si="135"/>
        <v>0</v>
      </c>
      <c r="W1311" s="1767"/>
      <c r="X1311" s="864"/>
    </row>
    <row r="1312" spans="2:24" ht="16" thickBot="1" x14ac:dyDescent="0.25">
      <c r="B1312" s="1668" t="e">
        <f>SUM(#REF!)</f>
        <v>#REF!</v>
      </c>
      <c r="C1312" s="1208">
        <v>44400</v>
      </c>
      <c r="D1312" s="864"/>
      <c r="E1312" s="1318"/>
      <c r="F1312" s="1503"/>
      <c r="G1312" s="1319"/>
      <c r="H1312" s="1210" t="str">
        <f>IFERROR(VLOOKUP(F1312,#REF!,10,FALSE),"")</f>
        <v/>
      </c>
      <c r="I1312" s="1211" t="str">
        <f t="shared" si="132"/>
        <v/>
      </c>
      <c r="J1312" s="1212"/>
      <c r="K1312" s="1741"/>
      <c r="L1312" s="1578"/>
      <c r="M1312" s="1602"/>
      <c r="N1312" s="1171" t="str">
        <f t="shared" si="136"/>
        <v/>
      </c>
      <c r="O1312" s="1213"/>
      <c r="P1312" s="1302" t="str">
        <f>IFERROR(VLOOKUP(F1312,#REF!,12,FALSE),"")</f>
        <v/>
      </c>
      <c r="Q1312" s="1303" t="s">
        <v>8</v>
      </c>
      <c r="R1312" s="1304" t="str">
        <f>IFERROR(VLOOKUP(F1312,#REF!,14,FALSE),"")</f>
        <v/>
      </c>
      <c r="S1312" s="1217" t="str">
        <f t="shared" si="137"/>
        <v/>
      </c>
      <c r="U1312" s="1728"/>
      <c r="V1312" s="864">
        <f t="shared" si="135"/>
        <v>0</v>
      </c>
      <c r="W1312" s="1767"/>
      <c r="X1312" s="864"/>
    </row>
    <row r="1313" spans="2:24" x14ac:dyDescent="0.2">
      <c r="B1313" s="1669" t="s">
        <v>256</v>
      </c>
      <c r="C1313" s="1208">
        <v>44401</v>
      </c>
      <c r="D1313" s="864"/>
      <c r="E1313" s="1318"/>
      <c r="F1313" s="1503"/>
      <c r="G1313" s="1319"/>
      <c r="H1313" s="1210" t="str">
        <f>IFERROR(VLOOKUP(F1313,#REF!,10,FALSE),"")</f>
        <v/>
      </c>
      <c r="I1313" s="1211" t="str">
        <f t="shared" si="132"/>
        <v/>
      </c>
      <c r="J1313" s="1212"/>
      <c r="K1313" s="1741"/>
      <c r="L1313" s="1578"/>
      <c r="M1313" s="1602"/>
      <c r="N1313" s="1171" t="str">
        <f t="shared" si="136"/>
        <v/>
      </c>
      <c r="O1313" s="1213"/>
      <c r="P1313" s="1302" t="str">
        <f>IFERROR(VLOOKUP(F1313,#REF!,12,FALSE),"")</f>
        <v/>
      </c>
      <c r="Q1313" s="1303" t="s">
        <v>8</v>
      </c>
      <c r="R1313" s="1304" t="str">
        <f>IFERROR(VLOOKUP(F1313,#REF!,14,FALSE),"")</f>
        <v/>
      </c>
      <c r="S1313" s="1217" t="str">
        <f t="shared" si="137"/>
        <v/>
      </c>
      <c r="U1313" s="1728"/>
      <c r="V1313" s="864">
        <f t="shared" si="135"/>
        <v>0</v>
      </c>
      <c r="W1313" s="1767"/>
      <c r="X1313" s="864"/>
    </row>
    <row r="1314" spans="2:24" ht="16" thickBot="1" x14ac:dyDescent="0.25">
      <c r="B1314" s="1670" t="e">
        <f>AVERAGE(#REF!)</f>
        <v>#REF!</v>
      </c>
      <c r="C1314" s="544">
        <v>44402</v>
      </c>
      <c r="D1314" s="67"/>
      <c r="E1314" s="336"/>
      <c r="F1314" s="1429"/>
      <c r="G1314" s="1320"/>
      <c r="H1314" s="1231" t="str">
        <f>IFERROR(VLOOKUP(F1314,#REF!,10,FALSE),"")</f>
        <v/>
      </c>
      <c r="I1314" s="1232" t="str">
        <f t="shared" si="132"/>
        <v/>
      </c>
      <c r="J1314" s="256"/>
      <c r="K1314" s="1741"/>
      <c r="L1314" s="1580"/>
      <c r="M1314" s="1561"/>
      <c r="N1314" s="172" t="str">
        <f t="shared" si="136"/>
        <v/>
      </c>
      <c r="O1314" s="1233"/>
      <c r="P1314" s="447" t="str">
        <f>IFERROR(VLOOKUP(F1314,#REF!,12,FALSE),"")</f>
        <v/>
      </c>
      <c r="Q1314" s="1269" t="s">
        <v>8</v>
      </c>
      <c r="R1314" s="1235" t="str">
        <f>IFERROR(VLOOKUP(F1314,#REF!,14,FALSE),"")</f>
        <v/>
      </c>
      <c r="S1314" s="1236" t="str">
        <f t="shared" si="137"/>
        <v/>
      </c>
      <c r="U1314" s="1728"/>
      <c r="V1314" s="67">
        <f t="shared" si="135"/>
        <v>0</v>
      </c>
      <c r="W1314" s="1768"/>
      <c r="X1314" s="67"/>
    </row>
    <row r="1315" spans="2:24" ht="16" thickBot="1" x14ac:dyDescent="0.25">
      <c r="B1315" s="1661">
        <f>B1308+1</f>
        <v>30</v>
      </c>
      <c r="C1315" s="1237">
        <v>44403</v>
      </c>
      <c r="D1315" s="70">
        <v>80</v>
      </c>
      <c r="E1315" s="931" t="s">
        <v>293</v>
      </c>
      <c r="F1315" s="1505" t="s">
        <v>267</v>
      </c>
      <c r="G1315" s="1321">
        <v>1.9618055555555555E-2</v>
      </c>
      <c r="H1315" s="1239">
        <v>5.04</v>
      </c>
      <c r="I1315" s="1240">
        <f t="shared" si="132"/>
        <v>3.8924713403880071E-3</v>
      </c>
      <c r="J1315" s="265">
        <v>146</v>
      </c>
      <c r="K1315" s="1741"/>
      <c r="L1315" s="1581">
        <v>210</v>
      </c>
      <c r="M1315" s="265">
        <v>12</v>
      </c>
      <c r="N1315" s="77">
        <f t="shared" si="136"/>
        <v>1.0541044776119404</v>
      </c>
      <c r="O1315" s="1241" t="s">
        <v>339</v>
      </c>
      <c r="P1315" s="79" t="str">
        <f>IFERROR(VLOOKUP(F1315,#REF!,12,FALSE),"")</f>
        <v/>
      </c>
      <c r="Q1315" s="1242" t="s">
        <v>8</v>
      </c>
      <c r="R1315" s="1243" t="str">
        <f>IFERROR(VLOOKUP(F1315,#REF!,14,FALSE),"")</f>
        <v/>
      </c>
      <c r="S1315" s="1244">
        <f t="shared" si="137"/>
        <v>1.4383561643835616</v>
      </c>
      <c r="U1315" s="1728"/>
      <c r="V1315" s="70">
        <f t="shared" si="135"/>
        <v>0</v>
      </c>
      <c r="W1315" s="1766"/>
      <c r="X1315" s="70"/>
    </row>
    <row r="1316" spans="2:24" x14ac:dyDescent="0.2">
      <c r="B1316" s="1666" t="s">
        <v>142</v>
      </c>
      <c r="C1316" s="1208">
        <v>44404</v>
      </c>
      <c r="D1316" s="864"/>
      <c r="E1316" s="1318"/>
      <c r="F1316" s="1503"/>
      <c r="G1316" s="1319"/>
      <c r="H1316" s="1210" t="str">
        <f>IFERROR(VLOOKUP(F1316,#REF!,10,FALSE),"")</f>
        <v/>
      </c>
      <c r="I1316" s="1211" t="str">
        <f t="shared" si="132"/>
        <v/>
      </c>
      <c r="J1316" s="1212"/>
      <c r="K1316" s="1741"/>
      <c r="L1316" s="1578"/>
      <c r="M1316" s="1602"/>
      <c r="N1316" s="1171" t="str">
        <f t="shared" si="136"/>
        <v/>
      </c>
      <c r="O1316" s="1213"/>
      <c r="P1316" s="1214" t="str">
        <f>IFERROR(VLOOKUP(F1316,#REF!,12,FALSE),"")</f>
        <v/>
      </c>
      <c r="Q1316" s="1215" t="s">
        <v>8</v>
      </c>
      <c r="R1316" s="1216" t="str">
        <f>IFERROR(VLOOKUP(F1316,#REF!,14,FALSE),"")</f>
        <v/>
      </c>
      <c r="S1316" s="1217" t="str">
        <f t="shared" si="137"/>
        <v/>
      </c>
      <c r="U1316" s="1728"/>
      <c r="V1316" s="864">
        <f t="shared" si="135"/>
        <v>0</v>
      </c>
      <c r="W1316" s="1767"/>
      <c r="X1316" s="864"/>
    </row>
    <row r="1317" spans="2:24" ht="16" thickBot="1" x14ac:dyDescent="0.25">
      <c r="B1317" s="1654">
        <f>SUM(H1315:H1321)</f>
        <v>24.839999999999996</v>
      </c>
      <c r="C1317" s="1208">
        <v>44405</v>
      </c>
      <c r="D1317" s="864">
        <v>81</v>
      </c>
      <c r="E1317" s="1318" t="s">
        <v>293</v>
      </c>
      <c r="F1317" s="1503" t="s">
        <v>267</v>
      </c>
      <c r="G1317" s="1319">
        <v>2.4247685185185181E-2</v>
      </c>
      <c r="H1317" s="1210">
        <v>6.25</v>
      </c>
      <c r="I1317" s="1211">
        <f t="shared" si="132"/>
        <v>3.8796296296296291E-3</v>
      </c>
      <c r="J1317" s="1212">
        <v>146</v>
      </c>
      <c r="K1317" s="1741"/>
      <c r="L1317" s="1578">
        <v>212</v>
      </c>
      <c r="M1317" s="1602">
        <v>12</v>
      </c>
      <c r="N1317" s="1171">
        <f t="shared" si="136"/>
        <v>1.0606328358208954</v>
      </c>
      <c r="O1317" s="1213" t="s">
        <v>311</v>
      </c>
      <c r="P1317" s="1214" t="str">
        <f>IFERROR(VLOOKUP(F1317,#REF!,12,FALSE),"")</f>
        <v/>
      </c>
      <c r="Q1317" s="1215" t="s">
        <v>8</v>
      </c>
      <c r="R1317" s="1216" t="str">
        <f>IFERROR(VLOOKUP(F1317,#REF!,14,FALSE),"")</f>
        <v/>
      </c>
      <c r="S1317" s="1217">
        <f t="shared" si="137"/>
        <v>1.452054794520548</v>
      </c>
      <c r="U1317" s="1728"/>
      <c r="V1317" s="864">
        <f t="shared" si="135"/>
        <v>0</v>
      </c>
      <c r="W1317" s="1767"/>
      <c r="X1317" s="864"/>
    </row>
    <row r="1318" spans="2:24" x14ac:dyDescent="0.2">
      <c r="B1318" s="1667" t="s">
        <v>144</v>
      </c>
      <c r="C1318" s="1208">
        <v>44406</v>
      </c>
      <c r="D1318" s="864"/>
      <c r="E1318" s="1318"/>
      <c r="F1318" s="1503"/>
      <c r="G1318" s="1319"/>
      <c r="H1318" s="1210" t="str">
        <f>IFERROR(VLOOKUP(F1318,#REF!,10,FALSE),"")</f>
        <v/>
      </c>
      <c r="I1318" s="1211" t="str">
        <f t="shared" ref="I1318:I1381" si="138">IFERROR(G1318/H1318,"")</f>
        <v/>
      </c>
      <c r="J1318" s="1212"/>
      <c r="K1318" s="1741"/>
      <c r="L1318" s="1578"/>
      <c r="M1318" s="1602"/>
      <c r="N1318" s="1171" t="str">
        <f t="shared" si="136"/>
        <v/>
      </c>
      <c r="O1318" s="1213"/>
      <c r="P1318" s="1214" t="str">
        <f>IFERROR(VLOOKUP(F1318,#REF!,12,FALSE),"")</f>
        <v/>
      </c>
      <c r="Q1318" s="1215" t="s">
        <v>8</v>
      </c>
      <c r="R1318" s="1216" t="str">
        <f>IFERROR(VLOOKUP(F1318,#REF!,14,FALSE),"")</f>
        <v/>
      </c>
      <c r="S1318" s="1217" t="str">
        <f t="shared" si="137"/>
        <v/>
      </c>
      <c r="U1318" s="1728"/>
      <c r="V1318" s="864">
        <f t="shared" si="135"/>
        <v>0</v>
      </c>
      <c r="W1318" s="1767"/>
      <c r="X1318" s="864"/>
    </row>
    <row r="1319" spans="2:24" ht="16" thickBot="1" x14ac:dyDescent="0.25">
      <c r="B1319" s="1668" t="e">
        <f>SUM(#REF!)</f>
        <v>#REF!</v>
      </c>
      <c r="C1319" s="1208">
        <v>44407</v>
      </c>
      <c r="D1319" s="864">
        <v>82</v>
      </c>
      <c r="E1319" s="1318" t="s">
        <v>292</v>
      </c>
      <c r="F1319" s="1503" t="s">
        <v>267</v>
      </c>
      <c r="G1319" s="1319">
        <v>2.763888888888889E-2</v>
      </c>
      <c r="H1319" s="1210">
        <v>6.95</v>
      </c>
      <c r="I1319" s="1211">
        <f t="shared" si="138"/>
        <v>3.9768185451638689E-3</v>
      </c>
      <c r="J1319" s="1212">
        <v>136</v>
      </c>
      <c r="K1319" s="1741"/>
      <c r="L1319" s="1578">
        <v>204</v>
      </c>
      <c r="M1319" s="1602">
        <v>20</v>
      </c>
      <c r="N1319" s="1171">
        <f t="shared" si="136"/>
        <v>1.0461763126811983</v>
      </c>
      <c r="O1319" s="1213" t="s">
        <v>311</v>
      </c>
      <c r="P1319" s="1214" t="str">
        <f>IFERROR(VLOOKUP(F1319,#REF!,12,FALSE),"")</f>
        <v/>
      </c>
      <c r="Q1319" s="1215" t="s">
        <v>8</v>
      </c>
      <c r="R1319" s="1216" t="str">
        <f>IFERROR(VLOOKUP(F1319,#REF!,14,FALSE),"")</f>
        <v/>
      </c>
      <c r="S1319" s="1217">
        <f t="shared" si="137"/>
        <v>1.5</v>
      </c>
      <c r="U1319" s="1728"/>
      <c r="V1319" s="864">
        <f t="shared" si="135"/>
        <v>0</v>
      </c>
      <c r="W1319" s="1767"/>
      <c r="X1319" s="864"/>
    </row>
    <row r="1320" spans="2:24" x14ac:dyDescent="0.2">
      <c r="B1320" s="1669" t="s">
        <v>256</v>
      </c>
      <c r="C1320" s="1208">
        <v>44408</v>
      </c>
      <c r="D1320" s="864"/>
      <c r="E1320" s="1322"/>
      <c r="F1320" s="1503"/>
      <c r="G1320" s="1323"/>
      <c r="H1320" s="1210" t="str">
        <f>IFERROR(VLOOKUP(F1320,#REF!,10,FALSE),"")</f>
        <v/>
      </c>
      <c r="I1320" s="1211" t="str">
        <f t="shared" si="138"/>
        <v/>
      </c>
      <c r="J1320" s="1212"/>
      <c r="K1320" s="1741"/>
      <c r="L1320" s="1578"/>
      <c r="M1320" s="1602"/>
      <c r="N1320" s="1171" t="str">
        <f t="shared" si="136"/>
        <v/>
      </c>
      <c r="O1320" s="1213"/>
      <c r="P1320" s="1214" t="str">
        <f>IFERROR(VLOOKUP(F1320,#REF!,12,FALSE),"")</f>
        <v/>
      </c>
      <c r="Q1320" s="1215" t="s">
        <v>8</v>
      </c>
      <c r="R1320" s="1216" t="str">
        <f>IFERROR(VLOOKUP(F1320,#REF!,14,FALSE),"")</f>
        <v/>
      </c>
      <c r="S1320" s="1217" t="str">
        <f t="shared" si="137"/>
        <v/>
      </c>
      <c r="U1320" s="1728"/>
      <c r="V1320" s="864">
        <f t="shared" si="135"/>
        <v>0</v>
      </c>
      <c r="W1320" s="1767"/>
      <c r="X1320" s="864"/>
    </row>
    <row r="1321" spans="2:24" ht="16" thickBot="1" x14ac:dyDescent="0.25">
      <c r="B1321" s="1670" t="e">
        <f>AVERAGE(#REF!)</f>
        <v>#REF!</v>
      </c>
      <c r="C1321" s="1305">
        <v>44409</v>
      </c>
      <c r="D1321" s="1306">
        <v>83</v>
      </c>
      <c r="E1321" s="1046" t="s">
        <v>293</v>
      </c>
      <c r="F1321" s="1429" t="s">
        <v>268</v>
      </c>
      <c r="G1321" s="1307">
        <v>2.7013888888888889E-2</v>
      </c>
      <c r="H1321" s="1308">
        <v>6.6</v>
      </c>
      <c r="I1321" s="1309">
        <f t="shared" si="138"/>
        <v>4.0930134680134686E-3</v>
      </c>
      <c r="J1321" s="1310">
        <v>140</v>
      </c>
      <c r="K1321" s="1741"/>
      <c r="L1321" s="984">
        <v>200</v>
      </c>
      <c r="M1321" s="1603">
        <v>18</v>
      </c>
      <c r="N1321" s="1311">
        <f t="shared" si="136"/>
        <v>1.0556309362279515</v>
      </c>
      <c r="O1321" s="1312" t="s">
        <v>339</v>
      </c>
      <c r="P1321" s="1313" t="str">
        <f>IFERROR(VLOOKUP(F1321,#REF!,12,FALSE),"")</f>
        <v/>
      </c>
      <c r="Q1321" s="1314" t="s">
        <v>8</v>
      </c>
      <c r="R1321" s="1315" t="str">
        <f>IFERROR(VLOOKUP(F1321,#REF!,14,FALSE),"")</f>
        <v/>
      </c>
      <c r="S1321" s="1316">
        <f t="shared" si="137"/>
        <v>1.4285714285714286</v>
      </c>
      <c r="U1321" s="1728"/>
      <c r="V1321" s="1306">
        <f t="shared" si="135"/>
        <v>0</v>
      </c>
      <c r="W1321" s="1768"/>
      <c r="X1321" s="1306"/>
    </row>
    <row r="1322" spans="2:24" ht="16" thickBot="1" x14ac:dyDescent="0.25">
      <c r="B1322" s="1661">
        <f>B1315+1</f>
        <v>31</v>
      </c>
      <c r="C1322" s="1199">
        <v>44410</v>
      </c>
      <c r="D1322" s="1108"/>
      <c r="E1322" s="915"/>
      <c r="F1322" s="1505"/>
      <c r="G1322" s="1317"/>
      <c r="H1322" s="1201" t="str">
        <f>IFERROR(VLOOKUP(F1322,#REF!,10,FALSE),"")</f>
        <v/>
      </c>
      <c r="I1322" s="1202" t="str">
        <f t="shared" si="138"/>
        <v/>
      </c>
      <c r="J1322" s="1203"/>
      <c r="K1322" s="1741"/>
      <c r="L1322" s="1577"/>
      <c r="M1322" s="1374"/>
      <c r="N1322" s="1111" t="str">
        <f t="shared" si="136"/>
        <v/>
      </c>
      <c r="O1322" s="1204"/>
      <c r="P1322" s="1113" t="str">
        <f>IFERROR(VLOOKUP(F1322,#REF!,12,FALSE),"")</f>
        <v/>
      </c>
      <c r="Q1322" s="1254" t="s">
        <v>8</v>
      </c>
      <c r="R1322" s="1255" t="str">
        <f>IFERROR(VLOOKUP(F1322,#REF!,14,FALSE),"")</f>
        <v/>
      </c>
      <c r="S1322" s="1207" t="str">
        <f t="shared" si="137"/>
        <v/>
      </c>
      <c r="U1322" s="1728"/>
      <c r="V1322" s="1108">
        <f t="shared" si="135"/>
        <v>0</v>
      </c>
      <c r="W1322" s="1766"/>
      <c r="X1322" s="1108"/>
    </row>
    <row r="1323" spans="2:24" x14ac:dyDescent="0.2">
      <c r="B1323" s="1666" t="s">
        <v>142</v>
      </c>
      <c r="C1323" s="1208">
        <v>44411</v>
      </c>
      <c r="D1323" s="864"/>
      <c r="E1323" s="1322"/>
      <c r="F1323" s="1503"/>
      <c r="G1323" s="1323"/>
      <c r="H1323" s="1210" t="str">
        <f>IFERROR(VLOOKUP(F1323,#REF!,10,FALSE),"")</f>
        <v/>
      </c>
      <c r="I1323" s="1211" t="str">
        <f t="shared" si="138"/>
        <v/>
      </c>
      <c r="J1323" s="1212"/>
      <c r="K1323" s="1741"/>
      <c r="L1323" s="1578"/>
      <c r="M1323" s="1602"/>
      <c r="N1323" s="1171" t="str">
        <f t="shared" si="136"/>
        <v/>
      </c>
      <c r="O1323" s="1213"/>
      <c r="P1323" s="1302" t="str">
        <f>IFERROR(VLOOKUP(F1323,#REF!,12,FALSE),"")</f>
        <v/>
      </c>
      <c r="Q1323" s="1303" t="s">
        <v>8</v>
      </c>
      <c r="R1323" s="1304" t="str">
        <f>IFERROR(VLOOKUP(F1323,#REF!,14,FALSE),"")</f>
        <v/>
      </c>
      <c r="S1323" s="1217" t="str">
        <f t="shared" si="137"/>
        <v/>
      </c>
      <c r="U1323" s="1728"/>
      <c r="V1323" s="864">
        <f t="shared" si="135"/>
        <v>0</v>
      </c>
      <c r="W1323" s="1767"/>
      <c r="X1323" s="864"/>
    </row>
    <row r="1324" spans="2:24" ht="16" thickBot="1" x14ac:dyDescent="0.25">
      <c r="B1324" s="1654">
        <f>SUM(H1322:H1328)</f>
        <v>21.36</v>
      </c>
      <c r="C1324" s="1208">
        <v>44412</v>
      </c>
      <c r="D1324" s="864">
        <v>84</v>
      </c>
      <c r="E1324" s="1322" t="s">
        <v>293</v>
      </c>
      <c r="F1324" s="1503" t="s">
        <v>268</v>
      </c>
      <c r="G1324" s="1323">
        <v>2.7685185185185188E-2</v>
      </c>
      <c r="H1324" s="1210">
        <v>6.96</v>
      </c>
      <c r="I1324" s="1211">
        <f t="shared" si="138"/>
        <v>3.977756492124309E-3</v>
      </c>
      <c r="J1324" s="1212">
        <v>144</v>
      </c>
      <c r="K1324" s="1741"/>
      <c r="L1324" s="1578">
        <v>206</v>
      </c>
      <c r="M1324" s="1602">
        <v>21</v>
      </c>
      <c r="N1324" s="1171">
        <f t="shared" si="136"/>
        <v>1.0566821067078402</v>
      </c>
      <c r="O1324" s="1213" t="s">
        <v>311</v>
      </c>
      <c r="P1324" s="1302" t="str">
        <f>IFERROR(VLOOKUP(F1324,#REF!,12,FALSE),"")</f>
        <v/>
      </c>
      <c r="Q1324" s="1303" t="s">
        <v>8</v>
      </c>
      <c r="R1324" s="1304" t="str">
        <f>IFERROR(VLOOKUP(F1324,#REF!,14,FALSE),"")</f>
        <v/>
      </c>
      <c r="S1324" s="1217">
        <f t="shared" si="137"/>
        <v>1.4305555555555556</v>
      </c>
      <c r="U1324" s="1728"/>
      <c r="V1324" s="864">
        <f t="shared" si="135"/>
        <v>0</v>
      </c>
      <c r="W1324" s="1767"/>
      <c r="X1324" s="864"/>
    </row>
    <row r="1325" spans="2:24" x14ac:dyDescent="0.2">
      <c r="B1325" s="1667" t="s">
        <v>144</v>
      </c>
      <c r="C1325" s="1208">
        <v>44413</v>
      </c>
      <c r="D1325" s="864"/>
      <c r="E1325" s="1322"/>
      <c r="F1325" s="1503"/>
      <c r="G1325" s="1323"/>
      <c r="H1325" s="1210" t="str">
        <f>IFERROR(VLOOKUP(F1325,#REF!,10,FALSE),"")</f>
        <v/>
      </c>
      <c r="I1325" s="1211" t="str">
        <f t="shared" si="138"/>
        <v/>
      </c>
      <c r="J1325" s="1212"/>
      <c r="K1325" s="1741"/>
      <c r="L1325" s="1578"/>
      <c r="M1325" s="1602"/>
      <c r="N1325" s="1171" t="str">
        <f t="shared" si="136"/>
        <v/>
      </c>
      <c r="O1325" s="1213"/>
      <c r="P1325" s="1302" t="str">
        <f>IFERROR(VLOOKUP(F1325,#REF!,12,FALSE),"")</f>
        <v/>
      </c>
      <c r="Q1325" s="1303" t="s">
        <v>8</v>
      </c>
      <c r="R1325" s="1304" t="str">
        <f>IFERROR(VLOOKUP(F1325,#REF!,14,FALSE),"")</f>
        <v/>
      </c>
      <c r="S1325" s="1217" t="str">
        <f t="shared" si="137"/>
        <v/>
      </c>
      <c r="U1325" s="1728"/>
      <c r="V1325" s="864">
        <f t="shared" si="135"/>
        <v>0</v>
      </c>
      <c r="W1325" s="1767"/>
      <c r="X1325" s="864"/>
    </row>
    <row r="1326" spans="2:24" ht="16" thickBot="1" x14ac:dyDescent="0.25">
      <c r="B1326" s="1668" t="e">
        <f>SUM(#REF!)</f>
        <v>#REF!</v>
      </c>
      <c r="C1326" s="1208">
        <v>44414</v>
      </c>
      <c r="D1326" s="864">
        <v>85</v>
      </c>
      <c r="E1326" s="1322" t="s">
        <v>293</v>
      </c>
      <c r="F1326" s="1503" t="s">
        <v>322</v>
      </c>
      <c r="G1326" s="1323">
        <v>2.8692129629629633E-2</v>
      </c>
      <c r="H1326" s="1210">
        <v>7.84</v>
      </c>
      <c r="I1326" s="1211">
        <f t="shared" si="138"/>
        <v>3.6597104119425552E-3</v>
      </c>
      <c r="J1326" s="1212">
        <v>150</v>
      </c>
      <c r="K1326" s="1741"/>
      <c r="L1326" s="1578">
        <v>221</v>
      </c>
      <c r="M1326" s="1602">
        <v>15</v>
      </c>
      <c r="N1326" s="1171">
        <f t="shared" si="136"/>
        <v>1.0429846938775513</v>
      </c>
      <c r="O1326" s="1213" t="s">
        <v>311</v>
      </c>
      <c r="P1326" s="1302" t="str">
        <f>IFERROR(VLOOKUP(F1326,#REF!,12,FALSE),"")</f>
        <v/>
      </c>
      <c r="Q1326" s="1303" t="s">
        <v>8</v>
      </c>
      <c r="R1326" s="1304" t="str">
        <f>IFERROR(VLOOKUP(F1326,#REF!,14,FALSE),"")</f>
        <v/>
      </c>
      <c r="S1326" s="1217">
        <f t="shared" si="137"/>
        <v>1.4733333333333334</v>
      </c>
      <c r="U1326" s="1728"/>
      <c r="V1326" s="864">
        <f t="shared" si="135"/>
        <v>0</v>
      </c>
      <c r="W1326" s="1767"/>
      <c r="X1326" s="864"/>
    </row>
    <row r="1327" spans="2:24" x14ac:dyDescent="0.2">
      <c r="B1327" s="1669" t="s">
        <v>256</v>
      </c>
      <c r="C1327" s="1208">
        <v>44415</v>
      </c>
      <c r="D1327" s="864"/>
      <c r="E1327" s="1322"/>
      <c r="F1327" s="1503"/>
      <c r="G1327" s="1323"/>
      <c r="H1327" s="1210" t="str">
        <f>IFERROR(VLOOKUP(F1327,#REF!,10,FALSE),"")</f>
        <v/>
      </c>
      <c r="I1327" s="1211" t="str">
        <f t="shared" si="138"/>
        <v/>
      </c>
      <c r="J1327" s="1212"/>
      <c r="K1327" s="1741"/>
      <c r="L1327" s="1578"/>
      <c r="M1327" s="1602"/>
      <c r="N1327" s="1171" t="str">
        <f t="shared" si="136"/>
        <v/>
      </c>
      <c r="O1327" s="1213"/>
      <c r="P1327" s="1302" t="str">
        <f>IFERROR(VLOOKUP(F1327,#REF!,12,FALSE),"")</f>
        <v/>
      </c>
      <c r="Q1327" s="1303" t="s">
        <v>8</v>
      </c>
      <c r="R1327" s="1304" t="str">
        <f>IFERROR(VLOOKUP(F1327,#REF!,14,FALSE),"")</f>
        <v/>
      </c>
      <c r="S1327" s="1217" t="str">
        <f t="shared" si="137"/>
        <v/>
      </c>
      <c r="U1327" s="1728"/>
      <c r="V1327" s="864">
        <f t="shared" si="135"/>
        <v>0</v>
      </c>
      <c r="W1327" s="1767"/>
      <c r="X1327" s="864"/>
    </row>
    <row r="1328" spans="2:24" ht="16" thickBot="1" x14ac:dyDescent="0.25">
      <c r="B1328" s="1671" t="e">
        <f>AVERAGE(#REF!)</f>
        <v>#REF!</v>
      </c>
      <c r="C1328" s="544">
        <v>44416</v>
      </c>
      <c r="D1328" s="67">
        <v>86</v>
      </c>
      <c r="E1328" s="336" t="s">
        <v>292</v>
      </c>
      <c r="F1328" s="1429" t="s">
        <v>322</v>
      </c>
      <c r="G1328" s="1320">
        <v>2.6863425925925926E-2</v>
      </c>
      <c r="H1328" s="1231">
        <v>6.56</v>
      </c>
      <c r="I1328" s="1232">
        <f t="shared" si="138"/>
        <v>4.0950344399277331E-3</v>
      </c>
      <c r="J1328" s="256">
        <v>144</v>
      </c>
      <c r="K1328" s="1741"/>
      <c r="L1328" s="1580">
        <v>199</v>
      </c>
      <c r="M1328" s="1561">
        <v>15</v>
      </c>
      <c r="N1328" s="172">
        <f t="shared" si="136"/>
        <v>1.0508714051692756</v>
      </c>
      <c r="O1328" s="1233" t="s">
        <v>339</v>
      </c>
      <c r="P1328" s="447" t="str">
        <f>IFERROR(VLOOKUP(F1328,#REF!,12,FALSE),"")</f>
        <v/>
      </c>
      <c r="Q1328" s="1269" t="s">
        <v>8</v>
      </c>
      <c r="R1328" s="1235" t="str">
        <f>IFERROR(VLOOKUP(F1328,#REF!,14,FALSE),"")</f>
        <v/>
      </c>
      <c r="S1328" s="1236">
        <f t="shared" si="137"/>
        <v>1.3819444444444444</v>
      </c>
      <c r="U1328" s="1728"/>
      <c r="V1328" s="67">
        <f t="shared" si="135"/>
        <v>0</v>
      </c>
      <c r="W1328" s="1768"/>
      <c r="X1328" s="67"/>
    </row>
    <row r="1329" spans="2:24" ht="16" thickBot="1" x14ac:dyDescent="0.25">
      <c r="B1329" s="1661">
        <f>B1322+1</f>
        <v>32</v>
      </c>
      <c r="C1329" s="1237">
        <v>44417</v>
      </c>
      <c r="D1329" s="70"/>
      <c r="E1329" s="931"/>
      <c r="F1329" s="1546"/>
      <c r="G1329" s="1321"/>
      <c r="H1329" s="1239" t="str">
        <f>IFERROR(VLOOKUP(F1329,#REF!,10,FALSE),"")</f>
        <v/>
      </c>
      <c r="I1329" s="1240" t="str">
        <f t="shared" si="138"/>
        <v/>
      </c>
      <c r="J1329" s="265"/>
      <c r="K1329" s="1741"/>
      <c r="L1329" s="1581"/>
      <c r="M1329" s="265"/>
      <c r="N1329" s="77" t="str">
        <f t="shared" si="136"/>
        <v/>
      </c>
      <c r="O1329" s="1241"/>
      <c r="P1329" s="79" t="str">
        <f>IFERROR(VLOOKUP(F1329,#REF!,12,FALSE),"")</f>
        <v/>
      </c>
      <c r="Q1329" s="1242" t="s">
        <v>8</v>
      </c>
      <c r="R1329" s="1243" t="str">
        <f>IFERROR(VLOOKUP(F1329,#REF!,14,FALSE),"")</f>
        <v/>
      </c>
      <c r="S1329" s="1244" t="str">
        <f t="shared" si="137"/>
        <v/>
      </c>
      <c r="U1329" s="1728"/>
      <c r="V1329" s="70">
        <f t="shared" si="135"/>
        <v>0</v>
      </c>
      <c r="W1329" s="1766"/>
      <c r="X1329" s="70"/>
    </row>
    <row r="1330" spans="2:24" x14ac:dyDescent="0.2">
      <c r="B1330" s="1666" t="s">
        <v>142</v>
      </c>
      <c r="C1330" s="1208">
        <v>44418</v>
      </c>
      <c r="D1330" s="864">
        <v>87</v>
      </c>
      <c r="E1330" s="1322" t="s">
        <v>293</v>
      </c>
      <c r="F1330" s="1547" t="s">
        <v>279</v>
      </c>
      <c r="G1330" s="1323">
        <v>3.9768518518518516E-2</v>
      </c>
      <c r="H1330" s="1210">
        <v>10.1</v>
      </c>
      <c r="I1330" s="1211">
        <f t="shared" si="138"/>
        <v>3.9374770810414374E-3</v>
      </c>
      <c r="J1330" s="1212">
        <v>154</v>
      </c>
      <c r="K1330" s="1741"/>
      <c r="L1330" s="1578">
        <v>209</v>
      </c>
      <c r="M1330" s="1602">
        <v>26</v>
      </c>
      <c r="N1330" s="1171">
        <f t="shared" si="136"/>
        <v>1.0612147184867742</v>
      </c>
      <c r="O1330" s="1213" t="s">
        <v>311</v>
      </c>
      <c r="P1330" s="1214" t="str">
        <f>IFERROR(VLOOKUP(F1330,#REF!,12,FALSE),"")</f>
        <v/>
      </c>
      <c r="Q1330" s="1215" t="s">
        <v>8</v>
      </c>
      <c r="R1330" s="1216" t="str">
        <f>IFERROR(VLOOKUP(F1330,#REF!,14,FALSE),"")</f>
        <v/>
      </c>
      <c r="S1330" s="1217">
        <f t="shared" si="137"/>
        <v>1.3571428571428572</v>
      </c>
      <c r="U1330" s="1728"/>
      <c r="V1330" s="864">
        <f t="shared" si="135"/>
        <v>0</v>
      </c>
      <c r="W1330" s="1767"/>
      <c r="X1330" s="864"/>
    </row>
    <row r="1331" spans="2:24" ht="16" thickBot="1" x14ac:dyDescent="0.25">
      <c r="B1331" s="1654">
        <f>SUM(H1329:H1335)</f>
        <v>27.39</v>
      </c>
      <c r="C1331" s="1208">
        <v>44419</v>
      </c>
      <c r="D1331" s="864"/>
      <c r="E1331" s="1322"/>
      <c r="F1331" s="1547"/>
      <c r="G1331" s="1323"/>
      <c r="H1331" s="1210" t="str">
        <f>IFERROR(VLOOKUP(F1331,#REF!,10,FALSE),"")</f>
        <v/>
      </c>
      <c r="I1331" s="1211" t="str">
        <f t="shared" si="138"/>
        <v/>
      </c>
      <c r="J1331" s="1212"/>
      <c r="K1331" s="1741"/>
      <c r="L1331" s="1578"/>
      <c r="M1331" s="1602"/>
      <c r="N1331" s="1171" t="str">
        <f t="shared" si="136"/>
        <v/>
      </c>
      <c r="O1331" s="1213"/>
      <c r="P1331" s="1214" t="str">
        <f>IFERROR(VLOOKUP(F1331,#REF!,12,FALSE),"")</f>
        <v/>
      </c>
      <c r="Q1331" s="1215" t="s">
        <v>8</v>
      </c>
      <c r="R1331" s="1216" t="str">
        <f>IFERROR(VLOOKUP(F1331,#REF!,14,FALSE),"")</f>
        <v/>
      </c>
      <c r="S1331" s="1217" t="str">
        <f t="shared" si="137"/>
        <v/>
      </c>
      <c r="U1331" s="1728"/>
      <c r="V1331" s="864">
        <f t="shared" si="135"/>
        <v>0</v>
      </c>
      <c r="W1331" s="1767"/>
      <c r="X1331" s="864"/>
    </row>
    <row r="1332" spans="2:24" x14ac:dyDescent="0.2">
      <c r="B1332" s="1667" t="s">
        <v>144</v>
      </c>
      <c r="C1332" s="1208">
        <v>44420</v>
      </c>
      <c r="D1332" s="864"/>
      <c r="E1332" s="1322"/>
      <c r="F1332" s="1547"/>
      <c r="G1332" s="1323"/>
      <c r="H1332" s="1210" t="str">
        <f>IFERROR(VLOOKUP(F1332,#REF!,10,FALSE),"")</f>
        <v/>
      </c>
      <c r="I1332" s="1211" t="str">
        <f t="shared" si="138"/>
        <v/>
      </c>
      <c r="J1332" s="1212"/>
      <c r="K1332" s="1741"/>
      <c r="L1332" s="1578"/>
      <c r="M1332" s="1602"/>
      <c r="N1332" s="1171" t="str">
        <f t="shared" si="136"/>
        <v/>
      </c>
      <c r="O1332" s="1213"/>
      <c r="P1332" s="1214" t="str">
        <f>IFERROR(VLOOKUP(F1332,#REF!,12,FALSE),"")</f>
        <v/>
      </c>
      <c r="Q1332" s="1215" t="s">
        <v>8</v>
      </c>
      <c r="R1332" s="1216" t="str">
        <f>IFERROR(VLOOKUP(F1332,#REF!,14,FALSE),"")</f>
        <v/>
      </c>
      <c r="S1332" s="1217" t="str">
        <f t="shared" si="137"/>
        <v/>
      </c>
      <c r="U1332" s="1728"/>
      <c r="V1332" s="864">
        <f t="shared" si="135"/>
        <v>0</v>
      </c>
      <c r="W1332" s="1767"/>
      <c r="X1332" s="864"/>
    </row>
    <row r="1333" spans="2:24" ht="16" thickBot="1" x14ac:dyDescent="0.25">
      <c r="B1333" s="1668" t="e">
        <f>SUM(#REF!)</f>
        <v>#REF!</v>
      </c>
      <c r="C1333" s="1208">
        <v>44421</v>
      </c>
      <c r="D1333" s="864">
        <v>88</v>
      </c>
      <c r="E1333" s="1322" t="s">
        <v>292</v>
      </c>
      <c r="F1333" s="1547" t="s">
        <v>322</v>
      </c>
      <c r="G1333" s="1323">
        <v>2.6400462962962962E-2</v>
      </c>
      <c r="H1333" s="1210">
        <v>6.49</v>
      </c>
      <c r="I1333" s="1211">
        <f t="shared" si="138"/>
        <v>4.0678679449865892E-3</v>
      </c>
      <c r="J1333" s="1212">
        <v>141</v>
      </c>
      <c r="K1333" s="1741"/>
      <c r="L1333" s="1578">
        <v>199</v>
      </c>
      <c r="M1333" s="1602">
        <v>18</v>
      </c>
      <c r="N1333" s="1171">
        <f t="shared" ref="N1333:N1362" si="139">IFERROR((L1333/67)/(1/(I1333*24)/3.6),"")</f>
        <v>1.0438999149092749</v>
      </c>
      <c r="O1333" s="1213" t="s">
        <v>311</v>
      </c>
      <c r="P1333" s="1214" t="str">
        <f>IFERROR(VLOOKUP(F1333,#REF!,12,FALSE),"")</f>
        <v/>
      </c>
      <c r="Q1333" s="1215" t="s">
        <v>8</v>
      </c>
      <c r="R1333" s="1216" t="str">
        <f>IFERROR(VLOOKUP(F1333,#REF!,14,FALSE),"")</f>
        <v/>
      </c>
      <c r="S1333" s="1217">
        <f t="shared" ref="S1333:S1362" si="140">IFERROR(L1333/J1333,"")</f>
        <v>1.4113475177304964</v>
      </c>
      <c r="U1333" s="1728"/>
      <c r="V1333" s="864">
        <f t="shared" si="135"/>
        <v>0</v>
      </c>
      <c r="W1333" s="1767"/>
      <c r="X1333" s="864"/>
    </row>
    <row r="1334" spans="2:24" x14ac:dyDescent="0.2">
      <c r="B1334" s="1669" t="s">
        <v>256</v>
      </c>
      <c r="C1334" s="1208">
        <v>44422</v>
      </c>
      <c r="D1334" s="864"/>
      <c r="E1334" s="1322"/>
      <c r="F1334" s="1547"/>
      <c r="G1334" s="1323"/>
      <c r="H1334" s="1210" t="str">
        <f>IFERROR(VLOOKUP(F1334,#REF!,10,FALSE),"")</f>
        <v/>
      </c>
      <c r="I1334" s="1211" t="str">
        <f t="shared" si="138"/>
        <v/>
      </c>
      <c r="J1334" s="1212"/>
      <c r="K1334" s="1741"/>
      <c r="L1334" s="1578"/>
      <c r="M1334" s="1602"/>
      <c r="N1334" s="1171" t="str">
        <f t="shared" si="139"/>
        <v/>
      </c>
      <c r="O1334" s="1213"/>
      <c r="P1334" s="1214" t="str">
        <f>IFERROR(VLOOKUP(F1334,#REF!,12,FALSE),"")</f>
        <v/>
      </c>
      <c r="Q1334" s="1215" t="s">
        <v>8</v>
      </c>
      <c r="R1334" s="1216" t="str">
        <f>IFERROR(VLOOKUP(F1334,#REF!,14,FALSE),"")</f>
        <v/>
      </c>
      <c r="S1334" s="1217" t="str">
        <f t="shared" si="140"/>
        <v/>
      </c>
      <c r="U1334" s="1728"/>
      <c r="V1334" s="864">
        <f t="shared" si="135"/>
        <v>0</v>
      </c>
      <c r="W1334" s="1767"/>
      <c r="X1334" s="864"/>
    </row>
    <row r="1335" spans="2:24" ht="16" thickBot="1" x14ac:dyDescent="0.25">
      <c r="B1335" s="1672" t="e">
        <f>AVERAGE(#REF!)</f>
        <v>#REF!</v>
      </c>
      <c r="C1335" s="1305">
        <v>44423</v>
      </c>
      <c r="D1335" s="1306">
        <v>89</v>
      </c>
      <c r="E1335" s="1046" t="s">
        <v>292</v>
      </c>
      <c r="F1335" s="1429" t="s">
        <v>279</v>
      </c>
      <c r="G1335" s="1307">
        <v>4.5312499999999999E-2</v>
      </c>
      <c r="H1335" s="1308">
        <v>10.8</v>
      </c>
      <c r="I1335" s="1309">
        <f t="shared" si="138"/>
        <v>4.1956018518518514E-3</v>
      </c>
      <c r="J1335" s="1310">
        <v>137</v>
      </c>
      <c r="K1335" s="1741"/>
      <c r="L1335" s="984">
        <v>194</v>
      </c>
      <c r="M1335" s="1603">
        <v>36</v>
      </c>
      <c r="N1335" s="1311">
        <f t="shared" si="139"/>
        <v>1.0496268656716417</v>
      </c>
      <c r="O1335" s="1312" t="s">
        <v>339</v>
      </c>
      <c r="P1335" s="1313" t="str">
        <f>IFERROR(VLOOKUP(F1335,#REF!,12,FALSE),"")</f>
        <v/>
      </c>
      <c r="Q1335" s="1314" t="s">
        <v>8</v>
      </c>
      <c r="R1335" s="1315" t="str">
        <f>IFERROR(VLOOKUP(F1335,#REF!,14,FALSE),"")</f>
        <v/>
      </c>
      <c r="S1335" s="1316">
        <f t="shared" si="140"/>
        <v>1.416058394160584</v>
      </c>
      <c r="U1335" s="1728"/>
      <c r="V1335" s="1306">
        <f t="shared" si="135"/>
        <v>0</v>
      </c>
      <c r="W1335" s="1768"/>
      <c r="X1335" s="1306"/>
    </row>
    <row r="1336" spans="2:24" ht="16" thickBot="1" x14ac:dyDescent="0.25">
      <c r="B1336" s="1661">
        <f>B1329+1</f>
        <v>33</v>
      </c>
      <c r="C1336" s="1199">
        <v>44424</v>
      </c>
      <c r="D1336" s="1108"/>
      <c r="E1336" s="915"/>
      <c r="F1336" s="1546"/>
      <c r="G1336" s="1317"/>
      <c r="H1336" s="1201" t="str">
        <f>IFERROR(VLOOKUP(F1336,#REF!,10,FALSE),"")</f>
        <v/>
      </c>
      <c r="I1336" s="1202" t="str">
        <f t="shared" si="138"/>
        <v/>
      </c>
      <c r="J1336" s="1203"/>
      <c r="K1336" s="1741"/>
      <c r="L1336" s="1577"/>
      <c r="M1336" s="1374"/>
      <c r="N1336" s="1111" t="str">
        <f t="shared" si="139"/>
        <v/>
      </c>
      <c r="O1336" s="1204"/>
      <c r="P1336" s="1113" t="str">
        <f>IFERROR(VLOOKUP(F1336,#REF!,12,FALSE),"")</f>
        <v/>
      </c>
      <c r="Q1336" s="1254" t="s">
        <v>8</v>
      </c>
      <c r="R1336" s="1255" t="str">
        <f>IFERROR(VLOOKUP(F1336,#REF!,14,FALSE),"")</f>
        <v/>
      </c>
      <c r="S1336" s="1207" t="str">
        <f t="shared" si="140"/>
        <v/>
      </c>
      <c r="U1336" s="1728"/>
      <c r="V1336" s="1108">
        <f t="shared" si="135"/>
        <v>0</v>
      </c>
      <c r="W1336" s="1766"/>
      <c r="X1336" s="1108"/>
    </row>
    <row r="1337" spans="2:24" x14ac:dyDescent="0.2">
      <c r="B1337" s="1666" t="s">
        <v>142</v>
      </c>
      <c r="C1337" s="1208">
        <v>44425</v>
      </c>
      <c r="D1337" s="864">
        <v>90</v>
      </c>
      <c r="E1337" s="1322" t="s">
        <v>293</v>
      </c>
      <c r="F1337" s="1547" t="s">
        <v>322</v>
      </c>
      <c r="G1337" s="1323">
        <v>2.8900462962962961E-2</v>
      </c>
      <c r="H1337" s="1210">
        <v>7.38</v>
      </c>
      <c r="I1337" s="1211">
        <f t="shared" si="138"/>
        <v>3.9160518920004009E-3</v>
      </c>
      <c r="J1337" s="1212">
        <v>139</v>
      </c>
      <c r="K1337" s="1741"/>
      <c r="L1337" s="1578">
        <v>209</v>
      </c>
      <c r="M1337" s="1602">
        <v>26</v>
      </c>
      <c r="N1337" s="1171">
        <f t="shared" si="139"/>
        <v>1.0554402782833796</v>
      </c>
      <c r="O1337" s="1213" t="s">
        <v>311</v>
      </c>
      <c r="P1337" s="1302" t="str">
        <f>IFERROR(VLOOKUP(F1337,#REF!,12,FALSE),"")</f>
        <v/>
      </c>
      <c r="Q1337" s="1303" t="s">
        <v>8</v>
      </c>
      <c r="R1337" s="1304" t="str">
        <f>IFERROR(VLOOKUP(F1337,#REF!,14,FALSE),"")</f>
        <v/>
      </c>
      <c r="S1337" s="1217">
        <f t="shared" si="140"/>
        <v>1.5035971223021583</v>
      </c>
      <c r="U1337" s="1728"/>
      <c r="V1337" s="864">
        <f t="shared" si="135"/>
        <v>0</v>
      </c>
      <c r="W1337" s="1767"/>
      <c r="X1337" s="864"/>
    </row>
    <row r="1338" spans="2:24" ht="16" thickBot="1" x14ac:dyDescent="0.25">
      <c r="B1338" s="1654">
        <f>SUM(H1336:H1342)</f>
        <v>23.16</v>
      </c>
      <c r="C1338" s="1208">
        <v>44426</v>
      </c>
      <c r="D1338" s="864"/>
      <c r="E1338" s="1322"/>
      <c r="F1338" s="1547"/>
      <c r="G1338" s="1323"/>
      <c r="H1338" s="1210" t="str">
        <f>IFERROR(VLOOKUP(F1338,#REF!,10,FALSE),"")</f>
        <v/>
      </c>
      <c r="I1338" s="1211" t="str">
        <f t="shared" si="138"/>
        <v/>
      </c>
      <c r="J1338" s="1212"/>
      <c r="K1338" s="1741"/>
      <c r="L1338" s="1578"/>
      <c r="M1338" s="1602"/>
      <c r="N1338" s="1171" t="str">
        <f t="shared" si="139"/>
        <v/>
      </c>
      <c r="O1338" s="1213"/>
      <c r="P1338" s="1302" t="str">
        <f>IFERROR(VLOOKUP(F1338,#REF!,12,FALSE),"")</f>
        <v/>
      </c>
      <c r="Q1338" s="1303" t="s">
        <v>8</v>
      </c>
      <c r="R1338" s="1304" t="str">
        <f>IFERROR(VLOOKUP(F1338,#REF!,14,FALSE),"")</f>
        <v/>
      </c>
      <c r="S1338" s="1217" t="str">
        <f t="shared" si="140"/>
        <v/>
      </c>
      <c r="U1338" s="1728"/>
      <c r="V1338" s="864">
        <f t="shared" ref="V1338:V1401" si="141">U1337-T1337</f>
        <v>0</v>
      </c>
      <c r="W1338" s="1767"/>
      <c r="X1338" s="864"/>
    </row>
    <row r="1339" spans="2:24" x14ac:dyDescent="0.2">
      <c r="B1339" s="1667" t="s">
        <v>144</v>
      </c>
      <c r="C1339" s="1208">
        <v>44427</v>
      </c>
      <c r="D1339" s="864">
        <v>91</v>
      </c>
      <c r="E1339" s="1322" t="s">
        <v>293</v>
      </c>
      <c r="F1339" s="1547" t="s">
        <v>322</v>
      </c>
      <c r="G1339" s="1323">
        <v>2.6990740740740742E-2</v>
      </c>
      <c r="H1339" s="1210">
        <v>7.13</v>
      </c>
      <c r="I1339" s="1211">
        <f t="shared" si="138"/>
        <v>3.7855176354475097E-3</v>
      </c>
      <c r="J1339" s="1212">
        <v>143</v>
      </c>
      <c r="K1339" s="1741"/>
      <c r="L1339" s="1578">
        <v>215</v>
      </c>
      <c r="M1339" s="1602">
        <v>17</v>
      </c>
      <c r="N1339" s="1171">
        <f t="shared" si="139"/>
        <v>1.049548889493626</v>
      </c>
      <c r="O1339" s="1213" t="s">
        <v>339</v>
      </c>
      <c r="P1339" s="1302" t="str">
        <f>IFERROR(VLOOKUP(F1339,#REF!,12,FALSE),"")</f>
        <v/>
      </c>
      <c r="Q1339" s="1303" t="s">
        <v>8</v>
      </c>
      <c r="R1339" s="1304" t="str">
        <f>IFERROR(VLOOKUP(F1339,#REF!,14,FALSE),"")</f>
        <v/>
      </c>
      <c r="S1339" s="1217">
        <f t="shared" si="140"/>
        <v>1.5034965034965035</v>
      </c>
      <c r="U1339" s="1728"/>
      <c r="V1339" s="864">
        <f t="shared" si="141"/>
        <v>0</v>
      </c>
      <c r="W1339" s="1767"/>
      <c r="X1339" s="864"/>
    </row>
    <row r="1340" spans="2:24" ht="16" thickBot="1" x14ac:dyDescent="0.25">
      <c r="B1340" s="1668" t="e">
        <f>SUM(#REF!)</f>
        <v>#REF!</v>
      </c>
      <c r="C1340" s="1208">
        <v>44428</v>
      </c>
      <c r="D1340" s="864"/>
      <c r="E1340" s="1322"/>
      <c r="F1340" s="1547"/>
      <c r="G1340" s="1323"/>
      <c r="H1340" s="1210" t="str">
        <f>IFERROR(VLOOKUP(F1340,#REF!,10,FALSE),"")</f>
        <v/>
      </c>
      <c r="I1340" s="1211" t="str">
        <f t="shared" si="138"/>
        <v/>
      </c>
      <c r="J1340" s="1212"/>
      <c r="K1340" s="1741"/>
      <c r="L1340" s="1578"/>
      <c r="M1340" s="1602"/>
      <c r="N1340" s="1171" t="str">
        <f t="shared" si="139"/>
        <v/>
      </c>
      <c r="O1340" s="1213"/>
      <c r="P1340" s="1302" t="str">
        <f>IFERROR(VLOOKUP(F1340,#REF!,12,FALSE),"")</f>
        <v/>
      </c>
      <c r="Q1340" s="1303" t="s">
        <v>8</v>
      </c>
      <c r="R1340" s="1304" t="str">
        <f>IFERROR(VLOOKUP(F1340,#REF!,14,FALSE),"")</f>
        <v/>
      </c>
      <c r="S1340" s="1217" t="str">
        <f t="shared" si="140"/>
        <v/>
      </c>
      <c r="U1340" s="1728"/>
      <c r="V1340" s="864">
        <f t="shared" si="141"/>
        <v>0</v>
      </c>
      <c r="W1340" s="1767"/>
      <c r="X1340" s="864"/>
    </row>
    <row r="1341" spans="2:24" x14ac:dyDescent="0.2">
      <c r="B1341" s="1669" t="s">
        <v>256</v>
      </c>
      <c r="C1341" s="1208">
        <v>44429</v>
      </c>
      <c r="D1341" s="864"/>
      <c r="E1341" s="1322"/>
      <c r="F1341" s="1547"/>
      <c r="G1341" s="1323"/>
      <c r="H1341" s="1210" t="str">
        <f>IFERROR(VLOOKUP(F1341,#REF!,10,FALSE),"")</f>
        <v/>
      </c>
      <c r="I1341" s="1211" t="str">
        <f t="shared" si="138"/>
        <v/>
      </c>
      <c r="J1341" s="1212"/>
      <c r="K1341" s="1741"/>
      <c r="L1341" s="1578"/>
      <c r="M1341" s="1602"/>
      <c r="N1341" s="1171" t="str">
        <f t="shared" si="139"/>
        <v/>
      </c>
      <c r="O1341" s="1213"/>
      <c r="P1341" s="1302" t="str">
        <f>IFERROR(VLOOKUP(F1341,#REF!,12,FALSE),"")</f>
        <v/>
      </c>
      <c r="Q1341" s="1303" t="s">
        <v>8</v>
      </c>
      <c r="R1341" s="1304" t="str">
        <f>IFERROR(VLOOKUP(F1341,#REF!,14,FALSE),"")</f>
        <v/>
      </c>
      <c r="S1341" s="1217" t="str">
        <f t="shared" si="140"/>
        <v/>
      </c>
      <c r="U1341" s="1728"/>
      <c r="V1341" s="864">
        <f t="shared" si="141"/>
        <v>0</v>
      </c>
      <c r="W1341" s="1767"/>
      <c r="X1341" s="864"/>
    </row>
    <row r="1342" spans="2:24" ht="16" thickBot="1" x14ac:dyDescent="0.25">
      <c r="B1342" s="1671" t="e">
        <f>AVERAGE(#REF!)</f>
        <v>#REF!</v>
      </c>
      <c r="C1342" s="544">
        <v>44430</v>
      </c>
      <c r="D1342" s="67">
        <v>92</v>
      </c>
      <c r="E1342" s="336" t="s">
        <v>292</v>
      </c>
      <c r="F1342" s="1429" t="s">
        <v>322</v>
      </c>
      <c r="G1342" s="1320">
        <v>3.4432870370370371E-2</v>
      </c>
      <c r="H1342" s="1231">
        <v>8.65</v>
      </c>
      <c r="I1342" s="1232">
        <f t="shared" si="138"/>
        <v>3.9806786555341466E-3</v>
      </c>
      <c r="J1342" s="256">
        <v>140</v>
      </c>
      <c r="K1342" s="1741"/>
      <c r="L1342" s="1580">
        <v>204</v>
      </c>
      <c r="M1342" s="1561">
        <v>32</v>
      </c>
      <c r="N1342" s="172">
        <f t="shared" si="139"/>
        <v>1.0471917867310845</v>
      </c>
      <c r="O1342" s="1233" t="s">
        <v>311</v>
      </c>
      <c r="P1342" s="447" t="str">
        <f>IFERROR(VLOOKUP(F1342,#REF!,12,FALSE),"")</f>
        <v/>
      </c>
      <c r="Q1342" s="1269" t="s">
        <v>8</v>
      </c>
      <c r="R1342" s="1235" t="str">
        <f>IFERROR(VLOOKUP(F1342,#REF!,14,FALSE),"")</f>
        <v/>
      </c>
      <c r="S1342" s="1236">
        <f t="shared" si="140"/>
        <v>1.4571428571428571</v>
      </c>
      <c r="U1342" s="1728"/>
      <c r="V1342" s="67">
        <f t="shared" si="141"/>
        <v>0</v>
      </c>
      <c r="W1342" s="1768"/>
      <c r="X1342" s="67"/>
    </row>
    <row r="1343" spans="2:24" ht="16" thickBot="1" x14ac:dyDescent="0.25">
      <c r="B1343" s="1661">
        <f>B1336+1</f>
        <v>34</v>
      </c>
      <c r="C1343" s="1237">
        <v>44431</v>
      </c>
      <c r="D1343" s="70"/>
      <c r="E1343" s="931"/>
      <c r="F1343" s="1546"/>
      <c r="G1343" s="1321"/>
      <c r="H1343" s="1239" t="str">
        <f>IFERROR(VLOOKUP(F1343,#REF!,10,FALSE),"")</f>
        <v/>
      </c>
      <c r="I1343" s="1240" t="str">
        <f t="shared" si="138"/>
        <v/>
      </c>
      <c r="J1343" s="265"/>
      <c r="K1343" s="1741"/>
      <c r="L1343" s="1581"/>
      <c r="M1343" s="265"/>
      <c r="N1343" s="77" t="str">
        <f t="shared" si="139"/>
        <v/>
      </c>
      <c r="O1343" s="1241"/>
      <c r="P1343" s="79" t="str">
        <f>IFERROR(VLOOKUP(F1343,#REF!,12,FALSE),"")</f>
        <v/>
      </c>
      <c r="Q1343" s="1242" t="s">
        <v>8</v>
      </c>
      <c r="R1343" s="1243" t="str">
        <f>IFERROR(VLOOKUP(F1343,#REF!,14,FALSE),"")</f>
        <v/>
      </c>
      <c r="S1343" s="1244" t="str">
        <f t="shared" si="140"/>
        <v/>
      </c>
      <c r="U1343" s="1728"/>
      <c r="V1343" s="70">
        <f t="shared" si="141"/>
        <v>0</v>
      </c>
      <c r="W1343" s="1766"/>
      <c r="X1343" s="70"/>
    </row>
    <row r="1344" spans="2:24" x14ac:dyDescent="0.2">
      <c r="B1344" s="1666" t="s">
        <v>142</v>
      </c>
      <c r="C1344" s="1208">
        <v>44432</v>
      </c>
      <c r="D1344" s="864">
        <v>93</v>
      </c>
      <c r="E1344" s="1322" t="s">
        <v>293</v>
      </c>
      <c r="F1344" s="1547" t="s">
        <v>322</v>
      </c>
      <c r="G1344" s="1323">
        <v>2.8599537037037034E-2</v>
      </c>
      <c r="H1344" s="1210">
        <v>7.51</v>
      </c>
      <c r="I1344" s="1211">
        <f t="shared" si="138"/>
        <v>3.8081940129210431E-3</v>
      </c>
      <c r="J1344" s="1212">
        <v>150</v>
      </c>
      <c r="K1344" s="1741"/>
      <c r="L1344" s="1578">
        <v>214</v>
      </c>
      <c r="M1344" s="1602">
        <v>24</v>
      </c>
      <c r="N1344" s="1171">
        <f t="shared" si="139"/>
        <v>1.0509251346463422</v>
      </c>
      <c r="O1344" s="1213" t="s">
        <v>339</v>
      </c>
      <c r="P1344" s="1214" t="str">
        <f>IFERROR(VLOOKUP(F1344,#REF!,12,FALSE),"")</f>
        <v/>
      </c>
      <c r="Q1344" s="1215" t="s">
        <v>8</v>
      </c>
      <c r="R1344" s="1216" t="str">
        <f>IFERROR(VLOOKUP(F1344,#REF!,14,FALSE),"")</f>
        <v/>
      </c>
      <c r="S1344" s="1217">
        <f t="shared" si="140"/>
        <v>1.4266666666666667</v>
      </c>
      <c r="U1344" s="1728"/>
      <c r="V1344" s="864">
        <f t="shared" si="141"/>
        <v>0</v>
      </c>
      <c r="W1344" s="1767"/>
      <c r="X1344" s="864"/>
    </row>
    <row r="1345" spans="2:24" ht="16" thickBot="1" x14ac:dyDescent="0.25">
      <c r="B1345" s="1654">
        <f>SUM(H1343:H1349)</f>
        <v>25.77</v>
      </c>
      <c r="C1345" s="1208">
        <v>44433</v>
      </c>
      <c r="D1345" s="864"/>
      <c r="E1345" s="1322"/>
      <c r="F1345" s="1547"/>
      <c r="G1345" s="1323"/>
      <c r="H1345" s="1210" t="str">
        <f>IFERROR(VLOOKUP(F1345,#REF!,10,FALSE),"")</f>
        <v/>
      </c>
      <c r="I1345" s="1211" t="str">
        <f t="shared" si="138"/>
        <v/>
      </c>
      <c r="J1345" s="1212"/>
      <c r="K1345" s="1741"/>
      <c r="L1345" s="1578"/>
      <c r="M1345" s="1602"/>
      <c r="N1345" s="1171" t="str">
        <f t="shared" si="139"/>
        <v/>
      </c>
      <c r="O1345" s="1213"/>
      <c r="P1345" s="1214" t="str">
        <f>IFERROR(VLOOKUP(F1345,#REF!,12,FALSE),"")</f>
        <v/>
      </c>
      <c r="Q1345" s="1215" t="s">
        <v>8</v>
      </c>
      <c r="R1345" s="1216" t="str">
        <f>IFERROR(VLOOKUP(F1345,#REF!,14,FALSE),"")</f>
        <v/>
      </c>
      <c r="S1345" s="1217" t="str">
        <f t="shared" si="140"/>
        <v/>
      </c>
      <c r="U1345" s="1728"/>
      <c r="V1345" s="864">
        <f t="shared" si="141"/>
        <v>0</v>
      </c>
      <c r="W1345" s="1767"/>
      <c r="X1345" s="864"/>
    </row>
    <row r="1346" spans="2:24" x14ac:dyDescent="0.2">
      <c r="B1346" s="1667" t="s">
        <v>144</v>
      </c>
      <c r="C1346" s="1208">
        <v>44434</v>
      </c>
      <c r="D1346" s="864">
        <v>94</v>
      </c>
      <c r="E1346" s="1322" t="s">
        <v>293</v>
      </c>
      <c r="F1346" s="1547" t="s">
        <v>324</v>
      </c>
      <c r="G1346" s="1323">
        <v>3.0335648148148143E-2</v>
      </c>
      <c r="H1346" s="1210">
        <v>8.33</v>
      </c>
      <c r="I1346" s="1211">
        <f t="shared" si="138"/>
        <v>3.6417344715664038E-3</v>
      </c>
      <c r="J1346" s="1212">
        <v>149</v>
      </c>
      <c r="K1346" s="1741"/>
      <c r="L1346" s="1578">
        <v>223</v>
      </c>
      <c r="M1346" s="1602">
        <v>34</v>
      </c>
      <c r="N1346" s="1171">
        <f t="shared" si="139"/>
        <v>1.047254125530809</v>
      </c>
      <c r="O1346" s="1213" t="s">
        <v>311</v>
      </c>
      <c r="P1346" s="1214" t="str">
        <f>IFERROR(VLOOKUP(F1346,#REF!,12,FALSE),"")</f>
        <v/>
      </c>
      <c r="Q1346" s="1215" t="s">
        <v>8</v>
      </c>
      <c r="R1346" s="1216" t="str">
        <f>IFERROR(VLOOKUP(F1346,#REF!,14,FALSE),"")</f>
        <v/>
      </c>
      <c r="S1346" s="1217">
        <f t="shared" si="140"/>
        <v>1.4966442953020134</v>
      </c>
      <c r="U1346" s="1728"/>
      <c r="V1346" s="864">
        <f t="shared" si="141"/>
        <v>0</v>
      </c>
      <c r="W1346" s="1767"/>
      <c r="X1346" s="864"/>
    </row>
    <row r="1347" spans="2:24" ht="16" thickBot="1" x14ac:dyDescent="0.25">
      <c r="B1347" s="1668" t="e">
        <f>SUM(#REF!)</f>
        <v>#REF!</v>
      </c>
      <c r="C1347" s="1208">
        <v>44435</v>
      </c>
      <c r="D1347" s="864"/>
      <c r="E1347" s="1322"/>
      <c r="F1347" s="1547"/>
      <c r="G1347" s="1323"/>
      <c r="H1347" s="1210" t="str">
        <f>IFERROR(VLOOKUP(F1347,#REF!,10,FALSE),"")</f>
        <v/>
      </c>
      <c r="I1347" s="1211" t="str">
        <f t="shared" si="138"/>
        <v/>
      </c>
      <c r="J1347" s="1212"/>
      <c r="K1347" s="1741"/>
      <c r="L1347" s="1578"/>
      <c r="M1347" s="1602"/>
      <c r="N1347" s="1171" t="str">
        <f t="shared" si="139"/>
        <v/>
      </c>
      <c r="O1347" s="1213"/>
      <c r="P1347" s="1214" t="str">
        <f>IFERROR(VLOOKUP(F1347,#REF!,12,FALSE),"")</f>
        <v/>
      </c>
      <c r="Q1347" s="1215" t="s">
        <v>8</v>
      </c>
      <c r="R1347" s="1216" t="str">
        <f>IFERROR(VLOOKUP(F1347,#REF!,14,FALSE),"")</f>
        <v/>
      </c>
      <c r="S1347" s="1217" t="str">
        <f t="shared" si="140"/>
        <v/>
      </c>
      <c r="U1347" s="1728"/>
      <c r="V1347" s="864">
        <f t="shared" si="141"/>
        <v>0</v>
      </c>
      <c r="W1347" s="1767"/>
      <c r="X1347" s="864"/>
    </row>
    <row r="1348" spans="2:24" x14ac:dyDescent="0.2">
      <c r="B1348" s="1669" t="s">
        <v>256</v>
      </c>
      <c r="C1348" s="1208">
        <v>44436</v>
      </c>
      <c r="D1348" s="864">
        <v>95</v>
      </c>
      <c r="E1348" s="1322" t="s">
        <v>292</v>
      </c>
      <c r="F1348" s="1547" t="s">
        <v>279</v>
      </c>
      <c r="G1348" s="1323">
        <v>4.0335648148148148E-2</v>
      </c>
      <c r="H1348" s="1210">
        <v>9.93</v>
      </c>
      <c r="I1348" s="1211">
        <f t="shared" si="138"/>
        <v>4.0619988064600349E-3</v>
      </c>
      <c r="J1348" s="1212">
        <v>136</v>
      </c>
      <c r="K1348" s="1741"/>
      <c r="L1348" s="1578">
        <v>200</v>
      </c>
      <c r="M1348" s="1602">
        <v>25</v>
      </c>
      <c r="N1348" s="1171">
        <f t="shared" si="139"/>
        <v>1.0476319309795434</v>
      </c>
      <c r="O1348" s="1213" t="s">
        <v>339</v>
      </c>
      <c r="P1348" s="1214" t="str">
        <f>IFERROR(VLOOKUP(F1348,#REF!,12,FALSE),"")</f>
        <v/>
      </c>
      <c r="Q1348" s="1215" t="s">
        <v>8</v>
      </c>
      <c r="R1348" s="1216" t="str">
        <f>IFERROR(VLOOKUP(F1348,#REF!,14,FALSE),"")</f>
        <v/>
      </c>
      <c r="S1348" s="1217">
        <f t="shared" si="140"/>
        <v>1.4705882352941178</v>
      </c>
      <c r="U1348" s="1728"/>
      <c r="V1348" s="864">
        <f t="shared" si="141"/>
        <v>0</v>
      </c>
      <c r="W1348" s="1767"/>
      <c r="X1348" s="864"/>
    </row>
    <row r="1349" spans="2:24" ht="16" thickBot="1" x14ac:dyDescent="0.25">
      <c r="B1349" s="1672" t="e">
        <f>AVERAGE(#REF!)</f>
        <v>#REF!</v>
      </c>
      <c r="C1349" s="1305">
        <v>44437</v>
      </c>
      <c r="D1349" s="1306"/>
      <c r="E1349" s="1046"/>
      <c r="F1349" s="1429"/>
      <c r="G1349" s="1307"/>
      <c r="H1349" s="1308" t="str">
        <f>IFERROR(VLOOKUP(F1349,#REF!,10,FALSE),"")</f>
        <v/>
      </c>
      <c r="I1349" s="1309" t="str">
        <f t="shared" si="138"/>
        <v/>
      </c>
      <c r="J1349" s="1310"/>
      <c r="K1349" s="1741"/>
      <c r="L1349" s="984"/>
      <c r="M1349" s="1603"/>
      <c r="N1349" s="1311" t="str">
        <f t="shared" si="139"/>
        <v/>
      </c>
      <c r="O1349" s="1312"/>
      <c r="P1349" s="1313" t="str">
        <f>IFERROR(VLOOKUP(F1349,#REF!,12,FALSE),"")</f>
        <v/>
      </c>
      <c r="Q1349" s="1314" t="s">
        <v>8</v>
      </c>
      <c r="R1349" s="1315" t="str">
        <f>IFERROR(VLOOKUP(F1349,#REF!,14,FALSE),"")</f>
        <v/>
      </c>
      <c r="S1349" s="1316" t="str">
        <f t="shared" si="140"/>
        <v/>
      </c>
      <c r="U1349" s="1728"/>
      <c r="V1349" s="1306">
        <f t="shared" si="141"/>
        <v>0</v>
      </c>
      <c r="W1349" s="1768"/>
      <c r="X1349" s="1306"/>
    </row>
    <row r="1350" spans="2:24" ht="16" thickBot="1" x14ac:dyDescent="0.25">
      <c r="B1350" s="1661">
        <f>B1343+1</f>
        <v>35</v>
      </c>
      <c r="C1350" s="1199">
        <v>44438</v>
      </c>
      <c r="D1350" s="1108"/>
      <c r="E1350" s="915"/>
      <c r="F1350" s="1546"/>
      <c r="G1350" s="1317"/>
      <c r="H1350" s="1201" t="str">
        <f>IFERROR(VLOOKUP(F1350,#REF!,10,FALSE),"")</f>
        <v/>
      </c>
      <c r="I1350" s="1202" t="str">
        <f t="shared" si="138"/>
        <v/>
      </c>
      <c r="J1350" s="1203"/>
      <c r="K1350" s="1741"/>
      <c r="L1350" s="1577"/>
      <c r="M1350" s="1374"/>
      <c r="N1350" s="1111" t="str">
        <f t="shared" si="139"/>
        <v/>
      </c>
      <c r="O1350" s="1204"/>
      <c r="P1350" s="1113" t="str">
        <f>IFERROR(VLOOKUP(F1350,#REF!,12,FALSE),"")</f>
        <v/>
      </c>
      <c r="Q1350" s="1254" t="s">
        <v>8</v>
      </c>
      <c r="R1350" s="1255" t="str">
        <f>IFERROR(VLOOKUP(F1350,#REF!,14,FALSE),"")</f>
        <v/>
      </c>
      <c r="S1350" s="1207" t="str">
        <f t="shared" si="140"/>
        <v/>
      </c>
      <c r="U1350" s="1728"/>
      <c r="V1350" s="1108">
        <f t="shared" si="141"/>
        <v>0</v>
      </c>
      <c r="W1350" s="1766"/>
      <c r="X1350" s="1108"/>
    </row>
    <row r="1351" spans="2:24" x14ac:dyDescent="0.2">
      <c r="B1351" s="1666" t="s">
        <v>142</v>
      </c>
      <c r="C1351" s="1208">
        <v>44439</v>
      </c>
      <c r="D1351" s="864">
        <v>96</v>
      </c>
      <c r="E1351" s="1322" t="s">
        <v>293</v>
      </c>
      <c r="F1351" s="1547" t="s">
        <v>279</v>
      </c>
      <c r="G1351" s="1323">
        <v>4.0462962962962964E-2</v>
      </c>
      <c r="H1351" s="1210">
        <v>10.49</v>
      </c>
      <c r="I1351" s="1211">
        <f t="shared" si="138"/>
        <v>3.8572891289764505E-3</v>
      </c>
      <c r="J1351" s="1212">
        <v>146</v>
      </c>
      <c r="K1351" s="1741"/>
      <c r="L1351" s="1578">
        <v>213</v>
      </c>
      <c r="M1351" s="1602">
        <v>32</v>
      </c>
      <c r="N1351" s="1171">
        <f t="shared" si="139"/>
        <v>1.0594994522146182</v>
      </c>
      <c r="O1351" s="1213" t="s">
        <v>311</v>
      </c>
      <c r="P1351" s="1302" t="str">
        <f>IFERROR(VLOOKUP(F1351,#REF!,12,FALSE),"")</f>
        <v/>
      </c>
      <c r="Q1351" s="1303" t="s">
        <v>8</v>
      </c>
      <c r="R1351" s="1304" t="str">
        <f>IFERROR(VLOOKUP(F1351,#REF!,14,FALSE),"")</f>
        <v/>
      </c>
      <c r="S1351" s="1217">
        <f t="shared" si="140"/>
        <v>1.4589041095890412</v>
      </c>
      <c r="U1351" s="1728"/>
      <c r="V1351" s="864">
        <f t="shared" si="141"/>
        <v>0</v>
      </c>
      <c r="W1351" s="1767"/>
      <c r="X1351" s="864"/>
    </row>
    <row r="1352" spans="2:24" ht="16" thickBot="1" x14ac:dyDescent="0.25">
      <c r="B1352" s="1654">
        <f>SUM(H1350:H1356)</f>
        <v>30.1</v>
      </c>
      <c r="C1352" s="1208">
        <v>44440</v>
      </c>
      <c r="D1352" s="864"/>
      <c r="E1352" s="1322"/>
      <c r="F1352" s="1547"/>
      <c r="G1352" s="1323"/>
      <c r="H1352" s="1210" t="str">
        <f>IFERROR(VLOOKUP(F1352,#REF!,10,FALSE),"")</f>
        <v/>
      </c>
      <c r="I1352" s="1211" t="str">
        <f t="shared" si="138"/>
        <v/>
      </c>
      <c r="J1352" s="1212"/>
      <c r="K1352" s="1741"/>
      <c r="L1352" s="1578"/>
      <c r="M1352" s="1602"/>
      <c r="N1352" s="1171" t="str">
        <f t="shared" si="139"/>
        <v/>
      </c>
      <c r="O1352" s="1213"/>
      <c r="P1352" s="1302" t="str">
        <f>IFERROR(VLOOKUP(F1352,#REF!,12,FALSE),"")</f>
        <v/>
      </c>
      <c r="Q1352" s="1303" t="s">
        <v>8</v>
      </c>
      <c r="R1352" s="1304" t="str">
        <f>IFERROR(VLOOKUP(F1352,#REF!,14,FALSE),"")</f>
        <v/>
      </c>
      <c r="S1352" s="1217" t="str">
        <f t="shared" si="140"/>
        <v/>
      </c>
      <c r="U1352" s="1728"/>
      <c r="V1352" s="864">
        <f t="shared" si="141"/>
        <v>0</v>
      </c>
      <c r="W1352" s="1767"/>
      <c r="X1352" s="864"/>
    </row>
    <row r="1353" spans="2:24" x14ac:dyDescent="0.2">
      <c r="B1353" s="1667" t="s">
        <v>144</v>
      </c>
      <c r="C1353" s="1208">
        <v>44441</v>
      </c>
      <c r="D1353" s="864">
        <v>97</v>
      </c>
      <c r="E1353" s="1322" t="s">
        <v>293</v>
      </c>
      <c r="F1353" s="1547" t="s">
        <v>325</v>
      </c>
      <c r="G1353" s="1323">
        <v>3.1898148148148148E-2</v>
      </c>
      <c r="H1353" s="1210">
        <v>8.9700000000000006</v>
      </c>
      <c r="I1353" s="1211">
        <f t="shared" si="138"/>
        <v>3.556092324208266E-3</v>
      </c>
      <c r="J1353" s="1212">
        <v>152</v>
      </c>
      <c r="K1353" s="1741"/>
      <c r="L1353" s="1578">
        <v>226</v>
      </c>
      <c r="M1353" s="1602">
        <v>16</v>
      </c>
      <c r="N1353" s="1171">
        <f t="shared" si="139"/>
        <v>1.0363833008868699</v>
      </c>
      <c r="O1353" s="1213" t="s">
        <v>341</v>
      </c>
      <c r="P1353" s="1302" t="str">
        <f>IFERROR(VLOOKUP(F1353,#REF!,12,FALSE),"")</f>
        <v/>
      </c>
      <c r="Q1353" s="1303" t="s">
        <v>8</v>
      </c>
      <c r="R1353" s="1304" t="str">
        <f>IFERROR(VLOOKUP(F1353,#REF!,14,FALSE),"")</f>
        <v/>
      </c>
      <c r="S1353" s="1217">
        <f t="shared" si="140"/>
        <v>1.486842105263158</v>
      </c>
      <c r="U1353" s="1728"/>
      <c r="V1353" s="864">
        <f t="shared" si="141"/>
        <v>0</v>
      </c>
      <c r="W1353" s="1767"/>
      <c r="X1353" s="864"/>
    </row>
    <row r="1354" spans="2:24" ht="16" thickBot="1" x14ac:dyDescent="0.25">
      <c r="B1354" s="1668" t="e">
        <f>SUM(#REF!)</f>
        <v>#REF!</v>
      </c>
      <c r="C1354" s="1208">
        <v>44442</v>
      </c>
      <c r="D1354" s="864"/>
      <c r="E1354" s="1322"/>
      <c r="F1354" s="1547"/>
      <c r="G1354" s="1323"/>
      <c r="H1354" s="1210" t="str">
        <f>IFERROR(VLOOKUP(F1354,#REF!,10,FALSE),"")</f>
        <v/>
      </c>
      <c r="I1354" s="1211" t="str">
        <f t="shared" si="138"/>
        <v/>
      </c>
      <c r="J1354" s="1212"/>
      <c r="K1354" s="1741"/>
      <c r="L1354" s="1578"/>
      <c r="M1354" s="1602"/>
      <c r="N1354" s="1171" t="str">
        <f t="shared" si="139"/>
        <v/>
      </c>
      <c r="O1354" s="1213"/>
      <c r="P1354" s="1302" t="str">
        <f>IFERROR(VLOOKUP(F1354,#REF!,12,FALSE),"")</f>
        <v/>
      </c>
      <c r="Q1354" s="1303" t="s">
        <v>8</v>
      </c>
      <c r="R1354" s="1304" t="str">
        <f>IFERROR(VLOOKUP(F1354,#REF!,14,FALSE),"")</f>
        <v/>
      </c>
      <c r="S1354" s="1217" t="str">
        <f t="shared" si="140"/>
        <v/>
      </c>
      <c r="U1354" s="1728"/>
      <c r="V1354" s="864">
        <f t="shared" si="141"/>
        <v>0</v>
      </c>
      <c r="W1354" s="1767"/>
      <c r="X1354" s="864"/>
    </row>
    <row r="1355" spans="2:24" x14ac:dyDescent="0.2">
      <c r="B1355" s="1669" t="s">
        <v>256</v>
      </c>
      <c r="C1355" s="1208">
        <v>44443</v>
      </c>
      <c r="D1355" s="864">
        <v>98</v>
      </c>
      <c r="E1355" s="1322" t="s">
        <v>292</v>
      </c>
      <c r="F1355" s="1547" t="s">
        <v>279</v>
      </c>
      <c r="G1355" s="1323">
        <v>4.3263888888888886E-2</v>
      </c>
      <c r="H1355" s="1210">
        <v>10.64</v>
      </c>
      <c r="I1355" s="1211">
        <f t="shared" si="138"/>
        <v>4.0661549707602333E-3</v>
      </c>
      <c r="J1355" s="1212">
        <v>134</v>
      </c>
      <c r="K1355" s="1741"/>
      <c r="L1355" s="1578">
        <v>200</v>
      </c>
      <c r="M1355" s="1602">
        <v>39</v>
      </c>
      <c r="N1355" s="1171">
        <f t="shared" si="139"/>
        <v>1.0487038491751768</v>
      </c>
      <c r="O1355" s="1213" t="s">
        <v>339</v>
      </c>
      <c r="P1355" s="1302" t="str">
        <f>IFERROR(VLOOKUP(F1355,#REF!,12,FALSE),"")</f>
        <v/>
      </c>
      <c r="Q1355" s="1303" t="s">
        <v>8</v>
      </c>
      <c r="R1355" s="1304" t="str">
        <f>IFERROR(VLOOKUP(F1355,#REF!,14,FALSE),"")</f>
        <v/>
      </c>
      <c r="S1355" s="1217">
        <f t="shared" si="140"/>
        <v>1.4925373134328359</v>
      </c>
      <c r="U1355" s="1728"/>
      <c r="V1355" s="864">
        <f t="shared" si="141"/>
        <v>0</v>
      </c>
      <c r="W1355" s="1767"/>
      <c r="X1355" s="864"/>
    </row>
    <row r="1356" spans="2:24" ht="16" thickBot="1" x14ac:dyDescent="0.25">
      <c r="B1356" s="1672" t="e">
        <f>AVERAGE(#REF!)</f>
        <v>#REF!</v>
      </c>
      <c r="C1356" s="544">
        <v>44444</v>
      </c>
      <c r="D1356" s="67"/>
      <c r="E1356" s="336"/>
      <c r="F1356" s="1429"/>
      <c r="G1356" s="1320"/>
      <c r="H1356" s="1231" t="str">
        <f>IFERROR(VLOOKUP(F1356,#REF!,10,FALSE),"")</f>
        <v/>
      </c>
      <c r="I1356" s="1232" t="str">
        <f t="shared" si="138"/>
        <v/>
      </c>
      <c r="J1356" s="256"/>
      <c r="K1356" s="1741"/>
      <c r="L1356" s="1580"/>
      <c r="M1356" s="1561"/>
      <c r="N1356" s="172" t="str">
        <f t="shared" si="139"/>
        <v/>
      </c>
      <c r="O1356" s="1233"/>
      <c r="P1356" s="447" t="str">
        <f>IFERROR(VLOOKUP(F1356,#REF!,12,FALSE),"")</f>
        <v/>
      </c>
      <c r="Q1356" s="1269" t="s">
        <v>8</v>
      </c>
      <c r="R1356" s="1235" t="str">
        <f>IFERROR(VLOOKUP(F1356,#REF!,14,FALSE),"")</f>
        <v/>
      </c>
      <c r="S1356" s="1236" t="str">
        <f t="shared" si="140"/>
        <v/>
      </c>
      <c r="U1356" s="1728"/>
      <c r="V1356" s="67">
        <f t="shared" si="141"/>
        <v>0</v>
      </c>
      <c r="W1356" s="1768"/>
      <c r="X1356" s="67"/>
    </row>
    <row r="1357" spans="2:24" ht="16" thickBot="1" x14ac:dyDescent="0.25">
      <c r="B1357" s="1661">
        <f>B1350+1</f>
        <v>36</v>
      </c>
      <c r="C1357" s="1237">
        <v>44445</v>
      </c>
      <c r="D1357" s="70"/>
      <c r="E1357" s="931"/>
      <c r="F1357" s="1546"/>
      <c r="G1357" s="1321"/>
      <c r="H1357" s="1239" t="str">
        <f>IFERROR(VLOOKUP(F1357,#REF!,10,FALSE),"")</f>
        <v/>
      </c>
      <c r="I1357" s="1240" t="str">
        <f t="shared" si="138"/>
        <v/>
      </c>
      <c r="J1357" s="265"/>
      <c r="K1357" s="1741"/>
      <c r="L1357" s="1581"/>
      <c r="M1357" s="265"/>
      <c r="N1357" s="77" t="str">
        <f t="shared" si="139"/>
        <v/>
      </c>
      <c r="O1357" s="1241"/>
      <c r="P1357" s="79" t="str">
        <f>IFERROR(VLOOKUP(F1357,#REF!,12,FALSE),"")</f>
        <v/>
      </c>
      <c r="Q1357" s="1242" t="s">
        <v>8</v>
      </c>
      <c r="R1357" s="1243" t="str">
        <f>IFERROR(VLOOKUP(F1357,#REF!,14,FALSE),"")</f>
        <v/>
      </c>
      <c r="S1357" s="1244" t="str">
        <f t="shared" si="140"/>
        <v/>
      </c>
      <c r="U1357" s="1728"/>
      <c r="V1357" s="70">
        <f t="shared" si="141"/>
        <v>0</v>
      </c>
      <c r="W1357" s="1766"/>
      <c r="X1357" s="70"/>
    </row>
    <row r="1358" spans="2:24" x14ac:dyDescent="0.2">
      <c r="B1358" s="1666" t="s">
        <v>142</v>
      </c>
      <c r="C1358" s="1208">
        <v>44446</v>
      </c>
      <c r="D1358" s="864">
        <v>99</v>
      </c>
      <c r="E1358" s="1322" t="s">
        <v>293</v>
      </c>
      <c r="F1358" s="1547" t="s">
        <v>279</v>
      </c>
      <c r="G1358" s="1323">
        <v>4.2905092592592592E-2</v>
      </c>
      <c r="H1358" s="1210">
        <v>11.3</v>
      </c>
      <c r="I1358" s="1211">
        <f t="shared" si="138"/>
        <v>3.7969108489019992E-3</v>
      </c>
      <c r="J1358" s="1212">
        <v>139</v>
      </c>
      <c r="K1358" s="1741"/>
      <c r="L1358" s="1578">
        <v>215</v>
      </c>
      <c r="M1358" s="1602">
        <v>33</v>
      </c>
      <c r="N1358" s="1171">
        <f t="shared" si="139"/>
        <v>1.0527077004358736</v>
      </c>
      <c r="O1358" s="1213" t="s">
        <v>311</v>
      </c>
      <c r="P1358" s="1214" t="str">
        <f>IFERROR(VLOOKUP(F1358,#REF!,12,FALSE),"")</f>
        <v/>
      </c>
      <c r="Q1358" s="1215" t="s">
        <v>8</v>
      </c>
      <c r="R1358" s="1216" t="str">
        <f>IFERROR(VLOOKUP(F1358,#REF!,14,FALSE),"")</f>
        <v/>
      </c>
      <c r="S1358" s="1217">
        <f t="shared" si="140"/>
        <v>1.5467625899280575</v>
      </c>
      <c r="U1358" s="1728"/>
      <c r="V1358" s="864">
        <f t="shared" si="141"/>
        <v>0</v>
      </c>
      <c r="W1358" s="1767"/>
      <c r="X1358" s="864"/>
    </row>
    <row r="1359" spans="2:24" ht="16" thickBot="1" x14ac:dyDescent="0.25">
      <c r="B1359" s="1654">
        <f>SUM(H1357:H1363)</f>
        <v>31.53</v>
      </c>
      <c r="C1359" s="1208">
        <v>44447</v>
      </c>
      <c r="D1359" s="864"/>
      <c r="E1359" s="1322"/>
      <c r="F1359" s="1547"/>
      <c r="G1359" s="1323"/>
      <c r="H1359" s="1210" t="str">
        <f>IFERROR(VLOOKUP(F1359,#REF!,10,FALSE),"")</f>
        <v/>
      </c>
      <c r="I1359" s="1211" t="str">
        <f t="shared" si="138"/>
        <v/>
      </c>
      <c r="J1359" s="1212"/>
      <c r="K1359" s="1741"/>
      <c r="L1359" s="1578"/>
      <c r="M1359" s="1602"/>
      <c r="N1359" s="1171" t="str">
        <f t="shared" si="139"/>
        <v/>
      </c>
      <c r="O1359" s="1213"/>
      <c r="P1359" s="1214" t="str">
        <f>IFERROR(VLOOKUP(F1359,#REF!,12,FALSE),"")</f>
        <v/>
      </c>
      <c r="Q1359" s="1215" t="s">
        <v>8</v>
      </c>
      <c r="R1359" s="1216" t="str">
        <f>IFERROR(VLOOKUP(F1359,#REF!,14,FALSE),"")</f>
        <v/>
      </c>
      <c r="S1359" s="1217" t="str">
        <f t="shared" si="140"/>
        <v/>
      </c>
      <c r="U1359" s="1728"/>
      <c r="V1359" s="864">
        <f t="shared" si="141"/>
        <v>0</v>
      </c>
      <c r="W1359" s="1767"/>
      <c r="X1359" s="864"/>
    </row>
    <row r="1360" spans="2:24" x14ac:dyDescent="0.2">
      <c r="B1360" s="1667" t="s">
        <v>144</v>
      </c>
      <c r="C1360" s="1208">
        <v>44448</v>
      </c>
      <c r="D1360" s="864">
        <v>100</v>
      </c>
      <c r="E1360" s="1322" t="s">
        <v>292</v>
      </c>
      <c r="F1360" s="1547" t="s">
        <v>279</v>
      </c>
      <c r="G1360" s="1323">
        <v>4.1909722222222223E-2</v>
      </c>
      <c r="H1360" s="1210">
        <v>10.52</v>
      </c>
      <c r="I1360" s="1211">
        <f t="shared" si="138"/>
        <v>3.9838138994507822E-3</v>
      </c>
      <c r="J1360" s="1212">
        <v>136</v>
      </c>
      <c r="K1360" s="1741"/>
      <c r="L1360" s="1578">
        <v>203</v>
      </c>
      <c r="M1360" s="1602">
        <v>26</v>
      </c>
      <c r="N1360" s="1171">
        <f t="shared" si="139"/>
        <v>1.0428792350036891</v>
      </c>
      <c r="O1360" s="1213" t="s">
        <v>280</v>
      </c>
      <c r="P1360" s="1214" t="str">
        <f>IFERROR(VLOOKUP(F1360,#REF!,12,FALSE),"")</f>
        <v/>
      </c>
      <c r="Q1360" s="1215" t="s">
        <v>8</v>
      </c>
      <c r="R1360" s="1216" t="str">
        <f>IFERROR(VLOOKUP(F1360,#REF!,14,FALSE),"")</f>
        <v/>
      </c>
      <c r="S1360" s="1217">
        <f t="shared" si="140"/>
        <v>1.4926470588235294</v>
      </c>
      <c r="U1360" s="1728"/>
      <c r="V1360" s="864">
        <f t="shared" si="141"/>
        <v>0</v>
      </c>
      <c r="W1360" s="1767"/>
      <c r="X1360" s="864"/>
    </row>
    <row r="1361" spans="2:24" ht="16" thickBot="1" x14ac:dyDescent="0.25">
      <c r="B1361" s="1668" t="e">
        <f>SUM(#REF!)</f>
        <v>#REF!</v>
      </c>
      <c r="C1361" s="1208">
        <v>44449</v>
      </c>
      <c r="D1361" s="864"/>
      <c r="E1361" s="1322"/>
      <c r="F1361" s="1547"/>
      <c r="G1361" s="1323"/>
      <c r="H1361" s="1210" t="str">
        <f>IFERROR(VLOOKUP(F1361,#REF!,10,FALSE),"")</f>
        <v/>
      </c>
      <c r="I1361" s="1211" t="str">
        <f t="shared" si="138"/>
        <v/>
      </c>
      <c r="J1361" s="1212"/>
      <c r="K1361" s="1741"/>
      <c r="L1361" s="1578"/>
      <c r="M1361" s="1602"/>
      <c r="N1361" s="1171" t="str">
        <f t="shared" si="139"/>
        <v/>
      </c>
      <c r="O1361" s="1213"/>
      <c r="P1361" s="1214" t="str">
        <f>IFERROR(VLOOKUP(F1361,#REF!,12,FALSE),"")</f>
        <v/>
      </c>
      <c r="Q1361" s="1215" t="s">
        <v>8</v>
      </c>
      <c r="R1361" s="1216" t="str">
        <f>IFERROR(VLOOKUP(F1361,#REF!,14,FALSE),"")</f>
        <v/>
      </c>
      <c r="S1361" s="1217" t="str">
        <f t="shared" si="140"/>
        <v/>
      </c>
      <c r="U1361" s="1728"/>
      <c r="V1361" s="864">
        <f t="shared" si="141"/>
        <v>0</v>
      </c>
      <c r="W1361" s="1767"/>
      <c r="X1361" s="864"/>
    </row>
    <row r="1362" spans="2:24" x14ac:dyDescent="0.2">
      <c r="B1362" s="1669" t="s">
        <v>256</v>
      </c>
      <c r="C1362" s="1208">
        <v>44450</v>
      </c>
      <c r="D1362" s="864"/>
      <c r="E1362" s="1322"/>
      <c r="F1362" s="1547"/>
      <c r="G1362" s="1323"/>
      <c r="H1362" s="1210" t="str">
        <f>IFERROR(VLOOKUP(F1362,#REF!,10,FALSE),"")</f>
        <v/>
      </c>
      <c r="I1362" s="1211" t="str">
        <f t="shared" si="138"/>
        <v/>
      </c>
      <c r="J1362" s="1212"/>
      <c r="K1362" s="1741"/>
      <c r="L1362" s="1578"/>
      <c r="M1362" s="1602"/>
      <c r="N1362" s="1171" t="str">
        <f t="shared" si="139"/>
        <v/>
      </c>
      <c r="O1362" s="1213"/>
      <c r="P1362" s="1214" t="str">
        <f>IFERROR(VLOOKUP(F1362,#REF!,12,FALSE),"")</f>
        <v/>
      </c>
      <c r="Q1362" s="1215" t="s">
        <v>8</v>
      </c>
      <c r="R1362" s="1216" t="str">
        <f>IFERROR(VLOOKUP(F1362,#REF!,14,FALSE),"")</f>
        <v/>
      </c>
      <c r="S1362" s="1217" t="str">
        <f t="shared" si="140"/>
        <v/>
      </c>
      <c r="U1362" s="1728"/>
      <c r="V1362" s="864">
        <f t="shared" si="141"/>
        <v>0</v>
      </c>
      <c r="W1362" s="1767"/>
      <c r="X1362" s="864"/>
    </row>
    <row r="1363" spans="2:24" ht="16" thickBot="1" x14ac:dyDescent="0.25">
      <c r="B1363" s="1672" t="e">
        <f>AVERAGE(#REF!)</f>
        <v>#REF!</v>
      </c>
      <c r="C1363" s="1305">
        <v>44451</v>
      </c>
      <c r="D1363" s="1306">
        <v>101</v>
      </c>
      <c r="E1363" s="1046" t="s">
        <v>293</v>
      </c>
      <c r="F1363" s="1429" t="s">
        <v>297</v>
      </c>
      <c r="G1363" s="1307">
        <v>4.8344907407407406E-2</v>
      </c>
      <c r="H1363" s="1308">
        <v>9.7100000000000009</v>
      </c>
      <c r="I1363" s="1309">
        <f t="shared" si="138"/>
        <v>4.9788782087958191E-3</v>
      </c>
      <c r="J1363" s="1310">
        <v>140</v>
      </c>
      <c r="K1363" s="1741"/>
      <c r="L1363" s="984">
        <v>188</v>
      </c>
      <c r="M1363" s="1603">
        <v>381</v>
      </c>
      <c r="N1363" s="1311"/>
      <c r="O1363" s="1312" t="s">
        <v>299</v>
      </c>
      <c r="P1363" s="1313" t="str">
        <f>IFERROR(VLOOKUP(F1363,#REF!,12,FALSE),"")</f>
        <v/>
      </c>
      <c r="Q1363" s="1314" t="s">
        <v>8</v>
      </c>
      <c r="R1363" s="1315" t="str">
        <f>IFERROR(VLOOKUP(F1363,#REF!,14,FALSE),"")</f>
        <v/>
      </c>
      <c r="S1363" s="1316"/>
      <c r="U1363" s="1728"/>
      <c r="V1363" s="1306">
        <f t="shared" si="141"/>
        <v>0</v>
      </c>
      <c r="W1363" s="1768"/>
      <c r="X1363" s="1306"/>
    </row>
    <row r="1364" spans="2:24" ht="16" thickBot="1" x14ac:dyDescent="0.25">
      <c r="B1364" s="1661">
        <f>B1357+1</f>
        <v>37</v>
      </c>
      <c r="C1364" s="1199">
        <v>44452</v>
      </c>
      <c r="D1364" s="1108"/>
      <c r="E1364" s="915"/>
      <c r="F1364" s="1546"/>
      <c r="G1364" s="1317"/>
      <c r="H1364" s="1201" t="str">
        <f>IFERROR(VLOOKUP(F1364,#REF!,10,FALSE),"")</f>
        <v/>
      </c>
      <c r="I1364" s="1202" t="str">
        <f t="shared" si="138"/>
        <v/>
      </c>
      <c r="J1364" s="1203"/>
      <c r="K1364" s="1741"/>
      <c r="L1364" s="1577"/>
      <c r="M1364" s="1374"/>
      <c r="N1364" s="1111" t="str">
        <f t="shared" ref="N1364:N1375" si="142">IFERROR((L1364/67)/(1/(I1364*24)/3.6),"")</f>
        <v/>
      </c>
      <c r="O1364" s="1204"/>
      <c r="P1364" s="1113" t="str">
        <f>IFERROR(VLOOKUP(F1364,#REF!,12,FALSE),"")</f>
        <v/>
      </c>
      <c r="Q1364" s="1254" t="s">
        <v>8</v>
      </c>
      <c r="R1364" s="1255" t="str">
        <f>IFERROR(VLOOKUP(F1364,#REF!,14,FALSE),"")</f>
        <v/>
      </c>
      <c r="S1364" s="1207" t="str">
        <f t="shared" ref="S1364:S1375" si="143">IFERROR(L1364/J1364,"")</f>
        <v/>
      </c>
      <c r="U1364" s="1728"/>
      <c r="V1364" s="1108">
        <f t="shared" si="141"/>
        <v>0</v>
      </c>
      <c r="W1364" s="1766"/>
      <c r="X1364" s="1108"/>
    </row>
    <row r="1365" spans="2:24" x14ac:dyDescent="0.2">
      <c r="B1365" s="1666" t="s">
        <v>142</v>
      </c>
      <c r="C1365" s="1208">
        <v>44453</v>
      </c>
      <c r="D1365" s="864">
        <v>102</v>
      </c>
      <c r="E1365" s="1322" t="s">
        <v>293</v>
      </c>
      <c r="F1365" s="1547" t="s">
        <v>322</v>
      </c>
      <c r="G1365" s="1323">
        <v>2.5451388888888888E-2</v>
      </c>
      <c r="H1365" s="1210">
        <v>6.24</v>
      </c>
      <c r="I1365" s="1211">
        <f t="shared" si="138"/>
        <v>4.0787482193732193E-3</v>
      </c>
      <c r="J1365" s="1212">
        <v>140</v>
      </c>
      <c r="K1365" s="1741"/>
      <c r="L1365" s="1578">
        <v>201</v>
      </c>
      <c r="M1365" s="1602">
        <v>15</v>
      </c>
      <c r="N1365" s="1171">
        <f t="shared" si="142"/>
        <v>1.0572115384615384</v>
      </c>
      <c r="O1365" s="1213" t="s">
        <v>339</v>
      </c>
      <c r="P1365" s="1302" t="str">
        <f>IFERROR(VLOOKUP(F1365,#REF!,12,FALSE),"")</f>
        <v/>
      </c>
      <c r="Q1365" s="1303" t="s">
        <v>8</v>
      </c>
      <c r="R1365" s="1304" t="str">
        <f>IFERROR(VLOOKUP(F1365,#REF!,14,FALSE),"")</f>
        <v/>
      </c>
      <c r="S1365" s="1217">
        <f t="shared" si="143"/>
        <v>1.4357142857142857</v>
      </c>
      <c r="U1365" s="1728"/>
      <c r="V1365" s="864">
        <f t="shared" si="141"/>
        <v>0</v>
      </c>
      <c r="W1365" s="1767"/>
      <c r="X1365" s="864"/>
    </row>
    <row r="1366" spans="2:24" ht="16" thickBot="1" x14ac:dyDescent="0.25">
      <c r="B1366" s="1654">
        <f>SUM(H1364:H1370)</f>
        <v>23.58</v>
      </c>
      <c r="C1366" s="1208">
        <v>44454</v>
      </c>
      <c r="D1366" s="864"/>
      <c r="E1366" s="1322"/>
      <c r="F1366" s="1547"/>
      <c r="G1366" s="1323"/>
      <c r="H1366" s="1210" t="str">
        <f>IFERROR(VLOOKUP(F1366,#REF!,10,FALSE),"")</f>
        <v/>
      </c>
      <c r="I1366" s="1211" t="str">
        <f t="shared" si="138"/>
        <v/>
      </c>
      <c r="J1366" s="1212"/>
      <c r="K1366" s="1741"/>
      <c r="L1366" s="1578"/>
      <c r="M1366" s="1602"/>
      <c r="N1366" s="1171" t="str">
        <f t="shared" si="142"/>
        <v/>
      </c>
      <c r="O1366" s="1213"/>
      <c r="P1366" s="1302" t="str">
        <f>IFERROR(VLOOKUP(F1366,#REF!,12,FALSE),"")</f>
        <v/>
      </c>
      <c r="Q1366" s="1303" t="s">
        <v>8</v>
      </c>
      <c r="R1366" s="1304" t="str">
        <f>IFERROR(VLOOKUP(F1366,#REF!,14,FALSE),"")</f>
        <v/>
      </c>
      <c r="S1366" s="1217" t="str">
        <f t="shared" si="143"/>
        <v/>
      </c>
      <c r="U1366" s="1728"/>
      <c r="V1366" s="864">
        <f t="shared" si="141"/>
        <v>0</v>
      </c>
      <c r="W1366" s="1767"/>
      <c r="X1366" s="864"/>
    </row>
    <row r="1367" spans="2:24" x14ac:dyDescent="0.2">
      <c r="B1367" s="1667" t="s">
        <v>144</v>
      </c>
      <c r="C1367" s="1208">
        <v>44455</v>
      </c>
      <c r="D1367" s="864">
        <v>103</v>
      </c>
      <c r="E1367" s="1322" t="s">
        <v>293</v>
      </c>
      <c r="F1367" s="1547" t="s">
        <v>322</v>
      </c>
      <c r="G1367" s="1323">
        <v>2.9710648148148149E-2</v>
      </c>
      <c r="H1367" s="1210">
        <v>7.46</v>
      </c>
      <c r="I1367" s="1211">
        <f t="shared" si="138"/>
        <v>3.9826606096713341E-3</v>
      </c>
      <c r="J1367" s="1212">
        <v>141</v>
      </c>
      <c r="K1367" s="1741"/>
      <c r="L1367" s="1578">
        <v>205</v>
      </c>
      <c r="M1367" s="1602">
        <v>19</v>
      </c>
      <c r="N1367" s="1171">
        <f t="shared" si="142"/>
        <v>1.0528490256492342</v>
      </c>
      <c r="O1367" s="1213" t="s">
        <v>311</v>
      </c>
      <c r="P1367" s="1302" t="str">
        <f>IFERROR(VLOOKUP(F1367,#REF!,12,FALSE),"")</f>
        <v/>
      </c>
      <c r="Q1367" s="1303" t="s">
        <v>8</v>
      </c>
      <c r="R1367" s="1304" t="str">
        <f>IFERROR(VLOOKUP(F1367,#REF!,14,FALSE),"")</f>
        <v/>
      </c>
      <c r="S1367" s="1217">
        <f t="shared" si="143"/>
        <v>1.4539007092198581</v>
      </c>
      <c r="U1367" s="1728"/>
      <c r="V1367" s="864">
        <f t="shared" si="141"/>
        <v>0</v>
      </c>
      <c r="W1367" s="1767"/>
      <c r="X1367" s="864"/>
    </row>
    <row r="1368" spans="2:24" ht="16" thickBot="1" x14ac:dyDescent="0.25">
      <c r="B1368" s="1668" t="e">
        <f>SUM(#REF!)</f>
        <v>#REF!</v>
      </c>
      <c r="C1368" s="1208">
        <v>44456</v>
      </c>
      <c r="D1368" s="864"/>
      <c r="E1368" s="1322"/>
      <c r="F1368" s="1547"/>
      <c r="G1368" s="1323"/>
      <c r="H1368" s="1210" t="str">
        <f>IFERROR(VLOOKUP(F1368,#REF!,10,FALSE),"")</f>
        <v/>
      </c>
      <c r="I1368" s="1211" t="str">
        <f t="shared" si="138"/>
        <v/>
      </c>
      <c r="J1368" s="1212"/>
      <c r="K1368" s="1741"/>
      <c r="L1368" s="1578"/>
      <c r="M1368" s="1602"/>
      <c r="N1368" s="1171" t="str">
        <f t="shared" si="142"/>
        <v/>
      </c>
      <c r="O1368" s="1213"/>
      <c r="P1368" s="1302" t="str">
        <f>IFERROR(VLOOKUP(F1368,#REF!,12,FALSE),"")</f>
        <v/>
      </c>
      <c r="Q1368" s="1303" t="s">
        <v>8</v>
      </c>
      <c r="R1368" s="1304" t="str">
        <f>IFERROR(VLOOKUP(F1368,#REF!,14,FALSE),"")</f>
        <v/>
      </c>
      <c r="S1368" s="1217" t="str">
        <f t="shared" si="143"/>
        <v/>
      </c>
      <c r="U1368" s="1728"/>
      <c r="V1368" s="864">
        <f t="shared" si="141"/>
        <v>0</v>
      </c>
      <c r="W1368" s="1767"/>
      <c r="X1368" s="864"/>
    </row>
    <row r="1369" spans="2:24" x14ac:dyDescent="0.2">
      <c r="B1369" s="1669" t="s">
        <v>256</v>
      </c>
      <c r="C1369" s="1208">
        <v>44457</v>
      </c>
      <c r="D1369" s="864">
        <v>104</v>
      </c>
      <c r="E1369" s="1322" t="s">
        <v>292</v>
      </c>
      <c r="F1369" s="1547" t="s">
        <v>279</v>
      </c>
      <c r="G1369" s="1323">
        <v>3.8946759259259257E-2</v>
      </c>
      <c r="H1369" s="1210">
        <v>9.8800000000000008</v>
      </c>
      <c r="I1369" s="1211">
        <f t="shared" si="138"/>
        <v>3.9419796821112607E-3</v>
      </c>
      <c r="J1369" s="1212">
        <v>140</v>
      </c>
      <c r="K1369" s="1741"/>
      <c r="L1369" s="1578">
        <v>205</v>
      </c>
      <c r="M1369" s="1602">
        <v>30</v>
      </c>
      <c r="N1369" s="1171">
        <f t="shared" si="142"/>
        <v>1.0420946885008158</v>
      </c>
      <c r="O1369" s="1213" t="s">
        <v>339</v>
      </c>
      <c r="P1369" s="1302" t="str">
        <f>IFERROR(VLOOKUP(F1369,#REF!,12,FALSE),"")</f>
        <v/>
      </c>
      <c r="Q1369" s="1303" t="s">
        <v>8</v>
      </c>
      <c r="R1369" s="1304" t="str">
        <f>IFERROR(VLOOKUP(F1369,#REF!,14,FALSE),"")</f>
        <v/>
      </c>
      <c r="S1369" s="1217">
        <f t="shared" si="143"/>
        <v>1.4642857142857142</v>
      </c>
      <c r="U1369" s="1728"/>
      <c r="V1369" s="864">
        <f t="shared" si="141"/>
        <v>0</v>
      </c>
      <c r="W1369" s="1767"/>
      <c r="X1369" s="864"/>
    </row>
    <row r="1370" spans="2:24" ht="16" thickBot="1" x14ac:dyDescent="0.25">
      <c r="B1370" s="1670" t="e">
        <f>AVERAGE(#REF!)</f>
        <v>#REF!</v>
      </c>
      <c r="C1370" s="544">
        <v>44458</v>
      </c>
      <c r="D1370" s="67"/>
      <c r="E1370" s="336"/>
      <c r="F1370" s="1429"/>
      <c r="G1370" s="1320"/>
      <c r="H1370" s="1231" t="str">
        <f>IFERROR(VLOOKUP(F1370,#REF!,10,FALSE),"")</f>
        <v/>
      </c>
      <c r="I1370" s="1232" t="str">
        <f t="shared" si="138"/>
        <v/>
      </c>
      <c r="J1370" s="256"/>
      <c r="K1370" s="1741"/>
      <c r="L1370" s="1580"/>
      <c r="M1370" s="1561"/>
      <c r="N1370" s="172" t="str">
        <f t="shared" si="142"/>
        <v/>
      </c>
      <c r="O1370" s="1233"/>
      <c r="P1370" s="447" t="str">
        <f>IFERROR(VLOOKUP(F1370,#REF!,12,FALSE),"")</f>
        <v/>
      </c>
      <c r="Q1370" s="1269" t="s">
        <v>8</v>
      </c>
      <c r="R1370" s="1235" t="str">
        <f>IFERROR(VLOOKUP(F1370,#REF!,14,FALSE),"")</f>
        <v/>
      </c>
      <c r="S1370" s="1236" t="str">
        <f t="shared" si="143"/>
        <v/>
      </c>
      <c r="U1370" s="1728"/>
      <c r="V1370" s="67">
        <f t="shared" si="141"/>
        <v>0</v>
      </c>
      <c r="W1370" s="1768"/>
      <c r="X1370" s="67"/>
    </row>
    <row r="1371" spans="2:24" ht="16" thickBot="1" x14ac:dyDescent="0.25">
      <c r="B1371" s="1661">
        <f>B1364+1</f>
        <v>38</v>
      </c>
      <c r="C1371" s="1237">
        <v>44459</v>
      </c>
      <c r="D1371" s="70">
        <v>105</v>
      </c>
      <c r="E1371" s="931" t="s">
        <v>293</v>
      </c>
      <c r="F1371" s="1546" t="s">
        <v>278</v>
      </c>
      <c r="G1371" s="1321">
        <v>3.8217592592592588E-2</v>
      </c>
      <c r="H1371" s="1239">
        <v>9.99</v>
      </c>
      <c r="I1371" s="1240">
        <f t="shared" si="138"/>
        <v>3.8255848441033622E-3</v>
      </c>
      <c r="J1371" s="265">
        <v>141</v>
      </c>
      <c r="K1371" s="1741"/>
      <c r="L1371" s="1581">
        <v>213</v>
      </c>
      <c r="M1371" s="265">
        <v>28</v>
      </c>
      <c r="N1371" s="77">
        <f t="shared" si="142"/>
        <v>1.0507910895970598</v>
      </c>
      <c r="O1371" s="1241" t="s">
        <v>311</v>
      </c>
      <c r="P1371" s="79" t="str">
        <f>IFERROR(VLOOKUP(F1371,#REF!,12,FALSE),"")</f>
        <v/>
      </c>
      <c r="Q1371" s="1242" t="s">
        <v>8</v>
      </c>
      <c r="R1371" s="1243" t="str">
        <f>IFERROR(VLOOKUP(F1371,#REF!,14,FALSE),"")</f>
        <v/>
      </c>
      <c r="S1371" s="1244">
        <f t="shared" si="143"/>
        <v>1.5106382978723405</v>
      </c>
      <c r="U1371" s="1728"/>
      <c r="V1371" s="70">
        <f t="shared" si="141"/>
        <v>0</v>
      </c>
      <c r="W1371" s="1766"/>
      <c r="X1371" s="70"/>
    </row>
    <row r="1372" spans="2:24" x14ac:dyDescent="0.2">
      <c r="B1372" s="1666" t="s">
        <v>142</v>
      </c>
      <c r="C1372" s="1208">
        <v>44460</v>
      </c>
      <c r="D1372" s="864"/>
      <c r="E1372" s="1322"/>
      <c r="F1372" s="1547"/>
      <c r="G1372" s="1323"/>
      <c r="H1372" s="1210" t="str">
        <f>IFERROR(VLOOKUP(F1372,#REF!,10,FALSE),"")</f>
        <v/>
      </c>
      <c r="I1372" s="1211" t="str">
        <f t="shared" si="138"/>
        <v/>
      </c>
      <c r="J1372" s="1212"/>
      <c r="K1372" s="1741"/>
      <c r="L1372" s="1578"/>
      <c r="M1372" s="1602"/>
      <c r="N1372" s="1171" t="str">
        <f t="shared" si="142"/>
        <v/>
      </c>
      <c r="O1372" s="1213"/>
      <c r="P1372" s="1214" t="str">
        <f>IFERROR(VLOOKUP(F1372,#REF!,12,FALSE),"")</f>
        <v/>
      </c>
      <c r="Q1372" s="1215" t="s">
        <v>8</v>
      </c>
      <c r="R1372" s="1216" t="str">
        <f>IFERROR(VLOOKUP(F1372,#REF!,14,FALSE),"")</f>
        <v/>
      </c>
      <c r="S1372" s="1217" t="str">
        <f t="shared" si="143"/>
        <v/>
      </c>
      <c r="U1372" s="1728"/>
      <c r="V1372" s="864">
        <f t="shared" si="141"/>
        <v>0</v>
      </c>
      <c r="W1372" s="1767"/>
      <c r="X1372" s="864"/>
    </row>
    <row r="1373" spans="2:24" ht="16" thickBot="1" x14ac:dyDescent="0.25">
      <c r="B1373" s="1654">
        <f>SUM(H1371:H1377)</f>
        <v>31.92</v>
      </c>
      <c r="C1373" s="1208">
        <v>44461</v>
      </c>
      <c r="D1373" s="864">
        <v>106</v>
      </c>
      <c r="E1373" s="1322" t="s">
        <v>293</v>
      </c>
      <c r="F1373" s="1547" t="s">
        <v>317</v>
      </c>
      <c r="G1373" s="1323">
        <v>3.1446759259259258E-2</v>
      </c>
      <c r="H1373" s="1210">
        <v>8.9600000000000009</v>
      </c>
      <c r="I1373" s="1211">
        <f t="shared" si="138"/>
        <v>3.5096829530423274E-3</v>
      </c>
      <c r="J1373" s="1212">
        <v>155</v>
      </c>
      <c r="K1373" s="1741"/>
      <c r="L1373" s="1578">
        <v>228</v>
      </c>
      <c r="M1373" s="1602">
        <v>24</v>
      </c>
      <c r="N1373" s="1171">
        <f t="shared" si="142"/>
        <v>1.0319096481876333</v>
      </c>
      <c r="O1373" s="1213" t="s">
        <v>341</v>
      </c>
      <c r="P1373" s="1214" t="str">
        <f>IFERROR(VLOOKUP(F1373,#REF!,12,FALSE),"")</f>
        <v/>
      </c>
      <c r="Q1373" s="1215" t="s">
        <v>8</v>
      </c>
      <c r="R1373" s="1216" t="str">
        <f>IFERROR(VLOOKUP(F1373,#REF!,14,FALSE),"")</f>
        <v/>
      </c>
      <c r="S1373" s="1217">
        <f t="shared" si="143"/>
        <v>1.4709677419354839</v>
      </c>
      <c r="U1373" s="1728"/>
      <c r="V1373" s="864">
        <f t="shared" si="141"/>
        <v>0</v>
      </c>
      <c r="W1373" s="1767"/>
      <c r="X1373" s="864"/>
    </row>
    <row r="1374" spans="2:24" x14ac:dyDescent="0.2">
      <c r="B1374" s="1667" t="s">
        <v>144</v>
      </c>
      <c r="C1374" s="1208">
        <v>44462</v>
      </c>
      <c r="D1374" s="864">
        <v>107</v>
      </c>
      <c r="E1374" s="1322" t="s">
        <v>293</v>
      </c>
      <c r="F1374" s="1547" t="s">
        <v>326</v>
      </c>
      <c r="G1374" s="1323">
        <v>3.0682870370370371E-2</v>
      </c>
      <c r="H1374" s="1210">
        <v>7.4</v>
      </c>
      <c r="I1374" s="1211">
        <f t="shared" si="138"/>
        <v>4.1463338338338339E-3</v>
      </c>
      <c r="J1374" s="1212">
        <v>138</v>
      </c>
      <c r="K1374" s="1741"/>
      <c r="L1374" s="1578">
        <v>198</v>
      </c>
      <c r="M1374" s="1602">
        <v>21</v>
      </c>
      <c r="N1374" s="1171">
        <f t="shared" si="142"/>
        <v>1.0586889874949577</v>
      </c>
      <c r="O1374" s="1213" t="s">
        <v>339</v>
      </c>
      <c r="P1374" s="1214" t="str">
        <f>IFERROR(VLOOKUP(F1374,#REF!,12,FALSE),"")</f>
        <v/>
      </c>
      <c r="Q1374" s="1215" t="s">
        <v>8</v>
      </c>
      <c r="R1374" s="1216" t="str">
        <f>IFERROR(VLOOKUP(F1374,#REF!,14,FALSE),"")</f>
        <v/>
      </c>
      <c r="S1374" s="1217">
        <f t="shared" si="143"/>
        <v>1.4347826086956521</v>
      </c>
      <c r="U1374" s="1728"/>
      <c r="V1374" s="864">
        <f t="shared" si="141"/>
        <v>0</v>
      </c>
      <c r="W1374" s="1767"/>
      <c r="X1374" s="864"/>
    </row>
    <row r="1375" spans="2:24" ht="16" thickBot="1" x14ac:dyDescent="0.25">
      <c r="B1375" s="1668" t="e">
        <f>SUM(#REF!)</f>
        <v>#REF!</v>
      </c>
      <c r="C1375" s="1208">
        <v>44463</v>
      </c>
      <c r="D1375" s="864"/>
      <c r="E1375" s="1322"/>
      <c r="F1375" s="1547"/>
      <c r="G1375" s="1323"/>
      <c r="H1375" s="1210" t="str">
        <f>IFERROR(VLOOKUP(F1375,#REF!,10,FALSE),"")</f>
        <v/>
      </c>
      <c r="I1375" s="1211" t="str">
        <f t="shared" si="138"/>
        <v/>
      </c>
      <c r="J1375" s="1212"/>
      <c r="K1375" s="1741"/>
      <c r="L1375" s="1578"/>
      <c r="M1375" s="1602"/>
      <c r="N1375" s="1171" t="str">
        <f t="shared" si="142"/>
        <v/>
      </c>
      <c r="O1375" s="1213"/>
      <c r="P1375" s="1214" t="str">
        <f>IFERROR(VLOOKUP(F1375,#REF!,12,FALSE),"")</f>
        <v/>
      </c>
      <c r="Q1375" s="1215" t="s">
        <v>8</v>
      </c>
      <c r="R1375" s="1216" t="str">
        <f>IFERROR(VLOOKUP(F1375,#REF!,14,FALSE),"")</f>
        <v/>
      </c>
      <c r="S1375" s="1217" t="str">
        <f t="shared" si="143"/>
        <v/>
      </c>
      <c r="U1375" s="1728"/>
      <c r="V1375" s="864">
        <f t="shared" si="141"/>
        <v>0</v>
      </c>
      <c r="W1375" s="1767"/>
      <c r="X1375" s="864"/>
    </row>
    <row r="1376" spans="2:24" x14ac:dyDescent="0.2">
      <c r="B1376" s="1669" t="s">
        <v>256</v>
      </c>
      <c r="C1376" s="1208">
        <v>44464</v>
      </c>
      <c r="D1376" s="864">
        <v>108</v>
      </c>
      <c r="E1376" s="1322" t="s">
        <v>293</v>
      </c>
      <c r="F1376" s="1547" t="s">
        <v>297</v>
      </c>
      <c r="G1376" s="1323">
        <v>3.0150462962962962E-2</v>
      </c>
      <c r="H1376" s="1210">
        <v>5.57</v>
      </c>
      <c r="I1376" s="1211">
        <f t="shared" si="138"/>
        <v>5.4130095086109449E-3</v>
      </c>
      <c r="J1376" s="1212">
        <v>151</v>
      </c>
      <c r="K1376" s="1741"/>
      <c r="L1376" s="1578">
        <v>191</v>
      </c>
      <c r="M1376" s="1602">
        <v>334</v>
      </c>
      <c r="N1376" s="1171"/>
      <c r="O1376" s="1213" t="s">
        <v>299</v>
      </c>
      <c r="P1376" s="1214" t="str">
        <f>IFERROR(VLOOKUP(F1376,#REF!,12,FALSE),"")</f>
        <v/>
      </c>
      <c r="Q1376" s="1215" t="s">
        <v>8</v>
      </c>
      <c r="R1376" s="1216" t="str">
        <f>IFERROR(VLOOKUP(F1376,#REF!,14,FALSE),"")</f>
        <v/>
      </c>
      <c r="S1376" s="1217"/>
      <c r="U1376" s="1728"/>
      <c r="V1376" s="864">
        <f t="shared" si="141"/>
        <v>0</v>
      </c>
      <c r="W1376" s="1767"/>
      <c r="X1376" s="864"/>
    </row>
    <row r="1377" spans="2:24" ht="16" thickBot="1" x14ac:dyDescent="0.25">
      <c r="B1377" s="1672" t="e">
        <f>AVERAGE(#REF!)</f>
        <v>#REF!</v>
      </c>
      <c r="C1377" s="1305">
        <v>44465</v>
      </c>
      <c r="D1377" s="1306"/>
      <c r="E1377" s="1046"/>
      <c r="F1377" s="1429"/>
      <c r="G1377" s="1307"/>
      <c r="H1377" s="1308" t="str">
        <f>IFERROR(VLOOKUP(F1377,#REF!,10,FALSE),"")</f>
        <v/>
      </c>
      <c r="I1377" s="1309" t="str">
        <f t="shared" si="138"/>
        <v/>
      </c>
      <c r="J1377" s="1310"/>
      <c r="K1377" s="1741"/>
      <c r="L1377" s="984"/>
      <c r="M1377" s="1603"/>
      <c r="N1377" s="1311" t="str">
        <f t="shared" ref="N1377:N1398" si="144">IFERROR((L1377/67)/(1/(I1377*24)/3.6),"")</f>
        <v/>
      </c>
      <c r="O1377" s="1312"/>
      <c r="P1377" s="1313" t="str">
        <f>IFERROR(VLOOKUP(F1377,#REF!,12,FALSE),"")</f>
        <v/>
      </c>
      <c r="Q1377" s="1314" t="s">
        <v>8</v>
      </c>
      <c r="R1377" s="1315" t="str">
        <f>IFERROR(VLOOKUP(F1377,#REF!,14,FALSE),"")</f>
        <v/>
      </c>
      <c r="S1377" s="1316" t="str">
        <f t="shared" ref="S1377:S1398" si="145">IFERROR(L1377/J1377,"")</f>
        <v/>
      </c>
      <c r="U1377" s="1728"/>
      <c r="V1377" s="1306">
        <f t="shared" si="141"/>
        <v>0</v>
      </c>
      <c r="W1377" s="1768"/>
      <c r="X1377" s="1306"/>
    </row>
    <row r="1378" spans="2:24" ht="16" thickBot="1" x14ac:dyDescent="0.25">
      <c r="B1378" s="1661">
        <f>B1371+1</f>
        <v>39</v>
      </c>
      <c r="C1378" s="1199">
        <v>44466</v>
      </c>
      <c r="D1378" s="1108">
        <v>109</v>
      </c>
      <c r="E1378" s="915" t="s">
        <v>293</v>
      </c>
      <c r="F1378" s="1546" t="s">
        <v>278</v>
      </c>
      <c r="G1378" s="1317">
        <v>4.2673611111111114E-2</v>
      </c>
      <c r="H1378" s="1201">
        <v>10.8</v>
      </c>
      <c r="I1378" s="1202">
        <f t="shared" si="138"/>
        <v>3.9512602880658436E-3</v>
      </c>
      <c r="J1378" s="1203">
        <v>141</v>
      </c>
      <c r="K1378" s="1741"/>
      <c r="L1378" s="1577">
        <v>208</v>
      </c>
      <c r="M1378" s="1374">
        <v>28</v>
      </c>
      <c r="N1378" s="1111">
        <f t="shared" si="144"/>
        <v>1.0598341625207297</v>
      </c>
      <c r="O1378" s="1204" t="s">
        <v>311</v>
      </c>
      <c r="P1378" s="1113" t="str">
        <f>IFERROR(VLOOKUP(F1378,#REF!,12,FALSE),"")</f>
        <v/>
      </c>
      <c r="Q1378" s="1254" t="s">
        <v>8</v>
      </c>
      <c r="R1378" s="1255" t="str">
        <f>IFERROR(VLOOKUP(F1378,#REF!,14,FALSE),"")</f>
        <v/>
      </c>
      <c r="S1378" s="1207">
        <f t="shared" si="145"/>
        <v>1.4751773049645389</v>
      </c>
      <c r="U1378" s="1728"/>
      <c r="V1378" s="1108">
        <f t="shared" si="141"/>
        <v>0</v>
      </c>
      <c r="W1378" s="1766"/>
      <c r="X1378" s="1108"/>
    </row>
    <row r="1379" spans="2:24" x14ac:dyDescent="0.2">
      <c r="B1379" s="1666" t="s">
        <v>142</v>
      </c>
      <c r="C1379" s="1208">
        <v>44467</v>
      </c>
      <c r="D1379" s="864"/>
      <c r="E1379" s="1322"/>
      <c r="F1379" s="1547"/>
      <c r="G1379" s="1323"/>
      <c r="H1379" s="1210" t="str">
        <f>IFERROR(VLOOKUP(F1379,#REF!,10,FALSE),"")</f>
        <v/>
      </c>
      <c r="I1379" s="1211" t="str">
        <f t="shared" si="138"/>
        <v/>
      </c>
      <c r="J1379" s="1212"/>
      <c r="K1379" s="1741"/>
      <c r="L1379" s="1578"/>
      <c r="M1379" s="1602"/>
      <c r="N1379" s="1171" t="str">
        <f t="shared" si="144"/>
        <v/>
      </c>
      <c r="O1379" s="1213"/>
      <c r="P1379" s="1302" t="str">
        <f>IFERROR(VLOOKUP(F1379,#REF!,12,FALSE),"")</f>
        <v/>
      </c>
      <c r="Q1379" s="1303" t="s">
        <v>8</v>
      </c>
      <c r="R1379" s="1304" t="str">
        <f>IFERROR(VLOOKUP(F1379,#REF!,14,FALSE),"")</f>
        <v/>
      </c>
      <c r="S1379" s="1217" t="str">
        <f t="shared" si="145"/>
        <v/>
      </c>
      <c r="U1379" s="1728"/>
      <c r="V1379" s="864">
        <f t="shared" si="141"/>
        <v>0</v>
      </c>
      <c r="W1379" s="1767"/>
      <c r="X1379" s="864"/>
    </row>
    <row r="1380" spans="2:24" ht="16" thickBot="1" x14ac:dyDescent="0.25">
      <c r="B1380" s="1654">
        <f>SUM(H1378:H1384)</f>
        <v>17.22</v>
      </c>
      <c r="C1380" s="1208">
        <v>44468</v>
      </c>
      <c r="D1380" s="864">
        <v>110</v>
      </c>
      <c r="E1380" s="1322" t="s">
        <v>293</v>
      </c>
      <c r="F1380" s="1547" t="s">
        <v>326</v>
      </c>
      <c r="G1380" s="1323">
        <v>2.6053240740740738E-2</v>
      </c>
      <c r="H1380" s="1210">
        <v>6.42</v>
      </c>
      <c r="I1380" s="1211">
        <f t="shared" si="138"/>
        <v>4.0581371870312679E-3</v>
      </c>
      <c r="J1380" s="1212">
        <v>133</v>
      </c>
      <c r="K1380" s="1741"/>
      <c r="L1380" s="1578">
        <v>202</v>
      </c>
      <c r="M1380" s="1602">
        <v>17</v>
      </c>
      <c r="N1380" s="1171">
        <f t="shared" si="144"/>
        <v>1.0571023387734224</v>
      </c>
      <c r="O1380" s="1213" t="s">
        <v>311</v>
      </c>
      <c r="P1380" s="1302" t="str">
        <f>IFERROR(VLOOKUP(F1380,#REF!,12,FALSE),"")</f>
        <v/>
      </c>
      <c r="Q1380" s="1303" t="s">
        <v>8</v>
      </c>
      <c r="R1380" s="1304" t="str">
        <f>IFERROR(VLOOKUP(F1380,#REF!,14,FALSE),"")</f>
        <v/>
      </c>
      <c r="S1380" s="1217">
        <f t="shared" si="145"/>
        <v>1.518796992481203</v>
      </c>
      <c r="U1380" s="1728"/>
      <c r="V1380" s="864">
        <f t="shared" si="141"/>
        <v>0</v>
      </c>
      <c r="W1380" s="1767"/>
      <c r="X1380" s="864"/>
    </row>
    <row r="1381" spans="2:24" x14ac:dyDescent="0.2">
      <c r="B1381" s="1667" t="s">
        <v>144</v>
      </c>
      <c r="C1381" s="1208">
        <v>44469</v>
      </c>
      <c r="D1381" s="864"/>
      <c r="E1381" s="1322"/>
      <c r="F1381" s="1547"/>
      <c r="G1381" s="1323"/>
      <c r="H1381" s="1210" t="str">
        <f>IFERROR(VLOOKUP(F1381,#REF!,10,FALSE),"")</f>
        <v/>
      </c>
      <c r="I1381" s="1211" t="str">
        <f t="shared" si="138"/>
        <v/>
      </c>
      <c r="J1381" s="1212"/>
      <c r="K1381" s="1741"/>
      <c r="L1381" s="1578"/>
      <c r="M1381" s="1602"/>
      <c r="N1381" s="1171" t="str">
        <f t="shared" si="144"/>
        <v/>
      </c>
      <c r="O1381" s="1213"/>
      <c r="P1381" s="1302" t="str">
        <f>IFERROR(VLOOKUP(F1381,#REF!,12,FALSE),"")</f>
        <v/>
      </c>
      <c r="Q1381" s="1303" t="s">
        <v>8</v>
      </c>
      <c r="R1381" s="1304" t="str">
        <f>IFERROR(VLOOKUP(F1381,#REF!,14,FALSE),"")</f>
        <v/>
      </c>
      <c r="S1381" s="1217" t="str">
        <f t="shared" si="145"/>
        <v/>
      </c>
      <c r="U1381" s="1728"/>
      <c r="V1381" s="864">
        <f t="shared" si="141"/>
        <v>0</v>
      </c>
      <c r="W1381" s="1767"/>
      <c r="X1381" s="864"/>
    </row>
    <row r="1382" spans="2:24" ht="16" thickBot="1" x14ac:dyDescent="0.25">
      <c r="B1382" s="1668" t="e">
        <f>SUM(#REF!)</f>
        <v>#REF!</v>
      </c>
      <c r="C1382" s="1208">
        <v>44470</v>
      </c>
      <c r="D1382" s="864"/>
      <c r="E1382" s="1322"/>
      <c r="F1382" s="1547"/>
      <c r="G1382" s="1323"/>
      <c r="H1382" s="1210" t="str">
        <f>IFERROR(VLOOKUP(F1382,#REF!,10,FALSE),"")</f>
        <v/>
      </c>
      <c r="I1382" s="1211" t="str">
        <f t="shared" ref="I1382:I1404" si="146">IFERROR(G1382/H1382,"")</f>
        <v/>
      </c>
      <c r="J1382" s="1212"/>
      <c r="K1382" s="1741"/>
      <c r="L1382" s="1578"/>
      <c r="M1382" s="1602"/>
      <c r="N1382" s="1171" t="str">
        <f t="shared" si="144"/>
        <v/>
      </c>
      <c r="O1382" s="1213"/>
      <c r="P1382" s="1302" t="str">
        <f>IFERROR(VLOOKUP(F1382,#REF!,12,FALSE),"")</f>
        <v/>
      </c>
      <c r="Q1382" s="1303" t="s">
        <v>8</v>
      </c>
      <c r="R1382" s="1304" t="str">
        <f>IFERROR(VLOOKUP(F1382,#REF!,14,FALSE),"")</f>
        <v/>
      </c>
      <c r="S1382" s="1217" t="str">
        <f t="shared" si="145"/>
        <v/>
      </c>
      <c r="U1382" s="1728"/>
      <c r="V1382" s="864">
        <f t="shared" si="141"/>
        <v>0</v>
      </c>
      <c r="W1382" s="1767"/>
      <c r="X1382" s="864"/>
    </row>
    <row r="1383" spans="2:24" x14ac:dyDescent="0.2">
      <c r="B1383" s="1669" t="s">
        <v>256</v>
      </c>
      <c r="C1383" s="1208">
        <v>44471</v>
      </c>
      <c r="D1383" s="864"/>
      <c r="E1383" s="1322"/>
      <c r="F1383" s="1547"/>
      <c r="G1383" s="1323"/>
      <c r="H1383" s="1210" t="str">
        <f>IFERROR(VLOOKUP(F1383,#REF!,10,FALSE),"")</f>
        <v/>
      </c>
      <c r="I1383" s="1211" t="str">
        <f t="shared" si="146"/>
        <v/>
      </c>
      <c r="J1383" s="1212"/>
      <c r="K1383" s="1741"/>
      <c r="L1383" s="1578"/>
      <c r="M1383" s="1602"/>
      <c r="N1383" s="1171" t="str">
        <f t="shared" si="144"/>
        <v/>
      </c>
      <c r="O1383" s="1213"/>
      <c r="P1383" s="1302" t="str">
        <f>IFERROR(VLOOKUP(F1383,#REF!,12,FALSE),"")</f>
        <v/>
      </c>
      <c r="Q1383" s="1303" t="s">
        <v>8</v>
      </c>
      <c r="R1383" s="1304" t="str">
        <f>IFERROR(VLOOKUP(F1383,#REF!,14,FALSE),"")</f>
        <v/>
      </c>
      <c r="S1383" s="1217" t="str">
        <f t="shared" si="145"/>
        <v/>
      </c>
      <c r="U1383" s="1728"/>
      <c r="V1383" s="864">
        <f t="shared" si="141"/>
        <v>0</v>
      </c>
      <c r="W1383" s="1767"/>
      <c r="X1383" s="864"/>
    </row>
    <row r="1384" spans="2:24" ht="16" thickBot="1" x14ac:dyDescent="0.25">
      <c r="B1384" s="1672" t="e">
        <f>AVERAGE(#REF!)</f>
        <v>#REF!</v>
      </c>
      <c r="C1384" s="544">
        <v>44472</v>
      </c>
      <c r="D1384" s="67"/>
      <c r="E1384" s="336"/>
      <c r="F1384" s="1429"/>
      <c r="G1384" s="1320"/>
      <c r="H1384" s="1231" t="str">
        <f>IFERROR(VLOOKUP(F1384,#REF!,10,FALSE),"")</f>
        <v/>
      </c>
      <c r="I1384" s="1232" t="str">
        <f t="shared" si="146"/>
        <v/>
      </c>
      <c r="J1384" s="256"/>
      <c r="K1384" s="1741"/>
      <c r="L1384" s="1580"/>
      <c r="M1384" s="1561"/>
      <c r="N1384" s="172" t="str">
        <f t="shared" si="144"/>
        <v/>
      </c>
      <c r="O1384" s="1233"/>
      <c r="P1384" s="447" t="str">
        <f>IFERROR(VLOOKUP(F1384,#REF!,12,FALSE),"")</f>
        <v/>
      </c>
      <c r="Q1384" s="1269" t="s">
        <v>8</v>
      </c>
      <c r="R1384" s="1235" t="str">
        <f>IFERROR(VLOOKUP(F1384,#REF!,14,FALSE),"")</f>
        <v/>
      </c>
      <c r="S1384" s="1236" t="str">
        <f t="shared" si="145"/>
        <v/>
      </c>
      <c r="U1384" s="1728"/>
      <c r="V1384" s="67">
        <f t="shared" si="141"/>
        <v>0</v>
      </c>
      <c r="W1384" s="1768"/>
      <c r="X1384" s="67"/>
    </row>
    <row r="1385" spans="2:24" ht="16" thickBot="1" x14ac:dyDescent="0.25">
      <c r="B1385" s="1661">
        <f>B1378+1</f>
        <v>40</v>
      </c>
      <c r="C1385" s="1237">
        <v>44473</v>
      </c>
      <c r="D1385" s="70"/>
      <c r="E1385" s="931"/>
      <c r="F1385" s="1546"/>
      <c r="G1385" s="1321"/>
      <c r="H1385" s="1239" t="str">
        <f>IFERROR(VLOOKUP(F1385,#REF!,10,FALSE),"")</f>
        <v/>
      </c>
      <c r="I1385" s="1240" t="str">
        <f t="shared" si="146"/>
        <v/>
      </c>
      <c r="J1385" s="265"/>
      <c r="K1385" s="1741"/>
      <c r="L1385" s="1581"/>
      <c r="M1385" s="265"/>
      <c r="N1385" s="77" t="str">
        <f t="shared" si="144"/>
        <v/>
      </c>
      <c r="O1385" s="1241"/>
      <c r="P1385" s="79" t="str">
        <f>IFERROR(VLOOKUP(F1385,#REF!,12,FALSE),"")</f>
        <v/>
      </c>
      <c r="Q1385" s="1242" t="s">
        <v>8</v>
      </c>
      <c r="R1385" s="1243" t="str">
        <f>IFERROR(VLOOKUP(F1385,#REF!,14,FALSE),"")</f>
        <v/>
      </c>
      <c r="S1385" s="1244" t="str">
        <f t="shared" si="145"/>
        <v/>
      </c>
      <c r="U1385" s="1728"/>
      <c r="V1385" s="70">
        <f t="shared" si="141"/>
        <v>0</v>
      </c>
      <c r="W1385" s="1766"/>
      <c r="X1385" s="70"/>
    </row>
    <row r="1386" spans="2:24" x14ac:dyDescent="0.2">
      <c r="B1386" s="1666" t="s">
        <v>142</v>
      </c>
      <c r="C1386" s="1208">
        <v>44474</v>
      </c>
      <c r="D1386" s="864"/>
      <c r="E1386" s="1322"/>
      <c r="F1386" s="1547"/>
      <c r="G1386" s="1323"/>
      <c r="H1386" s="1210" t="str">
        <f>IFERROR(VLOOKUP(F1386,#REF!,10,FALSE),"")</f>
        <v/>
      </c>
      <c r="I1386" s="1211" t="str">
        <f t="shared" si="146"/>
        <v/>
      </c>
      <c r="J1386" s="1212"/>
      <c r="K1386" s="1741"/>
      <c r="L1386" s="1578"/>
      <c r="M1386" s="1602"/>
      <c r="N1386" s="1171" t="str">
        <f t="shared" si="144"/>
        <v/>
      </c>
      <c r="O1386" s="1213"/>
      <c r="P1386" s="1214" t="str">
        <f>IFERROR(VLOOKUP(F1386,#REF!,12,FALSE),"")</f>
        <v/>
      </c>
      <c r="Q1386" s="1215" t="s">
        <v>8</v>
      </c>
      <c r="R1386" s="1216" t="str">
        <f>IFERROR(VLOOKUP(F1386,#REF!,14,FALSE),"")</f>
        <v/>
      </c>
      <c r="S1386" s="1217" t="str">
        <f t="shared" si="145"/>
        <v/>
      </c>
      <c r="U1386" s="1728"/>
      <c r="V1386" s="864">
        <f t="shared" si="141"/>
        <v>0</v>
      </c>
      <c r="W1386" s="1767"/>
      <c r="X1386" s="864"/>
    </row>
    <row r="1387" spans="2:24" ht="16" thickBot="1" x14ac:dyDescent="0.25">
      <c r="B1387" s="1654">
        <f>SUM(H1385:H1391)</f>
        <v>0</v>
      </c>
      <c r="C1387" s="1208">
        <v>44475</v>
      </c>
      <c r="D1387" s="864"/>
      <c r="E1387" s="1322"/>
      <c r="F1387" s="1547"/>
      <c r="G1387" s="1323"/>
      <c r="H1387" s="1210" t="str">
        <f>IFERROR(VLOOKUP(F1387,#REF!,10,FALSE),"")</f>
        <v/>
      </c>
      <c r="I1387" s="1211" t="str">
        <f t="shared" si="146"/>
        <v/>
      </c>
      <c r="J1387" s="1212"/>
      <c r="K1387" s="1741"/>
      <c r="L1387" s="1578"/>
      <c r="M1387" s="1602"/>
      <c r="N1387" s="1171" t="str">
        <f t="shared" si="144"/>
        <v/>
      </c>
      <c r="O1387" s="1213"/>
      <c r="P1387" s="1214" t="str">
        <f>IFERROR(VLOOKUP(F1387,#REF!,12,FALSE),"")</f>
        <v/>
      </c>
      <c r="Q1387" s="1215" t="s">
        <v>8</v>
      </c>
      <c r="R1387" s="1216" t="str">
        <f>IFERROR(VLOOKUP(F1387,#REF!,14,FALSE),"")</f>
        <v/>
      </c>
      <c r="S1387" s="1217" t="str">
        <f t="shared" si="145"/>
        <v/>
      </c>
      <c r="U1387" s="1728"/>
      <c r="V1387" s="864">
        <f t="shared" si="141"/>
        <v>0</v>
      </c>
      <c r="W1387" s="1767"/>
      <c r="X1387" s="864"/>
    </row>
    <row r="1388" spans="2:24" x14ac:dyDescent="0.2">
      <c r="B1388" s="1667" t="s">
        <v>144</v>
      </c>
      <c r="C1388" s="1208">
        <v>44476</v>
      </c>
      <c r="D1388" s="864"/>
      <c r="E1388" s="1322"/>
      <c r="F1388" s="1547"/>
      <c r="G1388" s="1323"/>
      <c r="H1388" s="1210" t="str">
        <f>IFERROR(VLOOKUP(F1388,#REF!,10,FALSE),"")</f>
        <v/>
      </c>
      <c r="I1388" s="1211" t="str">
        <f t="shared" si="146"/>
        <v/>
      </c>
      <c r="J1388" s="1212"/>
      <c r="K1388" s="1741"/>
      <c r="L1388" s="1578"/>
      <c r="M1388" s="1602"/>
      <c r="N1388" s="1171" t="str">
        <f t="shared" si="144"/>
        <v/>
      </c>
      <c r="O1388" s="1213"/>
      <c r="P1388" s="1214" t="str">
        <f>IFERROR(VLOOKUP(F1388,#REF!,12,FALSE),"")</f>
        <v/>
      </c>
      <c r="Q1388" s="1215" t="s">
        <v>8</v>
      </c>
      <c r="R1388" s="1216" t="str">
        <f>IFERROR(VLOOKUP(F1388,#REF!,14,FALSE),"")</f>
        <v/>
      </c>
      <c r="S1388" s="1217" t="str">
        <f t="shared" si="145"/>
        <v/>
      </c>
      <c r="U1388" s="1728"/>
      <c r="V1388" s="864">
        <f t="shared" si="141"/>
        <v>0</v>
      </c>
      <c r="W1388" s="1767"/>
      <c r="X1388" s="864"/>
    </row>
    <row r="1389" spans="2:24" ht="16" thickBot="1" x14ac:dyDescent="0.25">
      <c r="B1389" s="1668" t="e">
        <f>SUM(#REF!)</f>
        <v>#REF!</v>
      </c>
      <c r="C1389" s="1208">
        <v>44477</v>
      </c>
      <c r="D1389" s="864"/>
      <c r="E1389" s="1322"/>
      <c r="F1389" s="1547"/>
      <c r="G1389" s="1323"/>
      <c r="H1389" s="1210" t="str">
        <f>IFERROR(VLOOKUP(F1389,#REF!,10,FALSE),"")</f>
        <v/>
      </c>
      <c r="I1389" s="1211" t="str">
        <f t="shared" si="146"/>
        <v/>
      </c>
      <c r="J1389" s="1212"/>
      <c r="K1389" s="1741"/>
      <c r="L1389" s="1578"/>
      <c r="M1389" s="1602"/>
      <c r="N1389" s="1171" t="str">
        <f t="shared" si="144"/>
        <v/>
      </c>
      <c r="O1389" s="1213"/>
      <c r="P1389" s="1214" t="str">
        <f>IFERROR(VLOOKUP(F1389,#REF!,12,FALSE),"")</f>
        <v/>
      </c>
      <c r="Q1389" s="1215" t="s">
        <v>8</v>
      </c>
      <c r="R1389" s="1216" t="str">
        <f>IFERROR(VLOOKUP(F1389,#REF!,14,FALSE),"")</f>
        <v/>
      </c>
      <c r="S1389" s="1217" t="str">
        <f t="shared" si="145"/>
        <v/>
      </c>
      <c r="U1389" s="1728"/>
      <c r="V1389" s="864">
        <f t="shared" si="141"/>
        <v>0</v>
      </c>
      <c r="W1389" s="1767"/>
      <c r="X1389" s="864"/>
    </row>
    <row r="1390" spans="2:24" x14ac:dyDescent="0.2">
      <c r="B1390" s="1669" t="s">
        <v>256</v>
      </c>
      <c r="C1390" s="1208">
        <v>44478</v>
      </c>
      <c r="D1390" s="864"/>
      <c r="E1390" s="1322"/>
      <c r="F1390" s="1547"/>
      <c r="G1390" s="1323"/>
      <c r="H1390" s="1210" t="str">
        <f>IFERROR(VLOOKUP(F1390,#REF!,10,FALSE),"")</f>
        <v/>
      </c>
      <c r="I1390" s="1211" t="str">
        <f t="shared" si="146"/>
        <v/>
      </c>
      <c r="J1390" s="1212"/>
      <c r="K1390" s="1741"/>
      <c r="L1390" s="1578"/>
      <c r="M1390" s="1602"/>
      <c r="N1390" s="1171" t="str">
        <f t="shared" si="144"/>
        <v/>
      </c>
      <c r="O1390" s="1213"/>
      <c r="P1390" s="1214" t="str">
        <f>IFERROR(VLOOKUP(F1390,#REF!,12,FALSE),"")</f>
        <v/>
      </c>
      <c r="Q1390" s="1215" t="s">
        <v>8</v>
      </c>
      <c r="R1390" s="1216" t="str">
        <f>IFERROR(VLOOKUP(F1390,#REF!,14,FALSE),"")</f>
        <v/>
      </c>
      <c r="S1390" s="1217" t="str">
        <f t="shared" si="145"/>
        <v/>
      </c>
      <c r="U1390" s="1728"/>
      <c r="V1390" s="864">
        <f t="shared" si="141"/>
        <v>0</v>
      </c>
      <c r="W1390" s="1767"/>
      <c r="X1390" s="864"/>
    </row>
    <row r="1391" spans="2:24" ht="16" thickBot="1" x14ac:dyDescent="0.25">
      <c r="B1391" s="1672" t="e">
        <f>AVERAGE(#REF!)</f>
        <v>#REF!</v>
      </c>
      <c r="C1391" s="1218">
        <v>44479</v>
      </c>
      <c r="D1391" s="1219"/>
      <c r="E1391" s="1046"/>
      <c r="F1391" s="1429"/>
      <c r="G1391" s="1307"/>
      <c r="H1391" s="1222" t="str">
        <f>IFERROR(VLOOKUP(F1391,#REF!,10,FALSE),"")</f>
        <v/>
      </c>
      <c r="I1391" s="1223" t="str">
        <f t="shared" si="146"/>
        <v/>
      </c>
      <c r="J1391" s="1224"/>
      <c r="K1391" s="1741"/>
      <c r="L1391" s="984"/>
      <c r="M1391" s="1603"/>
      <c r="N1391" s="1197" t="str">
        <f t="shared" si="144"/>
        <v/>
      </c>
      <c r="O1391" s="1225"/>
      <c r="P1391" s="1146" t="str">
        <f>IFERROR(VLOOKUP(F1391,#REF!,12,FALSE),"")</f>
        <v/>
      </c>
      <c r="Q1391" s="321" t="s">
        <v>8</v>
      </c>
      <c r="R1391" s="1227" t="str">
        <f>IFERROR(VLOOKUP(F1391,#REF!,14,FALSE),"")</f>
        <v/>
      </c>
      <c r="S1391" s="1228" t="str">
        <f t="shared" si="145"/>
        <v/>
      </c>
      <c r="U1391" s="1728"/>
      <c r="V1391" s="1219">
        <f t="shared" si="141"/>
        <v>0</v>
      </c>
      <c r="W1391" s="1768"/>
      <c r="X1391" s="1219"/>
    </row>
    <row r="1392" spans="2:24" ht="16" thickBot="1" x14ac:dyDescent="0.25">
      <c r="B1392" s="1661">
        <f>B1385+1</f>
        <v>41</v>
      </c>
      <c r="C1392" s="1199">
        <v>44480</v>
      </c>
      <c r="D1392" s="1108"/>
      <c r="E1392" s="1109"/>
      <c r="F1392" s="1546"/>
      <c r="G1392" s="1200"/>
      <c r="H1392" s="1201" t="str">
        <f>IFERROR(VLOOKUP(F1392,#REF!,10,FALSE),"")</f>
        <v/>
      </c>
      <c r="I1392" s="1202" t="str">
        <f t="shared" si="146"/>
        <v/>
      </c>
      <c r="J1392" s="1203"/>
      <c r="K1392" s="1741"/>
      <c r="L1392" s="1577"/>
      <c r="M1392" s="1374"/>
      <c r="N1392" s="1111" t="str">
        <f t="shared" si="144"/>
        <v/>
      </c>
      <c r="O1392" s="1204"/>
      <c r="P1392" s="1113" t="str">
        <f>IFERROR(VLOOKUP(F1392,#REF!,12,FALSE),"")</f>
        <v/>
      </c>
      <c r="Q1392" s="1205" t="s">
        <v>8</v>
      </c>
      <c r="R1392" s="1206" t="str">
        <f>IFERROR(VLOOKUP(F1392,#REF!,14,FALSE),"")</f>
        <v/>
      </c>
      <c r="S1392" s="1207" t="str">
        <f t="shared" si="145"/>
        <v/>
      </c>
      <c r="U1392" s="1728"/>
      <c r="V1392" s="1108">
        <f t="shared" si="141"/>
        <v>0</v>
      </c>
      <c r="W1392" s="1766"/>
      <c r="X1392" s="1108"/>
    </row>
    <row r="1393" spans="2:24" x14ac:dyDescent="0.2">
      <c r="B1393" s="1666" t="s">
        <v>142</v>
      </c>
      <c r="C1393" s="1208">
        <v>44481</v>
      </c>
      <c r="D1393" s="864"/>
      <c r="E1393" s="865"/>
      <c r="F1393" s="1547"/>
      <c r="G1393" s="1209"/>
      <c r="H1393" s="1210" t="str">
        <f>IFERROR(VLOOKUP(F1393,#REF!,10,FALSE),"")</f>
        <v/>
      </c>
      <c r="I1393" s="1211" t="str">
        <f t="shared" si="146"/>
        <v/>
      </c>
      <c r="J1393" s="1212"/>
      <c r="K1393" s="1741"/>
      <c r="L1393" s="1578"/>
      <c r="M1393" s="1602"/>
      <c r="N1393" s="1171" t="str">
        <f t="shared" si="144"/>
        <v/>
      </c>
      <c r="O1393" s="1213"/>
      <c r="P1393" s="1173" t="str">
        <f>IFERROR(VLOOKUP(F1393,#REF!,12,FALSE),"")</f>
        <v/>
      </c>
      <c r="Q1393" s="1229" t="s">
        <v>8</v>
      </c>
      <c r="R1393" s="1324" t="str">
        <f>IFERROR(VLOOKUP(F1393,#REF!,14,FALSE),"")</f>
        <v/>
      </c>
      <c r="S1393" s="1217" t="str">
        <f t="shared" si="145"/>
        <v/>
      </c>
      <c r="U1393" s="1728"/>
      <c r="V1393" s="864">
        <f t="shared" si="141"/>
        <v>0</v>
      </c>
      <c r="W1393" s="1767"/>
      <c r="X1393" s="864"/>
    </row>
    <row r="1394" spans="2:24" ht="16" thickBot="1" x14ac:dyDescent="0.25">
      <c r="B1394" s="1654">
        <f>SUM(H1392:H1398)</f>
        <v>6.26</v>
      </c>
      <c r="C1394" s="1208">
        <v>44482</v>
      </c>
      <c r="D1394" s="864"/>
      <c r="E1394" s="865"/>
      <c r="F1394" s="1547"/>
      <c r="G1394" s="1209"/>
      <c r="H1394" s="1210" t="str">
        <f>IFERROR(VLOOKUP(F1394,#REF!,10,FALSE),"")</f>
        <v/>
      </c>
      <c r="I1394" s="1211" t="str">
        <f t="shared" si="146"/>
        <v/>
      </c>
      <c r="J1394" s="1212"/>
      <c r="K1394" s="1741"/>
      <c r="L1394" s="1578"/>
      <c r="M1394" s="1602"/>
      <c r="N1394" s="1171" t="str">
        <f t="shared" si="144"/>
        <v/>
      </c>
      <c r="O1394" s="1213"/>
      <c r="P1394" s="1173" t="str">
        <f>IFERROR(VLOOKUP(F1394,#REF!,12,FALSE),"")</f>
        <v/>
      </c>
      <c r="Q1394" s="1229" t="s">
        <v>8</v>
      </c>
      <c r="R1394" s="1324" t="str">
        <f>IFERROR(VLOOKUP(F1394,#REF!,14,FALSE),"")</f>
        <v/>
      </c>
      <c r="S1394" s="1217" t="str">
        <f t="shared" si="145"/>
        <v/>
      </c>
      <c r="U1394" s="1728"/>
      <c r="V1394" s="864">
        <f t="shared" si="141"/>
        <v>0</v>
      </c>
      <c r="W1394" s="1767"/>
      <c r="X1394" s="864"/>
    </row>
    <row r="1395" spans="2:24" x14ac:dyDescent="0.2">
      <c r="B1395" s="1667" t="s">
        <v>144</v>
      </c>
      <c r="C1395" s="1208">
        <v>44483</v>
      </c>
      <c r="D1395" s="864"/>
      <c r="E1395" s="865"/>
      <c r="F1395" s="1547"/>
      <c r="G1395" s="1209"/>
      <c r="H1395" s="1210" t="str">
        <f>IFERROR(VLOOKUP(F1395,#REF!,10,FALSE),"")</f>
        <v/>
      </c>
      <c r="I1395" s="1211" t="str">
        <f t="shared" si="146"/>
        <v/>
      </c>
      <c r="J1395" s="1212"/>
      <c r="K1395" s="1741"/>
      <c r="L1395" s="1578"/>
      <c r="M1395" s="1602"/>
      <c r="N1395" s="1171" t="str">
        <f t="shared" si="144"/>
        <v/>
      </c>
      <c r="O1395" s="1213"/>
      <c r="P1395" s="1173" t="str">
        <f>IFERROR(VLOOKUP(F1395,#REF!,12,FALSE),"")</f>
        <v/>
      </c>
      <c r="Q1395" s="1229" t="s">
        <v>8</v>
      </c>
      <c r="R1395" s="1324" t="str">
        <f>IFERROR(VLOOKUP(F1395,#REF!,14,FALSE),"")</f>
        <v/>
      </c>
      <c r="S1395" s="1217" t="str">
        <f t="shared" si="145"/>
        <v/>
      </c>
      <c r="U1395" s="1728"/>
      <c r="V1395" s="864">
        <f t="shared" si="141"/>
        <v>0</v>
      </c>
      <c r="W1395" s="1767"/>
      <c r="X1395" s="864"/>
    </row>
    <row r="1396" spans="2:24" ht="16" thickBot="1" x14ac:dyDescent="0.25">
      <c r="B1396" s="1668" t="e">
        <f>SUM(#REF!)</f>
        <v>#REF!</v>
      </c>
      <c r="C1396" s="1208">
        <v>44484</v>
      </c>
      <c r="D1396" s="864"/>
      <c r="E1396" s="865"/>
      <c r="F1396" s="1547"/>
      <c r="G1396" s="1209"/>
      <c r="H1396" s="1210" t="str">
        <f>IFERROR(VLOOKUP(F1396,#REF!,10,FALSE),"")</f>
        <v/>
      </c>
      <c r="I1396" s="1211" t="str">
        <f t="shared" si="146"/>
        <v/>
      </c>
      <c r="J1396" s="1212"/>
      <c r="K1396" s="1741"/>
      <c r="L1396" s="1578"/>
      <c r="M1396" s="1602"/>
      <c r="N1396" s="1171" t="str">
        <f t="shared" si="144"/>
        <v/>
      </c>
      <c r="O1396" s="1213"/>
      <c r="P1396" s="1173" t="str">
        <f>IFERROR(VLOOKUP(F1396,#REF!,12,FALSE),"")</f>
        <v/>
      </c>
      <c r="Q1396" s="1229" t="s">
        <v>8</v>
      </c>
      <c r="R1396" s="1324" t="str">
        <f>IFERROR(VLOOKUP(F1396,#REF!,14,FALSE),"")</f>
        <v/>
      </c>
      <c r="S1396" s="1217" t="str">
        <f t="shared" si="145"/>
        <v/>
      </c>
      <c r="U1396" s="1728"/>
      <c r="V1396" s="864">
        <f t="shared" si="141"/>
        <v>0</v>
      </c>
      <c r="W1396" s="1767"/>
      <c r="X1396" s="864"/>
    </row>
    <row r="1397" spans="2:24" x14ac:dyDescent="0.2">
      <c r="B1397" s="1669" t="s">
        <v>256</v>
      </c>
      <c r="C1397" s="1208">
        <v>44485</v>
      </c>
      <c r="D1397" s="864">
        <v>111</v>
      </c>
      <c r="E1397" s="865" t="s">
        <v>293</v>
      </c>
      <c r="F1397" s="1547" t="s">
        <v>322</v>
      </c>
      <c r="G1397" s="1209">
        <v>2.4999999999999998E-2</v>
      </c>
      <c r="H1397" s="1210">
        <v>6.26</v>
      </c>
      <c r="I1397" s="1211">
        <f t="shared" si="146"/>
        <v>3.9936102236421724E-3</v>
      </c>
      <c r="J1397" s="1212">
        <v>143</v>
      </c>
      <c r="K1397" s="1741"/>
      <c r="L1397" s="1578">
        <v>205</v>
      </c>
      <c r="M1397" s="1602">
        <v>16</v>
      </c>
      <c r="N1397" s="1171">
        <f t="shared" si="144"/>
        <v>1.0557436459873157</v>
      </c>
      <c r="O1397" s="1213" t="s">
        <v>311</v>
      </c>
      <c r="P1397" s="1173" t="str">
        <f>IFERROR(VLOOKUP(F1397,#REF!,12,FALSE),"")</f>
        <v/>
      </c>
      <c r="Q1397" s="1229" t="s">
        <v>8</v>
      </c>
      <c r="R1397" s="1324" t="str">
        <f>IFERROR(VLOOKUP(F1397,#REF!,14,FALSE),"")</f>
        <v/>
      </c>
      <c r="S1397" s="1217">
        <f t="shared" si="145"/>
        <v>1.4335664335664335</v>
      </c>
      <c r="U1397" s="1728"/>
      <c r="V1397" s="864">
        <f t="shared" si="141"/>
        <v>0</v>
      </c>
      <c r="W1397" s="1767"/>
      <c r="X1397" s="864"/>
    </row>
    <row r="1398" spans="2:24" ht="16" thickBot="1" x14ac:dyDescent="0.25">
      <c r="B1398" s="1670" t="e">
        <f>AVERAGE(#REF!)</f>
        <v>#REF!</v>
      </c>
      <c r="C1398" s="544">
        <v>44486</v>
      </c>
      <c r="D1398" s="67"/>
      <c r="E1398" s="208"/>
      <c r="F1398" s="1429"/>
      <c r="G1398" s="1230"/>
      <c r="H1398" s="1231" t="str">
        <f>IFERROR(VLOOKUP(F1398,#REF!,10,FALSE),"")</f>
        <v/>
      </c>
      <c r="I1398" s="1232" t="str">
        <f t="shared" si="146"/>
        <v/>
      </c>
      <c r="J1398" s="256"/>
      <c r="K1398" s="1741"/>
      <c r="L1398" s="1580"/>
      <c r="M1398" s="1561"/>
      <c r="N1398" s="172" t="str">
        <f t="shared" si="144"/>
        <v/>
      </c>
      <c r="O1398" s="1233"/>
      <c r="P1398" s="447" t="str">
        <f>IFERROR(VLOOKUP(F1398,#REF!,12,FALSE),"")</f>
        <v/>
      </c>
      <c r="Q1398" s="1234" t="s">
        <v>8</v>
      </c>
      <c r="R1398" s="1235" t="str">
        <f>IFERROR(VLOOKUP(F1398,#REF!,14,FALSE),"")</f>
        <v/>
      </c>
      <c r="S1398" s="1236" t="str">
        <f t="shared" si="145"/>
        <v/>
      </c>
      <c r="U1398" s="1728"/>
      <c r="V1398" s="67">
        <f t="shared" si="141"/>
        <v>0</v>
      </c>
      <c r="W1398" s="1768"/>
      <c r="X1398" s="67"/>
    </row>
    <row r="1399" spans="2:24" ht="16" thickBot="1" x14ac:dyDescent="0.25">
      <c r="B1399" s="1661">
        <f>B1392+1</f>
        <v>42</v>
      </c>
      <c r="C1399" s="1199">
        <v>44487</v>
      </c>
      <c r="D1399" s="1108">
        <v>112</v>
      </c>
      <c r="E1399" s="1109" t="s">
        <v>293</v>
      </c>
      <c r="F1399" s="1546" t="s">
        <v>322</v>
      </c>
      <c r="G1399" s="1200">
        <v>2.9270833333333333E-2</v>
      </c>
      <c r="H1399" s="1201">
        <v>7.54</v>
      </c>
      <c r="I1399" s="1202">
        <f t="shared" si="146"/>
        <v>3.8820733863837312E-3</v>
      </c>
      <c r="J1399" s="1203">
        <v>143</v>
      </c>
      <c r="K1399" s="1741"/>
      <c r="L1399" s="1577"/>
      <c r="M1399" s="1374">
        <v>19</v>
      </c>
      <c r="N1399" s="1111"/>
      <c r="O1399" s="1204" t="s">
        <v>339</v>
      </c>
      <c r="P1399" s="1113" t="str">
        <f>IFERROR(VLOOKUP(F1399,#REF!,12,FALSE),"")</f>
        <v/>
      </c>
      <c r="Q1399" s="1205" t="s">
        <v>8</v>
      </c>
      <c r="R1399" s="1206" t="str">
        <f>IFERROR(VLOOKUP(F1399,#REF!,14,FALSE),"")</f>
        <v/>
      </c>
      <c r="S1399" s="1207"/>
      <c r="U1399" s="1728"/>
      <c r="V1399" s="1108">
        <f t="shared" si="141"/>
        <v>0</v>
      </c>
      <c r="W1399" s="1766"/>
      <c r="X1399" s="1108"/>
    </row>
    <row r="1400" spans="2:24" x14ac:dyDescent="0.2">
      <c r="B1400" s="1666" t="s">
        <v>142</v>
      </c>
      <c r="C1400" s="1208">
        <v>44488</v>
      </c>
      <c r="D1400" s="864"/>
      <c r="E1400" s="865"/>
      <c r="F1400" s="1547"/>
      <c r="G1400" s="1209"/>
      <c r="H1400" s="1210" t="str">
        <f>IFERROR(VLOOKUP(F1400,#REF!,10,FALSE),"")</f>
        <v/>
      </c>
      <c r="I1400" s="1211" t="str">
        <f t="shared" si="146"/>
        <v/>
      </c>
      <c r="J1400" s="1212"/>
      <c r="K1400" s="1741"/>
      <c r="L1400" s="1578"/>
      <c r="M1400" s="1602"/>
      <c r="N1400" s="1171" t="str">
        <f t="shared" ref="N1400:N1431" si="147">IFERROR((L1400/67)/(1/(I1400*24)/3.6),"")</f>
        <v/>
      </c>
      <c r="O1400" s="1213"/>
      <c r="P1400" s="1173" t="str">
        <f>IFERROR(VLOOKUP(F1400,#REF!,12,FALSE),"")</f>
        <v/>
      </c>
      <c r="Q1400" s="1229" t="s">
        <v>8</v>
      </c>
      <c r="R1400" s="1324" t="str">
        <f>IFERROR(VLOOKUP(F1400,#REF!,14,FALSE),"")</f>
        <v/>
      </c>
      <c r="S1400" s="1217" t="str">
        <f t="shared" ref="S1400:S1431" si="148">IFERROR(L1400/J1400,"")</f>
        <v/>
      </c>
      <c r="U1400" s="1728"/>
      <c r="V1400" s="864">
        <f t="shared" si="141"/>
        <v>0</v>
      </c>
      <c r="W1400" s="1767"/>
      <c r="X1400" s="864"/>
    </row>
    <row r="1401" spans="2:24" ht="16" thickBot="1" x14ac:dyDescent="0.25">
      <c r="B1401" s="1654">
        <f>SUM(H1399:H1405)</f>
        <v>31.950000000000003</v>
      </c>
      <c r="C1401" s="1208">
        <v>44489</v>
      </c>
      <c r="D1401" s="864">
        <v>113</v>
      </c>
      <c r="E1401" s="865" t="s">
        <v>293</v>
      </c>
      <c r="F1401" s="1547" t="s">
        <v>322</v>
      </c>
      <c r="G1401" s="1209">
        <v>3.0844907407407404E-2</v>
      </c>
      <c r="H1401" s="1210">
        <v>8.01</v>
      </c>
      <c r="I1401" s="1211">
        <f t="shared" si="146"/>
        <v>3.8507999260184028E-3</v>
      </c>
      <c r="J1401" s="1212">
        <v>146</v>
      </c>
      <c r="K1401" s="1741"/>
      <c r="L1401" s="1578">
        <v>211</v>
      </c>
      <c r="M1401" s="1602">
        <v>20</v>
      </c>
      <c r="N1401" s="1171">
        <f t="shared" si="147"/>
        <v>1.047785417481879</v>
      </c>
      <c r="O1401" s="1213" t="s">
        <v>311</v>
      </c>
      <c r="P1401" s="1173" t="str">
        <f>IFERROR(VLOOKUP(F1401,#REF!,12,FALSE),"")</f>
        <v/>
      </c>
      <c r="Q1401" s="1229" t="s">
        <v>8</v>
      </c>
      <c r="R1401" s="1324" t="str">
        <f>IFERROR(VLOOKUP(F1401,#REF!,14,FALSE),"")</f>
        <v/>
      </c>
      <c r="S1401" s="1217">
        <f t="shared" si="148"/>
        <v>1.4452054794520548</v>
      </c>
      <c r="U1401" s="1728"/>
      <c r="V1401" s="864">
        <f t="shared" si="141"/>
        <v>0</v>
      </c>
      <c r="W1401" s="1767"/>
      <c r="X1401" s="864"/>
    </row>
    <row r="1402" spans="2:24" x14ac:dyDescent="0.2">
      <c r="B1402" s="1667" t="s">
        <v>144</v>
      </c>
      <c r="C1402" s="1208">
        <v>44490</v>
      </c>
      <c r="D1402" s="864"/>
      <c r="E1402" s="865"/>
      <c r="F1402" s="1547"/>
      <c r="G1402" s="1209"/>
      <c r="H1402" s="1210" t="str">
        <f>IFERROR(VLOOKUP(F1402,#REF!,10,FALSE),"")</f>
        <v/>
      </c>
      <c r="I1402" s="1211" t="str">
        <f t="shared" si="146"/>
        <v/>
      </c>
      <c r="J1402" s="1212"/>
      <c r="K1402" s="1741"/>
      <c r="L1402" s="1578"/>
      <c r="M1402" s="1602"/>
      <c r="N1402" s="1171" t="str">
        <f t="shared" si="147"/>
        <v/>
      </c>
      <c r="O1402" s="1213"/>
      <c r="P1402" s="1173" t="str">
        <f>IFERROR(VLOOKUP(F1402,#REF!,12,FALSE),"")</f>
        <v/>
      </c>
      <c r="Q1402" s="1229" t="s">
        <v>8</v>
      </c>
      <c r="R1402" s="1324" t="str">
        <f>IFERROR(VLOOKUP(F1402,#REF!,14,FALSE),"")</f>
        <v/>
      </c>
      <c r="S1402" s="1217" t="str">
        <f t="shared" si="148"/>
        <v/>
      </c>
      <c r="U1402" s="1728"/>
      <c r="V1402" s="864">
        <f t="shared" ref="V1402:V1465" si="149">U1401-T1401</f>
        <v>0</v>
      </c>
      <c r="W1402" s="1767"/>
      <c r="X1402" s="864"/>
    </row>
    <row r="1403" spans="2:24" ht="16" thickBot="1" x14ac:dyDescent="0.25">
      <c r="B1403" s="1668" t="e">
        <f>SUM(#REF!)</f>
        <v>#REF!</v>
      </c>
      <c r="C1403" s="1208">
        <v>44491</v>
      </c>
      <c r="D1403" s="864">
        <v>114</v>
      </c>
      <c r="E1403" s="865" t="s">
        <v>292</v>
      </c>
      <c r="F1403" s="1547" t="s">
        <v>322</v>
      </c>
      <c r="G1403" s="1209">
        <v>2.8101851851851854E-2</v>
      </c>
      <c r="H1403" s="1210">
        <v>7.27</v>
      </c>
      <c r="I1403" s="1211">
        <f t="shared" si="146"/>
        <v>3.8654541749452345E-3</v>
      </c>
      <c r="J1403" s="1212">
        <v>141</v>
      </c>
      <c r="K1403" s="1741"/>
      <c r="L1403" s="1578">
        <v>210</v>
      </c>
      <c r="M1403" s="1602">
        <v>26</v>
      </c>
      <c r="N1403" s="1171">
        <f t="shared" si="147"/>
        <v>1.0467880679135273</v>
      </c>
      <c r="O1403" s="1213" t="s">
        <v>311</v>
      </c>
      <c r="P1403" s="1173" t="str">
        <f>IFERROR(VLOOKUP(F1403,#REF!,12,FALSE),"")</f>
        <v/>
      </c>
      <c r="Q1403" s="1229" t="s">
        <v>8</v>
      </c>
      <c r="R1403" s="1324" t="str">
        <f>IFERROR(VLOOKUP(F1403,#REF!,14,FALSE),"")</f>
        <v/>
      </c>
      <c r="S1403" s="1217">
        <f t="shared" si="148"/>
        <v>1.4893617021276595</v>
      </c>
      <c r="U1403" s="1728"/>
      <c r="V1403" s="864">
        <f t="shared" si="149"/>
        <v>0</v>
      </c>
      <c r="W1403" s="1767"/>
      <c r="X1403" s="864"/>
    </row>
    <row r="1404" spans="2:24" x14ac:dyDescent="0.2">
      <c r="B1404" s="1669" t="s">
        <v>256</v>
      </c>
      <c r="C1404" s="1208">
        <v>44492</v>
      </c>
      <c r="D1404" s="864"/>
      <c r="E1404" s="865"/>
      <c r="F1404" s="1547"/>
      <c r="G1404" s="1209"/>
      <c r="H1404" s="1210" t="str">
        <f>IFERROR(VLOOKUP(F1404,#REF!,10,FALSE),"")</f>
        <v/>
      </c>
      <c r="I1404" s="1211" t="str">
        <f t="shared" si="146"/>
        <v/>
      </c>
      <c r="J1404" s="1212"/>
      <c r="K1404" s="1741"/>
      <c r="L1404" s="1578"/>
      <c r="M1404" s="1602"/>
      <c r="N1404" s="1171" t="str">
        <f t="shared" si="147"/>
        <v/>
      </c>
      <c r="O1404" s="1213"/>
      <c r="P1404" s="1173" t="str">
        <f>IFERROR(VLOOKUP(F1404,#REF!,12,FALSE),"")</f>
        <v/>
      </c>
      <c r="Q1404" s="1229" t="s">
        <v>8</v>
      </c>
      <c r="R1404" s="1324" t="str">
        <f>IFERROR(VLOOKUP(F1404,#REF!,14,FALSE),"")</f>
        <v/>
      </c>
      <c r="S1404" s="1217" t="str">
        <f t="shared" si="148"/>
        <v/>
      </c>
      <c r="U1404" s="1728"/>
      <c r="V1404" s="864">
        <f t="shared" si="149"/>
        <v>0</v>
      </c>
      <c r="W1404" s="1767"/>
      <c r="X1404" s="864"/>
    </row>
    <row r="1405" spans="2:24" ht="16" thickBot="1" x14ac:dyDescent="0.25">
      <c r="B1405" s="1670" t="e">
        <f>AVERAGE(#REF!)</f>
        <v>#REF!</v>
      </c>
      <c r="C1405" s="544">
        <v>44493</v>
      </c>
      <c r="D1405" s="67">
        <v>115</v>
      </c>
      <c r="E1405" s="208" t="s">
        <v>292</v>
      </c>
      <c r="F1405" s="1429" t="s">
        <v>279</v>
      </c>
      <c r="G1405" s="1230">
        <v>3.7395833333333336E-2</v>
      </c>
      <c r="H1405" s="1210">
        <v>9.1300000000000008</v>
      </c>
      <c r="I1405" s="1211">
        <f t="shared" ref="I1405" si="150">IFERROR(G1405/H1405,"")</f>
        <v>4.0959291712303761E-3</v>
      </c>
      <c r="J1405" s="256">
        <v>139</v>
      </c>
      <c r="K1405" s="1741"/>
      <c r="L1405" s="1580">
        <v>198</v>
      </c>
      <c r="M1405" s="1561">
        <v>21</v>
      </c>
      <c r="N1405" s="172">
        <f t="shared" si="147"/>
        <v>1.0458190972846613</v>
      </c>
      <c r="O1405" s="1233" t="s">
        <v>339</v>
      </c>
      <c r="P1405" s="447" t="str">
        <f>IFERROR(VLOOKUP(F1405,#REF!,12,FALSE),"")</f>
        <v/>
      </c>
      <c r="Q1405" s="1234" t="s">
        <v>8</v>
      </c>
      <c r="R1405" s="1235" t="str">
        <f>IFERROR(VLOOKUP(F1405,#REF!,14,FALSE),"")</f>
        <v/>
      </c>
      <c r="S1405" s="1236">
        <f t="shared" si="148"/>
        <v>1.4244604316546763</v>
      </c>
      <c r="U1405" s="1728"/>
      <c r="V1405" s="67">
        <f t="shared" si="149"/>
        <v>0</v>
      </c>
      <c r="W1405" s="1768"/>
      <c r="X1405" s="67"/>
    </row>
    <row r="1406" spans="2:24" ht="16" thickBot="1" x14ac:dyDescent="0.25">
      <c r="B1406" s="1661">
        <f>B1399+1</f>
        <v>43</v>
      </c>
      <c r="C1406" s="1199">
        <v>44494</v>
      </c>
      <c r="D1406" s="1108"/>
      <c r="E1406" s="1109"/>
      <c r="F1406" s="1546"/>
      <c r="G1406" s="1200"/>
      <c r="H1406" s="1201" t="str">
        <f>IFERROR(VLOOKUP(F1406,#REF!,10,FALSE),"")</f>
        <v/>
      </c>
      <c r="I1406" s="1202" t="str">
        <f t="shared" ref="I1406:I1469" si="151">IFERROR(G1406/H1406,"")</f>
        <v/>
      </c>
      <c r="J1406" s="1203"/>
      <c r="K1406" s="1741"/>
      <c r="L1406" s="1577"/>
      <c r="M1406" s="1374"/>
      <c r="N1406" s="1111" t="str">
        <f t="shared" si="147"/>
        <v/>
      </c>
      <c r="O1406" s="1204"/>
      <c r="P1406" s="1113" t="str">
        <f>IFERROR(VLOOKUP(F1406,#REF!,12,FALSE),"")</f>
        <v/>
      </c>
      <c r="Q1406" s="1205" t="s">
        <v>8</v>
      </c>
      <c r="R1406" s="1206" t="str">
        <f>IFERROR(VLOOKUP(F1406,#REF!,14,FALSE),"")</f>
        <v/>
      </c>
      <c r="S1406" s="1207" t="str">
        <f t="shared" si="148"/>
        <v/>
      </c>
      <c r="U1406" s="1728"/>
      <c r="V1406" s="1108">
        <f t="shared" si="149"/>
        <v>0</v>
      </c>
      <c r="W1406" s="1766"/>
      <c r="X1406" s="1108"/>
    </row>
    <row r="1407" spans="2:24" x14ac:dyDescent="0.2">
      <c r="B1407" s="1666" t="s">
        <v>142</v>
      </c>
      <c r="C1407" s="1208">
        <v>44495</v>
      </c>
      <c r="D1407" s="864"/>
      <c r="E1407" s="865"/>
      <c r="F1407" s="1547"/>
      <c r="G1407" s="1209"/>
      <c r="H1407" s="1210" t="str">
        <f>IFERROR(VLOOKUP(F1407,#REF!,10,FALSE),"")</f>
        <v/>
      </c>
      <c r="I1407" s="1211" t="str">
        <f t="shared" si="151"/>
        <v/>
      </c>
      <c r="J1407" s="1212"/>
      <c r="K1407" s="1741"/>
      <c r="L1407" s="1578"/>
      <c r="M1407" s="1602"/>
      <c r="N1407" s="1171" t="str">
        <f t="shared" si="147"/>
        <v/>
      </c>
      <c r="O1407" s="1213"/>
      <c r="P1407" s="1173" t="str">
        <f>IFERROR(VLOOKUP(F1407,#REF!,12,FALSE),"")</f>
        <v/>
      </c>
      <c r="Q1407" s="1229" t="s">
        <v>8</v>
      </c>
      <c r="R1407" s="1324" t="str">
        <f>IFERROR(VLOOKUP(F1407,#REF!,14,FALSE),"")</f>
        <v/>
      </c>
      <c r="S1407" s="1217" t="str">
        <f t="shared" si="148"/>
        <v/>
      </c>
      <c r="U1407" s="1728"/>
      <c r="V1407" s="864">
        <f t="shared" si="149"/>
        <v>0</v>
      </c>
      <c r="W1407" s="1767"/>
      <c r="X1407" s="864"/>
    </row>
    <row r="1408" spans="2:24" ht="16" thickBot="1" x14ac:dyDescent="0.25">
      <c r="B1408" s="1654">
        <f>SUM(H1406:H1412)</f>
        <v>13.469999999999999</v>
      </c>
      <c r="C1408" s="1208">
        <v>44496</v>
      </c>
      <c r="D1408" s="864"/>
      <c r="E1408" s="865"/>
      <c r="F1408" s="1547"/>
      <c r="G1408" s="1209"/>
      <c r="H1408" s="1210" t="str">
        <f>IFERROR(VLOOKUP(F1408,#REF!,10,FALSE),"")</f>
        <v/>
      </c>
      <c r="I1408" s="1211" t="str">
        <f t="shared" si="151"/>
        <v/>
      </c>
      <c r="J1408" s="1212"/>
      <c r="K1408" s="1741"/>
      <c r="L1408" s="1578"/>
      <c r="M1408" s="1602"/>
      <c r="N1408" s="1171" t="str">
        <f t="shared" si="147"/>
        <v/>
      </c>
      <c r="O1408" s="1213"/>
      <c r="P1408" s="1173" t="str">
        <f>IFERROR(VLOOKUP(F1408,#REF!,12,FALSE),"")</f>
        <v/>
      </c>
      <c r="Q1408" s="1229" t="s">
        <v>8</v>
      </c>
      <c r="R1408" s="1324" t="str">
        <f>IFERROR(VLOOKUP(F1408,#REF!,14,FALSE),"")</f>
        <v/>
      </c>
      <c r="S1408" s="1217" t="str">
        <f t="shared" si="148"/>
        <v/>
      </c>
      <c r="U1408" s="1728"/>
      <c r="V1408" s="864">
        <f t="shared" si="149"/>
        <v>0</v>
      </c>
      <c r="W1408" s="1767"/>
      <c r="X1408" s="864"/>
    </row>
    <row r="1409" spans="2:24" x14ac:dyDescent="0.2">
      <c r="B1409" s="1667" t="s">
        <v>144</v>
      </c>
      <c r="C1409" s="1208">
        <v>44497</v>
      </c>
      <c r="D1409" s="864">
        <v>116</v>
      </c>
      <c r="E1409" s="865" t="s">
        <v>293</v>
      </c>
      <c r="F1409" s="1547" t="s">
        <v>322</v>
      </c>
      <c r="G1409" s="1209">
        <v>2.3009259259259257E-2</v>
      </c>
      <c r="H1409" s="1210">
        <v>6.26</v>
      </c>
      <c r="I1409" s="1211">
        <f t="shared" si="151"/>
        <v>3.6756005206484439E-3</v>
      </c>
      <c r="J1409" s="1212">
        <v>149</v>
      </c>
      <c r="K1409" s="1741"/>
      <c r="L1409" s="1578">
        <v>220</v>
      </c>
      <c r="M1409" s="1602">
        <v>21</v>
      </c>
      <c r="N1409" s="1171">
        <f t="shared" si="147"/>
        <v>1.0427733536788899</v>
      </c>
      <c r="O1409" s="1213" t="s">
        <v>311</v>
      </c>
      <c r="P1409" s="1173" t="str">
        <f>IFERROR(VLOOKUP(F1409,#REF!,12,FALSE),"")</f>
        <v/>
      </c>
      <c r="Q1409" s="1229" t="s">
        <v>8</v>
      </c>
      <c r="R1409" s="1324" t="str">
        <f>IFERROR(VLOOKUP(F1409,#REF!,14,FALSE),"")</f>
        <v/>
      </c>
      <c r="S1409" s="1217">
        <f t="shared" si="148"/>
        <v>1.476510067114094</v>
      </c>
      <c r="U1409" s="1728"/>
      <c r="V1409" s="864">
        <f t="shared" si="149"/>
        <v>0</v>
      </c>
      <c r="W1409" s="1767"/>
      <c r="X1409" s="864"/>
    </row>
    <row r="1410" spans="2:24" ht="16" thickBot="1" x14ac:dyDescent="0.25">
      <c r="B1410" s="1668" t="e">
        <f>SUM(#REF!)</f>
        <v>#REF!</v>
      </c>
      <c r="C1410" s="1208">
        <v>44498</v>
      </c>
      <c r="D1410" s="864"/>
      <c r="E1410" s="865"/>
      <c r="F1410" s="1547"/>
      <c r="G1410" s="1209"/>
      <c r="H1410" s="1210" t="str">
        <f>IFERROR(VLOOKUP(F1410,#REF!,10,FALSE),"")</f>
        <v/>
      </c>
      <c r="I1410" s="1211" t="str">
        <f t="shared" si="151"/>
        <v/>
      </c>
      <c r="J1410" s="1212"/>
      <c r="K1410" s="1741"/>
      <c r="L1410" s="1578"/>
      <c r="M1410" s="1602"/>
      <c r="N1410" s="1171" t="str">
        <f t="shared" si="147"/>
        <v/>
      </c>
      <c r="O1410" s="1213"/>
      <c r="P1410" s="1173" t="str">
        <f>IFERROR(VLOOKUP(F1410,#REF!,12,FALSE),"")</f>
        <v/>
      </c>
      <c r="Q1410" s="1229" t="s">
        <v>8</v>
      </c>
      <c r="R1410" s="1324" t="str">
        <f>IFERROR(VLOOKUP(F1410,#REF!,14,FALSE),"")</f>
        <v/>
      </c>
      <c r="S1410" s="1217" t="str">
        <f t="shared" si="148"/>
        <v/>
      </c>
      <c r="U1410" s="1728"/>
      <c r="V1410" s="864">
        <f t="shared" si="149"/>
        <v>0</v>
      </c>
      <c r="W1410" s="1767"/>
      <c r="X1410" s="864"/>
    </row>
    <row r="1411" spans="2:24" x14ac:dyDescent="0.2">
      <c r="B1411" s="1669" t="s">
        <v>256</v>
      </c>
      <c r="C1411" s="1208">
        <v>44499</v>
      </c>
      <c r="D1411" s="864"/>
      <c r="E1411" s="865"/>
      <c r="F1411" s="1547"/>
      <c r="G1411" s="1209"/>
      <c r="H1411" s="1210" t="str">
        <f>IFERROR(VLOOKUP(F1411,#REF!,10,FALSE),"")</f>
        <v/>
      </c>
      <c r="I1411" s="1211" t="str">
        <f t="shared" si="151"/>
        <v/>
      </c>
      <c r="J1411" s="1212"/>
      <c r="K1411" s="1741"/>
      <c r="L1411" s="1578"/>
      <c r="M1411" s="1602"/>
      <c r="N1411" s="1171" t="str">
        <f t="shared" si="147"/>
        <v/>
      </c>
      <c r="O1411" s="1213"/>
      <c r="P1411" s="1173" t="str">
        <f>IFERROR(VLOOKUP(F1411,#REF!,12,FALSE),"")</f>
        <v/>
      </c>
      <c r="Q1411" s="1229" t="s">
        <v>8</v>
      </c>
      <c r="R1411" s="1324" t="str">
        <f>IFERROR(VLOOKUP(F1411,#REF!,14,FALSE),"")</f>
        <v/>
      </c>
      <c r="S1411" s="1217" t="str">
        <f t="shared" si="148"/>
        <v/>
      </c>
      <c r="U1411" s="1728"/>
      <c r="V1411" s="864">
        <f t="shared" si="149"/>
        <v>0</v>
      </c>
      <c r="W1411" s="1767"/>
      <c r="X1411" s="864"/>
    </row>
    <row r="1412" spans="2:24" ht="16" thickBot="1" x14ac:dyDescent="0.25">
      <c r="B1412" s="1709" t="e">
        <f>AVERAGE(#REF!)</f>
        <v>#REF!</v>
      </c>
      <c r="C1412" s="544">
        <v>44500</v>
      </c>
      <c r="D1412" s="67">
        <v>117</v>
      </c>
      <c r="E1412" s="208" t="s">
        <v>292</v>
      </c>
      <c r="F1412" s="1429" t="s">
        <v>322</v>
      </c>
      <c r="G1412" s="1230">
        <v>2.9687500000000002E-2</v>
      </c>
      <c r="H1412" s="1231">
        <v>7.21</v>
      </c>
      <c r="I1412" s="1232">
        <f t="shared" si="151"/>
        <v>4.1175450762829403E-3</v>
      </c>
      <c r="J1412" s="256">
        <v>135</v>
      </c>
      <c r="K1412" s="1741"/>
      <c r="L1412" s="1580">
        <v>198</v>
      </c>
      <c r="M1412" s="1561">
        <v>20</v>
      </c>
      <c r="N1412" s="172">
        <f t="shared" si="147"/>
        <v>1.0513383153580227</v>
      </c>
      <c r="O1412" s="1233" t="s">
        <v>311</v>
      </c>
      <c r="P1412" s="447" t="str">
        <f>IFERROR(VLOOKUP(F1412,#REF!,12,FALSE),"")</f>
        <v/>
      </c>
      <c r="Q1412" s="1234" t="s">
        <v>8</v>
      </c>
      <c r="R1412" s="1235" t="str">
        <f>IFERROR(VLOOKUP(F1412,#REF!,14,FALSE),"")</f>
        <v/>
      </c>
      <c r="S1412" s="1236">
        <f t="shared" si="148"/>
        <v>1.4666666666666666</v>
      </c>
      <c r="U1412" s="1728"/>
      <c r="V1412" s="67">
        <f t="shared" si="149"/>
        <v>0</v>
      </c>
      <c r="W1412" s="1768"/>
      <c r="X1412" s="67"/>
    </row>
    <row r="1413" spans="2:24" ht="16" thickBot="1" x14ac:dyDescent="0.25">
      <c r="B1413" s="1661">
        <f>B1406+1</f>
        <v>44</v>
      </c>
      <c r="C1413" s="1199">
        <v>44501</v>
      </c>
      <c r="D1413" s="1108"/>
      <c r="E1413" s="1109"/>
      <c r="F1413" s="1546"/>
      <c r="G1413" s="1200"/>
      <c r="H1413" s="1201" t="str">
        <f>IFERROR(VLOOKUP(F1413,#REF!,10,FALSE),"")</f>
        <v/>
      </c>
      <c r="I1413" s="1202" t="str">
        <f t="shared" si="151"/>
        <v/>
      </c>
      <c r="J1413" s="1203"/>
      <c r="K1413" s="1741"/>
      <c r="L1413" s="1577"/>
      <c r="M1413" s="1374"/>
      <c r="N1413" s="1111" t="str">
        <f t="shared" si="147"/>
        <v/>
      </c>
      <c r="O1413" s="1204"/>
      <c r="P1413" s="1113" t="str">
        <f>IFERROR(VLOOKUP(F1413,#REF!,12,FALSE),"")</f>
        <v/>
      </c>
      <c r="Q1413" s="1205" t="s">
        <v>8</v>
      </c>
      <c r="R1413" s="1206" t="str">
        <f>IFERROR(VLOOKUP(F1413,#REF!,14,FALSE),"")</f>
        <v/>
      </c>
      <c r="S1413" s="1207" t="str">
        <f t="shared" si="148"/>
        <v/>
      </c>
      <c r="U1413" s="1728"/>
      <c r="V1413" s="1108">
        <f t="shared" si="149"/>
        <v>0</v>
      </c>
      <c r="W1413" s="1766"/>
      <c r="X1413" s="1108"/>
    </row>
    <row r="1414" spans="2:24" x14ac:dyDescent="0.2">
      <c r="B1414" s="1666" t="s">
        <v>142</v>
      </c>
      <c r="C1414" s="1208">
        <v>44502</v>
      </c>
      <c r="D1414" s="864"/>
      <c r="E1414" s="865"/>
      <c r="F1414" s="1547"/>
      <c r="G1414" s="1209"/>
      <c r="H1414" s="1210" t="str">
        <f>IFERROR(VLOOKUP(F1414,#REF!,10,FALSE),"")</f>
        <v/>
      </c>
      <c r="I1414" s="1211" t="str">
        <f t="shared" si="151"/>
        <v/>
      </c>
      <c r="J1414" s="1212"/>
      <c r="K1414" s="1741"/>
      <c r="L1414" s="1578"/>
      <c r="M1414" s="1602"/>
      <c r="N1414" s="1171" t="str">
        <f t="shared" si="147"/>
        <v/>
      </c>
      <c r="O1414" s="1213"/>
      <c r="P1414" s="1173" t="str">
        <f>IFERROR(VLOOKUP(F1414,#REF!,12,FALSE),"")</f>
        <v/>
      </c>
      <c r="Q1414" s="1229" t="s">
        <v>8</v>
      </c>
      <c r="R1414" s="1324" t="str">
        <f>IFERROR(VLOOKUP(F1414,#REF!,14,FALSE),"")</f>
        <v/>
      </c>
      <c r="S1414" s="1217" t="str">
        <f t="shared" si="148"/>
        <v/>
      </c>
      <c r="U1414" s="1728"/>
      <c r="V1414" s="864">
        <f t="shared" si="149"/>
        <v>0</v>
      </c>
      <c r="W1414" s="1767"/>
      <c r="X1414" s="864"/>
    </row>
    <row r="1415" spans="2:24" ht="16" thickBot="1" x14ac:dyDescent="0.25">
      <c r="B1415" s="1654">
        <f>SUM(H1413:H1419)</f>
        <v>17.88</v>
      </c>
      <c r="C1415" s="1208">
        <v>44503</v>
      </c>
      <c r="D1415" s="864">
        <v>118</v>
      </c>
      <c r="E1415" s="865" t="s">
        <v>293</v>
      </c>
      <c r="F1415" s="1547" t="s">
        <v>322</v>
      </c>
      <c r="G1415" s="1209">
        <v>2.3946759259259261E-2</v>
      </c>
      <c r="H1415" s="1210">
        <v>6.28</v>
      </c>
      <c r="I1415" s="1211">
        <f t="shared" si="151"/>
        <v>3.8131782259966975E-3</v>
      </c>
      <c r="J1415" s="1212">
        <v>145</v>
      </c>
      <c r="K1415" s="1741"/>
      <c r="L1415" s="1578">
        <v>211</v>
      </c>
      <c r="M1415" s="1602">
        <v>11</v>
      </c>
      <c r="N1415" s="1171">
        <f t="shared" si="147"/>
        <v>1.0375487213613463</v>
      </c>
      <c r="O1415" s="1213" t="s">
        <v>339</v>
      </c>
      <c r="P1415" s="1173" t="str">
        <f>IFERROR(VLOOKUP(F1415,#REF!,12,FALSE),"")</f>
        <v/>
      </c>
      <c r="Q1415" s="1229" t="s">
        <v>8</v>
      </c>
      <c r="R1415" s="1324" t="str">
        <f>IFERROR(VLOOKUP(F1415,#REF!,14,FALSE),"")</f>
        <v/>
      </c>
      <c r="S1415" s="1217">
        <f t="shared" si="148"/>
        <v>1.4551724137931035</v>
      </c>
      <c r="U1415" s="1728"/>
      <c r="V1415" s="864">
        <f t="shared" si="149"/>
        <v>0</v>
      </c>
      <c r="W1415" s="1767"/>
      <c r="X1415" s="864"/>
    </row>
    <row r="1416" spans="2:24" x14ac:dyDescent="0.2">
      <c r="B1416" s="1667" t="s">
        <v>144</v>
      </c>
      <c r="C1416" s="1208">
        <v>44504</v>
      </c>
      <c r="D1416" s="864"/>
      <c r="E1416" s="865"/>
      <c r="F1416" s="1547"/>
      <c r="G1416" s="1209"/>
      <c r="H1416" s="1210"/>
      <c r="I1416" s="1211" t="str">
        <f t="shared" si="151"/>
        <v/>
      </c>
      <c r="J1416" s="1212"/>
      <c r="K1416" s="1741"/>
      <c r="L1416" s="1578"/>
      <c r="M1416" s="1602"/>
      <c r="N1416" s="1171" t="str">
        <f t="shared" si="147"/>
        <v/>
      </c>
      <c r="O1416" s="1213"/>
      <c r="P1416" s="1173" t="str">
        <f>IFERROR(VLOOKUP(F1416,#REF!,12,FALSE),"")</f>
        <v/>
      </c>
      <c r="Q1416" s="1229" t="s">
        <v>8</v>
      </c>
      <c r="R1416" s="1324" t="str">
        <f>IFERROR(VLOOKUP(F1416,#REF!,14,FALSE),"")</f>
        <v/>
      </c>
      <c r="S1416" s="1217" t="str">
        <f t="shared" si="148"/>
        <v/>
      </c>
      <c r="U1416" s="1728"/>
      <c r="V1416" s="864">
        <f t="shared" si="149"/>
        <v>0</v>
      </c>
      <c r="W1416" s="1767"/>
      <c r="X1416" s="864"/>
    </row>
    <row r="1417" spans="2:24" ht="16" thickBot="1" x14ac:dyDescent="0.25">
      <c r="B1417" s="1668" t="e">
        <f>SUM(#REF!)</f>
        <v>#REF!</v>
      </c>
      <c r="C1417" s="1208">
        <v>44505</v>
      </c>
      <c r="D1417" s="864"/>
      <c r="E1417" s="865"/>
      <c r="F1417" s="1547"/>
      <c r="G1417" s="1209"/>
      <c r="H1417" s="1210" t="str">
        <f>IFERROR(VLOOKUP(F1417,#REF!,10,FALSE),"")</f>
        <v/>
      </c>
      <c r="I1417" s="1211" t="str">
        <f t="shared" si="151"/>
        <v/>
      </c>
      <c r="J1417" s="1212"/>
      <c r="K1417" s="1741"/>
      <c r="L1417" s="1578"/>
      <c r="M1417" s="1602"/>
      <c r="N1417" s="1171" t="str">
        <f t="shared" si="147"/>
        <v/>
      </c>
      <c r="O1417" s="1213"/>
      <c r="P1417" s="1173" t="str">
        <f>IFERROR(VLOOKUP(F1417,#REF!,12,FALSE),"")</f>
        <v/>
      </c>
      <c r="Q1417" s="1229" t="s">
        <v>8</v>
      </c>
      <c r="R1417" s="1324" t="str">
        <f>IFERROR(VLOOKUP(F1417,#REF!,14,FALSE),"")</f>
        <v/>
      </c>
      <c r="S1417" s="1217" t="str">
        <f t="shared" si="148"/>
        <v/>
      </c>
      <c r="U1417" s="1728"/>
      <c r="V1417" s="864">
        <f t="shared" si="149"/>
        <v>0</v>
      </c>
      <c r="W1417" s="1767"/>
      <c r="X1417" s="864"/>
    </row>
    <row r="1418" spans="2:24" x14ac:dyDescent="0.2">
      <c r="B1418" s="1669" t="s">
        <v>256</v>
      </c>
      <c r="C1418" s="1208">
        <v>44506</v>
      </c>
      <c r="D1418" s="864">
        <v>119</v>
      </c>
      <c r="E1418" s="865" t="s">
        <v>293</v>
      </c>
      <c r="F1418" s="1547" t="s">
        <v>279</v>
      </c>
      <c r="G1418" s="1209">
        <v>4.3368055555555556E-2</v>
      </c>
      <c r="H1418" s="1210">
        <v>11.6</v>
      </c>
      <c r="I1418" s="1211">
        <f t="shared" si="151"/>
        <v>3.7386254789272032E-3</v>
      </c>
      <c r="J1418" s="1212">
        <v>148</v>
      </c>
      <c r="K1418" s="1741"/>
      <c r="L1418" s="1578">
        <v>217</v>
      </c>
      <c r="M1418" s="1602">
        <v>44</v>
      </c>
      <c r="N1418" s="1171">
        <f t="shared" si="147"/>
        <v>1.046190169840453</v>
      </c>
      <c r="O1418" s="1213" t="s">
        <v>311</v>
      </c>
      <c r="P1418" s="1173" t="str">
        <f>IFERROR(VLOOKUP(F1418,#REF!,12,FALSE),"")</f>
        <v/>
      </c>
      <c r="Q1418" s="1229" t="s">
        <v>8</v>
      </c>
      <c r="R1418" s="1324" t="str">
        <f>IFERROR(VLOOKUP(F1418,#REF!,14,FALSE),"")</f>
        <v/>
      </c>
      <c r="S1418" s="1217">
        <f t="shared" si="148"/>
        <v>1.4662162162162162</v>
      </c>
      <c r="U1418" s="1728"/>
      <c r="V1418" s="864">
        <f t="shared" si="149"/>
        <v>0</v>
      </c>
      <c r="W1418" s="1767"/>
      <c r="X1418" s="864"/>
    </row>
    <row r="1419" spans="2:24" ht="16" thickBot="1" x14ac:dyDescent="0.25">
      <c r="B1419" s="1709" t="e">
        <f>AVERAGE(#REF!)</f>
        <v>#REF!</v>
      </c>
      <c r="C1419" s="544">
        <v>44507</v>
      </c>
      <c r="D1419" s="67"/>
      <c r="E1419" s="208"/>
      <c r="F1419" s="1429"/>
      <c r="G1419" s="1230"/>
      <c r="H1419" s="1231" t="str">
        <f>IFERROR(VLOOKUP(F1419,#REF!,10,FALSE),"")</f>
        <v/>
      </c>
      <c r="I1419" s="1232" t="str">
        <f t="shared" si="151"/>
        <v/>
      </c>
      <c r="J1419" s="256"/>
      <c r="K1419" s="1741"/>
      <c r="L1419" s="1580"/>
      <c r="M1419" s="1561"/>
      <c r="N1419" s="172" t="str">
        <f t="shared" si="147"/>
        <v/>
      </c>
      <c r="O1419" s="1233"/>
      <c r="P1419" s="447" t="str">
        <f>IFERROR(VLOOKUP(F1419,#REF!,12,FALSE),"")</f>
        <v/>
      </c>
      <c r="Q1419" s="1234" t="s">
        <v>8</v>
      </c>
      <c r="R1419" s="1235" t="str">
        <f>IFERROR(VLOOKUP(F1419,#REF!,14,FALSE),"")</f>
        <v/>
      </c>
      <c r="S1419" s="1236" t="str">
        <f t="shared" si="148"/>
        <v/>
      </c>
      <c r="U1419" s="1728"/>
      <c r="V1419" s="67">
        <f t="shared" si="149"/>
        <v>0</v>
      </c>
      <c r="W1419" s="1768"/>
      <c r="X1419" s="67"/>
    </row>
    <row r="1420" spans="2:24" ht="16" thickBot="1" x14ac:dyDescent="0.25">
      <c r="B1420" s="1661">
        <f>B1413+1</f>
        <v>45</v>
      </c>
      <c r="C1420" s="1199">
        <v>44508</v>
      </c>
      <c r="D1420" s="1108">
        <v>120</v>
      </c>
      <c r="E1420" s="1109" t="s">
        <v>293</v>
      </c>
      <c r="F1420" s="1546" t="s">
        <v>322</v>
      </c>
      <c r="G1420" s="1200">
        <v>2.4479166666666666E-2</v>
      </c>
      <c r="H1420" s="1201">
        <v>6.13</v>
      </c>
      <c r="I1420" s="1202">
        <f t="shared" si="151"/>
        <v>3.9933387710712346E-3</v>
      </c>
      <c r="J1420" s="1203">
        <v>148</v>
      </c>
      <c r="K1420" s="1741"/>
      <c r="L1420" s="1577">
        <v>204</v>
      </c>
      <c r="M1420" s="1374">
        <v>19</v>
      </c>
      <c r="N1420" s="1111">
        <f t="shared" si="147"/>
        <v>1.0505222663193008</v>
      </c>
      <c r="O1420" s="1204" t="s">
        <v>339</v>
      </c>
      <c r="P1420" s="1113" t="str">
        <f>IFERROR(VLOOKUP(F1420,#REF!,12,FALSE),"")</f>
        <v/>
      </c>
      <c r="Q1420" s="1205" t="s">
        <v>8</v>
      </c>
      <c r="R1420" s="1206" t="str">
        <f>IFERROR(VLOOKUP(F1420,#REF!,14,FALSE),"")</f>
        <v/>
      </c>
      <c r="S1420" s="1207">
        <f t="shared" si="148"/>
        <v>1.3783783783783783</v>
      </c>
      <c r="U1420" s="1728"/>
      <c r="V1420" s="1108">
        <f t="shared" si="149"/>
        <v>0</v>
      </c>
      <c r="W1420" s="1766"/>
      <c r="X1420" s="1108"/>
    </row>
    <row r="1421" spans="2:24" x14ac:dyDescent="0.2">
      <c r="B1421" s="1666" t="s">
        <v>142</v>
      </c>
      <c r="C1421" s="1208">
        <v>44509</v>
      </c>
      <c r="D1421" s="864"/>
      <c r="E1421" s="865"/>
      <c r="F1421" s="1547"/>
      <c r="G1421" s="1209"/>
      <c r="H1421" s="1210" t="str">
        <f>IFERROR(VLOOKUP(F1421,#REF!,10,FALSE),"")</f>
        <v/>
      </c>
      <c r="I1421" s="1211" t="str">
        <f t="shared" si="151"/>
        <v/>
      </c>
      <c r="J1421" s="1212"/>
      <c r="K1421" s="1741"/>
      <c r="L1421" s="1578"/>
      <c r="M1421" s="1602"/>
      <c r="N1421" s="1171" t="str">
        <f t="shared" si="147"/>
        <v/>
      </c>
      <c r="O1421" s="1213"/>
      <c r="P1421" s="1173" t="str">
        <f>IFERROR(VLOOKUP(F1421,#REF!,12,FALSE),"")</f>
        <v/>
      </c>
      <c r="Q1421" s="1229" t="s">
        <v>8</v>
      </c>
      <c r="R1421" s="1324" t="str">
        <f>IFERROR(VLOOKUP(F1421,#REF!,14,FALSE),"")</f>
        <v/>
      </c>
      <c r="S1421" s="1217" t="str">
        <f t="shared" si="148"/>
        <v/>
      </c>
      <c r="U1421" s="1728"/>
      <c r="V1421" s="864">
        <f t="shared" si="149"/>
        <v>0</v>
      </c>
      <c r="W1421" s="1767"/>
      <c r="X1421" s="864"/>
    </row>
    <row r="1422" spans="2:24" ht="16" thickBot="1" x14ac:dyDescent="0.25">
      <c r="B1422" s="1654">
        <f>SUM(H1420:H1426)</f>
        <v>23.73</v>
      </c>
      <c r="C1422" s="1208">
        <v>44510</v>
      </c>
      <c r="D1422" s="864">
        <v>121</v>
      </c>
      <c r="E1422" s="865" t="s">
        <v>293</v>
      </c>
      <c r="F1422" s="1547" t="s">
        <v>322</v>
      </c>
      <c r="G1422" s="1209">
        <v>2.9849537037037036E-2</v>
      </c>
      <c r="H1422" s="1210">
        <v>7.87</v>
      </c>
      <c r="I1422" s="1211">
        <f t="shared" si="151"/>
        <v>3.7928255447315165E-3</v>
      </c>
      <c r="J1422" s="1212">
        <v>146</v>
      </c>
      <c r="K1422" s="1741"/>
      <c r="L1422" s="1578">
        <v>215</v>
      </c>
      <c r="M1422" s="1602">
        <v>19</v>
      </c>
      <c r="N1422" s="1171">
        <f t="shared" si="147"/>
        <v>1.0515750346109352</v>
      </c>
      <c r="O1422" s="1213" t="s">
        <v>311</v>
      </c>
      <c r="P1422" s="1173" t="str">
        <f>IFERROR(VLOOKUP(F1422,#REF!,12,FALSE),"")</f>
        <v/>
      </c>
      <c r="Q1422" s="1229" t="s">
        <v>8</v>
      </c>
      <c r="R1422" s="1324" t="str">
        <f>IFERROR(VLOOKUP(F1422,#REF!,14,FALSE),"")</f>
        <v/>
      </c>
      <c r="S1422" s="1217">
        <f t="shared" si="148"/>
        <v>1.4726027397260273</v>
      </c>
      <c r="U1422" s="1728"/>
      <c r="V1422" s="864">
        <f t="shared" si="149"/>
        <v>0</v>
      </c>
      <c r="W1422" s="1767"/>
      <c r="X1422" s="864"/>
    </row>
    <row r="1423" spans="2:24" x14ac:dyDescent="0.2">
      <c r="B1423" s="1667" t="s">
        <v>144</v>
      </c>
      <c r="C1423" s="1208">
        <v>44511</v>
      </c>
      <c r="D1423" s="864"/>
      <c r="E1423" s="865"/>
      <c r="F1423" s="1547"/>
      <c r="G1423" s="1209"/>
      <c r="H1423" s="1210" t="str">
        <f>IFERROR(VLOOKUP(F1423,#REF!,10,FALSE),"")</f>
        <v/>
      </c>
      <c r="I1423" s="1211" t="str">
        <f t="shared" si="151"/>
        <v/>
      </c>
      <c r="J1423" s="1212"/>
      <c r="K1423" s="1741"/>
      <c r="L1423" s="1578"/>
      <c r="M1423" s="1602"/>
      <c r="N1423" s="1171" t="str">
        <f t="shared" si="147"/>
        <v/>
      </c>
      <c r="O1423" s="1213"/>
      <c r="P1423" s="1173" t="str">
        <f>IFERROR(VLOOKUP(F1423,#REF!,12,FALSE),"")</f>
        <v/>
      </c>
      <c r="Q1423" s="1229" t="s">
        <v>8</v>
      </c>
      <c r="R1423" s="1324" t="str">
        <f>IFERROR(VLOOKUP(F1423,#REF!,14,FALSE),"")</f>
        <v/>
      </c>
      <c r="S1423" s="1217" t="str">
        <f t="shared" si="148"/>
        <v/>
      </c>
      <c r="U1423" s="1728"/>
      <c r="V1423" s="864">
        <f t="shared" si="149"/>
        <v>0</v>
      </c>
      <c r="W1423" s="1767"/>
      <c r="X1423" s="864"/>
    </row>
    <row r="1424" spans="2:24" ht="16" thickBot="1" x14ac:dyDescent="0.25">
      <c r="B1424" s="1668" t="e">
        <f>SUM(#REF!)</f>
        <v>#REF!</v>
      </c>
      <c r="C1424" s="1208">
        <v>44512</v>
      </c>
      <c r="D1424" s="864"/>
      <c r="E1424" s="865"/>
      <c r="F1424" s="1547"/>
      <c r="G1424" s="1209"/>
      <c r="H1424" s="1210" t="str">
        <f>IFERROR(VLOOKUP(F1424,#REF!,10,FALSE),"")</f>
        <v/>
      </c>
      <c r="I1424" s="1211" t="str">
        <f t="shared" si="151"/>
        <v/>
      </c>
      <c r="J1424" s="1212"/>
      <c r="K1424" s="1741"/>
      <c r="L1424" s="1578"/>
      <c r="M1424" s="1602"/>
      <c r="N1424" s="1171" t="str">
        <f t="shared" si="147"/>
        <v/>
      </c>
      <c r="O1424" s="1213"/>
      <c r="P1424" s="1173" t="str">
        <f>IFERROR(VLOOKUP(F1424,#REF!,12,FALSE),"")</f>
        <v/>
      </c>
      <c r="Q1424" s="1229" t="s">
        <v>8</v>
      </c>
      <c r="R1424" s="1324" t="str">
        <f>IFERROR(VLOOKUP(F1424,#REF!,14,FALSE),"")</f>
        <v/>
      </c>
      <c r="S1424" s="1217" t="str">
        <f t="shared" si="148"/>
        <v/>
      </c>
      <c r="U1424" s="1728"/>
      <c r="V1424" s="864">
        <f t="shared" si="149"/>
        <v>0</v>
      </c>
      <c r="W1424" s="1767"/>
      <c r="X1424" s="864"/>
    </row>
    <row r="1425" spans="2:24" x14ac:dyDescent="0.2">
      <c r="B1425" s="1669" t="s">
        <v>256</v>
      </c>
      <c r="C1425" s="1208">
        <v>44513</v>
      </c>
      <c r="D1425" s="864"/>
      <c r="E1425" s="865"/>
      <c r="F1425" s="1547"/>
      <c r="G1425" s="1209"/>
      <c r="H1425" s="1210" t="str">
        <f>IFERROR(VLOOKUP(F1425,#REF!,10,FALSE),"")</f>
        <v/>
      </c>
      <c r="I1425" s="1211" t="str">
        <f t="shared" si="151"/>
        <v/>
      </c>
      <c r="J1425" s="1212"/>
      <c r="K1425" s="1741"/>
      <c r="L1425" s="1578"/>
      <c r="M1425" s="1602"/>
      <c r="N1425" s="1171" t="str">
        <f t="shared" si="147"/>
        <v/>
      </c>
      <c r="O1425" s="1213"/>
      <c r="P1425" s="1173" t="str">
        <f>IFERROR(VLOOKUP(F1425,#REF!,12,FALSE),"")</f>
        <v/>
      </c>
      <c r="Q1425" s="1229" t="s">
        <v>8</v>
      </c>
      <c r="R1425" s="1324" t="str">
        <f>IFERROR(VLOOKUP(F1425,#REF!,14,FALSE),"")</f>
        <v/>
      </c>
      <c r="S1425" s="1217" t="str">
        <f t="shared" si="148"/>
        <v/>
      </c>
      <c r="U1425" s="1728"/>
      <c r="V1425" s="864">
        <f t="shared" si="149"/>
        <v>0</v>
      </c>
      <c r="W1425" s="1767"/>
      <c r="X1425" s="864"/>
    </row>
    <row r="1426" spans="2:24" ht="16" thickBot="1" x14ac:dyDescent="0.25">
      <c r="B1426" s="1709" t="e">
        <f>AVERAGE(#REF!)</f>
        <v>#REF!</v>
      </c>
      <c r="C1426" s="544">
        <v>44514</v>
      </c>
      <c r="D1426" s="67">
        <v>122</v>
      </c>
      <c r="E1426" s="208" t="s">
        <v>293</v>
      </c>
      <c r="F1426" s="1429" t="s">
        <v>279</v>
      </c>
      <c r="G1426" s="1230">
        <v>3.7685185185185183E-2</v>
      </c>
      <c r="H1426" s="1231">
        <v>9.73</v>
      </c>
      <c r="I1426" s="1232">
        <f t="shared" si="151"/>
        <v>3.873092002588405E-3</v>
      </c>
      <c r="J1426" s="256">
        <v>146</v>
      </c>
      <c r="K1426" s="1741"/>
      <c r="L1426" s="1580">
        <v>211</v>
      </c>
      <c r="M1426" s="1561">
        <v>37</v>
      </c>
      <c r="N1426" s="172">
        <f t="shared" si="147"/>
        <v>1.0538509917013084</v>
      </c>
      <c r="O1426" s="1233" t="s">
        <v>311</v>
      </c>
      <c r="P1426" s="447" t="str">
        <f>IFERROR(VLOOKUP(F1426,#REF!,12,FALSE),"")</f>
        <v/>
      </c>
      <c r="Q1426" s="1234" t="s">
        <v>8</v>
      </c>
      <c r="R1426" s="1235" t="str">
        <f>IFERROR(VLOOKUP(F1426,#REF!,14,FALSE),"")</f>
        <v/>
      </c>
      <c r="S1426" s="1236">
        <f t="shared" si="148"/>
        <v>1.4452054794520548</v>
      </c>
      <c r="U1426" s="1728"/>
      <c r="V1426" s="67">
        <f t="shared" si="149"/>
        <v>0</v>
      </c>
      <c r="W1426" s="1768"/>
      <c r="X1426" s="67"/>
    </row>
    <row r="1427" spans="2:24" ht="16" thickBot="1" x14ac:dyDescent="0.25">
      <c r="B1427" s="1661">
        <f>B1420+1</f>
        <v>46</v>
      </c>
      <c r="C1427" s="1199">
        <v>44515</v>
      </c>
      <c r="D1427" s="1108"/>
      <c r="E1427" s="1109"/>
      <c r="F1427" s="1546"/>
      <c r="G1427" s="1200"/>
      <c r="H1427" s="1201" t="str">
        <f>IFERROR(VLOOKUP(F1427,#REF!,10,FALSE),"")</f>
        <v/>
      </c>
      <c r="I1427" s="1202" t="str">
        <f t="shared" si="151"/>
        <v/>
      </c>
      <c r="J1427" s="1203"/>
      <c r="K1427" s="1741"/>
      <c r="L1427" s="1577"/>
      <c r="M1427" s="1374"/>
      <c r="N1427" s="1111" t="str">
        <f t="shared" si="147"/>
        <v/>
      </c>
      <c r="O1427" s="1204"/>
      <c r="P1427" s="1113" t="str">
        <f>IFERROR(VLOOKUP(F1427,#REF!,12,FALSE),"")</f>
        <v/>
      </c>
      <c r="Q1427" s="1205" t="s">
        <v>8</v>
      </c>
      <c r="R1427" s="1206" t="str">
        <f>IFERROR(VLOOKUP(F1427,#REF!,14,FALSE),"")</f>
        <v/>
      </c>
      <c r="S1427" s="1207" t="str">
        <f t="shared" si="148"/>
        <v/>
      </c>
      <c r="U1427" s="1728"/>
      <c r="V1427" s="1108">
        <f t="shared" si="149"/>
        <v>0</v>
      </c>
      <c r="W1427" s="1766"/>
      <c r="X1427" s="1108"/>
    </row>
    <row r="1428" spans="2:24" x14ac:dyDescent="0.2">
      <c r="B1428" s="1666" t="s">
        <v>142</v>
      </c>
      <c r="C1428" s="1208">
        <v>44516</v>
      </c>
      <c r="D1428" s="864"/>
      <c r="E1428" s="865"/>
      <c r="F1428" s="1547"/>
      <c r="G1428" s="1209"/>
      <c r="H1428" s="1210" t="str">
        <f>IFERROR(VLOOKUP(F1428,#REF!,10,FALSE),"")</f>
        <v/>
      </c>
      <c r="I1428" s="1211" t="str">
        <f t="shared" si="151"/>
        <v/>
      </c>
      <c r="J1428" s="1212"/>
      <c r="K1428" s="1741"/>
      <c r="L1428" s="1578"/>
      <c r="M1428" s="1602"/>
      <c r="N1428" s="1171" t="str">
        <f t="shared" si="147"/>
        <v/>
      </c>
      <c r="O1428" s="1213"/>
      <c r="P1428" s="1173" t="str">
        <f>IFERROR(VLOOKUP(F1428,#REF!,12,FALSE),"")</f>
        <v/>
      </c>
      <c r="Q1428" s="1229" t="s">
        <v>8</v>
      </c>
      <c r="R1428" s="1324" t="str">
        <f>IFERROR(VLOOKUP(F1428,#REF!,14,FALSE),"")</f>
        <v/>
      </c>
      <c r="S1428" s="1217" t="str">
        <f t="shared" si="148"/>
        <v/>
      </c>
      <c r="U1428" s="1728"/>
      <c r="V1428" s="864">
        <f t="shared" si="149"/>
        <v>0</v>
      </c>
      <c r="W1428" s="1767"/>
      <c r="X1428" s="864"/>
    </row>
    <row r="1429" spans="2:24" ht="16" thickBot="1" x14ac:dyDescent="0.25">
      <c r="B1429" s="1654">
        <f>SUM(H1427:H1433)</f>
        <v>16.560000000000002</v>
      </c>
      <c r="C1429" s="1208">
        <v>44517</v>
      </c>
      <c r="D1429" s="864"/>
      <c r="E1429" s="865"/>
      <c r="F1429" s="1547"/>
      <c r="G1429" s="1209"/>
      <c r="H1429" s="1210" t="str">
        <f>IFERROR(VLOOKUP(F1429,#REF!,10,FALSE),"")</f>
        <v/>
      </c>
      <c r="I1429" s="1211" t="str">
        <f t="shared" si="151"/>
        <v/>
      </c>
      <c r="J1429" s="1212"/>
      <c r="K1429" s="1741"/>
      <c r="L1429" s="1578"/>
      <c r="M1429" s="1602"/>
      <c r="N1429" s="1171" t="str">
        <f t="shared" si="147"/>
        <v/>
      </c>
      <c r="O1429" s="1213"/>
      <c r="P1429" s="1173" t="str">
        <f>IFERROR(VLOOKUP(F1429,#REF!,12,FALSE),"")</f>
        <v/>
      </c>
      <c r="Q1429" s="1229" t="s">
        <v>8</v>
      </c>
      <c r="R1429" s="1324" t="str">
        <f>IFERROR(VLOOKUP(F1429,#REF!,14,FALSE),"")</f>
        <v/>
      </c>
      <c r="S1429" s="1217" t="str">
        <f t="shared" si="148"/>
        <v/>
      </c>
      <c r="U1429" s="1728"/>
      <c r="V1429" s="864">
        <f t="shared" si="149"/>
        <v>0</v>
      </c>
      <c r="W1429" s="1767"/>
      <c r="X1429" s="864"/>
    </row>
    <row r="1430" spans="2:24" x14ac:dyDescent="0.2">
      <c r="B1430" s="1667" t="s">
        <v>144</v>
      </c>
      <c r="C1430" s="1208">
        <v>44518</v>
      </c>
      <c r="D1430" s="864"/>
      <c r="E1430" s="865"/>
      <c r="F1430" s="1547"/>
      <c r="G1430" s="1209"/>
      <c r="H1430" s="1210" t="str">
        <f>IFERROR(VLOOKUP(F1430,#REF!,10,FALSE),"")</f>
        <v/>
      </c>
      <c r="I1430" s="1211" t="str">
        <f t="shared" si="151"/>
        <v/>
      </c>
      <c r="J1430" s="1212"/>
      <c r="K1430" s="1741"/>
      <c r="L1430" s="1578"/>
      <c r="M1430" s="1602"/>
      <c r="N1430" s="1171" t="str">
        <f t="shared" si="147"/>
        <v/>
      </c>
      <c r="O1430" s="1213"/>
      <c r="P1430" s="1173" t="str">
        <f>IFERROR(VLOOKUP(F1430,#REF!,12,FALSE),"")</f>
        <v/>
      </c>
      <c r="Q1430" s="1229" t="s">
        <v>8</v>
      </c>
      <c r="R1430" s="1324" t="str">
        <f>IFERROR(VLOOKUP(F1430,#REF!,14,FALSE),"")</f>
        <v/>
      </c>
      <c r="S1430" s="1217" t="str">
        <f t="shared" si="148"/>
        <v/>
      </c>
      <c r="U1430" s="1728"/>
      <c r="V1430" s="864">
        <f t="shared" si="149"/>
        <v>0</v>
      </c>
      <c r="W1430" s="1767"/>
      <c r="X1430" s="864"/>
    </row>
    <row r="1431" spans="2:24" ht="16" thickBot="1" x14ac:dyDescent="0.25">
      <c r="B1431" s="1668" t="e">
        <f>SUM(#REF!)</f>
        <v>#REF!</v>
      </c>
      <c r="C1431" s="1208">
        <v>44519</v>
      </c>
      <c r="D1431" s="864">
        <v>123</v>
      </c>
      <c r="E1431" s="865" t="s">
        <v>293</v>
      </c>
      <c r="F1431" s="1547" t="s">
        <v>322</v>
      </c>
      <c r="G1431" s="1209">
        <v>2.4351851851851857E-2</v>
      </c>
      <c r="H1431" s="1210">
        <v>6.16</v>
      </c>
      <c r="I1431" s="1211">
        <f t="shared" si="151"/>
        <v>3.9532227032227042E-3</v>
      </c>
      <c r="J1431" s="1212">
        <v>138</v>
      </c>
      <c r="K1431" s="1741"/>
      <c r="L1431" s="1578">
        <v>206</v>
      </c>
      <c r="M1431" s="1602">
        <v>17</v>
      </c>
      <c r="N1431" s="1171">
        <f t="shared" si="147"/>
        <v>1.050164760612522</v>
      </c>
      <c r="O1431" s="1213" t="s">
        <v>311</v>
      </c>
      <c r="P1431" s="1173" t="str">
        <f>IFERROR(VLOOKUP(F1431,#REF!,12,FALSE),"")</f>
        <v/>
      </c>
      <c r="Q1431" s="1229" t="s">
        <v>8</v>
      </c>
      <c r="R1431" s="1324" t="str">
        <f>IFERROR(VLOOKUP(F1431,#REF!,14,FALSE),"")</f>
        <v/>
      </c>
      <c r="S1431" s="1217">
        <f t="shared" si="148"/>
        <v>1.4927536231884058</v>
      </c>
      <c r="U1431" s="1728"/>
      <c r="V1431" s="864">
        <f t="shared" si="149"/>
        <v>0</v>
      </c>
      <c r="W1431" s="1767"/>
      <c r="X1431" s="864"/>
    </row>
    <row r="1432" spans="2:24" x14ac:dyDescent="0.2">
      <c r="B1432" s="1669" t="s">
        <v>256</v>
      </c>
      <c r="C1432" s="1208">
        <v>44520</v>
      </c>
      <c r="D1432" s="864"/>
      <c r="E1432" s="865"/>
      <c r="F1432" s="1547"/>
      <c r="G1432" s="1209"/>
      <c r="H1432" s="1210" t="str">
        <f>IFERROR(VLOOKUP(F1432,#REF!,10,FALSE),"")</f>
        <v/>
      </c>
      <c r="I1432" s="1211" t="str">
        <f t="shared" si="151"/>
        <v/>
      </c>
      <c r="J1432" s="1212"/>
      <c r="K1432" s="1741"/>
      <c r="L1432" s="1578"/>
      <c r="M1432" s="1602"/>
      <c r="N1432" s="1171" t="str">
        <f t="shared" ref="N1432:N1463" si="152">IFERROR((L1432/67)/(1/(I1432*24)/3.6),"")</f>
        <v/>
      </c>
      <c r="O1432" s="1213"/>
      <c r="P1432" s="1173" t="str">
        <f>IFERROR(VLOOKUP(F1432,#REF!,12,FALSE),"")</f>
        <v/>
      </c>
      <c r="Q1432" s="1229" t="s">
        <v>8</v>
      </c>
      <c r="R1432" s="1324" t="str">
        <f>IFERROR(VLOOKUP(F1432,#REF!,14,FALSE),"")</f>
        <v/>
      </c>
      <c r="S1432" s="1217" t="str">
        <f t="shared" ref="S1432:S1463" si="153">IFERROR(L1432/J1432,"")</f>
        <v/>
      </c>
      <c r="U1432" s="1728"/>
      <c r="V1432" s="864">
        <f t="shared" si="149"/>
        <v>0</v>
      </c>
      <c r="W1432" s="1767"/>
      <c r="X1432" s="864"/>
    </row>
    <row r="1433" spans="2:24" ht="16" thickBot="1" x14ac:dyDescent="0.25">
      <c r="B1433" s="1709" t="e">
        <f>AVERAGE(#REF!)</f>
        <v>#REF!</v>
      </c>
      <c r="C1433" s="544">
        <v>44521</v>
      </c>
      <c r="D1433" s="67">
        <v>124</v>
      </c>
      <c r="E1433" s="208" t="s">
        <v>292</v>
      </c>
      <c r="F1433" s="1429" t="s">
        <v>279</v>
      </c>
      <c r="G1433" s="1230">
        <v>4.1701388888888885E-2</v>
      </c>
      <c r="H1433" s="1231">
        <v>10.4</v>
      </c>
      <c r="I1433" s="1232">
        <f t="shared" si="151"/>
        <v>4.0097489316239313E-3</v>
      </c>
      <c r="J1433" s="256">
        <v>142</v>
      </c>
      <c r="K1433" s="1741"/>
      <c r="L1433" s="1580">
        <v>202</v>
      </c>
      <c r="M1433" s="1561">
        <v>27</v>
      </c>
      <c r="N1433" s="172">
        <f t="shared" si="152"/>
        <v>1.0444977037887484</v>
      </c>
      <c r="O1433" s="1233" t="s">
        <v>311</v>
      </c>
      <c r="P1433" s="447" t="str">
        <f>IFERROR(VLOOKUP(F1433,#REF!,12,FALSE),"")</f>
        <v/>
      </c>
      <c r="Q1433" s="1234" t="s">
        <v>8</v>
      </c>
      <c r="R1433" s="1235" t="str">
        <f>IFERROR(VLOOKUP(F1433,#REF!,14,FALSE),"")</f>
        <v/>
      </c>
      <c r="S1433" s="1236">
        <f t="shared" si="153"/>
        <v>1.4225352112676057</v>
      </c>
      <c r="U1433" s="1728"/>
      <c r="V1433" s="67">
        <f t="shared" si="149"/>
        <v>0</v>
      </c>
      <c r="W1433" s="1768"/>
      <c r="X1433" s="67"/>
    </row>
    <row r="1434" spans="2:24" ht="16" thickBot="1" x14ac:dyDescent="0.25">
      <c r="B1434" s="1661">
        <f>B1427+1</f>
        <v>47</v>
      </c>
      <c r="C1434" s="1199">
        <v>44522</v>
      </c>
      <c r="D1434" s="1108"/>
      <c r="E1434" s="1109"/>
      <c r="F1434" s="1546"/>
      <c r="G1434" s="1200"/>
      <c r="H1434" s="1201" t="str">
        <f>IFERROR(VLOOKUP(F1434,#REF!,10,FALSE),"")</f>
        <v/>
      </c>
      <c r="I1434" s="1202" t="str">
        <f t="shared" si="151"/>
        <v/>
      </c>
      <c r="J1434" s="1203"/>
      <c r="K1434" s="1741"/>
      <c r="L1434" s="1577"/>
      <c r="M1434" s="1374"/>
      <c r="N1434" s="1111" t="str">
        <f t="shared" si="152"/>
        <v/>
      </c>
      <c r="O1434" s="1204"/>
      <c r="P1434" s="1113" t="str">
        <f>IFERROR(VLOOKUP(F1434,#REF!,12,FALSE),"")</f>
        <v/>
      </c>
      <c r="Q1434" s="1205" t="s">
        <v>8</v>
      </c>
      <c r="R1434" s="1206" t="str">
        <f>IFERROR(VLOOKUP(F1434,#REF!,14,FALSE),"")</f>
        <v/>
      </c>
      <c r="S1434" s="1207" t="str">
        <f t="shared" si="153"/>
        <v/>
      </c>
      <c r="U1434" s="1728"/>
      <c r="V1434" s="1108">
        <f t="shared" si="149"/>
        <v>0</v>
      </c>
      <c r="W1434" s="1766"/>
      <c r="X1434" s="1108"/>
    </row>
    <row r="1435" spans="2:24" x14ac:dyDescent="0.2">
      <c r="B1435" s="1666" t="s">
        <v>142</v>
      </c>
      <c r="C1435" s="1208">
        <v>44523</v>
      </c>
      <c r="D1435" s="864">
        <v>125</v>
      </c>
      <c r="E1435" s="865" t="s">
        <v>293</v>
      </c>
      <c r="F1435" s="1547" t="s">
        <v>279</v>
      </c>
      <c r="G1435" s="1209">
        <v>3.9247685185185184E-2</v>
      </c>
      <c r="H1435" s="1210">
        <v>10.6</v>
      </c>
      <c r="I1435" s="1211">
        <f t="shared" si="151"/>
        <v>3.7026118099231305E-3</v>
      </c>
      <c r="J1435" s="1212">
        <v>146</v>
      </c>
      <c r="K1435" s="1741"/>
      <c r="L1435" s="1578">
        <v>217</v>
      </c>
      <c r="M1435" s="1602">
        <v>39</v>
      </c>
      <c r="N1435" s="1171">
        <f t="shared" si="152"/>
        <v>1.0361123627147282</v>
      </c>
      <c r="O1435" s="1213" t="s">
        <v>280</v>
      </c>
      <c r="P1435" s="1173" t="str">
        <f>IFERROR(VLOOKUP(F1435,#REF!,12,FALSE),"")</f>
        <v/>
      </c>
      <c r="Q1435" s="1229" t="s">
        <v>8</v>
      </c>
      <c r="R1435" s="1324" t="str">
        <f>IFERROR(VLOOKUP(F1435,#REF!,14,FALSE),"")</f>
        <v/>
      </c>
      <c r="S1435" s="1217">
        <f t="shared" si="153"/>
        <v>1.4863013698630136</v>
      </c>
      <c r="U1435" s="1728"/>
      <c r="V1435" s="864">
        <f t="shared" si="149"/>
        <v>0</v>
      </c>
      <c r="W1435" s="1767"/>
      <c r="X1435" s="864"/>
    </row>
    <row r="1436" spans="2:24" ht="16" thickBot="1" x14ac:dyDescent="0.25">
      <c r="B1436" s="1654">
        <f>SUM(H1434:H1440)</f>
        <v>35.099999999999994</v>
      </c>
      <c r="C1436" s="1208">
        <v>44524</v>
      </c>
      <c r="D1436" s="864"/>
      <c r="E1436" s="865"/>
      <c r="F1436" s="1547"/>
      <c r="G1436" s="1209"/>
      <c r="H1436" s="1210" t="str">
        <f>IFERROR(VLOOKUP(F1436,#REF!,10,FALSE),"")</f>
        <v/>
      </c>
      <c r="I1436" s="1211" t="str">
        <f t="shared" si="151"/>
        <v/>
      </c>
      <c r="J1436" s="1212"/>
      <c r="K1436" s="1741"/>
      <c r="L1436" s="1578"/>
      <c r="M1436" s="1602"/>
      <c r="N1436" s="1171" t="str">
        <f t="shared" si="152"/>
        <v/>
      </c>
      <c r="O1436" s="1213"/>
      <c r="P1436" s="1173" t="str">
        <f>IFERROR(VLOOKUP(F1436,#REF!,12,FALSE),"")</f>
        <v/>
      </c>
      <c r="Q1436" s="1229" t="s">
        <v>8</v>
      </c>
      <c r="R1436" s="1324" t="str">
        <f>IFERROR(VLOOKUP(F1436,#REF!,14,FALSE),"")</f>
        <v/>
      </c>
      <c r="S1436" s="1217" t="str">
        <f t="shared" si="153"/>
        <v/>
      </c>
      <c r="U1436" s="1728"/>
      <c r="V1436" s="864">
        <f t="shared" si="149"/>
        <v>0</v>
      </c>
      <c r="W1436" s="1767"/>
      <c r="X1436" s="864"/>
    </row>
    <row r="1437" spans="2:24" x14ac:dyDescent="0.2">
      <c r="B1437" s="1667" t="s">
        <v>144</v>
      </c>
      <c r="C1437" s="1208">
        <v>44525</v>
      </c>
      <c r="D1437" s="864"/>
      <c r="E1437" s="865"/>
      <c r="F1437" s="1547"/>
      <c r="G1437" s="1209"/>
      <c r="H1437" s="1210" t="str">
        <f>IFERROR(VLOOKUP(F1437,#REF!,10,FALSE),"")</f>
        <v/>
      </c>
      <c r="I1437" s="1211" t="str">
        <f t="shared" si="151"/>
        <v/>
      </c>
      <c r="J1437" s="1212"/>
      <c r="K1437" s="1741"/>
      <c r="L1437" s="1578"/>
      <c r="M1437" s="1602"/>
      <c r="N1437" s="1171" t="str">
        <f t="shared" si="152"/>
        <v/>
      </c>
      <c r="O1437" s="1213"/>
      <c r="P1437" s="1173" t="str">
        <f>IFERROR(VLOOKUP(F1437,#REF!,12,FALSE),"")</f>
        <v/>
      </c>
      <c r="Q1437" s="1229" t="s">
        <v>8</v>
      </c>
      <c r="R1437" s="1324" t="str">
        <f>IFERROR(VLOOKUP(F1437,#REF!,14,FALSE),"")</f>
        <v/>
      </c>
      <c r="S1437" s="1217" t="str">
        <f t="shared" si="153"/>
        <v/>
      </c>
      <c r="U1437" s="1728"/>
      <c r="V1437" s="864">
        <f t="shared" si="149"/>
        <v>0</v>
      </c>
      <c r="W1437" s="1767"/>
      <c r="X1437" s="864"/>
    </row>
    <row r="1438" spans="2:24" ht="16" thickBot="1" x14ac:dyDescent="0.25">
      <c r="B1438" s="1668" t="e">
        <f>SUM(#REF!)</f>
        <v>#REF!</v>
      </c>
      <c r="C1438" s="1208">
        <v>44526</v>
      </c>
      <c r="D1438" s="864">
        <v>126</v>
      </c>
      <c r="E1438" s="865" t="s">
        <v>292</v>
      </c>
      <c r="F1438" s="1547" t="s">
        <v>279</v>
      </c>
      <c r="G1438" s="1209">
        <v>4.8564814814814818E-2</v>
      </c>
      <c r="H1438" s="1210">
        <v>11.8</v>
      </c>
      <c r="I1438" s="1211">
        <f t="shared" si="151"/>
        <v>4.1156622724419336E-3</v>
      </c>
      <c r="J1438" s="1212">
        <v>141</v>
      </c>
      <c r="K1438" s="1741"/>
      <c r="L1438" s="1578">
        <v>196</v>
      </c>
      <c r="M1438" s="1602">
        <v>45</v>
      </c>
      <c r="N1438" s="1171">
        <f t="shared" si="152"/>
        <v>1.0402428535289654</v>
      </c>
      <c r="O1438" s="1213" t="s">
        <v>339</v>
      </c>
      <c r="P1438" s="1173" t="str">
        <f>IFERROR(VLOOKUP(F1438,#REF!,12,FALSE),"")</f>
        <v/>
      </c>
      <c r="Q1438" s="1229" t="s">
        <v>8</v>
      </c>
      <c r="R1438" s="1324" t="str">
        <f>IFERROR(VLOOKUP(F1438,#REF!,14,FALSE),"")</f>
        <v/>
      </c>
      <c r="S1438" s="1217">
        <f t="shared" si="153"/>
        <v>1.3900709219858156</v>
      </c>
      <c r="U1438" s="1728"/>
      <c r="V1438" s="864">
        <f t="shared" si="149"/>
        <v>0</v>
      </c>
      <c r="W1438" s="1767"/>
      <c r="X1438" s="864"/>
    </row>
    <row r="1439" spans="2:24" x14ac:dyDescent="0.2">
      <c r="B1439" s="1669" t="s">
        <v>256</v>
      </c>
      <c r="C1439" s="1208">
        <v>44527</v>
      </c>
      <c r="D1439" s="864"/>
      <c r="E1439" s="865"/>
      <c r="F1439" s="1547"/>
      <c r="G1439" s="1209"/>
      <c r="H1439" s="1210" t="str">
        <f>IFERROR(VLOOKUP(F1439,#REF!,10,FALSE),"")</f>
        <v/>
      </c>
      <c r="I1439" s="1211" t="str">
        <f t="shared" si="151"/>
        <v/>
      </c>
      <c r="J1439" s="1212"/>
      <c r="K1439" s="1741"/>
      <c r="L1439" s="1578"/>
      <c r="M1439" s="1602"/>
      <c r="N1439" s="1171" t="str">
        <f t="shared" si="152"/>
        <v/>
      </c>
      <c r="O1439" s="1213"/>
      <c r="P1439" s="1173" t="str">
        <f>IFERROR(VLOOKUP(F1439,#REF!,12,FALSE),"")</f>
        <v/>
      </c>
      <c r="Q1439" s="1229" t="s">
        <v>8</v>
      </c>
      <c r="R1439" s="1324" t="str">
        <f>IFERROR(VLOOKUP(F1439,#REF!,14,FALSE),"")</f>
        <v/>
      </c>
      <c r="S1439" s="1217" t="str">
        <f t="shared" si="153"/>
        <v/>
      </c>
      <c r="U1439" s="1728"/>
      <c r="V1439" s="864">
        <f t="shared" si="149"/>
        <v>0</v>
      </c>
      <c r="W1439" s="1767"/>
      <c r="X1439" s="864"/>
    </row>
    <row r="1440" spans="2:24" ht="16" thickBot="1" x14ac:dyDescent="0.25">
      <c r="B1440" s="1709" t="e">
        <f>AVERAGE(#REF!)</f>
        <v>#REF!</v>
      </c>
      <c r="C1440" s="544">
        <v>44528</v>
      </c>
      <c r="D1440" s="67">
        <v>127</v>
      </c>
      <c r="E1440" s="208" t="s">
        <v>293</v>
      </c>
      <c r="F1440" s="1429" t="s">
        <v>279</v>
      </c>
      <c r="G1440" s="1230">
        <v>4.701388888888889E-2</v>
      </c>
      <c r="H1440" s="1231">
        <v>12.7</v>
      </c>
      <c r="I1440" s="1232">
        <f t="shared" si="151"/>
        <v>3.7018810148731411E-3</v>
      </c>
      <c r="J1440" s="256">
        <v>150</v>
      </c>
      <c r="K1440" s="1741"/>
      <c r="L1440" s="1580">
        <v>221</v>
      </c>
      <c r="M1440" s="1561">
        <v>44</v>
      </c>
      <c r="N1440" s="172">
        <f t="shared" si="152"/>
        <v>1.0550029380655777</v>
      </c>
      <c r="O1440" s="1233" t="s">
        <v>311</v>
      </c>
      <c r="P1440" s="447" t="str">
        <f>IFERROR(VLOOKUP(F1440,#REF!,12,FALSE),"")</f>
        <v/>
      </c>
      <c r="Q1440" s="1234" t="s">
        <v>8</v>
      </c>
      <c r="R1440" s="1235" t="str">
        <f>IFERROR(VLOOKUP(F1440,#REF!,14,FALSE),"")</f>
        <v/>
      </c>
      <c r="S1440" s="1236">
        <f t="shared" si="153"/>
        <v>1.4733333333333334</v>
      </c>
      <c r="U1440" s="1728"/>
      <c r="V1440" s="67">
        <f t="shared" si="149"/>
        <v>0</v>
      </c>
      <c r="W1440" s="1768"/>
      <c r="X1440" s="67"/>
    </row>
    <row r="1441" spans="2:24" ht="16" thickBot="1" x14ac:dyDescent="0.25">
      <c r="B1441" s="1661">
        <f>B1434+1</f>
        <v>48</v>
      </c>
      <c r="C1441" s="1199">
        <v>44529</v>
      </c>
      <c r="D1441" s="1108"/>
      <c r="E1441" s="1109"/>
      <c r="F1441" s="1546"/>
      <c r="G1441" s="1200"/>
      <c r="H1441" s="1201" t="str">
        <f>IFERROR(VLOOKUP(F1441,#REF!,10,FALSE),"")</f>
        <v/>
      </c>
      <c r="I1441" s="1202" t="str">
        <f t="shared" si="151"/>
        <v/>
      </c>
      <c r="J1441" s="1203"/>
      <c r="K1441" s="1741"/>
      <c r="L1441" s="1577"/>
      <c r="M1441" s="1374"/>
      <c r="N1441" s="1111" t="str">
        <f t="shared" si="152"/>
        <v/>
      </c>
      <c r="O1441" s="1204"/>
      <c r="P1441" s="1113" t="str">
        <f>IFERROR(VLOOKUP(F1441,#REF!,12,FALSE),"")</f>
        <v/>
      </c>
      <c r="Q1441" s="1205" t="s">
        <v>8</v>
      </c>
      <c r="R1441" s="1206" t="str">
        <f>IFERROR(VLOOKUP(F1441,#REF!,14,FALSE),"")</f>
        <v/>
      </c>
      <c r="S1441" s="1207" t="str">
        <f t="shared" si="153"/>
        <v/>
      </c>
      <c r="U1441" s="1728"/>
      <c r="V1441" s="1108">
        <f t="shared" si="149"/>
        <v>0</v>
      </c>
      <c r="W1441" s="1766"/>
      <c r="X1441" s="1108"/>
    </row>
    <row r="1442" spans="2:24" x14ac:dyDescent="0.2">
      <c r="B1442" s="1666" t="s">
        <v>142</v>
      </c>
      <c r="C1442" s="1208">
        <v>44530</v>
      </c>
      <c r="D1442" s="864"/>
      <c r="E1442" s="865"/>
      <c r="F1442" s="1547"/>
      <c r="G1442" s="1209"/>
      <c r="H1442" s="1210" t="str">
        <f>IFERROR(VLOOKUP(F1442,#REF!,10,FALSE),"")</f>
        <v/>
      </c>
      <c r="I1442" s="1211" t="str">
        <f t="shared" si="151"/>
        <v/>
      </c>
      <c r="J1442" s="1212"/>
      <c r="K1442" s="1741"/>
      <c r="L1442" s="1578"/>
      <c r="M1442" s="1602"/>
      <c r="N1442" s="1171" t="str">
        <f t="shared" si="152"/>
        <v/>
      </c>
      <c r="O1442" s="1213"/>
      <c r="P1442" s="1173" t="str">
        <f>IFERROR(VLOOKUP(F1442,#REF!,12,FALSE),"")</f>
        <v/>
      </c>
      <c r="Q1442" s="1229" t="s">
        <v>8</v>
      </c>
      <c r="R1442" s="1324" t="str">
        <f>IFERROR(VLOOKUP(F1442,#REF!,14,FALSE),"")</f>
        <v/>
      </c>
      <c r="S1442" s="1217" t="str">
        <f t="shared" si="153"/>
        <v/>
      </c>
      <c r="U1442" s="1728"/>
      <c r="V1442" s="864">
        <f t="shared" si="149"/>
        <v>0</v>
      </c>
      <c r="W1442" s="1767"/>
      <c r="X1442" s="864"/>
    </row>
    <row r="1443" spans="2:24" ht="16" thickBot="1" x14ac:dyDescent="0.25">
      <c r="B1443" s="1654">
        <f>SUM(H1441:H1447)</f>
        <v>33.26</v>
      </c>
      <c r="C1443" s="1208">
        <v>44531</v>
      </c>
      <c r="D1443" s="864">
        <v>128</v>
      </c>
      <c r="E1443" s="865" t="s">
        <v>293</v>
      </c>
      <c r="F1443" s="1547" t="s">
        <v>322</v>
      </c>
      <c r="G1443" s="1209">
        <v>3.079861111111111E-2</v>
      </c>
      <c r="H1443" s="1210">
        <v>7.96</v>
      </c>
      <c r="I1443" s="1211">
        <f t="shared" si="151"/>
        <v>3.8691722501395867E-3</v>
      </c>
      <c r="J1443" s="1212">
        <v>140</v>
      </c>
      <c r="K1443" s="1741"/>
      <c r="L1443" s="1578">
        <v>211</v>
      </c>
      <c r="M1443" s="1602">
        <v>26</v>
      </c>
      <c r="N1443" s="1171">
        <f t="shared" si="152"/>
        <v>1.0527844446111152</v>
      </c>
      <c r="O1443" s="1213" t="s">
        <v>311</v>
      </c>
      <c r="P1443" s="1173" t="str">
        <f>IFERROR(VLOOKUP(F1443,#REF!,12,FALSE),"")</f>
        <v/>
      </c>
      <c r="Q1443" s="1229" t="s">
        <v>8</v>
      </c>
      <c r="R1443" s="1324" t="str">
        <f>IFERROR(VLOOKUP(F1443,#REF!,14,FALSE),"")</f>
        <v/>
      </c>
      <c r="S1443" s="1217">
        <f t="shared" si="153"/>
        <v>1.5071428571428571</v>
      </c>
      <c r="U1443" s="1728"/>
      <c r="V1443" s="864">
        <f t="shared" si="149"/>
        <v>0</v>
      </c>
      <c r="W1443" s="1767"/>
      <c r="X1443" s="864"/>
    </row>
    <row r="1444" spans="2:24" x14ac:dyDescent="0.2">
      <c r="B1444" s="1667" t="s">
        <v>144</v>
      </c>
      <c r="C1444" s="1208">
        <v>44532</v>
      </c>
      <c r="D1444" s="864"/>
      <c r="E1444" s="865"/>
      <c r="F1444" s="1547"/>
      <c r="G1444" s="1209"/>
      <c r="H1444" s="1210" t="str">
        <f>IFERROR(VLOOKUP(F1444,#REF!,10,FALSE),"")</f>
        <v/>
      </c>
      <c r="I1444" s="1211" t="str">
        <f t="shared" si="151"/>
        <v/>
      </c>
      <c r="J1444" s="1212"/>
      <c r="K1444" s="1741"/>
      <c r="L1444" s="1578"/>
      <c r="M1444" s="1602"/>
      <c r="N1444" s="1171" t="str">
        <f t="shared" si="152"/>
        <v/>
      </c>
      <c r="O1444" s="1213"/>
      <c r="P1444" s="1173" t="str">
        <f>IFERROR(VLOOKUP(F1444,#REF!,12,FALSE),"")</f>
        <v/>
      </c>
      <c r="Q1444" s="1229" t="s">
        <v>8</v>
      </c>
      <c r="R1444" s="1324" t="str">
        <f>IFERROR(VLOOKUP(F1444,#REF!,14,FALSE),"")</f>
        <v/>
      </c>
      <c r="S1444" s="1217" t="str">
        <f t="shared" si="153"/>
        <v/>
      </c>
      <c r="U1444" s="1728"/>
      <c r="V1444" s="864">
        <f t="shared" si="149"/>
        <v>0</v>
      </c>
      <c r="W1444" s="1767"/>
      <c r="X1444" s="864"/>
    </row>
    <row r="1445" spans="2:24" ht="16" thickBot="1" x14ac:dyDescent="0.25">
      <c r="B1445" s="1668" t="e">
        <f>SUM(#REF!)</f>
        <v>#REF!</v>
      </c>
      <c r="C1445" s="1208">
        <v>44533</v>
      </c>
      <c r="D1445" s="864">
        <v>129</v>
      </c>
      <c r="E1445" s="865" t="s">
        <v>292</v>
      </c>
      <c r="F1445" s="1547" t="s">
        <v>279</v>
      </c>
      <c r="G1445" s="1209">
        <v>4.0069444444444442E-2</v>
      </c>
      <c r="H1445" s="1210">
        <v>10.4</v>
      </c>
      <c r="I1445" s="1211">
        <f t="shared" si="151"/>
        <v>3.8528311965811963E-3</v>
      </c>
      <c r="J1445" s="1212">
        <v>141</v>
      </c>
      <c r="K1445" s="1741"/>
      <c r="L1445" s="1578">
        <v>210</v>
      </c>
      <c r="M1445" s="1602">
        <v>33</v>
      </c>
      <c r="N1445" s="1171">
        <f t="shared" si="152"/>
        <v>1.0433696900114811</v>
      </c>
      <c r="O1445" s="1213" t="s">
        <v>311</v>
      </c>
      <c r="P1445" s="1173" t="str">
        <f>IFERROR(VLOOKUP(F1445,#REF!,12,FALSE),"")</f>
        <v/>
      </c>
      <c r="Q1445" s="1229" t="s">
        <v>8</v>
      </c>
      <c r="R1445" s="1324" t="str">
        <f>IFERROR(VLOOKUP(F1445,#REF!,14,FALSE),"")</f>
        <v/>
      </c>
      <c r="S1445" s="1217">
        <f t="shared" si="153"/>
        <v>1.4893617021276595</v>
      </c>
      <c r="U1445" s="1728"/>
      <c r="V1445" s="864">
        <f t="shared" si="149"/>
        <v>0</v>
      </c>
      <c r="W1445" s="1767"/>
      <c r="X1445" s="864"/>
    </row>
    <row r="1446" spans="2:24" x14ac:dyDescent="0.2">
      <c r="B1446" s="1669" t="s">
        <v>256</v>
      </c>
      <c r="C1446" s="1208">
        <v>44534</v>
      </c>
      <c r="D1446" s="864"/>
      <c r="E1446" s="865"/>
      <c r="F1446" s="1547"/>
      <c r="G1446" s="1209"/>
      <c r="H1446" s="1210" t="str">
        <f>IFERROR(VLOOKUP(F1446,#REF!,10,FALSE),"")</f>
        <v/>
      </c>
      <c r="I1446" s="1211" t="str">
        <f t="shared" si="151"/>
        <v/>
      </c>
      <c r="J1446" s="1212"/>
      <c r="K1446" s="1741"/>
      <c r="L1446" s="1578"/>
      <c r="M1446" s="1602"/>
      <c r="N1446" s="1171" t="str">
        <f t="shared" si="152"/>
        <v/>
      </c>
      <c r="O1446" s="1213"/>
      <c r="P1446" s="1173" t="str">
        <f>IFERROR(VLOOKUP(F1446,#REF!,12,FALSE),"")</f>
        <v/>
      </c>
      <c r="Q1446" s="1229" t="s">
        <v>8</v>
      </c>
      <c r="R1446" s="1324" t="str">
        <f>IFERROR(VLOOKUP(F1446,#REF!,14,FALSE),"")</f>
        <v/>
      </c>
      <c r="S1446" s="1217" t="str">
        <f t="shared" si="153"/>
        <v/>
      </c>
      <c r="U1446" s="1728"/>
      <c r="V1446" s="864">
        <f t="shared" si="149"/>
        <v>0</v>
      </c>
      <c r="W1446" s="1767"/>
      <c r="X1446" s="864"/>
    </row>
    <row r="1447" spans="2:24" ht="16" thickBot="1" x14ac:dyDescent="0.25">
      <c r="B1447" s="1709" t="e">
        <f>AVERAGE(#REF!)</f>
        <v>#REF!</v>
      </c>
      <c r="C1447" s="544">
        <v>44535</v>
      </c>
      <c r="D1447" s="67">
        <v>130</v>
      </c>
      <c r="E1447" s="208" t="s">
        <v>292</v>
      </c>
      <c r="F1447" s="1429" t="s">
        <v>308</v>
      </c>
      <c r="G1447" s="1230">
        <v>5.8101851851851849E-2</v>
      </c>
      <c r="H1447" s="1231">
        <v>14.9</v>
      </c>
      <c r="I1447" s="1232">
        <f t="shared" si="151"/>
        <v>3.8994531444195872E-3</v>
      </c>
      <c r="J1447" s="256">
        <v>144</v>
      </c>
      <c r="K1447" s="1741"/>
      <c r="L1447" s="1580">
        <v>209</v>
      </c>
      <c r="M1447" s="1561">
        <v>64</v>
      </c>
      <c r="N1447" s="172">
        <f t="shared" si="152"/>
        <v>1.0509666432935989</v>
      </c>
      <c r="O1447" s="1233" t="s">
        <v>311</v>
      </c>
      <c r="P1447" s="447" t="str">
        <f>IFERROR(VLOOKUP(F1447,#REF!,12,FALSE),"")</f>
        <v/>
      </c>
      <c r="Q1447" s="1234" t="s">
        <v>8</v>
      </c>
      <c r="R1447" s="1235" t="str">
        <f>IFERROR(VLOOKUP(F1447,#REF!,14,FALSE),"")</f>
        <v/>
      </c>
      <c r="S1447" s="1236">
        <f t="shared" si="153"/>
        <v>1.4513888888888888</v>
      </c>
      <c r="U1447" s="1728"/>
      <c r="V1447" s="67">
        <f t="shared" si="149"/>
        <v>0</v>
      </c>
      <c r="W1447" s="1768"/>
      <c r="X1447" s="67"/>
    </row>
    <row r="1448" spans="2:24" ht="16" thickBot="1" x14ac:dyDescent="0.25">
      <c r="B1448" s="1661">
        <f>B1441+1</f>
        <v>49</v>
      </c>
      <c r="C1448" s="1199">
        <v>44536</v>
      </c>
      <c r="D1448" s="1108"/>
      <c r="E1448" s="1109"/>
      <c r="F1448" s="1546"/>
      <c r="G1448" s="1200"/>
      <c r="H1448" s="1201" t="str">
        <f>IFERROR(VLOOKUP(F1448,#REF!,10,FALSE),"")</f>
        <v/>
      </c>
      <c r="I1448" s="1202" t="str">
        <f t="shared" si="151"/>
        <v/>
      </c>
      <c r="J1448" s="1203"/>
      <c r="K1448" s="1741"/>
      <c r="L1448" s="1577"/>
      <c r="M1448" s="1374"/>
      <c r="N1448" s="1111" t="str">
        <f t="shared" si="152"/>
        <v/>
      </c>
      <c r="O1448" s="1204"/>
      <c r="P1448" s="1113" t="str">
        <f>IFERROR(VLOOKUP(F1448,#REF!,12,FALSE),"")</f>
        <v/>
      </c>
      <c r="Q1448" s="1205" t="s">
        <v>8</v>
      </c>
      <c r="R1448" s="1206" t="str">
        <f>IFERROR(VLOOKUP(F1448,#REF!,14,FALSE),"")</f>
        <v/>
      </c>
      <c r="S1448" s="1207" t="str">
        <f t="shared" si="153"/>
        <v/>
      </c>
      <c r="U1448" s="1728"/>
      <c r="V1448" s="1108">
        <f t="shared" si="149"/>
        <v>0</v>
      </c>
      <c r="W1448" s="1766"/>
      <c r="X1448" s="1108"/>
    </row>
    <row r="1449" spans="2:24" x14ac:dyDescent="0.2">
      <c r="B1449" s="1666" t="s">
        <v>142</v>
      </c>
      <c r="C1449" s="1208">
        <v>44537</v>
      </c>
      <c r="D1449" s="864">
        <v>131</v>
      </c>
      <c r="E1449" s="865" t="s">
        <v>293</v>
      </c>
      <c r="F1449" s="1547" t="s">
        <v>279</v>
      </c>
      <c r="G1449" s="1209">
        <v>3.7326388888888888E-2</v>
      </c>
      <c r="H1449" s="1210">
        <v>9.67</v>
      </c>
      <c r="I1449" s="1211">
        <f t="shared" si="151"/>
        <v>3.8600195334941973E-3</v>
      </c>
      <c r="J1449" s="1212">
        <v>143</v>
      </c>
      <c r="K1449" s="1741"/>
      <c r="L1449" s="1578">
        <v>212</v>
      </c>
      <c r="M1449" s="1602">
        <v>35</v>
      </c>
      <c r="N1449" s="1171">
        <f t="shared" si="152"/>
        <v>1.0552717282254702</v>
      </c>
      <c r="O1449" s="1213" t="s">
        <v>339</v>
      </c>
      <c r="P1449" s="1173" t="str">
        <f>IFERROR(VLOOKUP(F1449,#REF!,12,FALSE),"")</f>
        <v/>
      </c>
      <c r="Q1449" s="1229" t="s">
        <v>8</v>
      </c>
      <c r="R1449" s="1324" t="str">
        <f>IFERROR(VLOOKUP(F1449,#REF!,14,FALSE),"")</f>
        <v/>
      </c>
      <c r="S1449" s="1217">
        <f t="shared" si="153"/>
        <v>1.4825174825174825</v>
      </c>
      <c r="U1449" s="1728"/>
      <c r="V1449" s="864">
        <f t="shared" si="149"/>
        <v>0</v>
      </c>
      <c r="W1449" s="1767"/>
      <c r="X1449" s="864"/>
    </row>
    <row r="1450" spans="2:24" ht="16" thickBot="1" x14ac:dyDescent="0.25">
      <c r="B1450" s="1654">
        <f>SUM(H1448:H1454)</f>
        <v>37.700000000000003</v>
      </c>
      <c r="C1450" s="1208">
        <v>44538</v>
      </c>
      <c r="D1450" s="864">
        <v>132</v>
      </c>
      <c r="E1450" s="865" t="s">
        <v>293</v>
      </c>
      <c r="F1450" s="1547" t="s">
        <v>322</v>
      </c>
      <c r="G1450" s="1209">
        <v>2.6493055555555558E-2</v>
      </c>
      <c r="H1450" s="1210">
        <v>6.83</v>
      </c>
      <c r="I1450" s="1211">
        <f t="shared" si="151"/>
        <v>3.8789246787050598E-3</v>
      </c>
      <c r="J1450" s="1212">
        <v>135</v>
      </c>
      <c r="K1450" s="1741"/>
      <c r="L1450" s="1578">
        <v>212</v>
      </c>
      <c r="M1450" s="1602">
        <v>23</v>
      </c>
      <c r="N1450" s="1171">
        <f t="shared" si="152"/>
        <v>1.0604401127597738</v>
      </c>
      <c r="O1450" s="1213" t="s">
        <v>311</v>
      </c>
      <c r="P1450" s="1173" t="str">
        <f>IFERROR(VLOOKUP(F1450,#REF!,12,FALSE),"")</f>
        <v/>
      </c>
      <c r="Q1450" s="1229" t="s">
        <v>8</v>
      </c>
      <c r="R1450" s="1324" t="str">
        <f>IFERROR(VLOOKUP(F1450,#REF!,14,FALSE),"")</f>
        <v/>
      </c>
      <c r="S1450" s="1217">
        <f t="shared" si="153"/>
        <v>1.5703703703703704</v>
      </c>
      <c r="U1450" s="1728"/>
      <c r="V1450" s="864">
        <f t="shared" si="149"/>
        <v>0</v>
      </c>
      <c r="W1450" s="1767"/>
      <c r="X1450" s="864"/>
    </row>
    <row r="1451" spans="2:24" x14ac:dyDescent="0.2">
      <c r="B1451" s="1667" t="s">
        <v>144</v>
      </c>
      <c r="C1451" s="1208">
        <v>44539</v>
      </c>
      <c r="D1451" s="864"/>
      <c r="E1451" s="865"/>
      <c r="F1451" s="1547"/>
      <c r="G1451" s="1209"/>
      <c r="H1451" s="1210" t="str">
        <f>IFERROR(VLOOKUP(F1451,#REF!,10,FALSE),"")</f>
        <v/>
      </c>
      <c r="I1451" s="1211" t="str">
        <f t="shared" si="151"/>
        <v/>
      </c>
      <c r="J1451" s="1212"/>
      <c r="K1451" s="1741"/>
      <c r="L1451" s="1578"/>
      <c r="M1451" s="1602"/>
      <c r="N1451" s="1171" t="str">
        <f t="shared" si="152"/>
        <v/>
      </c>
      <c r="O1451" s="1213"/>
      <c r="P1451" s="1173" t="str">
        <f>IFERROR(VLOOKUP(F1451,#REF!,12,FALSE),"")</f>
        <v/>
      </c>
      <c r="Q1451" s="1229" t="s">
        <v>8</v>
      </c>
      <c r="R1451" s="1324" t="str">
        <f>IFERROR(VLOOKUP(F1451,#REF!,14,FALSE),"")</f>
        <v/>
      </c>
      <c r="S1451" s="1217" t="str">
        <f t="shared" si="153"/>
        <v/>
      </c>
      <c r="U1451" s="1728"/>
      <c r="V1451" s="864">
        <f t="shared" si="149"/>
        <v>0</v>
      </c>
      <c r="W1451" s="1767"/>
      <c r="X1451" s="864"/>
    </row>
    <row r="1452" spans="2:24" ht="16" thickBot="1" x14ac:dyDescent="0.25">
      <c r="B1452" s="1668" t="e">
        <f>SUM(#REF!)</f>
        <v>#REF!</v>
      </c>
      <c r="C1452" s="1208">
        <v>44540</v>
      </c>
      <c r="D1452" s="864">
        <v>133</v>
      </c>
      <c r="E1452" s="865" t="s">
        <v>293</v>
      </c>
      <c r="F1452" s="1547" t="s">
        <v>321</v>
      </c>
      <c r="G1452" s="1209">
        <v>3.6284722222222225E-2</v>
      </c>
      <c r="H1452" s="1210">
        <v>10.6</v>
      </c>
      <c r="I1452" s="1211">
        <f t="shared" si="151"/>
        <v>3.4230870020964363E-3</v>
      </c>
      <c r="J1452" s="1212">
        <v>151</v>
      </c>
      <c r="K1452" s="1741"/>
      <c r="L1452" s="1578">
        <v>235</v>
      </c>
      <c r="M1452" s="1602">
        <v>38</v>
      </c>
      <c r="N1452" s="1171">
        <f t="shared" si="152"/>
        <v>1.0373486341875531</v>
      </c>
      <c r="O1452" s="1213" t="s">
        <v>341</v>
      </c>
      <c r="P1452" s="1173" t="str">
        <f>IFERROR(VLOOKUP(F1452,#REF!,12,FALSE),"")</f>
        <v/>
      </c>
      <c r="Q1452" s="1229" t="s">
        <v>8</v>
      </c>
      <c r="R1452" s="1324" t="str">
        <f>IFERROR(VLOOKUP(F1452,#REF!,14,FALSE),"")</f>
        <v/>
      </c>
      <c r="S1452" s="1217">
        <f t="shared" si="153"/>
        <v>1.5562913907284768</v>
      </c>
      <c r="U1452" s="1728"/>
      <c r="V1452" s="864">
        <f t="shared" si="149"/>
        <v>0</v>
      </c>
      <c r="W1452" s="1767"/>
      <c r="X1452" s="864"/>
    </row>
    <row r="1453" spans="2:24" x14ac:dyDescent="0.2">
      <c r="B1453" s="1669" t="s">
        <v>256</v>
      </c>
      <c r="C1453" s="1208">
        <v>44541</v>
      </c>
      <c r="D1453" s="864">
        <v>134</v>
      </c>
      <c r="E1453" s="865" t="s">
        <v>292</v>
      </c>
      <c r="F1453" s="1547" t="s">
        <v>279</v>
      </c>
      <c r="G1453" s="1209">
        <v>4.3912037037037034E-2</v>
      </c>
      <c r="H1453" s="1210">
        <v>10.6</v>
      </c>
      <c r="I1453" s="1211">
        <f t="shared" si="151"/>
        <v>4.1426450034940596E-3</v>
      </c>
      <c r="J1453" s="1212">
        <v>136</v>
      </c>
      <c r="K1453" s="1741"/>
      <c r="L1453" s="1578">
        <v>197</v>
      </c>
      <c r="M1453" s="1602">
        <v>36</v>
      </c>
      <c r="N1453" s="1171">
        <f t="shared" si="152"/>
        <v>1.0524049563503237</v>
      </c>
      <c r="O1453" s="1213" t="s">
        <v>311</v>
      </c>
      <c r="P1453" s="1173" t="str">
        <f>IFERROR(VLOOKUP(F1453,#REF!,12,FALSE),"")</f>
        <v/>
      </c>
      <c r="Q1453" s="1229" t="s">
        <v>8</v>
      </c>
      <c r="R1453" s="1324" t="str">
        <f>IFERROR(VLOOKUP(F1453,#REF!,14,FALSE),"")</f>
        <v/>
      </c>
      <c r="S1453" s="1217">
        <f t="shared" si="153"/>
        <v>1.4485294117647058</v>
      </c>
      <c r="U1453" s="1728"/>
      <c r="V1453" s="864">
        <f t="shared" si="149"/>
        <v>0</v>
      </c>
      <c r="W1453" s="1767"/>
      <c r="X1453" s="864"/>
    </row>
    <row r="1454" spans="2:24" ht="16" thickBot="1" x14ac:dyDescent="0.25">
      <c r="B1454" s="1709" t="e">
        <f>AVERAGE(#REF!)</f>
        <v>#REF!</v>
      </c>
      <c r="C1454" s="544">
        <v>44542</v>
      </c>
      <c r="D1454" s="67"/>
      <c r="E1454" s="208"/>
      <c r="F1454" s="1429"/>
      <c r="G1454" s="1230"/>
      <c r="H1454" s="1231" t="str">
        <f>IFERROR(VLOOKUP(F1454,#REF!,10,FALSE),"")</f>
        <v/>
      </c>
      <c r="I1454" s="1232" t="str">
        <f t="shared" si="151"/>
        <v/>
      </c>
      <c r="J1454" s="256"/>
      <c r="K1454" s="1741"/>
      <c r="L1454" s="1580"/>
      <c r="M1454" s="1561"/>
      <c r="N1454" s="172" t="str">
        <f t="shared" si="152"/>
        <v/>
      </c>
      <c r="O1454" s="1233"/>
      <c r="P1454" s="447" t="str">
        <f>IFERROR(VLOOKUP(F1454,#REF!,12,FALSE),"")</f>
        <v/>
      </c>
      <c r="Q1454" s="1234" t="s">
        <v>8</v>
      </c>
      <c r="R1454" s="1235" t="str">
        <f>IFERROR(VLOOKUP(F1454,#REF!,14,FALSE),"")</f>
        <v/>
      </c>
      <c r="S1454" s="1236" t="str">
        <f t="shared" si="153"/>
        <v/>
      </c>
      <c r="U1454" s="1728"/>
      <c r="V1454" s="67">
        <f t="shared" si="149"/>
        <v>0</v>
      </c>
      <c r="W1454" s="1768"/>
      <c r="X1454" s="67"/>
    </row>
    <row r="1455" spans="2:24" ht="16" thickBot="1" x14ac:dyDescent="0.25">
      <c r="B1455" s="1661">
        <f>B1448+1</f>
        <v>50</v>
      </c>
      <c r="C1455" s="1199">
        <v>44543</v>
      </c>
      <c r="D1455" s="1108">
        <v>135</v>
      </c>
      <c r="E1455" s="1109" t="s">
        <v>293</v>
      </c>
      <c r="F1455" s="1546" t="s">
        <v>322</v>
      </c>
      <c r="G1455" s="1200">
        <v>2.7210648148148147E-2</v>
      </c>
      <c r="H1455" s="1201">
        <v>7.02</v>
      </c>
      <c r="I1455" s="1202">
        <f t="shared" si="151"/>
        <v>3.8761607048644086E-3</v>
      </c>
      <c r="J1455" s="1203">
        <v>138</v>
      </c>
      <c r="K1455" s="1741"/>
      <c r="L1455" s="1577">
        <v>210</v>
      </c>
      <c r="M1455" s="1374">
        <v>18</v>
      </c>
      <c r="N1455" s="1111">
        <f t="shared" si="152"/>
        <v>1.0496874601352213</v>
      </c>
      <c r="O1455" s="1204" t="s">
        <v>339</v>
      </c>
      <c r="P1455" s="1113" t="str">
        <f>IFERROR(VLOOKUP(F1455,#REF!,12,FALSE),"")</f>
        <v/>
      </c>
      <c r="Q1455" s="1205" t="s">
        <v>8</v>
      </c>
      <c r="R1455" s="1206" t="str">
        <f>IFERROR(VLOOKUP(F1455,#REF!,14,FALSE),"")</f>
        <v/>
      </c>
      <c r="S1455" s="1207">
        <f t="shared" si="153"/>
        <v>1.5217391304347827</v>
      </c>
      <c r="U1455" s="1728"/>
      <c r="V1455" s="1108">
        <f t="shared" si="149"/>
        <v>0</v>
      </c>
      <c r="W1455" s="1766"/>
      <c r="X1455" s="1108"/>
    </row>
    <row r="1456" spans="2:24" x14ac:dyDescent="0.2">
      <c r="B1456" s="1666" t="s">
        <v>142</v>
      </c>
      <c r="C1456" s="1208">
        <v>44544</v>
      </c>
      <c r="D1456" s="864"/>
      <c r="E1456" s="865"/>
      <c r="F1456" s="1547"/>
      <c r="G1456" s="1209"/>
      <c r="H1456" s="1210" t="str">
        <f>IFERROR(VLOOKUP(F1456,#REF!,10,FALSE),"")</f>
        <v/>
      </c>
      <c r="I1456" s="1211" t="str">
        <f t="shared" si="151"/>
        <v/>
      </c>
      <c r="J1456" s="1212"/>
      <c r="K1456" s="1741"/>
      <c r="L1456" s="1578"/>
      <c r="M1456" s="1602"/>
      <c r="N1456" s="1171" t="str">
        <f t="shared" si="152"/>
        <v/>
      </c>
      <c r="O1456" s="1213"/>
      <c r="P1456" s="1173" t="str">
        <f>IFERROR(VLOOKUP(F1456,#REF!,12,FALSE),"")</f>
        <v/>
      </c>
      <c r="Q1456" s="1229" t="s">
        <v>8</v>
      </c>
      <c r="R1456" s="1324" t="str">
        <f>IFERROR(VLOOKUP(F1456,#REF!,14,FALSE),"")</f>
        <v/>
      </c>
      <c r="S1456" s="1217" t="str">
        <f t="shared" si="153"/>
        <v/>
      </c>
      <c r="U1456" s="1728"/>
      <c r="V1456" s="864">
        <f t="shared" si="149"/>
        <v>0</v>
      </c>
      <c r="W1456" s="1767"/>
      <c r="X1456" s="864"/>
    </row>
    <row r="1457" spans="2:24" ht="16" thickBot="1" x14ac:dyDescent="0.25">
      <c r="B1457" s="1654">
        <f>SUM(H1455:H1461)</f>
        <v>17.119999999999997</v>
      </c>
      <c r="C1457" s="1208">
        <v>44545</v>
      </c>
      <c r="D1457" s="864">
        <v>136</v>
      </c>
      <c r="E1457" s="865" t="s">
        <v>293</v>
      </c>
      <c r="F1457" s="1547" t="s">
        <v>279</v>
      </c>
      <c r="G1457" s="1209">
        <v>3.8206018518518521E-2</v>
      </c>
      <c r="H1457" s="1210">
        <v>10.1</v>
      </c>
      <c r="I1457" s="1211">
        <f t="shared" si="151"/>
        <v>3.782774110744408E-3</v>
      </c>
      <c r="J1457" s="1212">
        <v>140</v>
      </c>
      <c r="K1457" s="1741"/>
      <c r="L1457" s="1578">
        <v>214</v>
      </c>
      <c r="M1457" s="1602">
        <v>39</v>
      </c>
      <c r="N1457" s="1171">
        <f t="shared" si="152"/>
        <v>1.0439101522092509</v>
      </c>
      <c r="O1457" s="1213" t="s">
        <v>339</v>
      </c>
      <c r="P1457" s="1173" t="str">
        <f>IFERROR(VLOOKUP(F1457,#REF!,12,FALSE),"")</f>
        <v/>
      </c>
      <c r="Q1457" s="1229" t="s">
        <v>8</v>
      </c>
      <c r="R1457" s="1324" t="str">
        <f>IFERROR(VLOOKUP(F1457,#REF!,14,FALSE),"")</f>
        <v/>
      </c>
      <c r="S1457" s="1217">
        <f t="shared" si="153"/>
        <v>1.5285714285714285</v>
      </c>
      <c r="U1457" s="1728"/>
      <c r="V1457" s="864">
        <f t="shared" si="149"/>
        <v>0</v>
      </c>
      <c r="W1457" s="1767"/>
      <c r="X1457" s="864"/>
    </row>
    <row r="1458" spans="2:24" x14ac:dyDescent="0.2">
      <c r="B1458" s="1667" t="s">
        <v>144</v>
      </c>
      <c r="C1458" s="1208">
        <v>44546</v>
      </c>
      <c r="D1458" s="864"/>
      <c r="E1458" s="865"/>
      <c r="F1458" s="1547"/>
      <c r="G1458" s="1209"/>
      <c r="H1458" s="1210" t="str">
        <f>IFERROR(VLOOKUP(F1458,#REF!,10,FALSE),"")</f>
        <v/>
      </c>
      <c r="I1458" s="1211" t="str">
        <f t="shared" si="151"/>
        <v/>
      </c>
      <c r="J1458" s="1212"/>
      <c r="K1458" s="1741"/>
      <c r="L1458" s="1578"/>
      <c r="M1458" s="1602"/>
      <c r="N1458" s="1171" t="str">
        <f t="shared" si="152"/>
        <v/>
      </c>
      <c r="O1458" s="1213"/>
      <c r="P1458" s="1173" t="str">
        <f>IFERROR(VLOOKUP(F1458,#REF!,12,FALSE),"")</f>
        <v/>
      </c>
      <c r="Q1458" s="1229" t="s">
        <v>8</v>
      </c>
      <c r="R1458" s="1324" t="str">
        <f>IFERROR(VLOOKUP(F1458,#REF!,14,FALSE),"")</f>
        <v/>
      </c>
      <c r="S1458" s="1217" t="str">
        <f t="shared" si="153"/>
        <v/>
      </c>
      <c r="U1458" s="1728"/>
      <c r="V1458" s="864">
        <f t="shared" si="149"/>
        <v>0</v>
      </c>
      <c r="W1458" s="1767"/>
      <c r="X1458" s="864"/>
    </row>
    <row r="1459" spans="2:24" ht="16" thickBot="1" x14ac:dyDescent="0.25">
      <c r="B1459" s="1668" t="e">
        <f>SUM(#REF!)</f>
        <v>#REF!</v>
      </c>
      <c r="C1459" s="1208">
        <v>44547</v>
      </c>
      <c r="D1459" s="864"/>
      <c r="E1459" s="865"/>
      <c r="F1459" s="1547"/>
      <c r="G1459" s="1209"/>
      <c r="H1459" s="1210"/>
      <c r="I1459" s="1211" t="str">
        <f t="shared" si="151"/>
        <v/>
      </c>
      <c r="J1459" s="1212"/>
      <c r="K1459" s="1741"/>
      <c r="L1459" s="1578"/>
      <c r="M1459" s="1602"/>
      <c r="N1459" s="1171" t="str">
        <f t="shared" si="152"/>
        <v/>
      </c>
      <c r="O1459" s="1213"/>
      <c r="P1459" s="1173" t="str">
        <f>IFERROR(VLOOKUP(F1459,#REF!,12,FALSE),"")</f>
        <v/>
      </c>
      <c r="Q1459" s="1229" t="s">
        <v>8</v>
      </c>
      <c r="R1459" s="1324" t="str">
        <f>IFERROR(VLOOKUP(F1459,#REF!,14,FALSE),"")</f>
        <v/>
      </c>
      <c r="S1459" s="1217" t="str">
        <f t="shared" si="153"/>
        <v/>
      </c>
      <c r="U1459" s="1728"/>
      <c r="V1459" s="864">
        <f t="shared" si="149"/>
        <v>0</v>
      </c>
      <c r="W1459" s="1767"/>
      <c r="X1459" s="864"/>
    </row>
    <row r="1460" spans="2:24" x14ac:dyDescent="0.2">
      <c r="B1460" s="1669" t="s">
        <v>256</v>
      </c>
      <c r="C1460" s="1208">
        <v>44548</v>
      </c>
      <c r="D1460" s="864"/>
      <c r="E1460" s="865"/>
      <c r="F1460" s="1547"/>
      <c r="G1460" s="1209"/>
      <c r="H1460" s="1210"/>
      <c r="I1460" s="1211" t="str">
        <f t="shared" si="151"/>
        <v/>
      </c>
      <c r="J1460" s="1212"/>
      <c r="K1460" s="1741"/>
      <c r="L1460" s="1578"/>
      <c r="M1460" s="1602"/>
      <c r="N1460" s="1171" t="str">
        <f t="shared" si="152"/>
        <v/>
      </c>
      <c r="O1460" s="1213"/>
      <c r="P1460" s="1173" t="str">
        <f>IFERROR(VLOOKUP(F1460,#REF!,12,FALSE),"")</f>
        <v/>
      </c>
      <c r="Q1460" s="1229" t="s">
        <v>8</v>
      </c>
      <c r="R1460" s="1324" t="str">
        <f>IFERROR(VLOOKUP(F1460,#REF!,14,FALSE),"")</f>
        <v/>
      </c>
      <c r="S1460" s="1217" t="str">
        <f t="shared" si="153"/>
        <v/>
      </c>
      <c r="U1460" s="1728"/>
      <c r="V1460" s="864">
        <f t="shared" si="149"/>
        <v>0</v>
      </c>
      <c r="W1460" s="1767"/>
      <c r="X1460" s="864"/>
    </row>
    <row r="1461" spans="2:24" ht="16" thickBot="1" x14ac:dyDescent="0.25">
      <c r="B1461" s="1709" t="e">
        <f>AVERAGE(#REF!)</f>
        <v>#REF!</v>
      </c>
      <c r="C1461" s="544">
        <v>44549</v>
      </c>
      <c r="D1461" s="67"/>
      <c r="E1461" s="208"/>
      <c r="F1461" s="1429"/>
      <c r="G1461" s="1230"/>
      <c r="H1461" s="1231"/>
      <c r="I1461" s="1232" t="str">
        <f t="shared" si="151"/>
        <v/>
      </c>
      <c r="J1461" s="256"/>
      <c r="K1461" s="1741"/>
      <c r="L1461" s="1580"/>
      <c r="M1461" s="1561"/>
      <c r="N1461" s="172" t="str">
        <f t="shared" si="152"/>
        <v/>
      </c>
      <c r="O1461" s="1233"/>
      <c r="P1461" s="447" t="str">
        <f>IFERROR(VLOOKUP(F1461,#REF!,12,FALSE),"")</f>
        <v/>
      </c>
      <c r="Q1461" s="1234" t="s">
        <v>8</v>
      </c>
      <c r="R1461" s="1235" t="str">
        <f>IFERROR(VLOOKUP(F1461,#REF!,14,FALSE),"")</f>
        <v/>
      </c>
      <c r="S1461" s="1236" t="str">
        <f t="shared" si="153"/>
        <v/>
      </c>
      <c r="U1461" s="1728"/>
      <c r="V1461" s="67">
        <f t="shared" si="149"/>
        <v>0</v>
      </c>
      <c r="W1461" s="1768"/>
      <c r="X1461" s="67"/>
    </row>
    <row r="1462" spans="2:24" ht="16" thickBot="1" x14ac:dyDescent="0.25">
      <c r="B1462" s="1661">
        <f>B1455+1</f>
        <v>51</v>
      </c>
      <c r="C1462" s="1199">
        <v>44550</v>
      </c>
      <c r="D1462" s="1108"/>
      <c r="E1462" s="1109"/>
      <c r="F1462" s="1546"/>
      <c r="G1462" s="1200"/>
      <c r="H1462" s="1201"/>
      <c r="I1462" s="1202" t="str">
        <f t="shared" si="151"/>
        <v/>
      </c>
      <c r="J1462" s="1203"/>
      <c r="K1462" s="1741"/>
      <c r="L1462" s="1577"/>
      <c r="M1462" s="1374"/>
      <c r="N1462" s="1111" t="str">
        <f t="shared" si="152"/>
        <v/>
      </c>
      <c r="O1462" s="1204"/>
      <c r="P1462" s="1113" t="str">
        <f>IFERROR(VLOOKUP(F1462,#REF!,12,FALSE),"")</f>
        <v/>
      </c>
      <c r="Q1462" s="1205" t="s">
        <v>8</v>
      </c>
      <c r="R1462" s="1206" t="str">
        <f>IFERROR(VLOOKUP(F1462,#REF!,14,FALSE),"")</f>
        <v/>
      </c>
      <c r="S1462" s="1207" t="str">
        <f t="shared" si="153"/>
        <v/>
      </c>
      <c r="U1462" s="1728"/>
      <c r="V1462" s="1108">
        <f t="shared" si="149"/>
        <v>0</v>
      </c>
      <c r="W1462" s="1766"/>
      <c r="X1462" s="1108"/>
    </row>
    <row r="1463" spans="2:24" x14ac:dyDescent="0.2">
      <c r="B1463" s="1666" t="s">
        <v>142</v>
      </c>
      <c r="C1463" s="1208">
        <v>44551</v>
      </c>
      <c r="D1463" s="864"/>
      <c r="E1463" s="865"/>
      <c r="F1463" s="1547"/>
      <c r="G1463" s="1209"/>
      <c r="H1463" s="1210"/>
      <c r="I1463" s="1211" t="str">
        <f t="shared" si="151"/>
        <v/>
      </c>
      <c r="J1463" s="1212"/>
      <c r="K1463" s="1741"/>
      <c r="L1463" s="1578"/>
      <c r="M1463" s="1602"/>
      <c r="N1463" s="1171" t="str">
        <f t="shared" si="152"/>
        <v/>
      </c>
      <c r="O1463" s="1213"/>
      <c r="P1463" s="1173" t="str">
        <f>IFERROR(VLOOKUP(F1463,#REF!,12,FALSE),"")</f>
        <v/>
      </c>
      <c r="Q1463" s="1229" t="s">
        <v>8</v>
      </c>
      <c r="R1463" s="1324" t="str">
        <f>IFERROR(VLOOKUP(F1463,#REF!,14,FALSE),"")</f>
        <v/>
      </c>
      <c r="S1463" s="1217" t="str">
        <f t="shared" si="153"/>
        <v/>
      </c>
      <c r="U1463" s="1728"/>
      <c r="V1463" s="864">
        <f t="shared" si="149"/>
        <v>0</v>
      </c>
      <c r="W1463" s="1767"/>
      <c r="X1463" s="864"/>
    </row>
    <row r="1464" spans="2:24" ht="16" thickBot="1" x14ac:dyDescent="0.25">
      <c r="B1464" s="1654">
        <f>SUM(H1462:H1468)</f>
        <v>0</v>
      </c>
      <c r="C1464" s="1208">
        <v>44552</v>
      </c>
      <c r="D1464" s="864"/>
      <c r="E1464" s="865"/>
      <c r="F1464" s="1547"/>
      <c r="G1464" s="1209"/>
      <c r="H1464" s="1210"/>
      <c r="I1464" s="1211" t="str">
        <f t="shared" si="151"/>
        <v/>
      </c>
      <c r="J1464" s="1212"/>
      <c r="K1464" s="1741"/>
      <c r="L1464" s="1578"/>
      <c r="M1464" s="1602"/>
      <c r="N1464" s="1171" t="str">
        <f t="shared" ref="N1464:N1495" si="154">IFERROR((L1464/67)/(1/(I1464*24)/3.6),"")</f>
        <v/>
      </c>
      <c r="O1464" s="1213"/>
      <c r="P1464" s="1173" t="str">
        <f>IFERROR(VLOOKUP(F1464,#REF!,12,FALSE),"")</f>
        <v/>
      </c>
      <c r="Q1464" s="1229" t="s">
        <v>8</v>
      </c>
      <c r="R1464" s="1324" t="str">
        <f>IFERROR(VLOOKUP(F1464,#REF!,14,FALSE),"")</f>
        <v/>
      </c>
      <c r="S1464" s="1217" t="str">
        <f t="shared" ref="S1464:S1495" si="155">IFERROR(L1464/J1464,"")</f>
        <v/>
      </c>
      <c r="U1464" s="1728"/>
      <c r="V1464" s="864">
        <f t="shared" si="149"/>
        <v>0</v>
      </c>
      <c r="W1464" s="1767"/>
      <c r="X1464" s="864"/>
    </row>
    <row r="1465" spans="2:24" x14ac:dyDescent="0.2">
      <c r="B1465" s="1667" t="s">
        <v>144</v>
      </c>
      <c r="C1465" s="1208">
        <v>44553</v>
      </c>
      <c r="D1465" s="864"/>
      <c r="E1465" s="865"/>
      <c r="F1465" s="1547"/>
      <c r="G1465" s="1209"/>
      <c r="H1465" s="1210"/>
      <c r="I1465" s="1211" t="str">
        <f t="shared" si="151"/>
        <v/>
      </c>
      <c r="J1465" s="1212"/>
      <c r="K1465" s="1741"/>
      <c r="L1465" s="1578"/>
      <c r="M1465" s="1602"/>
      <c r="N1465" s="1171" t="str">
        <f t="shared" si="154"/>
        <v/>
      </c>
      <c r="O1465" s="1213"/>
      <c r="P1465" s="1173" t="str">
        <f>IFERROR(VLOOKUP(F1465,#REF!,12,FALSE),"")</f>
        <v/>
      </c>
      <c r="Q1465" s="1229" t="s">
        <v>8</v>
      </c>
      <c r="R1465" s="1324" t="str">
        <f>IFERROR(VLOOKUP(F1465,#REF!,14,FALSE),"")</f>
        <v/>
      </c>
      <c r="S1465" s="1217" t="str">
        <f t="shared" si="155"/>
        <v/>
      </c>
      <c r="U1465" s="1728"/>
      <c r="V1465" s="864">
        <f t="shared" si="149"/>
        <v>0</v>
      </c>
      <c r="W1465" s="1767"/>
      <c r="X1465" s="864"/>
    </row>
    <row r="1466" spans="2:24" ht="16" thickBot="1" x14ac:dyDescent="0.25">
      <c r="B1466" s="1668" t="e">
        <f>SUM(#REF!)</f>
        <v>#REF!</v>
      </c>
      <c r="C1466" s="1208">
        <v>44554</v>
      </c>
      <c r="D1466" s="864"/>
      <c r="E1466" s="865"/>
      <c r="F1466" s="1547"/>
      <c r="G1466" s="1209"/>
      <c r="H1466" s="1210" t="str">
        <f>IFERROR(VLOOKUP(F1466,#REF!,10,FALSE),"")</f>
        <v/>
      </c>
      <c r="I1466" s="1211" t="str">
        <f t="shared" si="151"/>
        <v/>
      </c>
      <c r="J1466" s="1212"/>
      <c r="K1466" s="1741"/>
      <c r="L1466" s="1578"/>
      <c r="M1466" s="1602"/>
      <c r="N1466" s="1171" t="str">
        <f t="shared" si="154"/>
        <v/>
      </c>
      <c r="O1466" s="1213"/>
      <c r="P1466" s="1173" t="str">
        <f>IFERROR(VLOOKUP(F1466,#REF!,12,FALSE),"")</f>
        <v/>
      </c>
      <c r="Q1466" s="1229" t="s">
        <v>8</v>
      </c>
      <c r="R1466" s="1324" t="str">
        <f>IFERROR(VLOOKUP(F1466,#REF!,14,FALSE),"")</f>
        <v/>
      </c>
      <c r="S1466" s="1217" t="str">
        <f t="shared" si="155"/>
        <v/>
      </c>
      <c r="U1466" s="1728"/>
      <c r="V1466" s="864">
        <f t="shared" ref="V1466:V1529" si="156">U1465-T1465</f>
        <v>0</v>
      </c>
      <c r="W1466" s="1767"/>
      <c r="X1466" s="864"/>
    </row>
    <row r="1467" spans="2:24" x14ac:dyDescent="0.2">
      <c r="B1467" s="1669" t="s">
        <v>256</v>
      </c>
      <c r="C1467" s="1208">
        <v>44555</v>
      </c>
      <c r="D1467" s="864"/>
      <c r="E1467" s="865"/>
      <c r="F1467" s="1547"/>
      <c r="G1467" s="1209"/>
      <c r="H1467" s="1210" t="str">
        <f>IFERROR(VLOOKUP(F1467,#REF!,10,FALSE),"")</f>
        <v/>
      </c>
      <c r="I1467" s="1211" t="str">
        <f t="shared" si="151"/>
        <v/>
      </c>
      <c r="J1467" s="1212"/>
      <c r="K1467" s="1741"/>
      <c r="L1467" s="1578"/>
      <c r="M1467" s="1602"/>
      <c r="N1467" s="1171" t="str">
        <f t="shared" si="154"/>
        <v/>
      </c>
      <c r="O1467" s="1213"/>
      <c r="P1467" s="1173" t="str">
        <f>IFERROR(VLOOKUP(F1467,#REF!,12,FALSE),"")</f>
        <v/>
      </c>
      <c r="Q1467" s="1229" t="s">
        <v>8</v>
      </c>
      <c r="R1467" s="1324" t="str">
        <f>IFERROR(VLOOKUP(F1467,#REF!,14,FALSE),"")</f>
        <v/>
      </c>
      <c r="S1467" s="1217" t="str">
        <f t="shared" si="155"/>
        <v/>
      </c>
      <c r="U1467" s="1728"/>
      <c r="V1467" s="864">
        <f t="shared" si="156"/>
        <v>0</v>
      </c>
      <c r="W1467" s="1767"/>
      <c r="X1467" s="864"/>
    </row>
    <row r="1468" spans="2:24" ht="16" thickBot="1" x14ac:dyDescent="0.25">
      <c r="B1468" s="1709" t="e">
        <f>AVERAGE(#REF!)</f>
        <v>#REF!</v>
      </c>
      <c r="C1468" s="544">
        <v>44556</v>
      </c>
      <c r="D1468" s="67"/>
      <c r="E1468" s="208"/>
      <c r="F1468" s="1429"/>
      <c r="G1468" s="1230"/>
      <c r="H1468" s="1231" t="str">
        <f>IFERROR(VLOOKUP(F1468,#REF!,10,FALSE),"")</f>
        <v/>
      </c>
      <c r="I1468" s="1232" t="str">
        <f t="shared" si="151"/>
        <v/>
      </c>
      <c r="J1468" s="256"/>
      <c r="K1468" s="1741"/>
      <c r="L1468" s="1580"/>
      <c r="M1468" s="1561"/>
      <c r="N1468" s="172" t="str">
        <f t="shared" si="154"/>
        <v/>
      </c>
      <c r="O1468" s="1233"/>
      <c r="P1468" s="447" t="str">
        <f>IFERROR(VLOOKUP(F1468,#REF!,12,FALSE),"")</f>
        <v/>
      </c>
      <c r="Q1468" s="1234" t="s">
        <v>8</v>
      </c>
      <c r="R1468" s="1235" t="str">
        <f>IFERROR(VLOOKUP(F1468,#REF!,14,FALSE),"")</f>
        <v/>
      </c>
      <c r="S1468" s="1236" t="str">
        <f t="shared" si="155"/>
        <v/>
      </c>
      <c r="U1468" s="1728"/>
      <c r="V1468" s="67">
        <f t="shared" si="156"/>
        <v>0</v>
      </c>
      <c r="W1468" s="1768"/>
      <c r="X1468" s="67"/>
    </row>
    <row r="1469" spans="2:24" ht="16" thickBot="1" x14ac:dyDescent="0.25">
      <c r="B1469" s="1661">
        <v>52</v>
      </c>
      <c r="C1469" s="1199">
        <v>44557</v>
      </c>
      <c r="D1469" s="1108"/>
      <c r="E1469" s="1109"/>
      <c r="F1469" s="1536"/>
      <c r="G1469" s="1200"/>
      <c r="H1469" s="1201" t="str">
        <f>IFERROR(VLOOKUP(F1469,#REF!,10,FALSE),"")</f>
        <v/>
      </c>
      <c r="I1469" s="1202" t="str">
        <f t="shared" si="151"/>
        <v/>
      </c>
      <c r="J1469" s="1203"/>
      <c r="K1469" s="1741"/>
      <c r="L1469" s="1577"/>
      <c r="M1469" s="1374"/>
      <c r="N1469" s="1111" t="str">
        <f t="shared" si="154"/>
        <v/>
      </c>
      <c r="O1469" s="1204"/>
      <c r="P1469" s="1113" t="str">
        <f>IFERROR(VLOOKUP(F1469,#REF!,12,FALSE),"")</f>
        <v/>
      </c>
      <c r="Q1469" s="1205" t="s">
        <v>8</v>
      </c>
      <c r="R1469" s="1206" t="str">
        <f>IFERROR(VLOOKUP(F1469,#REF!,14,FALSE),"")</f>
        <v/>
      </c>
      <c r="S1469" s="1207" t="str">
        <f t="shared" si="155"/>
        <v/>
      </c>
      <c r="U1469" s="1728"/>
      <c r="V1469" s="1108">
        <f t="shared" si="156"/>
        <v>0</v>
      </c>
      <c r="W1469" s="1766"/>
      <c r="X1469" s="1108"/>
    </row>
    <row r="1470" spans="2:24" x14ac:dyDescent="0.2">
      <c r="B1470" s="1666" t="s">
        <v>142</v>
      </c>
      <c r="C1470" s="1208">
        <v>44558</v>
      </c>
      <c r="D1470" s="864"/>
      <c r="E1470" s="865"/>
      <c r="F1470" s="1534"/>
      <c r="G1470" s="1209"/>
      <c r="H1470" s="1210" t="str">
        <f>IFERROR(VLOOKUP(F1470,#REF!,10,FALSE),"")</f>
        <v/>
      </c>
      <c r="I1470" s="1211" t="str">
        <f t="shared" ref="I1470:I1476" si="157">IFERROR(G1470/H1470,"")</f>
        <v/>
      </c>
      <c r="J1470" s="1212"/>
      <c r="K1470" s="1741"/>
      <c r="L1470" s="1578"/>
      <c r="M1470" s="1602"/>
      <c r="N1470" s="1171" t="str">
        <f t="shared" si="154"/>
        <v/>
      </c>
      <c r="O1470" s="1213"/>
      <c r="P1470" s="1173" t="str">
        <f>IFERROR(VLOOKUP(F1470,#REF!,12,FALSE),"")</f>
        <v/>
      </c>
      <c r="Q1470" s="1229" t="s">
        <v>8</v>
      </c>
      <c r="R1470" s="1324" t="str">
        <f>IFERROR(VLOOKUP(F1470,#REF!,14,FALSE),"")</f>
        <v/>
      </c>
      <c r="S1470" s="1217" t="str">
        <f t="shared" si="155"/>
        <v/>
      </c>
      <c r="U1470" s="1728"/>
      <c r="V1470" s="864">
        <f t="shared" si="156"/>
        <v>0</v>
      </c>
      <c r="W1470" s="1767"/>
      <c r="X1470" s="864"/>
    </row>
    <row r="1471" spans="2:24" ht="16" thickBot="1" x14ac:dyDescent="0.25">
      <c r="B1471" s="1654">
        <f>SUM(H1469:H1475)</f>
        <v>27.999999999999996</v>
      </c>
      <c r="C1471" s="1208">
        <v>44559</v>
      </c>
      <c r="D1471" s="864">
        <v>137</v>
      </c>
      <c r="E1471" s="865" t="s">
        <v>293</v>
      </c>
      <c r="F1471" s="1534" t="s">
        <v>322</v>
      </c>
      <c r="G1471" s="1209">
        <v>2.7534722222222221E-2</v>
      </c>
      <c r="H1471" s="1210">
        <v>7.1</v>
      </c>
      <c r="I1471" s="1211">
        <f t="shared" si="157"/>
        <v>3.8781298904538341E-3</v>
      </c>
      <c r="J1471" s="1212">
        <v>149</v>
      </c>
      <c r="K1471" s="1741"/>
      <c r="L1471" s="1578">
        <v>210</v>
      </c>
      <c r="M1471" s="1602">
        <v>21</v>
      </c>
      <c r="N1471" s="1171">
        <f t="shared" si="154"/>
        <v>1.0502207273491697</v>
      </c>
      <c r="O1471" s="1213" t="s">
        <v>327</v>
      </c>
      <c r="P1471" s="1173" t="str">
        <f>IFERROR(VLOOKUP(F1471,#REF!,12,FALSE),"")</f>
        <v/>
      </c>
      <c r="Q1471" s="1229" t="s">
        <v>8</v>
      </c>
      <c r="R1471" s="1324" t="str">
        <f>IFERROR(VLOOKUP(F1471,#REF!,14,FALSE),"")</f>
        <v/>
      </c>
      <c r="S1471" s="1217">
        <f t="shared" si="155"/>
        <v>1.4093959731543624</v>
      </c>
      <c r="U1471" s="1728"/>
      <c r="V1471" s="864">
        <f t="shared" si="156"/>
        <v>0</v>
      </c>
      <c r="W1471" s="1767"/>
      <c r="X1471" s="864"/>
    </row>
    <row r="1472" spans="2:24" x14ac:dyDescent="0.2">
      <c r="B1472" s="1667" t="s">
        <v>144</v>
      </c>
      <c r="C1472" s="1208">
        <v>44560</v>
      </c>
      <c r="D1472" s="864"/>
      <c r="E1472" s="865"/>
      <c r="F1472" s="1534"/>
      <c r="G1472" s="1209"/>
      <c r="H1472" s="1210" t="str">
        <f>IFERROR(VLOOKUP(F1472,#REF!,10,FALSE),"")</f>
        <v/>
      </c>
      <c r="I1472" s="1211" t="str">
        <f t="shared" si="157"/>
        <v/>
      </c>
      <c r="J1472" s="1212"/>
      <c r="K1472" s="1741"/>
      <c r="L1472" s="1578"/>
      <c r="M1472" s="1602"/>
      <c r="N1472" s="1171" t="str">
        <f t="shared" si="154"/>
        <v/>
      </c>
      <c r="O1472" s="1213"/>
      <c r="P1472" s="1173" t="str">
        <f>IFERROR(VLOOKUP(F1472,#REF!,12,FALSE),"")</f>
        <v/>
      </c>
      <c r="Q1472" s="1229" t="s">
        <v>8</v>
      </c>
      <c r="R1472" s="1324" t="str">
        <f>IFERROR(VLOOKUP(F1472,#REF!,14,FALSE),"")</f>
        <v/>
      </c>
      <c r="S1472" s="1217" t="str">
        <f t="shared" si="155"/>
        <v/>
      </c>
      <c r="U1472" s="1728"/>
      <c r="V1472" s="864">
        <f t="shared" si="156"/>
        <v>0</v>
      </c>
      <c r="W1472" s="1767"/>
      <c r="X1472" s="864"/>
    </row>
    <row r="1473" spans="2:24" ht="16" thickBot="1" x14ac:dyDescent="0.25">
      <c r="B1473" s="1668" t="e">
        <f>SUM(#REF!)</f>
        <v>#REF!</v>
      </c>
      <c r="C1473" s="1325">
        <v>44561</v>
      </c>
      <c r="D1473" s="798">
        <v>138</v>
      </c>
      <c r="E1473" s="799" t="s">
        <v>293</v>
      </c>
      <c r="F1473" s="1548" t="s">
        <v>321</v>
      </c>
      <c r="G1473" s="1326">
        <v>3.5914351851851857E-2</v>
      </c>
      <c r="H1473" s="1327">
        <v>10.199999999999999</v>
      </c>
      <c r="I1473" s="1328">
        <f t="shared" si="157"/>
        <v>3.5210148874364566E-3</v>
      </c>
      <c r="J1473" s="1329">
        <v>155</v>
      </c>
      <c r="K1473" s="1741"/>
      <c r="L1473" s="1582">
        <v>228</v>
      </c>
      <c r="M1473" s="1329">
        <v>31</v>
      </c>
      <c r="N1473" s="800">
        <f t="shared" si="154"/>
        <v>1.035241439859526</v>
      </c>
      <c r="O1473" s="1330" t="s">
        <v>280</v>
      </c>
      <c r="P1473" s="1331" t="str">
        <f>IFERROR(VLOOKUP(F1473,#REF!,12,FALSE),"")</f>
        <v/>
      </c>
      <c r="Q1473" s="1332" t="s">
        <v>8</v>
      </c>
      <c r="R1473" s="1333" t="str">
        <f>IFERROR(VLOOKUP(F1473,#REF!,14,FALSE),"")</f>
        <v/>
      </c>
      <c r="S1473" s="801">
        <f t="shared" si="155"/>
        <v>1.4709677419354839</v>
      </c>
      <c r="U1473" s="1728"/>
      <c r="V1473" s="798">
        <f t="shared" si="156"/>
        <v>0</v>
      </c>
      <c r="W1473" s="1767"/>
      <c r="X1473" s="798"/>
    </row>
    <row r="1474" spans="2:24" ht="16" thickTop="1" x14ac:dyDescent="0.2">
      <c r="B1474" s="1669" t="s">
        <v>256</v>
      </c>
      <c r="C1474" s="1237">
        <v>44562</v>
      </c>
      <c r="D1474" s="70"/>
      <c r="E1474" s="71"/>
      <c r="F1474" s="1549"/>
      <c r="G1474" s="1238"/>
      <c r="H1474" s="1239" t="str">
        <f>IFERROR(VLOOKUP(F1474,#REF!,10,FALSE),"")</f>
        <v/>
      </c>
      <c r="I1474" s="1240" t="str">
        <f t="shared" si="157"/>
        <v/>
      </c>
      <c r="J1474" s="265"/>
      <c r="K1474" s="1741"/>
      <c r="L1474" s="1581"/>
      <c r="M1474" s="265"/>
      <c r="N1474" s="77" t="str">
        <f t="shared" si="154"/>
        <v/>
      </c>
      <c r="O1474" s="1241"/>
      <c r="P1474" s="79" t="str">
        <f>IFERROR(VLOOKUP(F1474,#REF!,12,FALSE),"")</f>
        <v/>
      </c>
      <c r="Q1474" s="1242" t="s">
        <v>8</v>
      </c>
      <c r="R1474" s="1243" t="str">
        <f>IFERROR(VLOOKUP(F1474,#REF!,14,FALSE),"")</f>
        <v/>
      </c>
      <c r="S1474" s="1244" t="str">
        <f t="shared" si="155"/>
        <v/>
      </c>
      <c r="U1474" s="1728"/>
      <c r="V1474" s="70">
        <f t="shared" si="156"/>
        <v>0</v>
      </c>
      <c r="W1474" s="1767"/>
      <c r="X1474" s="70"/>
    </row>
    <row r="1475" spans="2:24" ht="16" thickBot="1" x14ac:dyDescent="0.25">
      <c r="B1475" s="1709" t="e">
        <f>AVERAGE(#REF!)</f>
        <v>#REF!</v>
      </c>
      <c r="C1475" s="544">
        <v>44563</v>
      </c>
      <c r="D1475" s="67">
        <v>1</v>
      </c>
      <c r="E1475" s="208" t="s">
        <v>293</v>
      </c>
      <c r="F1475" s="1538" t="s">
        <v>279</v>
      </c>
      <c r="G1475" s="1230">
        <v>4.0960648148148149E-2</v>
      </c>
      <c r="H1475" s="1231">
        <v>10.7</v>
      </c>
      <c r="I1475" s="1232">
        <f t="shared" si="157"/>
        <v>3.8280979577708552E-3</v>
      </c>
      <c r="J1475" s="256">
        <v>141</v>
      </c>
      <c r="K1475" s="1741"/>
      <c r="L1475" s="1580">
        <v>213</v>
      </c>
      <c r="M1475" s="1561">
        <v>38</v>
      </c>
      <c r="N1475" s="172">
        <f t="shared" si="154"/>
        <v>1.0514813781559493</v>
      </c>
      <c r="O1475" s="1233" t="s">
        <v>327</v>
      </c>
      <c r="P1475" s="447" t="str">
        <f>IFERROR(VLOOKUP(F1475,#REF!,12,FALSE),"")</f>
        <v/>
      </c>
      <c r="Q1475" s="1234" t="s">
        <v>8</v>
      </c>
      <c r="R1475" s="1235" t="str">
        <f>IFERROR(VLOOKUP(F1475,#REF!,14,FALSE),"")</f>
        <v/>
      </c>
      <c r="S1475" s="1236">
        <f t="shared" si="155"/>
        <v>1.5106382978723405</v>
      </c>
      <c r="U1475" s="1728"/>
      <c r="V1475" s="67">
        <f t="shared" si="156"/>
        <v>0</v>
      </c>
      <c r="W1475" s="1768"/>
      <c r="X1475" s="67"/>
    </row>
    <row r="1476" spans="2:24" ht="16" thickBot="1" x14ac:dyDescent="0.25">
      <c r="B1476" s="1661">
        <v>1</v>
      </c>
      <c r="C1476" s="1199">
        <v>44564</v>
      </c>
      <c r="D1476" s="1108"/>
      <c r="E1476" s="1109"/>
      <c r="F1476" s="1551"/>
      <c r="G1476" s="1200"/>
      <c r="H1476" s="1201" t="str">
        <f>IFERROR(VLOOKUP(F1476,#REF!,10,FALSE),"")</f>
        <v/>
      </c>
      <c r="I1476" s="1202" t="str">
        <f t="shared" si="157"/>
        <v/>
      </c>
      <c r="J1476" s="1203"/>
      <c r="K1476" s="1741"/>
      <c r="L1476" s="1577"/>
      <c r="M1476" s="1374"/>
      <c r="N1476" s="1111" t="str">
        <f t="shared" si="154"/>
        <v/>
      </c>
      <c r="O1476" s="1204"/>
      <c r="P1476" s="1113" t="str">
        <f>IFERROR(VLOOKUP(F1476,#REF!,12,FALSE),"")</f>
        <v/>
      </c>
      <c r="Q1476" s="1205" t="s">
        <v>8</v>
      </c>
      <c r="R1476" s="1206" t="str">
        <f>IFERROR(VLOOKUP(F1476,#REF!,14,FALSE),"")</f>
        <v/>
      </c>
      <c r="S1476" s="1207" t="str">
        <f t="shared" si="155"/>
        <v/>
      </c>
      <c r="U1476" s="1728"/>
      <c r="V1476" s="1108">
        <f t="shared" si="156"/>
        <v>0</v>
      </c>
      <c r="W1476" s="1766"/>
      <c r="X1476" s="1108"/>
    </row>
    <row r="1477" spans="2:24" x14ac:dyDescent="0.2">
      <c r="B1477" s="1666" t="s">
        <v>142</v>
      </c>
      <c r="C1477" s="1208">
        <v>44565</v>
      </c>
      <c r="D1477" s="864">
        <v>2</v>
      </c>
      <c r="E1477" s="865" t="s">
        <v>293</v>
      </c>
      <c r="F1477" s="1552" t="s">
        <v>279</v>
      </c>
      <c r="G1477" s="1209">
        <v>4.1921296296296297E-2</v>
      </c>
      <c r="H1477" s="1210">
        <v>10.83</v>
      </c>
      <c r="I1477" s="1211">
        <f t="shared" ref="I1477:I1489" si="158">IFERROR(G1477/H1477,"")</f>
        <v>3.8708491501658628E-3</v>
      </c>
      <c r="J1477" s="1212">
        <v>149</v>
      </c>
      <c r="K1477" s="1741"/>
      <c r="L1477" s="1578">
        <v>212</v>
      </c>
      <c r="M1477" s="1602">
        <v>40</v>
      </c>
      <c r="N1477" s="1171">
        <f t="shared" si="154"/>
        <v>1.0582323837874339</v>
      </c>
      <c r="O1477" s="1213" t="s">
        <v>311</v>
      </c>
      <c r="P1477" s="1173" t="str">
        <f>IFERROR(VLOOKUP(F1477,#REF!,12,FALSE),"")</f>
        <v/>
      </c>
      <c r="Q1477" s="1229" t="s">
        <v>8</v>
      </c>
      <c r="R1477" s="1324" t="str">
        <f>IFERROR(VLOOKUP(F1477,#REF!,14,FALSE),"")</f>
        <v/>
      </c>
      <c r="S1477" s="1217">
        <f t="shared" si="155"/>
        <v>1.4228187919463087</v>
      </c>
      <c r="U1477" s="1728"/>
      <c r="V1477" s="864">
        <f t="shared" si="156"/>
        <v>0</v>
      </c>
      <c r="W1477" s="1767"/>
      <c r="X1477" s="864"/>
    </row>
    <row r="1478" spans="2:24" ht="16" thickBot="1" x14ac:dyDescent="0.25">
      <c r="B1478" s="1654">
        <f t="shared" ref="B1478" si="159">SUM(H1476:H1482)</f>
        <v>30.409999999999997</v>
      </c>
      <c r="C1478" s="1208">
        <v>44566</v>
      </c>
      <c r="D1478" s="864"/>
      <c r="E1478" s="865"/>
      <c r="F1478" s="1552"/>
      <c r="G1478" s="1209"/>
      <c r="H1478" s="1210" t="str">
        <f>IFERROR(VLOOKUP(F1478,#REF!,10,FALSE),"")</f>
        <v/>
      </c>
      <c r="I1478" s="1211" t="str">
        <f t="shared" si="158"/>
        <v/>
      </c>
      <c r="J1478" s="1212"/>
      <c r="K1478" s="1741"/>
      <c r="L1478" s="1578"/>
      <c r="M1478" s="1602"/>
      <c r="N1478" s="1171" t="str">
        <f t="shared" si="154"/>
        <v/>
      </c>
      <c r="O1478" s="1213"/>
      <c r="P1478" s="1173" t="str">
        <f>IFERROR(VLOOKUP(F1478,#REF!,12,FALSE),"")</f>
        <v/>
      </c>
      <c r="Q1478" s="1229" t="s">
        <v>8</v>
      </c>
      <c r="R1478" s="1324" t="str">
        <f>IFERROR(VLOOKUP(F1478,#REF!,14,FALSE),"")</f>
        <v/>
      </c>
      <c r="S1478" s="1217" t="str">
        <f t="shared" si="155"/>
        <v/>
      </c>
      <c r="U1478" s="1728"/>
      <c r="V1478" s="864">
        <f t="shared" si="156"/>
        <v>0</v>
      </c>
      <c r="W1478" s="1767"/>
      <c r="X1478" s="864"/>
    </row>
    <row r="1479" spans="2:24" x14ac:dyDescent="0.2">
      <c r="B1479" s="1667" t="s">
        <v>144</v>
      </c>
      <c r="C1479" s="1208">
        <v>44567</v>
      </c>
      <c r="D1479" s="864">
        <v>3</v>
      </c>
      <c r="E1479" s="865" t="s">
        <v>293</v>
      </c>
      <c r="F1479" s="1552" t="s">
        <v>279</v>
      </c>
      <c r="G1479" s="1209">
        <v>4.1273148148148149E-2</v>
      </c>
      <c r="H1479" s="1210">
        <v>10.64</v>
      </c>
      <c r="I1479" s="1211">
        <f t="shared" si="158"/>
        <v>3.8790552770815927E-3</v>
      </c>
      <c r="J1479" s="1212">
        <v>141</v>
      </c>
      <c r="K1479" s="1741"/>
      <c r="L1479" s="1578">
        <v>210</v>
      </c>
      <c r="M1479" s="1602">
        <v>39</v>
      </c>
      <c r="N1479" s="1171">
        <f t="shared" si="154"/>
        <v>1.0504713275726629</v>
      </c>
      <c r="O1479" s="1213" t="s">
        <v>339</v>
      </c>
      <c r="P1479" s="1173" t="str">
        <f>IFERROR(VLOOKUP(F1479,#REF!,12,FALSE),"")</f>
        <v/>
      </c>
      <c r="Q1479" s="1229" t="s">
        <v>8</v>
      </c>
      <c r="R1479" s="1324" t="str">
        <f>IFERROR(VLOOKUP(F1479,#REF!,14,FALSE),"")</f>
        <v/>
      </c>
      <c r="S1479" s="1217">
        <f t="shared" si="155"/>
        <v>1.4893617021276595</v>
      </c>
      <c r="U1479" s="1728"/>
      <c r="V1479" s="864">
        <f t="shared" si="156"/>
        <v>0</v>
      </c>
      <c r="W1479" s="1767"/>
      <c r="X1479" s="864"/>
    </row>
    <row r="1480" spans="2:24" ht="16" thickBot="1" x14ac:dyDescent="0.25">
      <c r="B1480" s="1668" t="e">
        <f>SUM(#REF!)</f>
        <v>#REF!</v>
      </c>
      <c r="C1480" s="1334">
        <v>44568</v>
      </c>
      <c r="D1480" s="1335"/>
      <c r="E1480" s="1336"/>
      <c r="F1480" s="1552"/>
      <c r="G1480" s="1337"/>
      <c r="H1480" s="1338" t="str">
        <f>IFERROR(VLOOKUP(F1480,#REF!,10,FALSE),"")</f>
        <v/>
      </c>
      <c r="I1480" s="1339" t="str">
        <f t="shared" si="158"/>
        <v/>
      </c>
      <c r="J1480" s="1340"/>
      <c r="K1480" s="1741"/>
      <c r="L1480" s="1578"/>
      <c r="M1480" s="1602"/>
      <c r="N1480" s="1341" t="str">
        <f t="shared" si="154"/>
        <v/>
      </c>
      <c r="O1480" s="1342"/>
      <c r="P1480" s="1343" t="str">
        <f>IFERROR(VLOOKUP(F1480,#REF!,12,FALSE),"")</f>
        <v/>
      </c>
      <c r="Q1480" s="1344" t="s">
        <v>8</v>
      </c>
      <c r="R1480" s="1345" t="str">
        <f>IFERROR(VLOOKUP(F1480,#REF!,14,FALSE),"")</f>
        <v/>
      </c>
      <c r="S1480" s="1346" t="str">
        <f t="shared" si="155"/>
        <v/>
      </c>
      <c r="U1480" s="1728"/>
      <c r="V1480" s="1335">
        <f t="shared" si="156"/>
        <v>0</v>
      </c>
      <c r="W1480" s="1767"/>
      <c r="X1480" s="1335"/>
    </row>
    <row r="1481" spans="2:24" x14ac:dyDescent="0.2">
      <c r="B1481" s="1669" t="s">
        <v>256</v>
      </c>
      <c r="C1481" s="1237">
        <v>44569</v>
      </c>
      <c r="D1481" s="70">
        <v>4</v>
      </c>
      <c r="E1481" s="71" t="s">
        <v>293</v>
      </c>
      <c r="F1481" s="1552" t="s">
        <v>279</v>
      </c>
      <c r="G1481" s="1238">
        <v>3.4097222222222223E-2</v>
      </c>
      <c r="H1481" s="1239">
        <v>8.94</v>
      </c>
      <c r="I1481" s="1240">
        <f t="shared" si="158"/>
        <v>3.8140069599801145E-3</v>
      </c>
      <c r="J1481" s="265">
        <v>143</v>
      </c>
      <c r="K1481" s="1741"/>
      <c r="L1481" s="1581">
        <v>214</v>
      </c>
      <c r="M1481" s="265">
        <v>28</v>
      </c>
      <c r="N1481" s="77">
        <f t="shared" si="154"/>
        <v>1.0525292998096765</v>
      </c>
      <c r="O1481" s="1241" t="s">
        <v>327</v>
      </c>
      <c r="P1481" s="79" t="str">
        <f>IFERROR(VLOOKUP(F1481,#REF!,12,FALSE),"")</f>
        <v/>
      </c>
      <c r="Q1481" s="1242" t="s">
        <v>8</v>
      </c>
      <c r="R1481" s="1243" t="str">
        <f>IFERROR(VLOOKUP(F1481,#REF!,14,FALSE),"")</f>
        <v/>
      </c>
      <c r="S1481" s="1244">
        <f t="shared" si="155"/>
        <v>1.4965034965034965</v>
      </c>
      <c r="U1481" s="1728"/>
      <c r="V1481" s="70">
        <f t="shared" si="156"/>
        <v>0</v>
      </c>
      <c r="W1481" s="1767"/>
      <c r="X1481" s="70"/>
    </row>
    <row r="1482" spans="2:24" ht="16" thickBot="1" x14ac:dyDescent="0.25">
      <c r="B1482" s="1709" t="e">
        <f>AVERAGE(#REF!)</f>
        <v>#REF!</v>
      </c>
      <c r="C1482" s="544">
        <v>44570</v>
      </c>
      <c r="D1482" s="67"/>
      <c r="E1482" s="208"/>
      <c r="F1482" s="1553"/>
      <c r="G1482" s="1230"/>
      <c r="H1482" s="1231" t="str">
        <f>IFERROR(VLOOKUP(F1482,#REF!,10,FALSE),"")</f>
        <v/>
      </c>
      <c r="I1482" s="1232" t="str">
        <f t="shared" si="158"/>
        <v/>
      </c>
      <c r="J1482" s="256"/>
      <c r="K1482" s="1741"/>
      <c r="L1482" s="1580"/>
      <c r="M1482" s="1561"/>
      <c r="N1482" s="172" t="str">
        <f t="shared" si="154"/>
        <v/>
      </c>
      <c r="O1482" s="1233"/>
      <c r="P1482" s="447" t="str">
        <f>IFERROR(VLOOKUP(F1482,#REF!,12,FALSE),"")</f>
        <v/>
      </c>
      <c r="Q1482" s="1234" t="s">
        <v>8</v>
      </c>
      <c r="R1482" s="1235" t="str">
        <f>IFERROR(VLOOKUP(F1482,#REF!,14,FALSE),"")</f>
        <v/>
      </c>
      <c r="S1482" s="1236" t="str">
        <f t="shared" si="155"/>
        <v/>
      </c>
      <c r="U1482" s="1728"/>
      <c r="V1482" s="67">
        <f t="shared" si="156"/>
        <v>0</v>
      </c>
      <c r="W1482" s="1768"/>
      <c r="X1482" s="67"/>
    </row>
    <row r="1483" spans="2:24" ht="16" thickBot="1" x14ac:dyDescent="0.25">
      <c r="B1483" s="1661">
        <f>B1476+1</f>
        <v>2</v>
      </c>
      <c r="C1483" s="1199">
        <v>44571</v>
      </c>
      <c r="D1483" s="1108">
        <v>5</v>
      </c>
      <c r="E1483" s="1109" t="s">
        <v>293</v>
      </c>
      <c r="F1483" s="1551" t="s">
        <v>322</v>
      </c>
      <c r="G1483" s="1200">
        <v>3.1793981481481479E-2</v>
      </c>
      <c r="H1483" s="1201">
        <v>8.31</v>
      </c>
      <c r="I1483" s="1202">
        <f t="shared" si="158"/>
        <v>3.8259905513214772E-3</v>
      </c>
      <c r="J1483" s="1203">
        <v>140</v>
      </c>
      <c r="K1483" s="1742"/>
      <c r="L1483" s="1577">
        <v>212</v>
      </c>
      <c r="M1483" s="1374">
        <v>23</v>
      </c>
      <c r="N1483" s="1111">
        <f t="shared" si="154"/>
        <v>1.0459687123947048</v>
      </c>
      <c r="O1483" s="1204" t="s">
        <v>339</v>
      </c>
      <c r="P1483" s="1113" t="str">
        <f>IFERROR(VLOOKUP(F1483,#REF!,12,FALSE),"")</f>
        <v/>
      </c>
      <c r="Q1483" s="1205" t="s">
        <v>8</v>
      </c>
      <c r="R1483" s="1206" t="str">
        <f>IFERROR(VLOOKUP(F1483,#REF!,14,FALSE),"")</f>
        <v/>
      </c>
      <c r="S1483" s="1207">
        <f t="shared" si="155"/>
        <v>1.5142857142857142</v>
      </c>
      <c r="U1483" s="1728"/>
      <c r="V1483" s="1108">
        <f t="shared" si="156"/>
        <v>0</v>
      </c>
      <c r="W1483" s="1766"/>
      <c r="X1483" s="1108"/>
    </row>
    <row r="1484" spans="2:24" x14ac:dyDescent="0.2">
      <c r="B1484" s="1666" t="s">
        <v>142</v>
      </c>
      <c r="C1484" s="1208">
        <v>44572</v>
      </c>
      <c r="D1484" s="864">
        <v>6</v>
      </c>
      <c r="E1484" s="865" t="s">
        <v>293</v>
      </c>
      <c r="F1484" s="1552" t="s">
        <v>279</v>
      </c>
      <c r="G1484" s="1209">
        <v>3.8599537037037036E-2</v>
      </c>
      <c r="H1484" s="1210">
        <v>10.14</v>
      </c>
      <c r="I1484" s="1211">
        <f t="shared" si="158"/>
        <v>3.8066604573014826E-3</v>
      </c>
      <c r="J1484" s="1212">
        <v>139</v>
      </c>
      <c r="K1484" s="1742"/>
      <c r="L1484" s="1578">
        <v>212</v>
      </c>
      <c r="M1484" s="1602">
        <v>39</v>
      </c>
      <c r="N1484" s="1171">
        <f t="shared" si="154"/>
        <v>1.0406841531985043</v>
      </c>
      <c r="O1484" s="1213" t="s">
        <v>311</v>
      </c>
      <c r="P1484" s="1173" t="str">
        <f>IFERROR(VLOOKUP(F1484,#REF!,12,FALSE),"")</f>
        <v/>
      </c>
      <c r="Q1484" s="1229" t="s">
        <v>8</v>
      </c>
      <c r="R1484" s="1324" t="str">
        <f>IFERROR(VLOOKUP(F1484,#REF!,14,FALSE),"")</f>
        <v/>
      </c>
      <c r="S1484" s="1217">
        <f t="shared" si="155"/>
        <v>1.525179856115108</v>
      </c>
      <c r="U1484" s="1728"/>
      <c r="V1484" s="864">
        <f t="shared" si="156"/>
        <v>0</v>
      </c>
      <c r="W1484" s="1767"/>
      <c r="X1484" s="864"/>
    </row>
    <row r="1485" spans="2:24" ht="16" thickBot="1" x14ac:dyDescent="0.25">
      <c r="B1485" s="1654">
        <f t="shared" ref="B1485" si="160">SUM(H1483:H1489)</f>
        <v>40.020000000000003</v>
      </c>
      <c r="C1485" s="1208">
        <v>44573</v>
      </c>
      <c r="D1485" s="864"/>
      <c r="E1485" s="865"/>
      <c r="F1485" s="1552"/>
      <c r="G1485" s="1209"/>
      <c r="H1485" s="1210" t="str">
        <f>IFERROR(VLOOKUP(F1485,#REF!,10,FALSE),"")</f>
        <v/>
      </c>
      <c r="I1485" s="1211" t="str">
        <f t="shared" si="158"/>
        <v/>
      </c>
      <c r="J1485" s="1212"/>
      <c r="K1485" s="1742"/>
      <c r="L1485" s="1578"/>
      <c r="M1485" s="1602"/>
      <c r="N1485" s="1171" t="str">
        <f t="shared" si="154"/>
        <v/>
      </c>
      <c r="O1485" s="1213"/>
      <c r="P1485" s="1173" t="str">
        <f>IFERROR(VLOOKUP(F1485,#REF!,12,FALSE),"")</f>
        <v/>
      </c>
      <c r="Q1485" s="1229" t="s">
        <v>8</v>
      </c>
      <c r="R1485" s="1324" t="str">
        <f>IFERROR(VLOOKUP(F1485,#REF!,14,FALSE),"")</f>
        <v/>
      </c>
      <c r="S1485" s="1217" t="str">
        <f t="shared" si="155"/>
        <v/>
      </c>
      <c r="U1485" s="1728"/>
      <c r="V1485" s="864">
        <f t="shared" si="156"/>
        <v>0</v>
      </c>
      <c r="W1485" s="1767"/>
      <c r="X1485" s="864"/>
    </row>
    <row r="1486" spans="2:24" x14ac:dyDescent="0.2">
      <c r="B1486" s="1667" t="s">
        <v>144</v>
      </c>
      <c r="C1486" s="1208">
        <v>44574</v>
      </c>
      <c r="D1486" s="864">
        <v>7</v>
      </c>
      <c r="E1486" s="865" t="s">
        <v>293</v>
      </c>
      <c r="F1486" s="1552" t="s">
        <v>279</v>
      </c>
      <c r="G1486" s="1209">
        <v>3.7303240740740741E-2</v>
      </c>
      <c r="H1486" s="1210">
        <v>10.130000000000001</v>
      </c>
      <c r="I1486" s="1211">
        <f t="shared" si="158"/>
        <v>3.6824521955321557E-3</v>
      </c>
      <c r="J1486" s="1212">
        <v>142</v>
      </c>
      <c r="K1486" s="1742"/>
      <c r="L1486" s="1578">
        <v>219</v>
      </c>
      <c r="M1486" s="1602">
        <v>66</v>
      </c>
      <c r="N1486" s="1171">
        <f t="shared" si="154"/>
        <v>1.0399684695967348</v>
      </c>
      <c r="O1486" s="1213" t="s">
        <v>280</v>
      </c>
      <c r="P1486" s="1173" t="str">
        <f>IFERROR(VLOOKUP(F1486,#REF!,12,FALSE),"")</f>
        <v/>
      </c>
      <c r="Q1486" s="1229" t="s">
        <v>8</v>
      </c>
      <c r="R1486" s="1324" t="str">
        <f>IFERROR(VLOOKUP(F1486,#REF!,14,FALSE),"")</f>
        <v/>
      </c>
      <c r="S1486" s="1217">
        <f t="shared" si="155"/>
        <v>1.5422535211267605</v>
      </c>
      <c r="U1486" s="1728"/>
      <c r="V1486" s="864">
        <f t="shared" si="156"/>
        <v>0</v>
      </c>
      <c r="W1486" s="1767"/>
      <c r="X1486" s="864"/>
    </row>
    <row r="1487" spans="2:24" ht="16" thickBot="1" x14ac:dyDescent="0.25">
      <c r="B1487" s="1668" t="e">
        <f>SUM(#REF!)</f>
        <v>#REF!</v>
      </c>
      <c r="C1487" s="1347">
        <v>44575</v>
      </c>
      <c r="D1487" s="1348"/>
      <c r="E1487" s="1349"/>
      <c r="F1487" s="1552"/>
      <c r="G1487" s="1350"/>
      <c r="H1487" s="1351" t="str">
        <f>IFERROR(VLOOKUP(F1487,#REF!,10,FALSE),"")</f>
        <v/>
      </c>
      <c r="I1487" s="1352" t="str">
        <f t="shared" si="158"/>
        <v/>
      </c>
      <c r="J1487" s="1353"/>
      <c r="K1487" s="1742"/>
      <c r="L1487" s="1578"/>
      <c r="M1487" s="1602"/>
      <c r="N1487" s="1354" t="str">
        <f t="shared" si="154"/>
        <v/>
      </c>
      <c r="O1487" s="1355"/>
      <c r="P1487" s="1356" t="str">
        <f>IFERROR(VLOOKUP(F1487,#REF!,12,FALSE),"")</f>
        <v/>
      </c>
      <c r="Q1487" s="1357" t="s">
        <v>8</v>
      </c>
      <c r="R1487" s="1358" t="str">
        <f>IFERROR(VLOOKUP(F1487,#REF!,14,FALSE),"")</f>
        <v/>
      </c>
      <c r="S1487" s="1359" t="str">
        <f t="shared" si="155"/>
        <v/>
      </c>
      <c r="U1487" s="1728"/>
      <c r="V1487" s="1348">
        <f t="shared" si="156"/>
        <v>0</v>
      </c>
      <c r="W1487" s="1767"/>
      <c r="X1487" s="1348"/>
    </row>
    <row r="1488" spans="2:24" x14ac:dyDescent="0.2">
      <c r="B1488" s="1669" t="s">
        <v>256</v>
      </c>
      <c r="C1488" s="1237">
        <v>44576</v>
      </c>
      <c r="D1488" s="70">
        <v>8</v>
      </c>
      <c r="E1488" s="71" t="s">
        <v>292</v>
      </c>
      <c r="F1488" s="1552" t="s">
        <v>308</v>
      </c>
      <c r="G1488" s="1238">
        <v>4.6203703703703698E-2</v>
      </c>
      <c r="H1488" s="1239">
        <v>11.44</v>
      </c>
      <c r="I1488" s="1240">
        <f t="shared" si="158"/>
        <v>4.0387852887852887E-3</v>
      </c>
      <c r="J1488" s="265">
        <v>139</v>
      </c>
      <c r="K1488" s="1742"/>
      <c r="L1488" s="1581">
        <v>201</v>
      </c>
      <c r="M1488" s="265">
        <v>38</v>
      </c>
      <c r="N1488" s="77">
        <f t="shared" si="154"/>
        <v>1.0468531468531468</v>
      </c>
      <c r="O1488" s="1241" t="s">
        <v>327</v>
      </c>
      <c r="P1488" s="79" t="str">
        <f>IFERROR(VLOOKUP(F1488,#REF!,12,FALSE),"")</f>
        <v/>
      </c>
      <c r="Q1488" s="1242" t="s">
        <v>8</v>
      </c>
      <c r="R1488" s="1243" t="str">
        <f>IFERROR(VLOOKUP(F1488,#REF!,14,FALSE),"")</f>
        <v/>
      </c>
      <c r="S1488" s="1244">
        <f t="shared" si="155"/>
        <v>1.4460431654676258</v>
      </c>
      <c r="U1488" s="1728"/>
      <c r="V1488" s="70">
        <f t="shared" si="156"/>
        <v>0</v>
      </c>
      <c r="W1488" s="1767"/>
      <c r="X1488" s="70"/>
    </row>
    <row r="1489" spans="2:24" ht="16" thickBot="1" x14ac:dyDescent="0.25">
      <c r="B1489" s="1709" t="e">
        <f>AVERAGE(#REF!)</f>
        <v>#REF!</v>
      </c>
      <c r="C1489" s="544">
        <v>44577</v>
      </c>
      <c r="D1489" s="67"/>
      <c r="E1489" s="208"/>
      <c r="F1489" s="1553"/>
      <c r="G1489" s="1230"/>
      <c r="H1489" s="1231" t="str">
        <f>IFERROR(VLOOKUP(F1489,#REF!,10,FALSE),"")</f>
        <v/>
      </c>
      <c r="I1489" s="1232" t="str">
        <f t="shared" si="158"/>
        <v/>
      </c>
      <c r="J1489" s="256"/>
      <c r="K1489" s="1742"/>
      <c r="L1489" s="1580"/>
      <c r="M1489" s="1561"/>
      <c r="N1489" s="172" t="str">
        <f t="shared" si="154"/>
        <v/>
      </c>
      <c r="O1489" s="1233"/>
      <c r="P1489" s="447" t="str">
        <f>IFERROR(VLOOKUP(F1489,#REF!,12,FALSE),"")</f>
        <v/>
      </c>
      <c r="Q1489" s="1234" t="s">
        <v>8</v>
      </c>
      <c r="R1489" s="1235" t="str">
        <f>IFERROR(VLOOKUP(F1489,#REF!,14,FALSE),"")</f>
        <v/>
      </c>
      <c r="S1489" s="1236" t="str">
        <f t="shared" si="155"/>
        <v/>
      </c>
      <c r="U1489" s="1728"/>
      <c r="V1489" s="67">
        <f t="shared" si="156"/>
        <v>0</v>
      </c>
      <c r="W1489" s="1768"/>
      <c r="X1489" s="67"/>
    </row>
    <row r="1490" spans="2:24" ht="16" thickBot="1" x14ac:dyDescent="0.25">
      <c r="B1490" s="1661">
        <f t="shared" ref="B1490" si="161">B1483+1</f>
        <v>3</v>
      </c>
      <c r="C1490" s="1199">
        <v>44578</v>
      </c>
      <c r="D1490" s="1108">
        <v>9</v>
      </c>
      <c r="E1490" s="1109" t="s">
        <v>293</v>
      </c>
      <c r="F1490" s="1551" t="s">
        <v>279</v>
      </c>
      <c r="G1490" s="1200">
        <v>3.8622685185185184E-2</v>
      </c>
      <c r="H1490" s="1201">
        <v>10.14</v>
      </c>
      <c r="I1490" s="1202">
        <f t="shared" ref="I1490:I1553" si="162">IFERROR(G1490/H1490,"")</f>
        <v>3.8089433121484399E-3</v>
      </c>
      <c r="J1490" s="1203">
        <v>143</v>
      </c>
      <c r="K1490" s="1742"/>
      <c r="L1490" s="1577">
        <v>214</v>
      </c>
      <c r="M1490" s="1374">
        <v>61</v>
      </c>
      <c r="N1490" s="1111">
        <f t="shared" si="154"/>
        <v>1.0511319143925342</v>
      </c>
      <c r="O1490" s="1204" t="s">
        <v>311</v>
      </c>
      <c r="P1490" s="1113" t="str">
        <f>IFERROR(VLOOKUP(F1490,#REF!,12,FALSE),"")</f>
        <v/>
      </c>
      <c r="Q1490" s="1205" t="s">
        <v>8</v>
      </c>
      <c r="R1490" s="1206" t="str">
        <f>IFERROR(VLOOKUP(F1490,#REF!,14,FALSE),"")</f>
        <v/>
      </c>
      <c r="S1490" s="1207">
        <f t="shared" si="155"/>
        <v>1.4965034965034965</v>
      </c>
      <c r="U1490" s="1728"/>
      <c r="V1490" s="1108">
        <f t="shared" si="156"/>
        <v>0</v>
      </c>
      <c r="W1490" s="1766"/>
      <c r="X1490" s="1108"/>
    </row>
    <row r="1491" spans="2:24" x14ac:dyDescent="0.2">
      <c r="B1491" s="1666" t="s">
        <v>142</v>
      </c>
      <c r="C1491" s="1208">
        <v>44579</v>
      </c>
      <c r="D1491" s="864">
        <v>10</v>
      </c>
      <c r="E1491" s="865" t="s">
        <v>293</v>
      </c>
      <c r="F1491" s="1552" t="s">
        <v>279</v>
      </c>
      <c r="G1491" s="1209">
        <v>3.8912037037037037E-2</v>
      </c>
      <c r="H1491" s="1210">
        <v>10.44</v>
      </c>
      <c r="I1491" s="1211">
        <f t="shared" si="162"/>
        <v>3.7272066127430115E-3</v>
      </c>
      <c r="J1491" s="1212">
        <v>142</v>
      </c>
      <c r="K1491" s="1742"/>
      <c r="L1491" s="1578">
        <v>216</v>
      </c>
      <c r="M1491" s="1602">
        <v>19</v>
      </c>
      <c r="N1491" s="1171">
        <f t="shared" si="154"/>
        <v>1.0381883685023161</v>
      </c>
      <c r="O1491" s="1213" t="s">
        <v>339</v>
      </c>
      <c r="P1491" s="1173" t="str">
        <f>IFERROR(VLOOKUP(F1491,#REF!,12,FALSE),"")</f>
        <v/>
      </c>
      <c r="Q1491" s="1229" t="s">
        <v>8</v>
      </c>
      <c r="R1491" s="1324" t="str">
        <f>IFERROR(VLOOKUP(F1491,#REF!,14,FALSE),"")</f>
        <v/>
      </c>
      <c r="S1491" s="1217">
        <f t="shared" si="155"/>
        <v>1.5211267605633803</v>
      </c>
      <c r="U1491" s="1728"/>
      <c r="V1491" s="864">
        <f t="shared" si="156"/>
        <v>0</v>
      </c>
      <c r="W1491" s="1767"/>
      <c r="X1491" s="864"/>
    </row>
    <row r="1492" spans="2:24" ht="16" thickBot="1" x14ac:dyDescent="0.25">
      <c r="B1492" s="1654">
        <f t="shared" ref="B1492" si="163">SUM(H1490:H1496)</f>
        <v>43.65</v>
      </c>
      <c r="C1492" s="1208">
        <v>44580</v>
      </c>
      <c r="D1492" s="864"/>
      <c r="E1492" s="865"/>
      <c r="F1492" s="1554"/>
      <c r="G1492" s="1209"/>
      <c r="H1492" s="1210" t="str">
        <f>IFERROR(VLOOKUP(F1492,#REF!,10,FALSE),"")</f>
        <v/>
      </c>
      <c r="I1492" s="1211" t="str">
        <f t="shared" si="162"/>
        <v/>
      </c>
      <c r="J1492" s="1212"/>
      <c r="K1492" s="1742"/>
      <c r="L1492" s="1578"/>
      <c r="M1492" s="1602"/>
      <c r="N1492" s="1171" t="str">
        <f t="shared" si="154"/>
        <v/>
      </c>
      <c r="O1492" s="1213"/>
      <c r="P1492" s="1173" t="str">
        <f>IFERROR(VLOOKUP(F1492,#REF!,12,FALSE),"")</f>
        <v/>
      </c>
      <c r="Q1492" s="1229" t="s">
        <v>8</v>
      </c>
      <c r="R1492" s="1324" t="str">
        <f>IFERROR(VLOOKUP(F1492,#REF!,14,FALSE),"")</f>
        <v/>
      </c>
      <c r="S1492" s="1217" t="str">
        <f t="shared" si="155"/>
        <v/>
      </c>
      <c r="U1492" s="1728"/>
      <c r="V1492" s="864">
        <f t="shared" si="156"/>
        <v>0</v>
      </c>
      <c r="W1492" s="1767"/>
      <c r="X1492" s="864"/>
    </row>
    <row r="1493" spans="2:24" x14ac:dyDescent="0.2">
      <c r="B1493" s="1667" t="s">
        <v>144</v>
      </c>
      <c r="C1493" s="1208">
        <v>44581</v>
      </c>
      <c r="D1493" s="864">
        <v>11</v>
      </c>
      <c r="E1493" s="865" t="s">
        <v>293</v>
      </c>
      <c r="F1493" s="1554" t="s">
        <v>321</v>
      </c>
      <c r="G1493" s="1209">
        <v>3.7962962962962962E-2</v>
      </c>
      <c r="H1493" s="1210">
        <v>10.65</v>
      </c>
      <c r="I1493" s="1211">
        <f t="shared" si="162"/>
        <v>3.5645974613110762E-3</v>
      </c>
      <c r="J1493" s="1212">
        <v>151</v>
      </c>
      <c r="K1493" s="1742"/>
      <c r="L1493" s="1578">
        <v>224</v>
      </c>
      <c r="M1493" s="1602">
        <v>48</v>
      </c>
      <c r="N1493" s="1171">
        <f t="shared" si="154"/>
        <v>1.029668558615374</v>
      </c>
      <c r="O1493" s="1213" t="s">
        <v>280</v>
      </c>
      <c r="P1493" s="1173" t="str">
        <f>IFERROR(VLOOKUP(F1493,#REF!,12,FALSE),"")</f>
        <v/>
      </c>
      <c r="Q1493" s="1229" t="s">
        <v>8</v>
      </c>
      <c r="R1493" s="1324" t="str">
        <f>IFERROR(VLOOKUP(F1493,#REF!,14,FALSE),"")</f>
        <v/>
      </c>
      <c r="S1493" s="1217">
        <f t="shared" si="155"/>
        <v>1.4834437086092715</v>
      </c>
      <c r="U1493" s="1728"/>
      <c r="V1493" s="864">
        <f t="shared" si="156"/>
        <v>0</v>
      </c>
      <c r="W1493" s="1767"/>
      <c r="X1493" s="864"/>
    </row>
    <row r="1494" spans="2:24" ht="16" thickBot="1" x14ac:dyDescent="0.25">
      <c r="B1494" s="1668" t="e">
        <f>SUM(#REF!)</f>
        <v>#REF!</v>
      </c>
      <c r="C1494" s="1347">
        <v>44582</v>
      </c>
      <c r="D1494" s="1348"/>
      <c r="E1494" s="1349"/>
      <c r="F1494" s="1554"/>
      <c r="G1494" s="1350"/>
      <c r="H1494" s="1351" t="str">
        <f>IFERROR(VLOOKUP(F1494,#REF!,10,FALSE),"")</f>
        <v/>
      </c>
      <c r="I1494" s="1352" t="str">
        <f t="shared" si="162"/>
        <v/>
      </c>
      <c r="J1494" s="1353"/>
      <c r="K1494" s="1742"/>
      <c r="L1494" s="1578"/>
      <c r="M1494" s="1602"/>
      <c r="N1494" s="1354" t="str">
        <f t="shared" si="154"/>
        <v/>
      </c>
      <c r="O1494" s="1355"/>
      <c r="P1494" s="1356" t="str">
        <f>IFERROR(VLOOKUP(F1494,#REF!,12,FALSE),"")</f>
        <v/>
      </c>
      <c r="Q1494" s="1357" t="s">
        <v>8</v>
      </c>
      <c r="R1494" s="1358" t="str">
        <f>IFERROR(VLOOKUP(F1494,#REF!,14,FALSE),"")</f>
        <v/>
      </c>
      <c r="S1494" s="1359" t="str">
        <f t="shared" si="155"/>
        <v/>
      </c>
      <c r="U1494" s="1728"/>
      <c r="V1494" s="1348">
        <f t="shared" si="156"/>
        <v>0</v>
      </c>
      <c r="W1494" s="1767"/>
      <c r="X1494" s="1348"/>
    </row>
    <row r="1495" spans="2:24" x14ac:dyDescent="0.2">
      <c r="B1495" s="1669" t="s">
        <v>256</v>
      </c>
      <c r="C1495" s="1237">
        <v>44583</v>
      </c>
      <c r="D1495" s="70">
        <v>12</v>
      </c>
      <c r="E1495" s="71" t="s">
        <v>292</v>
      </c>
      <c r="F1495" s="1554" t="s">
        <v>308</v>
      </c>
      <c r="G1495" s="1238">
        <v>4.8148148148148141E-2</v>
      </c>
      <c r="H1495" s="1239">
        <v>12.42</v>
      </c>
      <c r="I1495" s="1240">
        <f t="shared" si="162"/>
        <v>3.8766624917993672E-3</v>
      </c>
      <c r="J1495" s="265">
        <v>142</v>
      </c>
      <c r="K1495" s="1742"/>
      <c r="L1495" s="1581">
        <v>208</v>
      </c>
      <c r="M1495" s="265">
        <v>50</v>
      </c>
      <c r="N1495" s="77">
        <f t="shared" si="154"/>
        <v>1.0398250294421609</v>
      </c>
      <c r="O1495" s="1241" t="s">
        <v>327</v>
      </c>
      <c r="P1495" s="79" t="str">
        <f>IFERROR(VLOOKUP(F1495,#REF!,12,FALSE),"")</f>
        <v/>
      </c>
      <c r="Q1495" s="1242" t="s">
        <v>8</v>
      </c>
      <c r="R1495" s="1243" t="str">
        <f>IFERROR(VLOOKUP(F1495,#REF!,14,FALSE),"")</f>
        <v/>
      </c>
      <c r="S1495" s="1244">
        <f t="shared" si="155"/>
        <v>1.4647887323943662</v>
      </c>
      <c r="U1495" s="1728"/>
      <c r="V1495" s="70">
        <f t="shared" si="156"/>
        <v>0</v>
      </c>
      <c r="W1495" s="1767"/>
      <c r="X1495" s="70"/>
    </row>
    <row r="1496" spans="2:24" ht="16" thickBot="1" x14ac:dyDescent="0.25">
      <c r="B1496" s="1709" t="e">
        <f>AVERAGE(#REF!)</f>
        <v>#REF!</v>
      </c>
      <c r="C1496" s="544">
        <v>44584</v>
      </c>
      <c r="D1496" s="67"/>
      <c r="E1496" s="208"/>
      <c r="F1496" s="1555"/>
      <c r="G1496" s="1230"/>
      <c r="H1496" s="1231" t="str">
        <f>IFERROR(VLOOKUP(F1496,#REF!,10,FALSE),"")</f>
        <v/>
      </c>
      <c r="I1496" s="1232" t="str">
        <f t="shared" si="162"/>
        <v/>
      </c>
      <c r="J1496" s="256"/>
      <c r="K1496" s="1742"/>
      <c r="L1496" s="1580"/>
      <c r="M1496" s="1561"/>
      <c r="N1496" s="172" t="str">
        <f t="shared" ref="N1496:N1527" si="164">IFERROR((L1496/67)/(1/(I1496*24)/3.6),"")</f>
        <v/>
      </c>
      <c r="O1496" s="1233"/>
      <c r="P1496" s="447" t="str">
        <f>IFERROR(VLOOKUP(F1496,#REF!,12,FALSE),"")</f>
        <v/>
      </c>
      <c r="Q1496" s="1234" t="s">
        <v>8</v>
      </c>
      <c r="R1496" s="1235" t="str">
        <f>IFERROR(VLOOKUP(F1496,#REF!,14,FALSE),"")</f>
        <v/>
      </c>
      <c r="S1496" s="1236" t="str">
        <f t="shared" ref="S1496:S1527" si="165">IFERROR(L1496/J1496,"")</f>
        <v/>
      </c>
      <c r="U1496" s="1728"/>
      <c r="V1496" s="67">
        <f t="shared" si="156"/>
        <v>0</v>
      </c>
      <c r="W1496" s="1768"/>
      <c r="X1496" s="67"/>
    </row>
    <row r="1497" spans="2:24" ht="16" thickBot="1" x14ac:dyDescent="0.25">
      <c r="B1497" s="1661">
        <f t="shared" ref="B1497" si="166">B1490+1</f>
        <v>4</v>
      </c>
      <c r="C1497" s="1199">
        <v>44585</v>
      </c>
      <c r="D1497" s="1108">
        <v>13</v>
      </c>
      <c r="E1497" s="1109" t="s">
        <v>293</v>
      </c>
      <c r="F1497" s="1606" t="s">
        <v>321</v>
      </c>
      <c r="G1497" s="1200">
        <v>3.8043981481481477E-2</v>
      </c>
      <c r="H1497" s="1201">
        <v>10.63</v>
      </c>
      <c r="I1497" s="1211">
        <f t="shared" si="162"/>
        <v>3.5789258213999504E-3</v>
      </c>
      <c r="J1497" s="1203">
        <v>148</v>
      </c>
      <c r="K1497" s="1742"/>
      <c r="L1497" s="1577">
        <v>225</v>
      </c>
      <c r="M1497" s="1374">
        <v>35</v>
      </c>
      <c r="N1497" s="1111">
        <f t="shared" si="164"/>
        <v>1.0384226562390304</v>
      </c>
      <c r="O1497" s="1204" t="s">
        <v>311</v>
      </c>
      <c r="P1497" s="1113" t="str">
        <f>IFERROR(VLOOKUP(F1497,#REF!,12,FALSE),"")</f>
        <v/>
      </c>
      <c r="Q1497" s="1205" t="s">
        <v>8</v>
      </c>
      <c r="R1497" s="1206" t="str">
        <f>IFERROR(VLOOKUP(F1497,#REF!,14,FALSE),"")</f>
        <v/>
      </c>
      <c r="S1497" s="1207">
        <f t="shared" si="165"/>
        <v>1.5202702702702702</v>
      </c>
      <c r="U1497" s="1728"/>
      <c r="V1497" s="1108">
        <f t="shared" si="156"/>
        <v>0</v>
      </c>
      <c r="W1497" s="1766"/>
      <c r="X1497" s="1108"/>
    </row>
    <row r="1498" spans="2:24" x14ac:dyDescent="0.2">
      <c r="B1498" s="1666" t="s">
        <v>142</v>
      </c>
      <c r="C1498" s="1208">
        <v>44586</v>
      </c>
      <c r="D1498" s="864">
        <v>14</v>
      </c>
      <c r="E1498" s="865" t="s">
        <v>293</v>
      </c>
      <c r="F1498" s="1554" t="s">
        <v>322</v>
      </c>
      <c r="G1498" s="1209">
        <v>3.3680555555555554E-2</v>
      </c>
      <c r="H1498" s="1210">
        <v>8.51</v>
      </c>
      <c r="I1498" s="1211">
        <f t="shared" si="162"/>
        <v>3.957762109936023E-3</v>
      </c>
      <c r="J1498" s="1212">
        <v>133</v>
      </c>
      <c r="K1498" s="1742"/>
      <c r="L1498" s="1578">
        <v>206</v>
      </c>
      <c r="M1498" s="1602">
        <v>24</v>
      </c>
      <c r="N1498" s="1171">
        <f t="shared" si="164"/>
        <v>1.0513706438430643</v>
      </c>
      <c r="O1498" s="1213" t="s">
        <v>339</v>
      </c>
      <c r="P1498" s="1173" t="str">
        <f>IFERROR(VLOOKUP(F1498,#REF!,12,FALSE),"")</f>
        <v/>
      </c>
      <c r="Q1498" s="1229" t="s">
        <v>8</v>
      </c>
      <c r="R1498" s="1324" t="str">
        <f>IFERROR(VLOOKUP(F1498,#REF!,14,FALSE),"")</f>
        <v/>
      </c>
      <c r="S1498" s="1217">
        <f t="shared" si="165"/>
        <v>1.5488721804511278</v>
      </c>
      <c r="U1498" s="1728"/>
      <c r="V1498" s="864">
        <f t="shared" si="156"/>
        <v>0</v>
      </c>
      <c r="W1498" s="1767"/>
      <c r="X1498" s="864"/>
    </row>
    <row r="1499" spans="2:24" ht="16" thickBot="1" x14ac:dyDescent="0.25">
      <c r="B1499" s="1654">
        <f t="shared" ref="B1499" si="167">SUM(H1497:H1503)</f>
        <v>48.040000000000006</v>
      </c>
      <c r="C1499" s="1208">
        <v>44587</v>
      </c>
      <c r="D1499" s="864"/>
      <c r="E1499" s="865"/>
      <c r="F1499" s="1554"/>
      <c r="G1499" s="1209"/>
      <c r="H1499" s="1210" t="str">
        <f>IFERROR(VLOOKUP(F1499,#REF!,10,FALSE),"")</f>
        <v/>
      </c>
      <c r="I1499" s="1211" t="str">
        <f t="shared" si="162"/>
        <v/>
      </c>
      <c r="J1499" s="1212"/>
      <c r="K1499" s="1742"/>
      <c r="L1499" s="1578"/>
      <c r="M1499" s="1602"/>
      <c r="N1499" s="1171" t="str">
        <f t="shared" si="164"/>
        <v/>
      </c>
      <c r="O1499" s="1213"/>
      <c r="P1499" s="1173" t="str">
        <f>IFERROR(VLOOKUP(F1499,#REF!,12,FALSE),"")</f>
        <v/>
      </c>
      <c r="Q1499" s="1229" t="s">
        <v>8</v>
      </c>
      <c r="R1499" s="1324" t="str">
        <f>IFERROR(VLOOKUP(F1499,#REF!,14,FALSE),"")</f>
        <v/>
      </c>
      <c r="S1499" s="1217" t="str">
        <f t="shared" si="165"/>
        <v/>
      </c>
      <c r="U1499" s="1728"/>
      <c r="V1499" s="864">
        <f t="shared" si="156"/>
        <v>0</v>
      </c>
      <c r="W1499" s="1767"/>
      <c r="X1499" s="864"/>
    </row>
    <row r="1500" spans="2:24" x14ac:dyDescent="0.2">
      <c r="B1500" s="1667" t="s">
        <v>144</v>
      </c>
      <c r="C1500" s="1208">
        <v>44588</v>
      </c>
      <c r="D1500" s="864">
        <v>15</v>
      </c>
      <c r="E1500" s="865" t="s">
        <v>293</v>
      </c>
      <c r="F1500" s="1554" t="s">
        <v>321</v>
      </c>
      <c r="G1500" s="1209">
        <v>4.3078703703703702E-2</v>
      </c>
      <c r="H1500" s="1210">
        <v>12.74</v>
      </c>
      <c r="I1500" s="1211">
        <f t="shared" si="162"/>
        <v>3.3813739170882027E-3</v>
      </c>
      <c r="J1500" s="1212">
        <v>150</v>
      </c>
      <c r="K1500" s="1742"/>
      <c r="L1500" s="1578">
        <v>236</v>
      </c>
      <c r="M1500" s="1602">
        <v>54</v>
      </c>
      <c r="N1500" s="1171">
        <f t="shared" si="164"/>
        <v>1.0290681599850042</v>
      </c>
      <c r="O1500" s="1213" t="s">
        <v>341</v>
      </c>
      <c r="P1500" s="1173" t="str">
        <f>IFERROR(VLOOKUP(F1500,#REF!,12,FALSE),"")</f>
        <v/>
      </c>
      <c r="Q1500" s="1229" t="s">
        <v>8</v>
      </c>
      <c r="R1500" s="1324" t="str">
        <f>IFERROR(VLOOKUP(F1500,#REF!,14,FALSE),"")</f>
        <v/>
      </c>
      <c r="S1500" s="1217">
        <f t="shared" si="165"/>
        <v>1.5733333333333333</v>
      </c>
      <c r="U1500" s="1728"/>
      <c r="V1500" s="864">
        <f t="shared" si="156"/>
        <v>0</v>
      </c>
      <c r="W1500" s="1767"/>
      <c r="X1500" s="864"/>
    </row>
    <row r="1501" spans="2:24" ht="16" thickBot="1" x14ac:dyDescent="0.25">
      <c r="B1501" s="1668" t="e">
        <f>SUM(#REF!)</f>
        <v>#REF!</v>
      </c>
      <c r="C1501" s="1347">
        <v>44589</v>
      </c>
      <c r="D1501" s="1348"/>
      <c r="E1501" s="1349"/>
      <c r="F1501" s="1554"/>
      <c r="G1501" s="1350"/>
      <c r="H1501" s="1351" t="str">
        <f>IFERROR(VLOOKUP(F1501,#REF!,10,FALSE),"")</f>
        <v/>
      </c>
      <c r="I1501" s="1352" t="str">
        <f t="shared" si="162"/>
        <v/>
      </c>
      <c r="J1501" s="1353"/>
      <c r="K1501" s="1742"/>
      <c r="L1501" s="1578"/>
      <c r="M1501" s="1602"/>
      <c r="N1501" s="1354" t="str">
        <f t="shared" si="164"/>
        <v/>
      </c>
      <c r="O1501" s="1355"/>
      <c r="P1501" s="1356" t="str">
        <f>IFERROR(VLOOKUP(F1501,#REF!,12,FALSE),"")</f>
        <v/>
      </c>
      <c r="Q1501" s="1357" t="s">
        <v>8</v>
      </c>
      <c r="R1501" s="1358" t="str">
        <f>IFERROR(VLOOKUP(F1501,#REF!,14,FALSE),"")</f>
        <v/>
      </c>
      <c r="S1501" s="1359" t="str">
        <f t="shared" si="165"/>
        <v/>
      </c>
      <c r="U1501" s="1728"/>
      <c r="V1501" s="1348">
        <f t="shared" si="156"/>
        <v>0</v>
      </c>
      <c r="W1501" s="1767"/>
      <c r="X1501" s="1348"/>
    </row>
    <row r="1502" spans="2:24" x14ac:dyDescent="0.2">
      <c r="B1502" s="1669" t="s">
        <v>256</v>
      </c>
      <c r="C1502" s="1237">
        <v>44590</v>
      </c>
      <c r="D1502" s="70">
        <v>16</v>
      </c>
      <c r="E1502" s="71" t="s">
        <v>293</v>
      </c>
      <c r="F1502" s="1554" t="s">
        <v>273</v>
      </c>
      <c r="G1502" s="1238">
        <v>5.9756944444444439E-2</v>
      </c>
      <c r="H1502" s="1239">
        <v>16.16</v>
      </c>
      <c r="I1502" s="1240">
        <f t="shared" si="162"/>
        <v>3.6978307205720569E-3</v>
      </c>
      <c r="J1502" s="265">
        <v>142</v>
      </c>
      <c r="K1502" s="1742"/>
      <c r="L1502" s="1581">
        <v>220</v>
      </c>
      <c r="M1502" s="265">
        <v>59</v>
      </c>
      <c r="N1502" s="77">
        <f t="shared" si="164"/>
        <v>1.0490800945766221</v>
      </c>
      <c r="O1502" s="1241" t="s">
        <v>327</v>
      </c>
      <c r="P1502" s="79" t="str">
        <f>IFERROR(VLOOKUP(F1502,#REF!,12,FALSE),"")</f>
        <v/>
      </c>
      <c r="Q1502" s="1242" t="s">
        <v>8</v>
      </c>
      <c r="R1502" s="1243" t="str">
        <f>IFERROR(VLOOKUP(F1502,#REF!,14,FALSE),"")</f>
        <v/>
      </c>
      <c r="S1502" s="1244">
        <f t="shared" si="165"/>
        <v>1.5492957746478873</v>
      </c>
      <c r="U1502" s="1728"/>
      <c r="V1502" s="70">
        <f t="shared" si="156"/>
        <v>0</v>
      </c>
      <c r="W1502" s="1767"/>
      <c r="X1502" s="70"/>
    </row>
    <row r="1503" spans="2:24" ht="16" thickBot="1" x14ac:dyDescent="0.25">
      <c r="B1503" s="1710" t="e">
        <f>AVERAGE(#REF!)</f>
        <v>#REF!</v>
      </c>
      <c r="C1503" s="544">
        <v>44591</v>
      </c>
      <c r="D1503" s="67"/>
      <c r="E1503" s="208"/>
      <c r="F1503" s="1607"/>
      <c r="G1503" s="1230"/>
      <c r="H1503" s="1231" t="str">
        <f>IFERROR(VLOOKUP(F1503,#REF!,10,FALSE),"")</f>
        <v/>
      </c>
      <c r="I1503" s="1232" t="str">
        <f t="shared" si="162"/>
        <v/>
      </c>
      <c r="J1503" s="256"/>
      <c r="K1503" s="1742"/>
      <c r="L1503" s="1580"/>
      <c r="M1503" s="1561"/>
      <c r="N1503" s="172" t="str">
        <f t="shared" si="164"/>
        <v/>
      </c>
      <c r="O1503" s="1233"/>
      <c r="P1503" s="447" t="str">
        <f>IFERROR(VLOOKUP(F1503,#REF!,12,FALSE),"")</f>
        <v/>
      </c>
      <c r="Q1503" s="1234" t="s">
        <v>8</v>
      </c>
      <c r="R1503" s="1235" t="str">
        <f>IFERROR(VLOOKUP(F1503,#REF!,14,FALSE),"")</f>
        <v/>
      </c>
      <c r="S1503" s="1236" t="str">
        <f t="shared" si="165"/>
        <v/>
      </c>
      <c r="U1503" s="1728"/>
      <c r="V1503" s="67">
        <f t="shared" si="156"/>
        <v>0</v>
      </c>
      <c r="W1503" s="1768"/>
      <c r="X1503" s="67"/>
    </row>
    <row r="1504" spans="2:24" ht="16" thickBot="1" x14ac:dyDescent="0.25">
      <c r="B1504" s="1661">
        <f t="shared" ref="B1504" si="168">B1497+1</f>
        <v>5</v>
      </c>
      <c r="C1504" s="1199">
        <v>44592</v>
      </c>
      <c r="D1504" s="1108">
        <v>17</v>
      </c>
      <c r="E1504" s="1109" t="s">
        <v>293</v>
      </c>
      <c r="F1504" s="1558" t="s">
        <v>322</v>
      </c>
      <c r="G1504" s="1200">
        <v>3.1099537037037037E-2</v>
      </c>
      <c r="H1504" s="1201">
        <v>7.84</v>
      </c>
      <c r="I1504" s="1202">
        <f t="shared" si="162"/>
        <v>3.9667776832955403E-3</v>
      </c>
      <c r="J1504" s="1203">
        <v>133</v>
      </c>
      <c r="K1504" s="1742"/>
      <c r="L1504" s="1577">
        <v>206</v>
      </c>
      <c r="M1504" s="1374">
        <v>33</v>
      </c>
      <c r="N1504" s="1111">
        <f t="shared" si="164"/>
        <v>1.0537656107219007</v>
      </c>
      <c r="O1504" s="1204" t="s">
        <v>311</v>
      </c>
      <c r="P1504" s="1113" t="str">
        <f>IFERROR(VLOOKUP(F1504,#REF!,12,FALSE),"")</f>
        <v/>
      </c>
      <c r="Q1504" s="1205" t="s">
        <v>8</v>
      </c>
      <c r="R1504" s="1206" t="str">
        <f>IFERROR(VLOOKUP(F1504,#REF!,14,FALSE),"")</f>
        <v/>
      </c>
      <c r="S1504" s="1207">
        <f t="shared" si="165"/>
        <v>1.5488721804511278</v>
      </c>
      <c r="U1504" s="1728"/>
      <c r="V1504" s="1108">
        <f t="shared" si="156"/>
        <v>0</v>
      </c>
      <c r="W1504" s="1766"/>
      <c r="X1504" s="1108"/>
    </row>
    <row r="1505" spans="2:24" x14ac:dyDescent="0.2">
      <c r="B1505" s="1666" t="s">
        <v>142</v>
      </c>
      <c r="C1505" s="1208">
        <v>44593</v>
      </c>
      <c r="D1505" s="864"/>
      <c r="E1505" s="865"/>
      <c r="F1505" s="1554"/>
      <c r="G1505" s="1209"/>
      <c r="H1505" s="1210" t="str">
        <f>IFERROR(VLOOKUP(F1505,#REF!,10,FALSE),"")</f>
        <v/>
      </c>
      <c r="I1505" s="1211" t="str">
        <f t="shared" si="162"/>
        <v/>
      </c>
      <c r="J1505" s="1212"/>
      <c r="K1505" s="1742"/>
      <c r="L1505" s="1578"/>
      <c r="M1505" s="1602"/>
      <c r="N1505" s="1171" t="str">
        <f t="shared" si="164"/>
        <v/>
      </c>
      <c r="O1505" s="1213"/>
      <c r="P1505" s="1173" t="str">
        <f>IFERROR(VLOOKUP(F1505,#REF!,12,FALSE),"")</f>
        <v/>
      </c>
      <c r="Q1505" s="1229" t="s">
        <v>8</v>
      </c>
      <c r="R1505" s="1324" t="str">
        <f>IFERROR(VLOOKUP(F1505,#REF!,14,FALSE),"")</f>
        <v/>
      </c>
      <c r="S1505" s="1217" t="str">
        <f t="shared" si="165"/>
        <v/>
      </c>
      <c r="U1505" s="1728"/>
      <c r="V1505" s="864">
        <f t="shared" si="156"/>
        <v>0</v>
      </c>
      <c r="W1505" s="1767"/>
      <c r="X1505" s="864"/>
    </row>
    <row r="1506" spans="2:24" ht="16" thickBot="1" x14ac:dyDescent="0.25">
      <c r="B1506" s="1654">
        <f t="shared" ref="B1506" si="169">SUM(H1504:H1510)</f>
        <v>26.16</v>
      </c>
      <c r="C1506" s="1208">
        <v>44594</v>
      </c>
      <c r="D1506" s="864">
        <v>18</v>
      </c>
      <c r="E1506" s="865" t="s">
        <v>293</v>
      </c>
      <c r="F1506" s="1554" t="s">
        <v>279</v>
      </c>
      <c r="G1506" s="1209">
        <v>3.4826388888888886E-2</v>
      </c>
      <c r="H1506" s="1210">
        <v>9.25</v>
      </c>
      <c r="I1506" s="1211">
        <f t="shared" si="162"/>
        <v>3.7650150150150149E-3</v>
      </c>
      <c r="J1506" s="1212">
        <v>142</v>
      </c>
      <c r="K1506" s="1742"/>
      <c r="L1506" s="1578">
        <v>214</v>
      </c>
      <c r="M1506" s="1602">
        <v>39</v>
      </c>
      <c r="N1506" s="1171">
        <f t="shared" si="164"/>
        <v>1.0390092779346511</v>
      </c>
      <c r="O1506" s="1213" t="s">
        <v>339</v>
      </c>
      <c r="P1506" s="1173" t="str">
        <f>IFERROR(VLOOKUP(F1506,#REF!,12,FALSE),"")</f>
        <v/>
      </c>
      <c r="Q1506" s="1229" t="s">
        <v>8</v>
      </c>
      <c r="R1506" s="1324" t="str">
        <f>IFERROR(VLOOKUP(F1506,#REF!,14,FALSE),"")</f>
        <v/>
      </c>
      <c r="S1506" s="1217">
        <f t="shared" si="165"/>
        <v>1.5070422535211268</v>
      </c>
      <c r="U1506" s="1728"/>
      <c r="V1506" s="864">
        <f t="shared" si="156"/>
        <v>0</v>
      </c>
      <c r="W1506" s="1767"/>
      <c r="X1506" s="864"/>
    </row>
    <row r="1507" spans="2:24" x14ac:dyDescent="0.2">
      <c r="B1507" s="1667" t="s">
        <v>144</v>
      </c>
      <c r="C1507" s="1208">
        <v>44595</v>
      </c>
      <c r="D1507" s="864"/>
      <c r="E1507" s="865"/>
      <c r="F1507" s="1554"/>
      <c r="G1507" s="1209"/>
      <c r="H1507" s="1210" t="str">
        <f>IFERROR(VLOOKUP(F1507,#REF!,10,FALSE),"")</f>
        <v/>
      </c>
      <c r="I1507" s="1211" t="str">
        <f t="shared" si="162"/>
        <v/>
      </c>
      <c r="J1507" s="1212"/>
      <c r="K1507" s="1742"/>
      <c r="L1507" s="1578"/>
      <c r="M1507" s="1602"/>
      <c r="N1507" s="1171" t="str">
        <f t="shared" si="164"/>
        <v/>
      </c>
      <c r="O1507" s="1213"/>
      <c r="P1507" s="1173" t="str">
        <f>IFERROR(VLOOKUP(F1507,#REF!,12,FALSE),"")</f>
        <v/>
      </c>
      <c r="Q1507" s="1229" t="s">
        <v>8</v>
      </c>
      <c r="R1507" s="1324" t="str">
        <f>IFERROR(VLOOKUP(F1507,#REF!,14,FALSE),"")</f>
        <v/>
      </c>
      <c r="S1507" s="1217" t="str">
        <f t="shared" si="165"/>
        <v/>
      </c>
      <c r="U1507" s="1728"/>
      <c r="V1507" s="864">
        <f t="shared" si="156"/>
        <v>0</v>
      </c>
      <c r="W1507" s="1767"/>
      <c r="X1507" s="864"/>
    </row>
    <row r="1508" spans="2:24" ht="16" thickBot="1" x14ac:dyDescent="0.25">
      <c r="B1508" s="1668" t="e">
        <f>SUM(#REF!)</f>
        <v>#REF!</v>
      </c>
      <c r="C1508" s="1347">
        <v>44596</v>
      </c>
      <c r="D1508" s="1348">
        <v>19</v>
      </c>
      <c r="E1508" s="1349" t="s">
        <v>292</v>
      </c>
      <c r="F1508" s="1554" t="s">
        <v>279</v>
      </c>
      <c r="G1508" s="1350">
        <v>3.4652777777777775E-2</v>
      </c>
      <c r="H1508" s="1351">
        <v>9.07</v>
      </c>
      <c r="I1508" s="1352">
        <f t="shared" si="162"/>
        <v>3.8205929192698758E-3</v>
      </c>
      <c r="J1508" s="1353">
        <v>139</v>
      </c>
      <c r="K1508" s="1742"/>
      <c r="L1508" s="1578">
        <v>213</v>
      </c>
      <c r="M1508" s="1602">
        <v>28</v>
      </c>
      <c r="N1508" s="1354">
        <f t="shared" si="164"/>
        <v>1.0494199345060802</v>
      </c>
      <c r="O1508" s="1355" t="s">
        <v>327</v>
      </c>
      <c r="P1508" s="1356" t="str">
        <f>IFERROR(VLOOKUP(F1508,#REF!,12,FALSE),"")</f>
        <v/>
      </c>
      <c r="Q1508" s="1357" t="s">
        <v>8</v>
      </c>
      <c r="R1508" s="1358" t="str">
        <f>IFERROR(VLOOKUP(F1508,#REF!,14,FALSE),"")</f>
        <v/>
      </c>
      <c r="S1508" s="1359">
        <f t="shared" si="165"/>
        <v>1.5323741007194245</v>
      </c>
      <c r="U1508" s="1728"/>
      <c r="V1508" s="1348">
        <f t="shared" si="156"/>
        <v>0</v>
      </c>
      <c r="W1508" s="1767"/>
      <c r="X1508" s="1348"/>
    </row>
    <row r="1509" spans="2:24" ht="16" thickBot="1" x14ac:dyDescent="0.25">
      <c r="B1509" s="1669" t="s">
        <v>256</v>
      </c>
      <c r="C1509" s="1237">
        <v>44597</v>
      </c>
      <c r="D1509" s="70"/>
      <c r="E1509" s="71"/>
      <c r="F1509" s="1555"/>
      <c r="G1509" s="1238"/>
      <c r="H1509" s="1239" t="str">
        <f>IFERROR(VLOOKUP(F1509,#REF!,10,FALSE),"")</f>
        <v/>
      </c>
      <c r="I1509" s="1240" t="str">
        <f t="shared" si="162"/>
        <v/>
      </c>
      <c r="J1509" s="265"/>
      <c r="K1509" s="1742"/>
      <c r="L1509" s="1581"/>
      <c r="M1509" s="265"/>
      <c r="N1509" s="77" t="str">
        <f t="shared" si="164"/>
        <v/>
      </c>
      <c r="O1509" s="1241"/>
      <c r="P1509" s="79" t="str">
        <f>IFERROR(VLOOKUP(F1509,#REF!,12,FALSE),"")</f>
        <v/>
      </c>
      <c r="Q1509" s="1242" t="s">
        <v>8</v>
      </c>
      <c r="R1509" s="1243" t="str">
        <f>IFERROR(VLOOKUP(F1509,#REF!,14,FALSE),"")</f>
        <v/>
      </c>
      <c r="S1509" s="1244" t="str">
        <f t="shared" si="165"/>
        <v/>
      </c>
      <c r="U1509" s="1728"/>
      <c r="V1509" s="70">
        <f t="shared" si="156"/>
        <v>0</v>
      </c>
      <c r="W1509" s="1767"/>
      <c r="X1509" s="70"/>
    </row>
    <row r="1510" spans="2:24" ht="16" thickBot="1" x14ac:dyDescent="0.25">
      <c r="B1510" s="1710" t="e">
        <f>AVERAGE(#REF!)</f>
        <v>#REF!</v>
      </c>
      <c r="C1510" s="544">
        <v>44598</v>
      </c>
      <c r="D1510" s="67"/>
      <c r="E1510" s="208"/>
      <c r="F1510" s="1556"/>
      <c r="G1510" s="1230"/>
      <c r="H1510" s="1231" t="str">
        <f>IFERROR(VLOOKUP(F1510,#REF!,10,FALSE),"")</f>
        <v/>
      </c>
      <c r="I1510" s="1232" t="str">
        <f t="shared" si="162"/>
        <v/>
      </c>
      <c r="J1510" s="256"/>
      <c r="K1510" s="1742"/>
      <c r="L1510" s="1580"/>
      <c r="M1510" s="1561"/>
      <c r="N1510" s="172" t="str">
        <f t="shared" si="164"/>
        <v/>
      </c>
      <c r="O1510" s="1233"/>
      <c r="P1510" s="447" t="str">
        <f>IFERROR(VLOOKUP(F1510,#REF!,12,FALSE),"")</f>
        <v/>
      </c>
      <c r="Q1510" s="1234" t="s">
        <v>8</v>
      </c>
      <c r="R1510" s="1235" t="str">
        <f>IFERROR(VLOOKUP(F1510,#REF!,14,FALSE),"")</f>
        <v/>
      </c>
      <c r="S1510" s="1236" t="str">
        <f t="shared" si="165"/>
        <v/>
      </c>
      <c r="U1510" s="1728"/>
      <c r="V1510" s="67">
        <f t="shared" si="156"/>
        <v>0</v>
      </c>
      <c r="W1510" s="1768"/>
      <c r="X1510" s="67"/>
    </row>
    <row r="1511" spans="2:24" ht="16" thickBot="1" x14ac:dyDescent="0.25">
      <c r="B1511" s="1661">
        <f t="shared" ref="B1511" si="170">B1504+1</f>
        <v>6</v>
      </c>
      <c r="C1511" s="1199">
        <v>44599</v>
      </c>
      <c r="D1511" s="1108">
        <v>20</v>
      </c>
      <c r="E1511" s="1109" t="s">
        <v>293</v>
      </c>
      <c r="F1511" s="1557" t="s">
        <v>279</v>
      </c>
      <c r="G1511" s="1200">
        <v>3.8506944444444448E-2</v>
      </c>
      <c r="H1511" s="1201">
        <v>10.130000000000001</v>
      </c>
      <c r="I1511" s="1202">
        <f t="shared" si="162"/>
        <v>3.8012778326203794E-3</v>
      </c>
      <c r="J1511" s="1203">
        <v>141</v>
      </c>
      <c r="K1511" s="1742"/>
      <c r="L1511" s="1577">
        <v>214</v>
      </c>
      <c r="M1511" s="1374">
        <v>63</v>
      </c>
      <c r="N1511" s="1111">
        <f t="shared" si="164"/>
        <v>1.0490165166271308</v>
      </c>
      <c r="O1511" s="1204" t="s">
        <v>311</v>
      </c>
      <c r="P1511" s="1113" t="str">
        <f>IFERROR(VLOOKUP(F1511,#REF!,12,FALSE),"")</f>
        <v/>
      </c>
      <c r="Q1511" s="1205" t="s">
        <v>8</v>
      </c>
      <c r="R1511" s="1206" t="str">
        <f>IFERROR(VLOOKUP(F1511,#REF!,14,FALSE),"")</f>
        <v/>
      </c>
      <c r="S1511" s="1207">
        <f t="shared" si="165"/>
        <v>1.5177304964539007</v>
      </c>
      <c r="U1511" s="1728"/>
      <c r="V1511" s="1108">
        <f t="shared" si="156"/>
        <v>0</v>
      </c>
      <c r="W1511" s="1766"/>
      <c r="X1511" s="1108"/>
    </row>
    <row r="1512" spans="2:24" x14ac:dyDescent="0.2">
      <c r="B1512" s="1666" t="s">
        <v>142</v>
      </c>
      <c r="C1512" s="1208">
        <v>44600</v>
      </c>
      <c r="D1512" s="864">
        <v>21</v>
      </c>
      <c r="E1512" s="865" t="s">
        <v>293</v>
      </c>
      <c r="F1512" s="1558" t="s">
        <v>315</v>
      </c>
      <c r="G1512" s="1209">
        <v>2.9942129629629628E-2</v>
      </c>
      <c r="H1512" s="1210">
        <v>7.94</v>
      </c>
      <c r="I1512" s="1211">
        <f t="shared" si="162"/>
        <v>3.7710490717417664E-3</v>
      </c>
      <c r="J1512" s="1212">
        <v>140</v>
      </c>
      <c r="K1512" s="1742"/>
      <c r="L1512" s="1578">
        <v>210</v>
      </c>
      <c r="M1512" s="1602">
        <v>26</v>
      </c>
      <c r="N1512" s="1171">
        <f t="shared" si="164"/>
        <v>1.0212226023534718</v>
      </c>
      <c r="O1512" s="1213" t="s">
        <v>341</v>
      </c>
      <c r="P1512" s="1173" t="str">
        <f>IFERROR(VLOOKUP(F1512,#REF!,12,FALSE),"")</f>
        <v/>
      </c>
      <c r="Q1512" s="1229" t="s">
        <v>8</v>
      </c>
      <c r="R1512" s="1324" t="str">
        <f>IFERROR(VLOOKUP(F1512,#REF!,14,FALSE),"")</f>
        <v/>
      </c>
      <c r="S1512" s="1217">
        <f t="shared" si="165"/>
        <v>1.5</v>
      </c>
      <c r="U1512" s="1728"/>
      <c r="V1512" s="864">
        <f t="shared" si="156"/>
        <v>0</v>
      </c>
      <c r="W1512" s="1767"/>
      <c r="X1512" s="864"/>
    </row>
    <row r="1513" spans="2:24" ht="16" thickBot="1" x14ac:dyDescent="0.25">
      <c r="B1513" s="1654">
        <f t="shared" ref="B1513" si="171">SUM(H1511:H1517)</f>
        <v>59</v>
      </c>
      <c r="C1513" s="1208">
        <v>44601</v>
      </c>
      <c r="D1513" s="864">
        <v>22</v>
      </c>
      <c r="E1513" s="865" t="s">
        <v>293</v>
      </c>
      <c r="F1513" s="1555" t="s">
        <v>279</v>
      </c>
      <c r="G1513" s="1209">
        <v>3.9861111111111111E-2</v>
      </c>
      <c r="H1513" s="1210">
        <v>10.07</v>
      </c>
      <c r="I1513" s="1211">
        <f t="shared" si="162"/>
        <v>3.9584022950457905E-3</v>
      </c>
      <c r="J1513" s="1212">
        <v>135</v>
      </c>
      <c r="K1513" s="1742"/>
      <c r="L1513" s="1578">
        <v>207</v>
      </c>
      <c r="M1513" s="1602">
        <v>37</v>
      </c>
      <c r="N1513" s="1171">
        <f t="shared" si="164"/>
        <v>1.0566452741258949</v>
      </c>
      <c r="O1513" s="1213" t="s">
        <v>339</v>
      </c>
      <c r="P1513" s="1173" t="str">
        <f>IFERROR(VLOOKUP(F1513,#REF!,12,FALSE),"")</f>
        <v/>
      </c>
      <c r="Q1513" s="1229" t="s">
        <v>8</v>
      </c>
      <c r="R1513" s="1324" t="str">
        <f>IFERROR(VLOOKUP(F1513,#REF!,14,FALSE),"")</f>
        <v/>
      </c>
      <c r="S1513" s="1217">
        <f t="shared" si="165"/>
        <v>1.5333333333333334</v>
      </c>
      <c r="U1513" s="1728"/>
      <c r="V1513" s="864">
        <f t="shared" si="156"/>
        <v>0</v>
      </c>
      <c r="W1513" s="1767"/>
      <c r="X1513" s="864"/>
    </row>
    <row r="1514" spans="2:24" x14ac:dyDescent="0.2">
      <c r="B1514" s="1667" t="s">
        <v>144</v>
      </c>
      <c r="C1514" s="1208">
        <v>44602</v>
      </c>
      <c r="D1514" s="864">
        <v>23</v>
      </c>
      <c r="E1514" s="865" t="s">
        <v>293</v>
      </c>
      <c r="F1514" s="1557" t="s">
        <v>308</v>
      </c>
      <c r="G1514" s="1209">
        <v>4.5740740740740742E-2</v>
      </c>
      <c r="H1514" s="1210">
        <v>12.72</v>
      </c>
      <c r="I1514" s="1211">
        <f t="shared" si="162"/>
        <v>3.5959701840204985E-3</v>
      </c>
      <c r="J1514" s="1212">
        <v>142</v>
      </c>
      <c r="K1514" s="1742"/>
      <c r="L1514" s="1578">
        <v>227</v>
      </c>
      <c r="M1514" s="1602">
        <v>52</v>
      </c>
      <c r="N1514" s="1171">
        <f t="shared" si="164"/>
        <v>1.052642448136675</v>
      </c>
      <c r="O1514" s="1213" t="s">
        <v>327</v>
      </c>
      <c r="P1514" s="1173" t="str">
        <f>IFERROR(VLOOKUP(F1514,#REF!,12,FALSE),"")</f>
        <v/>
      </c>
      <c r="Q1514" s="1229" t="s">
        <v>8</v>
      </c>
      <c r="R1514" s="1324" t="str">
        <f>IFERROR(VLOOKUP(F1514,#REF!,14,FALSE),"")</f>
        <v/>
      </c>
      <c r="S1514" s="1217">
        <f t="shared" si="165"/>
        <v>1.5985915492957747</v>
      </c>
      <c r="U1514" s="1728"/>
      <c r="V1514" s="864">
        <f t="shared" si="156"/>
        <v>0</v>
      </c>
      <c r="W1514" s="1767"/>
      <c r="X1514" s="864"/>
    </row>
    <row r="1515" spans="2:24" ht="16" thickBot="1" x14ac:dyDescent="0.25">
      <c r="B1515" s="1668" t="e">
        <f>SUM(#REF!)</f>
        <v>#REF!</v>
      </c>
      <c r="C1515" s="1347">
        <v>44603</v>
      </c>
      <c r="D1515" s="1348"/>
      <c r="E1515" s="1349"/>
      <c r="F1515" s="1558"/>
      <c r="G1515" s="1350"/>
      <c r="H1515" s="1351" t="str">
        <f>IFERROR(VLOOKUP(F1515,#REF!,10,FALSE),"")</f>
        <v/>
      </c>
      <c r="I1515" s="1352" t="str">
        <f t="shared" si="162"/>
        <v/>
      </c>
      <c r="J1515" s="1353"/>
      <c r="K1515" s="1742"/>
      <c r="L1515" s="1578"/>
      <c r="M1515" s="1602"/>
      <c r="N1515" s="1354" t="str">
        <f t="shared" si="164"/>
        <v/>
      </c>
      <c r="O1515" s="1355"/>
      <c r="P1515" s="1356" t="str">
        <f>IFERROR(VLOOKUP(F1515,#REF!,12,FALSE),"")</f>
        <v/>
      </c>
      <c r="Q1515" s="1357" t="s">
        <v>8</v>
      </c>
      <c r="R1515" s="1358" t="str">
        <f>IFERROR(VLOOKUP(F1515,#REF!,14,FALSE),"")</f>
        <v/>
      </c>
      <c r="S1515" s="1359" t="str">
        <f t="shared" si="165"/>
        <v/>
      </c>
      <c r="U1515" s="1728"/>
      <c r="V1515" s="1348">
        <f t="shared" si="156"/>
        <v>0</v>
      </c>
      <c r="W1515" s="1767"/>
      <c r="X1515" s="1348"/>
    </row>
    <row r="1516" spans="2:24" x14ac:dyDescent="0.2">
      <c r="B1516" s="1669" t="s">
        <v>256</v>
      </c>
      <c r="C1516" s="1237">
        <v>44604</v>
      </c>
      <c r="D1516" s="70">
        <v>24</v>
      </c>
      <c r="E1516" s="71" t="s">
        <v>293</v>
      </c>
      <c r="F1516" s="1557" t="s">
        <v>274</v>
      </c>
      <c r="G1516" s="1238">
        <v>6.8495370370370359E-2</v>
      </c>
      <c r="H1516" s="1239">
        <v>18.14</v>
      </c>
      <c r="I1516" s="1240">
        <f t="shared" si="162"/>
        <v>3.775930009391971E-3</v>
      </c>
      <c r="J1516" s="265">
        <v>144</v>
      </c>
      <c r="K1516" s="1742"/>
      <c r="L1516" s="1581">
        <v>215</v>
      </c>
      <c r="M1516" s="265">
        <v>80</v>
      </c>
      <c r="N1516" s="77">
        <f t="shared" si="164"/>
        <v>1.0468906843950039</v>
      </c>
      <c r="O1516" s="1241" t="s">
        <v>327</v>
      </c>
      <c r="P1516" s="79" t="str">
        <f>IFERROR(VLOOKUP(F1516,#REF!,12,FALSE),"")</f>
        <v/>
      </c>
      <c r="Q1516" s="1242" t="s">
        <v>8</v>
      </c>
      <c r="R1516" s="1243" t="str">
        <f>IFERROR(VLOOKUP(F1516,#REF!,14,FALSE),"")</f>
        <v/>
      </c>
      <c r="S1516" s="1244">
        <f t="shared" si="165"/>
        <v>1.4930555555555556</v>
      </c>
      <c r="U1516" s="1728"/>
      <c r="V1516" s="70">
        <f t="shared" si="156"/>
        <v>0</v>
      </c>
      <c r="W1516" s="1767"/>
      <c r="X1516" s="70"/>
    </row>
    <row r="1517" spans="2:24" ht="16" thickBot="1" x14ac:dyDescent="0.25">
      <c r="B1517" s="1710" t="e">
        <f>AVERAGE(#REF!)</f>
        <v>#REF!</v>
      </c>
      <c r="C1517" s="544">
        <v>44605</v>
      </c>
      <c r="D1517" s="67"/>
      <c r="E1517" s="208"/>
      <c r="F1517" s="1557"/>
      <c r="G1517" s="1230"/>
      <c r="H1517" s="1231" t="str">
        <f>IFERROR(VLOOKUP(F1517,#REF!,10,FALSE),"")</f>
        <v/>
      </c>
      <c r="I1517" s="1232" t="str">
        <f t="shared" si="162"/>
        <v/>
      </c>
      <c r="J1517" s="256"/>
      <c r="K1517" s="1742"/>
      <c r="L1517" s="1580"/>
      <c r="M1517" s="1561"/>
      <c r="N1517" s="172" t="str">
        <f t="shared" si="164"/>
        <v/>
      </c>
      <c r="O1517" s="1233"/>
      <c r="P1517" s="447" t="str">
        <f>IFERROR(VLOOKUP(F1517,#REF!,12,FALSE),"")</f>
        <v/>
      </c>
      <c r="Q1517" s="1234" t="s">
        <v>8</v>
      </c>
      <c r="R1517" s="1235" t="str">
        <f>IFERROR(VLOOKUP(F1517,#REF!,14,FALSE),"")</f>
        <v/>
      </c>
      <c r="S1517" s="1236" t="str">
        <f t="shared" si="165"/>
        <v/>
      </c>
      <c r="U1517" s="1728"/>
      <c r="V1517" s="67">
        <f t="shared" si="156"/>
        <v>0</v>
      </c>
      <c r="W1517" s="1768"/>
      <c r="X1517" s="67"/>
    </row>
    <row r="1518" spans="2:24" ht="16" thickBot="1" x14ac:dyDescent="0.25">
      <c r="B1518" s="1661">
        <f t="shared" ref="B1518" si="172">B1511+1</f>
        <v>7</v>
      </c>
      <c r="C1518" s="1199">
        <v>44606</v>
      </c>
      <c r="D1518" s="1108">
        <v>25</v>
      </c>
      <c r="E1518" s="1109" t="s">
        <v>293</v>
      </c>
      <c r="F1518" s="1559" t="s">
        <v>279</v>
      </c>
      <c r="G1518" s="1200">
        <v>3.7743055555555557E-2</v>
      </c>
      <c r="H1518" s="1201">
        <v>10.14</v>
      </c>
      <c r="I1518" s="1202">
        <f t="shared" si="162"/>
        <v>3.7221948279640587E-3</v>
      </c>
      <c r="J1518" s="1203">
        <v>140</v>
      </c>
      <c r="K1518" s="1742"/>
      <c r="L1518" s="1577">
        <v>219</v>
      </c>
      <c r="M1518" s="1374">
        <v>38</v>
      </c>
      <c r="N1518" s="1111">
        <f t="shared" si="164"/>
        <v>1.0511922635343991</v>
      </c>
      <c r="O1518" s="1204" t="s">
        <v>311</v>
      </c>
      <c r="P1518" s="1113" t="str">
        <f>IFERROR(VLOOKUP(F1518,#REF!,12,FALSE),"")</f>
        <v/>
      </c>
      <c r="Q1518" s="1205" t="s">
        <v>8</v>
      </c>
      <c r="R1518" s="1206" t="str">
        <f>IFERROR(VLOOKUP(F1518,#REF!,14,FALSE),"")</f>
        <v/>
      </c>
      <c r="S1518" s="1207">
        <f t="shared" si="165"/>
        <v>1.5642857142857143</v>
      </c>
      <c r="U1518" s="1728"/>
      <c r="V1518" s="1108">
        <f t="shared" si="156"/>
        <v>0</v>
      </c>
      <c r="W1518" s="1766"/>
      <c r="X1518" s="1108"/>
    </row>
    <row r="1519" spans="2:24" x14ac:dyDescent="0.2">
      <c r="B1519" s="1666" t="s">
        <v>142</v>
      </c>
      <c r="C1519" s="1208">
        <v>44607</v>
      </c>
      <c r="D1519" s="864">
        <v>26</v>
      </c>
      <c r="E1519" s="865" t="s">
        <v>293</v>
      </c>
      <c r="F1519" s="1557" t="s">
        <v>315</v>
      </c>
      <c r="G1519" s="1209">
        <v>3.4016203703703708E-2</v>
      </c>
      <c r="H1519" s="1210">
        <v>8.16</v>
      </c>
      <c r="I1519" s="1211">
        <f t="shared" si="162"/>
        <v>4.1686524146695722E-3</v>
      </c>
      <c r="J1519" s="1212">
        <v>140</v>
      </c>
      <c r="K1519" s="1742"/>
      <c r="L1519" s="1578">
        <v>188</v>
      </c>
      <c r="M1519" s="1602">
        <v>24</v>
      </c>
      <c r="N1519" s="1171">
        <f t="shared" si="164"/>
        <v>1.0106306701785195</v>
      </c>
      <c r="O1519" s="1213" t="s">
        <v>341</v>
      </c>
      <c r="P1519" s="1173" t="str">
        <f>IFERROR(VLOOKUP(F1519,#REF!,12,FALSE),"")</f>
        <v/>
      </c>
      <c r="Q1519" s="1229" t="s">
        <v>8</v>
      </c>
      <c r="R1519" s="1324" t="str">
        <f>IFERROR(VLOOKUP(F1519,#REF!,14,FALSE),"")</f>
        <v/>
      </c>
      <c r="S1519" s="1217">
        <f t="shared" si="165"/>
        <v>1.3428571428571427</v>
      </c>
      <c r="U1519" s="1728"/>
      <c r="V1519" s="864">
        <f t="shared" si="156"/>
        <v>0</v>
      </c>
      <c r="W1519" s="1767"/>
      <c r="X1519" s="864"/>
    </row>
    <row r="1520" spans="2:24" ht="16" thickBot="1" x14ac:dyDescent="0.25">
      <c r="B1520" s="1654">
        <f>SUM(H1518:H1524)</f>
        <v>59.39</v>
      </c>
      <c r="C1520" s="1208">
        <v>44608</v>
      </c>
      <c r="D1520" s="864">
        <v>27</v>
      </c>
      <c r="E1520" s="865" t="s">
        <v>293</v>
      </c>
      <c r="F1520" s="1557" t="s">
        <v>326</v>
      </c>
      <c r="G1520" s="1209">
        <v>3.096064814814815E-2</v>
      </c>
      <c r="H1520" s="1210">
        <v>7.85</v>
      </c>
      <c r="I1520" s="1211">
        <f t="shared" si="162"/>
        <v>3.9440316112290636E-3</v>
      </c>
      <c r="J1520" s="1212">
        <v>131</v>
      </c>
      <c r="K1520" s="1742"/>
      <c r="L1520" s="1578">
        <v>206</v>
      </c>
      <c r="M1520" s="1602">
        <v>22</v>
      </c>
      <c r="N1520" s="1171">
        <f t="shared" si="164"/>
        <v>1.0477231676014831</v>
      </c>
      <c r="O1520" s="1213" t="s">
        <v>339</v>
      </c>
      <c r="P1520" s="1173" t="str">
        <f>IFERROR(VLOOKUP(F1520,#REF!,12,FALSE),"")</f>
        <v/>
      </c>
      <c r="Q1520" s="1229" t="s">
        <v>8</v>
      </c>
      <c r="R1520" s="1324" t="str">
        <f>IFERROR(VLOOKUP(F1520,#REF!,14,FALSE),"")</f>
        <v/>
      </c>
      <c r="S1520" s="1217">
        <f t="shared" si="165"/>
        <v>1.5725190839694656</v>
      </c>
      <c r="U1520" s="1728"/>
      <c r="V1520" s="864">
        <f t="shared" si="156"/>
        <v>0</v>
      </c>
      <c r="W1520" s="1767"/>
      <c r="X1520" s="864"/>
    </row>
    <row r="1521" spans="2:24" x14ac:dyDescent="0.2">
      <c r="B1521" s="1667" t="s">
        <v>144</v>
      </c>
      <c r="C1521" s="1208">
        <v>44609</v>
      </c>
      <c r="D1521" s="864"/>
      <c r="E1521" s="865"/>
      <c r="F1521" s="1558"/>
      <c r="G1521" s="1209"/>
      <c r="H1521" s="1210" t="str">
        <f>IFERROR(VLOOKUP(F1521,#REF!,10,FALSE),"")</f>
        <v/>
      </c>
      <c r="I1521" s="1211" t="str">
        <f t="shared" si="162"/>
        <v/>
      </c>
      <c r="J1521" s="1212"/>
      <c r="K1521" s="1742"/>
      <c r="L1521" s="1578"/>
      <c r="M1521" s="1602"/>
      <c r="N1521" s="1171" t="str">
        <f t="shared" si="164"/>
        <v/>
      </c>
      <c r="O1521" s="1213"/>
      <c r="P1521" s="1173" t="str">
        <f>IFERROR(VLOOKUP(F1521,#REF!,12,FALSE),"")</f>
        <v/>
      </c>
      <c r="Q1521" s="1229" t="s">
        <v>8</v>
      </c>
      <c r="R1521" s="1324" t="str">
        <f>IFERROR(VLOOKUP(F1521,#REF!,14,FALSE),"")</f>
        <v/>
      </c>
      <c r="S1521" s="1217" t="str">
        <f t="shared" si="165"/>
        <v/>
      </c>
      <c r="U1521" s="1728"/>
      <c r="V1521" s="864">
        <f>U1520-T1520</f>
        <v>0</v>
      </c>
      <c r="W1521" s="1767"/>
      <c r="X1521" s="864"/>
    </row>
    <row r="1522" spans="2:24" ht="16" thickBot="1" x14ac:dyDescent="0.25">
      <c r="B1522" s="1668" t="e">
        <f>SUM(#REF!)</f>
        <v>#REF!</v>
      </c>
      <c r="C1522" s="1347">
        <v>44610</v>
      </c>
      <c r="D1522" s="1348">
        <v>28</v>
      </c>
      <c r="E1522" s="1349" t="s">
        <v>293</v>
      </c>
      <c r="F1522" s="1557" t="s">
        <v>308</v>
      </c>
      <c r="G1522" s="1350">
        <v>4.8449074074074082E-2</v>
      </c>
      <c r="H1522" s="1351">
        <v>13.24</v>
      </c>
      <c r="I1522" s="1352">
        <f t="shared" si="162"/>
        <v>3.6592956249300664E-3</v>
      </c>
      <c r="J1522" s="1353">
        <v>137</v>
      </c>
      <c r="K1522" s="1742"/>
      <c r="L1522" s="1578">
        <v>234</v>
      </c>
      <c r="M1522" s="1602">
        <v>56</v>
      </c>
      <c r="N1522" s="1171">
        <f t="shared" si="164"/>
        <v>1.1042115705460613</v>
      </c>
      <c r="O1522" s="1355" t="s">
        <v>327</v>
      </c>
      <c r="P1522" s="1356" t="str">
        <f>IFERROR(VLOOKUP(F1522,#REF!,12,FALSE),"")</f>
        <v/>
      </c>
      <c r="Q1522" s="1357" t="s">
        <v>8</v>
      </c>
      <c r="R1522" s="1358" t="str">
        <f>IFERROR(VLOOKUP(F1522,#REF!,14,FALSE),"")</f>
        <v/>
      </c>
      <c r="S1522" s="1244">
        <f t="shared" si="165"/>
        <v>1.7080291970802919</v>
      </c>
      <c r="U1522" s="1728"/>
      <c r="V1522" s="1348">
        <f t="shared" si="156"/>
        <v>0</v>
      </c>
      <c r="W1522" s="1767"/>
      <c r="X1522" s="1348"/>
    </row>
    <row r="1523" spans="2:24" x14ac:dyDescent="0.2">
      <c r="B1523" s="1669" t="s">
        <v>256</v>
      </c>
      <c r="C1523" s="1237">
        <v>44611</v>
      </c>
      <c r="D1523" s="70">
        <v>29</v>
      </c>
      <c r="E1523" s="71" t="s">
        <v>293</v>
      </c>
      <c r="F1523" s="1557" t="s">
        <v>275</v>
      </c>
      <c r="G1523" s="1238">
        <v>7.587962962962963E-2</v>
      </c>
      <c r="H1523" s="1239">
        <v>20</v>
      </c>
      <c r="I1523" s="1240">
        <f t="shared" si="162"/>
        <v>3.7939814814814815E-3</v>
      </c>
      <c r="J1523" s="265">
        <v>137</v>
      </c>
      <c r="K1523" s="1742"/>
      <c r="L1523" s="1581">
        <v>228</v>
      </c>
      <c r="M1523" s="265">
        <v>120</v>
      </c>
      <c r="N1523" s="1171">
        <f t="shared" si="164"/>
        <v>1.1154985074626866</v>
      </c>
      <c r="O1523" s="1241" t="s">
        <v>327</v>
      </c>
      <c r="P1523" s="79" t="str">
        <f>IFERROR(VLOOKUP(F1523,#REF!,12,FALSE),"")</f>
        <v/>
      </c>
      <c r="Q1523" s="1242" t="s">
        <v>8</v>
      </c>
      <c r="R1523" s="1243" t="str">
        <f>IFERROR(VLOOKUP(F1523,#REF!,14,FALSE),"")</f>
        <v/>
      </c>
      <c r="S1523" s="1244">
        <f t="shared" si="165"/>
        <v>1.6642335766423357</v>
      </c>
      <c r="U1523" s="1728"/>
      <c r="V1523" s="70">
        <f t="shared" si="156"/>
        <v>0</v>
      </c>
      <c r="W1523" s="1767"/>
      <c r="X1523" s="70"/>
    </row>
    <row r="1524" spans="2:24" ht="16" thickBot="1" x14ac:dyDescent="0.25">
      <c r="B1524" s="1710" t="e">
        <f>AVERAGE(#REF!)</f>
        <v>#REF!</v>
      </c>
      <c r="C1524" s="544">
        <v>44612</v>
      </c>
      <c r="D1524" s="67"/>
      <c r="E1524" s="208"/>
      <c r="F1524" s="1558"/>
      <c r="G1524" s="1230"/>
      <c r="H1524" s="1231" t="str">
        <f>IFERROR(VLOOKUP(F1524,#REF!,10,FALSE),"")</f>
        <v/>
      </c>
      <c r="I1524" s="1232" t="str">
        <f t="shared" si="162"/>
        <v/>
      </c>
      <c r="J1524" s="256"/>
      <c r="K1524" s="1742"/>
      <c r="L1524" s="1580"/>
      <c r="M1524" s="1561"/>
      <c r="N1524" s="172" t="str">
        <f t="shared" si="164"/>
        <v/>
      </c>
      <c r="O1524" s="1233"/>
      <c r="P1524" s="447" t="str">
        <f>IFERROR(VLOOKUP(F1524,#REF!,12,FALSE),"")</f>
        <v/>
      </c>
      <c r="Q1524" s="1234" t="s">
        <v>8</v>
      </c>
      <c r="R1524" s="1235" t="str">
        <f>IFERROR(VLOOKUP(F1524,#REF!,14,FALSE),"")</f>
        <v/>
      </c>
      <c r="S1524" s="1236" t="str">
        <f t="shared" si="165"/>
        <v/>
      </c>
      <c r="U1524" s="1728"/>
      <c r="V1524" s="67">
        <f t="shared" si="156"/>
        <v>0</v>
      </c>
      <c r="W1524" s="1768"/>
      <c r="X1524" s="67"/>
    </row>
    <row r="1525" spans="2:24" ht="16" thickBot="1" x14ac:dyDescent="0.25">
      <c r="B1525" s="1661">
        <f>B1518+1</f>
        <v>8</v>
      </c>
      <c r="C1525" s="1199">
        <v>44613</v>
      </c>
      <c r="D1525" s="1108"/>
      <c r="E1525" s="1109"/>
      <c r="F1525" s="1557"/>
      <c r="G1525" s="1200"/>
      <c r="H1525" s="1201" t="str">
        <f>IFERROR(VLOOKUP(F1525,#REF!,10,FALSE),"")</f>
        <v/>
      </c>
      <c r="I1525" s="1202" t="str">
        <f t="shared" si="162"/>
        <v/>
      </c>
      <c r="J1525" s="1203"/>
      <c r="K1525" s="1742"/>
      <c r="L1525" s="1577"/>
      <c r="M1525" s="1374"/>
      <c r="N1525" s="1111" t="str">
        <f t="shared" si="164"/>
        <v/>
      </c>
      <c r="O1525" s="1204"/>
      <c r="P1525" s="1113" t="str">
        <f>IFERROR(VLOOKUP(F1525,#REF!,12,FALSE),"")</f>
        <v/>
      </c>
      <c r="Q1525" s="1205" t="s">
        <v>8</v>
      </c>
      <c r="R1525" s="1206" t="str">
        <f>IFERROR(VLOOKUP(F1525,#REF!,14,FALSE),"")</f>
        <v/>
      </c>
      <c r="S1525" s="1207" t="str">
        <f t="shared" si="165"/>
        <v/>
      </c>
      <c r="U1525" s="1728"/>
      <c r="V1525" s="1108">
        <f t="shared" si="156"/>
        <v>0</v>
      </c>
      <c r="W1525" s="1766"/>
      <c r="X1525" s="1108"/>
    </row>
    <row r="1526" spans="2:24" x14ac:dyDescent="0.2">
      <c r="B1526" s="1666" t="s">
        <v>142</v>
      </c>
      <c r="C1526" s="1208">
        <v>44614</v>
      </c>
      <c r="D1526" s="864">
        <v>30</v>
      </c>
      <c r="E1526" s="865" t="s">
        <v>293</v>
      </c>
      <c r="F1526" s="1557" t="s">
        <v>308</v>
      </c>
      <c r="G1526" s="1209">
        <v>4.7129629629629632E-2</v>
      </c>
      <c r="H1526" s="1210">
        <v>12.57</v>
      </c>
      <c r="I1526" s="1211">
        <f t="shared" si="162"/>
        <v>3.7493738766610687E-3</v>
      </c>
      <c r="J1526" s="1212">
        <v>135</v>
      </c>
      <c r="K1526" s="1742"/>
      <c r="L1526" s="1578">
        <v>230</v>
      </c>
      <c r="M1526" s="1602">
        <v>61</v>
      </c>
      <c r="N1526" s="1171">
        <f t="shared" si="164"/>
        <v>1.1120530996568472</v>
      </c>
      <c r="O1526" s="1213" t="s">
        <v>311</v>
      </c>
      <c r="P1526" s="1173" t="str">
        <f>IFERROR(VLOOKUP(F1526,#REF!,12,FALSE),"")</f>
        <v/>
      </c>
      <c r="Q1526" s="1229" t="s">
        <v>8</v>
      </c>
      <c r="R1526" s="1324" t="str">
        <f>IFERROR(VLOOKUP(F1526,#REF!,14,FALSE),"")</f>
        <v/>
      </c>
      <c r="S1526" s="1217">
        <f t="shared" si="165"/>
        <v>1.7037037037037037</v>
      </c>
      <c r="U1526" s="1728"/>
      <c r="V1526" s="864">
        <f t="shared" si="156"/>
        <v>0</v>
      </c>
      <c r="W1526" s="1767"/>
      <c r="X1526" s="864"/>
    </row>
    <row r="1527" spans="2:24" ht="16" thickBot="1" x14ac:dyDescent="0.25">
      <c r="B1527" s="1654">
        <f t="shared" ref="B1527" si="173">SUM(H1525:H1531)</f>
        <v>64.180000000000007</v>
      </c>
      <c r="C1527" s="1208">
        <v>44615</v>
      </c>
      <c r="D1527" s="864">
        <v>31</v>
      </c>
      <c r="E1527" s="865" t="s">
        <v>293</v>
      </c>
      <c r="F1527" s="1557" t="s">
        <v>279</v>
      </c>
      <c r="G1527" s="1209">
        <v>3.8425925925925926E-2</v>
      </c>
      <c r="H1527" s="1210">
        <v>10.199999999999999</v>
      </c>
      <c r="I1527" s="1211">
        <f t="shared" si="162"/>
        <v>3.7672476397966597E-3</v>
      </c>
      <c r="J1527" s="1212">
        <v>135</v>
      </c>
      <c r="K1527" s="1742"/>
      <c r="L1527" s="1578">
        <v>226</v>
      </c>
      <c r="M1527" s="1602">
        <v>37</v>
      </c>
      <c r="N1527" s="1171">
        <f t="shared" si="164"/>
        <v>1.0979221539362014</v>
      </c>
      <c r="O1527" s="1213" t="s">
        <v>339</v>
      </c>
      <c r="P1527" s="1173" t="str">
        <f>IFERROR(VLOOKUP(F1527,#REF!,12,FALSE),"")</f>
        <v/>
      </c>
      <c r="Q1527" s="1229" t="s">
        <v>8</v>
      </c>
      <c r="R1527" s="1324" t="str">
        <f>IFERROR(VLOOKUP(F1527,#REF!,14,FALSE),"")</f>
        <v/>
      </c>
      <c r="S1527" s="1217">
        <f t="shared" si="165"/>
        <v>1.674074074074074</v>
      </c>
      <c r="U1527" s="1728"/>
      <c r="V1527" s="864">
        <f t="shared" si="156"/>
        <v>0</v>
      </c>
      <c r="W1527" s="1767"/>
      <c r="X1527" s="864"/>
    </row>
    <row r="1528" spans="2:24" x14ac:dyDescent="0.2">
      <c r="B1528" s="1667" t="s">
        <v>144</v>
      </c>
      <c r="C1528" s="1208">
        <v>44616</v>
      </c>
      <c r="D1528" s="864">
        <v>32</v>
      </c>
      <c r="E1528" s="865" t="s">
        <v>293</v>
      </c>
      <c r="F1528" s="1608" t="s">
        <v>317</v>
      </c>
      <c r="G1528" s="1209">
        <v>4.2905092592592592E-2</v>
      </c>
      <c r="H1528" s="1210">
        <v>12.3</v>
      </c>
      <c r="I1528" s="1211">
        <f t="shared" si="162"/>
        <v>3.488218909966877E-3</v>
      </c>
      <c r="J1528" s="1212">
        <v>152</v>
      </c>
      <c r="K1528" s="1742"/>
      <c r="L1528" s="1578">
        <v>244</v>
      </c>
      <c r="M1528" s="1602">
        <v>50</v>
      </c>
      <c r="N1528" s="1171">
        <f t="shared" ref="N1528:N1535" si="174">IFERROR((L1528/67)/(1/(I1528*24)/3.6),"")</f>
        <v>1.097570683169518</v>
      </c>
      <c r="O1528" s="1213" t="s">
        <v>341</v>
      </c>
      <c r="P1528" s="1173" t="str">
        <f>IFERROR(VLOOKUP(F1528,#REF!,12,FALSE),"")</f>
        <v/>
      </c>
      <c r="Q1528" s="1229" t="s">
        <v>8</v>
      </c>
      <c r="R1528" s="1324" t="str">
        <f>IFERROR(VLOOKUP(F1528,#REF!,14,FALSE),"")</f>
        <v/>
      </c>
      <c r="S1528" s="1217">
        <f t="shared" ref="S1528:S1535" si="175">IFERROR(L1528/J1528,"")</f>
        <v>1.6052631578947369</v>
      </c>
      <c r="U1528" s="1728"/>
      <c r="V1528" s="864">
        <f t="shared" si="156"/>
        <v>0</v>
      </c>
      <c r="W1528" s="1767"/>
      <c r="X1528" s="864"/>
    </row>
    <row r="1529" spans="2:24" ht="16" thickBot="1" x14ac:dyDescent="0.25">
      <c r="B1529" s="1668" t="e">
        <f>SUM(#REF!)</f>
        <v>#REF!</v>
      </c>
      <c r="C1529" s="1347">
        <v>44617</v>
      </c>
      <c r="D1529" s="1348">
        <v>33</v>
      </c>
      <c r="E1529" s="1349" t="s">
        <v>293</v>
      </c>
      <c r="F1529" s="1557" t="s">
        <v>322</v>
      </c>
      <c r="G1529" s="1350">
        <v>3.0162037037037032E-2</v>
      </c>
      <c r="H1529" s="1351">
        <v>7.93</v>
      </c>
      <c r="I1529" s="1352">
        <f t="shared" si="162"/>
        <v>3.8035355658306473E-3</v>
      </c>
      <c r="J1529" s="1353">
        <v>137</v>
      </c>
      <c r="K1529" s="1742"/>
      <c r="L1529" s="1578">
        <v>224</v>
      </c>
      <c r="M1529" s="1602">
        <v>25</v>
      </c>
      <c r="N1529" s="1354">
        <f t="shared" si="174"/>
        <v>1.0986881481620898</v>
      </c>
      <c r="O1529" s="1355" t="s">
        <v>327</v>
      </c>
      <c r="P1529" s="1356" t="str">
        <f>IFERROR(VLOOKUP(F1529,#REF!,12,FALSE),"")</f>
        <v/>
      </c>
      <c r="Q1529" s="1357" t="s">
        <v>8</v>
      </c>
      <c r="R1529" s="1358" t="str">
        <f>IFERROR(VLOOKUP(F1529,#REF!,14,FALSE),"")</f>
        <v/>
      </c>
      <c r="S1529" s="1359">
        <f t="shared" si="175"/>
        <v>1.635036496350365</v>
      </c>
      <c r="U1529" s="1728"/>
      <c r="V1529" s="1348">
        <f t="shared" si="156"/>
        <v>0</v>
      </c>
      <c r="W1529" s="1767"/>
      <c r="X1529" s="1348"/>
    </row>
    <row r="1530" spans="2:24" x14ac:dyDescent="0.2">
      <c r="B1530" s="1669" t="s">
        <v>256</v>
      </c>
      <c r="C1530" s="1237">
        <v>44618</v>
      </c>
      <c r="D1530" s="70"/>
      <c r="E1530" s="71"/>
      <c r="F1530" s="1558"/>
      <c r="G1530" s="1238"/>
      <c r="H1530" s="1239" t="str">
        <f>IFERROR(VLOOKUP(F1530,#REF!,10,FALSE),"")</f>
        <v/>
      </c>
      <c r="I1530" s="1240" t="str">
        <f t="shared" si="162"/>
        <v/>
      </c>
      <c r="J1530" s="265"/>
      <c r="K1530" s="1742"/>
      <c r="L1530" s="1581"/>
      <c r="M1530" s="265"/>
      <c r="N1530" s="77" t="str">
        <f t="shared" si="174"/>
        <v/>
      </c>
      <c r="O1530" s="1241"/>
      <c r="P1530" s="79" t="str">
        <f>IFERROR(VLOOKUP(F1530,#REF!,12,FALSE),"")</f>
        <v/>
      </c>
      <c r="Q1530" s="1242" t="s">
        <v>8</v>
      </c>
      <c r="R1530" s="1243" t="str">
        <f>IFERROR(VLOOKUP(F1530,#REF!,14,FALSE),"")</f>
        <v/>
      </c>
      <c r="S1530" s="1244" t="str">
        <f t="shared" si="175"/>
        <v/>
      </c>
      <c r="U1530" s="1728"/>
      <c r="V1530" s="70">
        <f t="shared" ref="V1530:V1593" si="176">U1529-T1529</f>
        <v>0</v>
      </c>
      <c r="W1530" s="1767"/>
      <c r="X1530" s="70"/>
    </row>
    <row r="1531" spans="2:24" ht="16" thickBot="1" x14ac:dyDescent="0.25">
      <c r="B1531" s="1710" t="e">
        <f>AVERAGE(#REF!)</f>
        <v>#REF!</v>
      </c>
      <c r="C1531" s="544">
        <v>44619</v>
      </c>
      <c r="D1531" s="67">
        <v>34</v>
      </c>
      <c r="E1531" s="208" t="s">
        <v>292</v>
      </c>
      <c r="F1531" s="1557" t="s">
        <v>276</v>
      </c>
      <c r="G1531" s="1230">
        <v>8.2465277777777776E-2</v>
      </c>
      <c r="H1531" s="1231">
        <v>21.18</v>
      </c>
      <c r="I1531" s="1232">
        <f t="shared" si="162"/>
        <v>3.8935447487147205E-3</v>
      </c>
      <c r="J1531" s="256">
        <v>137</v>
      </c>
      <c r="K1531" s="1742"/>
      <c r="L1531" s="1580">
        <v>216</v>
      </c>
      <c r="M1531" s="1561">
        <v>107</v>
      </c>
      <c r="N1531" s="172">
        <f t="shared" si="174"/>
        <v>1.0845207390807998</v>
      </c>
      <c r="O1531" s="1233" t="s">
        <v>327</v>
      </c>
      <c r="P1531" s="447" t="str">
        <f>IFERROR(VLOOKUP(F1531,#REF!,12,FALSE),"")</f>
        <v/>
      </c>
      <c r="Q1531" s="1234" t="s">
        <v>8</v>
      </c>
      <c r="R1531" s="1235" t="str">
        <f>IFERROR(VLOOKUP(F1531,#REF!,14,FALSE),"")</f>
        <v/>
      </c>
      <c r="S1531" s="1236">
        <f t="shared" si="175"/>
        <v>1.5766423357664234</v>
      </c>
      <c r="U1531" s="1728"/>
      <c r="V1531" s="67">
        <f t="shared" si="176"/>
        <v>0</v>
      </c>
      <c r="W1531" s="1768"/>
      <c r="X1531" s="67"/>
    </row>
    <row r="1532" spans="2:24" ht="16" thickBot="1" x14ac:dyDescent="0.25">
      <c r="B1532" s="1661">
        <f t="shared" ref="B1532" si="177">B1525+1</f>
        <v>9</v>
      </c>
      <c r="C1532" s="1199">
        <v>44620</v>
      </c>
      <c r="D1532" s="1108"/>
      <c r="E1532" s="1109"/>
      <c r="F1532" s="1557"/>
      <c r="G1532" s="1200"/>
      <c r="H1532" s="1201" t="str">
        <f>IFERROR(VLOOKUP(F1532,#REF!,10,FALSE),"")</f>
        <v/>
      </c>
      <c r="I1532" s="1202" t="str">
        <f t="shared" si="162"/>
        <v/>
      </c>
      <c r="J1532" s="1203"/>
      <c r="K1532" s="1742"/>
      <c r="L1532" s="1577"/>
      <c r="M1532" s="1374"/>
      <c r="N1532" s="1111" t="str">
        <f t="shared" si="174"/>
        <v/>
      </c>
      <c r="O1532" s="1204"/>
      <c r="P1532" s="1113" t="str">
        <f>IFERROR(VLOOKUP(F1532,#REF!,12,FALSE),"")</f>
        <v/>
      </c>
      <c r="Q1532" s="1205" t="s">
        <v>8</v>
      </c>
      <c r="R1532" s="1206" t="str">
        <f>IFERROR(VLOOKUP(F1532,#REF!,14,FALSE),"")</f>
        <v/>
      </c>
      <c r="S1532" s="1207" t="str">
        <f t="shared" si="175"/>
        <v/>
      </c>
      <c r="U1532" s="1728"/>
      <c r="V1532" s="1108">
        <f t="shared" si="176"/>
        <v>0</v>
      </c>
      <c r="W1532" s="1766"/>
      <c r="X1532" s="1108"/>
    </row>
    <row r="1533" spans="2:24" x14ac:dyDescent="0.2">
      <c r="B1533" s="1666" t="s">
        <v>142</v>
      </c>
      <c r="C1533" s="1208">
        <v>44621</v>
      </c>
      <c r="D1533" s="864">
        <v>35</v>
      </c>
      <c r="E1533" s="865" t="s">
        <v>293</v>
      </c>
      <c r="F1533" s="1558" t="s">
        <v>308</v>
      </c>
      <c r="G1533" s="1209">
        <v>4.594907407407408E-2</v>
      </c>
      <c r="H1533" s="1210">
        <v>12.5</v>
      </c>
      <c r="I1533" s="1211">
        <f t="shared" si="162"/>
        <v>3.6759259259259262E-3</v>
      </c>
      <c r="J1533" s="1212">
        <v>136</v>
      </c>
      <c r="K1533" s="1742"/>
      <c r="L1533" s="1578">
        <v>232</v>
      </c>
      <c r="M1533" s="1602">
        <v>54</v>
      </c>
      <c r="N1533" s="1171">
        <f t="shared" si="174"/>
        <v>1.0997492537313434</v>
      </c>
      <c r="O1533" s="1213" t="s">
        <v>339</v>
      </c>
      <c r="P1533" s="1173" t="str">
        <f>IFERROR(VLOOKUP(F1533,#REF!,12,FALSE),"")</f>
        <v/>
      </c>
      <c r="Q1533" s="1229" t="s">
        <v>8</v>
      </c>
      <c r="R1533" s="1324" t="str">
        <f>IFERROR(VLOOKUP(F1533,#REF!,14,FALSE),"")</f>
        <v/>
      </c>
      <c r="S1533" s="1217">
        <f t="shared" si="175"/>
        <v>1.7058823529411764</v>
      </c>
      <c r="U1533" s="1728"/>
      <c r="V1533" s="864">
        <f t="shared" si="176"/>
        <v>0</v>
      </c>
      <c r="W1533" s="1767"/>
      <c r="X1533" s="864"/>
    </row>
    <row r="1534" spans="2:24" ht="16" thickBot="1" x14ac:dyDescent="0.25">
      <c r="B1534" s="1654">
        <f t="shared" ref="B1534" si="178">SUM(H1532:H1538)</f>
        <v>35.020000000000003</v>
      </c>
      <c r="C1534" s="1208">
        <v>44622</v>
      </c>
      <c r="D1534" s="864">
        <v>36</v>
      </c>
      <c r="E1534" s="865" t="s">
        <v>293</v>
      </c>
      <c r="F1534" s="1557" t="s">
        <v>316</v>
      </c>
      <c r="G1534" s="1209">
        <v>3.1296296296296301E-2</v>
      </c>
      <c r="H1534" s="1210">
        <v>8.09</v>
      </c>
      <c r="I1534" s="1211">
        <f t="shared" si="162"/>
        <v>3.8685162294556617E-3</v>
      </c>
      <c r="J1534" s="1212">
        <v>135</v>
      </c>
      <c r="K1534" s="1742"/>
      <c r="L1534" s="1578">
        <v>211</v>
      </c>
      <c r="M1534" s="1602">
        <v>13</v>
      </c>
      <c r="N1534" s="1171">
        <f t="shared" si="174"/>
        <v>1.0526059443204254</v>
      </c>
      <c r="O1534" s="1213" t="s">
        <v>341</v>
      </c>
      <c r="P1534" s="1173" t="str">
        <f>IFERROR(VLOOKUP(F1534,#REF!,12,FALSE),"")</f>
        <v/>
      </c>
      <c r="Q1534" s="1229" t="s">
        <v>8</v>
      </c>
      <c r="R1534" s="1324" t="str">
        <f>IFERROR(VLOOKUP(F1534,#REF!,14,FALSE),"")</f>
        <v/>
      </c>
      <c r="S1534" s="1217">
        <f t="shared" si="175"/>
        <v>1.5629629629629629</v>
      </c>
      <c r="U1534" s="1728"/>
      <c r="V1534" s="864">
        <f t="shared" si="176"/>
        <v>0</v>
      </c>
      <c r="W1534" s="1767"/>
      <c r="X1534" s="864"/>
    </row>
    <row r="1535" spans="2:24" x14ac:dyDescent="0.2">
      <c r="B1535" s="1667" t="s">
        <v>144</v>
      </c>
      <c r="C1535" s="1208">
        <v>44623</v>
      </c>
      <c r="D1535" s="864"/>
      <c r="E1535" s="865"/>
      <c r="F1535" s="1557"/>
      <c r="G1535" s="1209"/>
      <c r="H1535" s="1210" t="str">
        <f>IFERROR(VLOOKUP(F1535,#REF!,10,FALSE),"")</f>
        <v/>
      </c>
      <c r="I1535" s="1211" t="str">
        <f t="shared" si="162"/>
        <v/>
      </c>
      <c r="J1535" s="1212"/>
      <c r="K1535" s="1742"/>
      <c r="L1535" s="1578"/>
      <c r="M1535" s="1602"/>
      <c r="N1535" s="1171" t="str">
        <f t="shared" si="174"/>
        <v/>
      </c>
      <c r="O1535" s="1213"/>
      <c r="P1535" s="1173" t="str">
        <f>IFERROR(VLOOKUP(F1535,#REF!,12,FALSE),"")</f>
        <v/>
      </c>
      <c r="Q1535" s="1229" t="s">
        <v>8</v>
      </c>
      <c r="R1535" s="1324" t="str">
        <f>IFERROR(VLOOKUP(F1535,#REF!,14,FALSE),"")</f>
        <v/>
      </c>
      <c r="S1535" s="1217" t="str">
        <f t="shared" si="175"/>
        <v/>
      </c>
      <c r="U1535" s="1728"/>
      <c r="V1535" s="864">
        <f t="shared" si="176"/>
        <v>0</v>
      </c>
      <c r="W1535" s="1767"/>
      <c r="X1535" s="864"/>
    </row>
    <row r="1536" spans="2:24" ht="16" thickBot="1" x14ac:dyDescent="0.25">
      <c r="B1536" s="1668" t="e">
        <f>SUM(#REF!)</f>
        <v>#REF!</v>
      </c>
      <c r="C1536" s="1347">
        <v>44624</v>
      </c>
      <c r="D1536" s="1348">
        <v>37</v>
      </c>
      <c r="E1536" s="1349" t="s">
        <v>293</v>
      </c>
      <c r="F1536" s="1559" t="s">
        <v>297</v>
      </c>
      <c r="G1536" s="1350">
        <v>4.8969907407407413E-2</v>
      </c>
      <c r="H1536" s="1351">
        <v>8.9700000000000006</v>
      </c>
      <c r="I1536" s="1352">
        <f t="shared" si="162"/>
        <v>5.4592984846608041E-3</v>
      </c>
      <c r="J1536" s="1353">
        <v>142</v>
      </c>
      <c r="K1536" s="1742"/>
      <c r="L1536" s="1578">
        <v>192</v>
      </c>
      <c r="M1536" s="1602">
        <v>501</v>
      </c>
      <c r="N1536" s="1171"/>
      <c r="O1536" s="1355" t="s">
        <v>299</v>
      </c>
      <c r="P1536" s="1356" t="str">
        <f>IFERROR(VLOOKUP(F1536,#REF!,12,FALSE),"")</f>
        <v/>
      </c>
      <c r="Q1536" s="1357" t="s">
        <v>8</v>
      </c>
      <c r="R1536" s="1358" t="str">
        <f>IFERROR(VLOOKUP(F1536,#REF!,14,FALSE),"")</f>
        <v/>
      </c>
      <c r="S1536" s="1359"/>
      <c r="U1536" s="1728"/>
      <c r="V1536" s="1348">
        <f t="shared" si="176"/>
        <v>0</v>
      </c>
      <c r="W1536" s="1767"/>
      <c r="X1536" s="1348"/>
    </row>
    <row r="1537" spans="2:24" x14ac:dyDescent="0.2">
      <c r="B1537" s="1669" t="s">
        <v>256</v>
      </c>
      <c r="C1537" s="1237">
        <v>44625</v>
      </c>
      <c r="D1537" s="70"/>
      <c r="E1537" s="71"/>
      <c r="F1537" s="1556"/>
      <c r="G1537" s="1238"/>
      <c r="H1537" s="1239" t="str">
        <f>IFERROR(VLOOKUP(F1537,#REF!,10,FALSE),"")</f>
        <v/>
      </c>
      <c r="I1537" s="1240" t="str">
        <f t="shared" si="162"/>
        <v/>
      </c>
      <c r="J1537" s="265"/>
      <c r="K1537" s="1742"/>
      <c r="L1537" s="1581"/>
      <c r="M1537" s="265"/>
      <c r="N1537" s="77" t="str">
        <f t="shared" ref="N1537:N1557" si="179">IFERROR((L1537/67)/(1/(I1537*24)/3.6),"")</f>
        <v/>
      </c>
      <c r="O1537" s="1241"/>
      <c r="P1537" s="79" t="str">
        <f>IFERROR(VLOOKUP(F1537,#REF!,12,FALSE),"")</f>
        <v/>
      </c>
      <c r="Q1537" s="1242" t="s">
        <v>8</v>
      </c>
      <c r="R1537" s="1243" t="str">
        <f>IFERROR(VLOOKUP(F1537,#REF!,14,FALSE),"")</f>
        <v/>
      </c>
      <c r="S1537" s="1244" t="str">
        <f t="shared" ref="S1537:S1557" si="180">IFERROR(L1537/J1537,"")</f>
        <v/>
      </c>
      <c r="U1537" s="1728"/>
      <c r="V1537" s="70">
        <f t="shared" si="176"/>
        <v>0</v>
      </c>
      <c r="W1537" s="1767"/>
      <c r="X1537" s="70"/>
    </row>
    <row r="1538" spans="2:24" ht="16" thickBot="1" x14ac:dyDescent="0.25">
      <c r="B1538" s="1710" t="e">
        <f>AVERAGE(#REF!)</f>
        <v>#REF!</v>
      </c>
      <c r="C1538" s="544">
        <v>44626</v>
      </c>
      <c r="D1538" s="67">
        <v>38</v>
      </c>
      <c r="E1538" s="208" t="s">
        <v>292</v>
      </c>
      <c r="F1538" s="1557" t="s">
        <v>326</v>
      </c>
      <c r="G1538" s="1230">
        <v>2.2476851851851855E-2</v>
      </c>
      <c r="H1538" s="1231">
        <v>5.46</v>
      </c>
      <c r="I1538" s="1232">
        <f t="shared" si="162"/>
        <v>4.1166395333062005E-3</v>
      </c>
      <c r="J1538" s="256">
        <v>126</v>
      </c>
      <c r="K1538" s="1742"/>
      <c r="L1538" s="1580">
        <v>202</v>
      </c>
      <c r="M1538" s="1561">
        <v>8</v>
      </c>
      <c r="N1538" s="172">
        <f t="shared" si="179"/>
        <v>1.0723415887594994</v>
      </c>
      <c r="O1538" s="1233" t="s">
        <v>327</v>
      </c>
      <c r="P1538" s="447" t="str">
        <f>IFERROR(VLOOKUP(F1538,#REF!,12,FALSE),"")</f>
        <v/>
      </c>
      <c r="Q1538" s="1234" t="s">
        <v>8</v>
      </c>
      <c r="R1538" s="1235" t="str">
        <f>IFERROR(VLOOKUP(F1538,#REF!,14,FALSE),"")</f>
        <v/>
      </c>
      <c r="S1538" s="1236">
        <f t="shared" si="180"/>
        <v>1.6031746031746033</v>
      </c>
      <c r="U1538" s="1728"/>
      <c r="V1538" s="67">
        <f t="shared" si="176"/>
        <v>0</v>
      </c>
      <c r="W1538" s="1768"/>
      <c r="X1538" s="67"/>
    </row>
    <row r="1539" spans="2:24" ht="16" thickBot="1" x14ac:dyDescent="0.25">
      <c r="B1539" s="1661">
        <f t="shared" ref="B1539" si="181">B1532+1</f>
        <v>10</v>
      </c>
      <c r="C1539" s="1199">
        <v>44627</v>
      </c>
      <c r="D1539" s="1108"/>
      <c r="E1539" s="1109"/>
      <c r="F1539" s="1557"/>
      <c r="G1539" s="1200"/>
      <c r="H1539" s="1201" t="str">
        <f>IFERROR(VLOOKUP(F1539,#REF!,10,FALSE),"")</f>
        <v/>
      </c>
      <c r="I1539" s="1202" t="str">
        <f t="shared" si="162"/>
        <v/>
      </c>
      <c r="J1539" s="1203"/>
      <c r="K1539" s="1742"/>
      <c r="L1539" s="1577"/>
      <c r="M1539" s="1374"/>
      <c r="N1539" s="1111" t="str">
        <f t="shared" si="179"/>
        <v/>
      </c>
      <c r="O1539" s="1204"/>
      <c r="P1539" s="1113" t="str">
        <f>IFERROR(VLOOKUP(F1539,#REF!,12,FALSE),"")</f>
        <v/>
      </c>
      <c r="Q1539" s="1205" t="s">
        <v>8</v>
      </c>
      <c r="R1539" s="1206" t="str">
        <f>IFERROR(VLOOKUP(F1539,#REF!,14,FALSE),"")</f>
        <v/>
      </c>
      <c r="S1539" s="1207" t="str">
        <f t="shared" si="180"/>
        <v/>
      </c>
      <c r="U1539" s="1728"/>
      <c r="V1539" s="1108">
        <f t="shared" si="176"/>
        <v>0</v>
      </c>
      <c r="W1539" s="1766"/>
      <c r="X1539" s="1108"/>
    </row>
    <row r="1540" spans="2:24" x14ac:dyDescent="0.2">
      <c r="B1540" s="1666" t="s">
        <v>142</v>
      </c>
      <c r="C1540" s="1208">
        <v>44628</v>
      </c>
      <c r="D1540" s="864">
        <v>39</v>
      </c>
      <c r="E1540" s="865" t="s">
        <v>293</v>
      </c>
      <c r="F1540" s="1557" t="s">
        <v>279</v>
      </c>
      <c r="G1540" s="1209">
        <v>3.9398148148148147E-2</v>
      </c>
      <c r="H1540" s="1210">
        <v>10.119999999999999</v>
      </c>
      <c r="I1540" s="1211">
        <f t="shared" si="162"/>
        <v>3.8930976430976432E-3</v>
      </c>
      <c r="J1540" s="1212">
        <v>132</v>
      </c>
      <c r="K1540" s="1742"/>
      <c r="L1540" s="1578">
        <v>219</v>
      </c>
      <c r="M1540" s="1602">
        <v>33</v>
      </c>
      <c r="N1540" s="1171">
        <f t="shared" si="179"/>
        <v>1.0994572591587517</v>
      </c>
      <c r="O1540" s="1213" t="s">
        <v>327</v>
      </c>
      <c r="P1540" s="1173" t="str">
        <f>IFERROR(VLOOKUP(F1540,#REF!,12,FALSE),"")</f>
        <v/>
      </c>
      <c r="Q1540" s="1229" t="s">
        <v>8</v>
      </c>
      <c r="R1540" s="1324" t="str">
        <f>IFERROR(VLOOKUP(F1540,#REF!,14,FALSE),"")</f>
        <v/>
      </c>
      <c r="S1540" s="1217">
        <f t="shared" si="180"/>
        <v>1.6590909090909092</v>
      </c>
      <c r="U1540" s="1728"/>
      <c r="V1540" s="864">
        <f t="shared" si="176"/>
        <v>0</v>
      </c>
      <c r="W1540" s="1767"/>
      <c r="X1540" s="864"/>
    </row>
    <row r="1541" spans="2:24" ht="16" thickBot="1" x14ac:dyDescent="0.25">
      <c r="B1541" s="1654">
        <f t="shared" ref="B1541" si="182">SUM(H1539:H1545)</f>
        <v>35.78</v>
      </c>
      <c r="C1541" s="1208">
        <v>44629</v>
      </c>
      <c r="D1541" s="864"/>
      <c r="E1541" s="865"/>
      <c r="F1541" s="1557"/>
      <c r="G1541" s="1209"/>
      <c r="H1541" s="1210" t="str">
        <f>IFERROR(VLOOKUP(F1541,#REF!,10,FALSE),"")</f>
        <v/>
      </c>
      <c r="I1541" s="1211" t="str">
        <f t="shared" si="162"/>
        <v/>
      </c>
      <c r="J1541" s="1212"/>
      <c r="K1541" s="1742"/>
      <c r="L1541" s="1578"/>
      <c r="M1541" s="1602"/>
      <c r="N1541" s="1171" t="str">
        <f t="shared" si="179"/>
        <v/>
      </c>
      <c r="O1541" s="1213"/>
      <c r="P1541" s="1173" t="str">
        <f>IFERROR(VLOOKUP(F1541,#REF!,12,FALSE),"")</f>
        <v/>
      </c>
      <c r="Q1541" s="1229" t="s">
        <v>8</v>
      </c>
      <c r="R1541" s="1324" t="str">
        <f>IFERROR(VLOOKUP(F1541,#REF!,14,FALSE),"")</f>
        <v/>
      </c>
      <c r="S1541" s="1217" t="str">
        <f t="shared" si="180"/>
        <v/>
      </c>
      <c r="U1541" s="1728"/>
      <c r="V1541" s="864">
        <f t="shared" si="176"/>
        <v>0</v>
      </c>
      <c r="W1541" s="1767"/>
      <c r="X1541" s="864"/>
    </row>
    <row r="1542" spans="2:24" x14ac:dyDescent="0.2">
      <c r="B1542" s="1667" t="s">
        <v>144</v>
      </c>
      <c r="C1542" s="1208">
        <v>44630</v>
      </c>
      <c r="D1542" s="864">
        <v>40</v>
      </c>
      <c r="E1542" s="865" t="s">
        <v>293</v>
      </c>
      <c r="F1542" s="1557" t="s">
        <v>279</v>
      </c>
      <c r="G1542" s="1209">
        <v>3.8287037037037036E-2</v>
      </c>
      <c r="H1542" s="1210">
        <v>10.119999999999999</v>
      </c>
      <c r="I1542" s="1211">
        <f t="shared" si="162"/>
        <v>3.7833040550431856E-3</v>
      </c>
      <c r="J1542" s="1212">
        <v>136</v>
      </c>
      <c r="K1542" s="1742"/>
      <c r="L1542" s="1578">
        <v>226</v>
      </c>
      <c r="M1542" s="1602">
        <v>34</v>
      </c>
      <c r="N1542" s="1171">
        <f t="shared" si="179"/>
        <v>1.1026016164238097</v>
      </c>
      <c r="O1542" s="1213" t="s">
        <v>311</v>
      </c>
      <c r="P1542" s="1173" t="str">
        <f>IFERROR(VLOOKUP(F1542,#REF!,12,FALSE),"")</f>
        <v/>
      </c>
      <c r="Q1542" s="1229" t="s">
        <v>8</v>
      </c>
      <c r="R1542" s="1324" t="str">
        <f>IFERROR(VLOOKUP(F1542,#REF!,14,FALSE),"")</f>
        <v/>
      </c>
      <c r="S1542" s="1217">
        <f t="shared" si="180"/>
        <v>1.661764705882353</v>
      </c>
      <c r="U1542" s="1728"/>
      <c r="V1542" s="864">
        <f t="shared" si="176"/>
        <v>0</v>
      </c>
      <c r="W1542" s="1767"/>
      <c r="X1542" s="864"/>
    </row>
    <row r="1543" spans="2:24" ht="16" thickBot="1" x14ac:dyDescent="0.25">
      <c r="B1543" s="1668" t="e">
        <f>SUM(#REF!)</f>
        <v>#REF!</v>
      </c>
      <c r="C1543" s="1347">
        <v>44631</v>
      </c>
      <c r="D1543" s="1348"/>
      <c r="E1543" s="1349"/>
      <c r="F1543" s="1557"/>
      <c r="G1543" s="1350"/>
      <c r="H1543" s="1351" t="str">
        <f>IFERROR(VLOOKUP(F1543,#REF!,10,FALSE),"")</f>
        <v/>
      </c>
      <c r="I1543" s="1352" t="str">
        <f t="shared" si="162"/>
        <v/>
      </c>
      <c r="J1543" s="1353"/>
      <c r="K1543" s="1742"/>
      <c r="L1543" s="1578"/>
      <c r="M1543" s="1602"/>
      <c r="N1543" s="1354" t="str">
        <f t="shared" si="179"/>
        <v/>
      </c>
      <c r="O1543" s="1355"/>
      <c r="P1543" s="1356" t="str">
        <f>IFERROR(VLOOKUP(F1543,#REF!,12,FALSE),"")</f>
        <v/>
      </c>
      <c r="Q1543" s="1357" t="s">
        <v>8</v>
      </c>
      <c r="R1543" s="1358" t="str">
        <f>IFERROR(VLOOKUP(F1543,#REF!,14,FALSE),"")</f>
        <v/>
      </c>
      <c r="S1543" s="1359" t="str">
        <f t="shared" si="180"/>
        <v/>
      </c>
      <c r="U1543" s="1728"/>
      <c r="V1543" s="1348">
        <f t="shared" si="176"/>
        <v>0</v>
      </c>
      <c r="W1543" s="1767"/>
      <c r="X1543" s="1348"/>
    </row>
    <row r="1544" spans="2:24" x14ac:dyDescent="0.2">
      <c r="B1544" s="1669" t="s">
        <v>256</v>
      </c>
      <c r="C1544" s="1237">
        <v>44632</v>
      </c>
      <c r="D1544" s="70">
        <v>41</v>
      </c>
      <c r="E1544" s="71" t="s">
        <v>293</v>
      </c>
      <c r="F1544" s="1557" t="s">
        <v>273</v>
      </c>
      <c r="G1544" s="1238">
        <v>5.9895833333333336E-2</v>
      </c>
      <c r="H1544" s="1239">
        <v>15.54</v>
      </c>
      <c r="I1544" s="1240">
        <f t="shared" si="162"/>
        <v>3.8543007293007298E-3</v>
      </c>
      <c r="J1544" s="265">
        <v>139</v>
      </c>
      <c r="K1544" s="1742"/>
      <c r="L1544" s="1581">
        <v>221</v>
      </c>
      <c r="M1544" s="265">
        <v>63</v>
      </c>
      <c r="N1544" s="77">
        <f t="shared" si="179"/>
        <v>1.0984411917247741</v>
      </c>
      <c r="O1544" s="1241" t="s">
        <v>327</v>
      </c>
      <c r="P1544" s="79" t="str">
        <f>IFERROR(VLOOKUP(F1544,#REF!,12,FALSE),"")</f>
        <v/>
      </c>
      <c r="Q1544" s="1242" t="s">
        <v>8</v>
      </c>
      <c r="R1544" s="1243" t="str">
        <f>IFERROR(VLOOKUP(F1544,#REF!,14,FALSE),"")</f>
        <v/>
      </c>
      <c r="S1544" s="1244">
        <f t="shared" si="180"/>
        <v>1.5899280575539569</v>
      </c>
      <c r="U1544" s="1728"/>
      <c r="V1544" s="70">
        <f t="shared" si="176"/>
        <v>0</v>
      </c>
      <c r="W1544" s="1767"/>
      <c r="X1544" s="70"/>
    </row>
    <row r="1545" spans="2:24" ht="16" thickBot="1" x14ac:dyDescent="0.25">
      <c r="B1545" s="1710" t="e">
        <f>AVERAGE(#REF!)</f>
        <v>#REF!</v>
      </c>
      <c r="C1545" s="544">
        <v>44633</v>
      </c>
      <c r="D1545" s="67"/>
      <c r="E1545" s="208"/>
      <c r="F1545" s="1557"/>
      <c r="G1545" s="1230"/>
      <c r="H1545" s="1231" t="str">
        <f>IFERROR(VLOOKUP(F1545,#REF!,10,FALSE),"")</f>
        <v/>
      </c>
      <c r="I1545" s="1232" t="str">
        <f t="shared" si="162"/>
        <v/>
      </c>
      <c r="J1545" s="256"/>
      <c r="K1545" s="1742"/>
      <c r="L1545" s="1580"/>
      <c r="M1545" s="1561"/>
      <c r="N1545" s="172" t="str">
        <f t="shared" si="179"/>
        <v/>
      </c>
      <c r="O1545" s="1233"/>
      <c r="P1545" s="447" t="str">
        <f>IFERROR(VLOOKUP(F1545,#REF!,12,FALSE),"")</f>
        <v/>
      </c>
      <c r="Q1545" s="1234" t="s">
        <v>8</v>
      </c>
      <c r="R1545" s="1235" t="str">
        <f>IFERROR(VLOOKUP(F1545,#REF!,14,FALSE),"")</f>
        <v/>
      </c>
      <c r="S1545" s="1236" t="str">
        <f t="shared" si="180"/>
        <v/>
      </c>
      <c r="U1545" s="1728"/>
      <c r="V1545" s="67">
        <f t="shared" si="176"/>
        <v>0</v>
      </c>
      <c r="W1545" s="1768"/>
      <c r="X1545" s="67"/>
    </row>
    <row r="1546" spans="2:24" ht="16" thickBot="1" x14ac:dyDescent="0.25">
      <c r="B1546" s="1661">
        <f t="shared" ref="B1546" si="183">B1539+1</f>
        <v>11</v>
      </c>
      <c r="C1546" s="1199">
        <v>44634</v>
      </c>
      <c r="D1546" s="1108">
        <v>42</v>
      </c>
      <c r="E1546" s="1109" t="s">
        <v>293</v>
      </c>
      <c r="F1546" s="1556" t="s">
        <v>312</v>
      </c>
      <c r="G1546" s="1200">
        <v>3.7337962962962962E-2</v>
      </c>
      <c r="H1546" s="1201">
        <v>9.74</v>
      </c>
      <c r="I1546" s="1202">
        <f t="shared" si="162"/>
        <v>3.8334664233021522E-3</v>
      </c>
      <c r="J1546" s="1203">
        <v>141</v>
      </c>
      <c r="K1546" s="1742"/>
      <c r="L1546" s="1577">
        <v>213</v>
      </c>
      <c r="M1546" s="1374">
        <v>30</v>
      </c>
      <c r="N1546" s="1111">
        <f t="shared" si="179"/>
        <v>1.0529559594225997</v>
      </c>
      <c r="O1546" s="1204" t="s">
        <v>341</v>
      </c>
      <c r="P1546" s="1113" t="str">
        <f>IFERROR(VLOOKUP(F1546,#REF!,12,FALSE),"")</f>
        <v/>
      </c>
      <c r="Q1546" s="1205" t="s">
        <v>8</v>
      </c>
      <c r="R1546" s="1206" t="str">
        <f>IFERROR(VLOOKUP(F1546,#REF!,14,FALSE),"")</f>
        <v/>
      </c>
      <c r="S1546" s="1207">
        <f t="shared" si="180"/>
        <v>1.5106382978723405</v>
      </c>
      <c r="U1546" s="1728"/>
      <c r="V1546" s="1108">
        <f t="shared" si="176"/>
        <v>0</v>
      </c>
      <c r="W1546" s="1766"/>
      <c r="X1546" s="1108"/>
    </row>
    <row r="1547" spans="2:24" x14ac:dyDescent="0.2">
      <c r="B1547" s="1666" t="s">
        <v>142</v>
      </c>
      <c r="C1547" s="1208">
        <v>44635</v>
      </c>
      <c r="D1547" s="864">
        <v>43</v>
      </c>
      <c r="E1547" s="865" t="s">
        <v>293</v>
      </c>
      <c r="F1547" s="1557" t="s">
        <v>326</v>
      </c>
      <c r="G1547" s="1209">
        <v>3.2384259259259258E-2</v>
      </c>
      <c r="H1547" s="1210">
        <v>8.11</v>
      </c>
      <c r="I1547" s="1211">
        <f t="shared" si="162"/>
        <v>3.9931269123624239E-3</v>
      </c>
      <c r="J1547" s="1212">
        <v>127</v>
      </c>
      <c r="K1547" s="1742"/>
      <c r="L1547" s="1578">
        <v>212</v>
      </c>
      <c r="M1547" s="1602">
        <v>23</v>
      </c>
      <c r="N1547" s="1171">
        <f t="shared" si="179"/>
        <v>1.0916612989307468</v>
      </c>
      <c r="O1547" s="1213" t="s">
        <v>339</v>
      </c>
      <c r="P1547" s="1173" t="str">
        <f>IFERROR(VLOOKUP(F1547,#REF!,12,FALSE),"")</f>
        <v/>
      </c>
      <c r="Q1547" s="1229" t="s">
        <v>8</v>
      </c>
      <c r="R1547" s="1324" t="str">
        <f>IFERROR(VLOOKUP(F1547,#REF!,14,FALSE),"")</f>
        <v/>
      </c>
      <c r="S1547" s="1217">
        <f t="shared" si="180"/>
        <v>1.6692913385826771</v>
      </c>
      <c r="U1547" s="1728"/>
      <c r="V1547" s="864">
        <f t="shared" si="176"/>
        <v>0</v>
      </c>
      <c r="W1547" s="1767"/>
      <c r="X1547" s="864"/>
    </row>
    <row r="1548" spans="2:24" ht="16" thickBot="1" x14ac:dyDescent="0.25">
      <c r="B1548" s="1654">
        <f t="shared" ref="B1548" si="184">SUM(H1546:H1552)</f>
        <v>53.269999999999996</v>
      </c>
      <c r="C1548" s="1208">
        <v>44636</v>
      </c>
      <c r="D1548" s="864"/>
      <c r="E1548" s="865"/>
      <c r="F1548" s="1558"/>
      <c r="G1548" s="1209"/>
      <c r="H1548" s="1210" t="str">
        <f>IFERROR(VLOOKUP(F1548,#REF!,10,FALSE),"")</f>
        <v/>
      </c>
      <c r="I1548" s="1211" t="str">
        <f t="shared" si="162"/>
        <v/>
      </c>
      <c r="J1548" s="1212"/>
      <c r="K1548" s="1742"/>
      <c r="L1548" s="1578"/>
      <c r="M1548" s="1602"/>
      <c r="N1548" s="1171" t="str">
        <f t="shared" si="179"/>
        <v/>
      </c>
      <c r="O1548" s="1213"/>
      <c r="P1548" s="1173" t="str">
        <f>IFERROR(VLOOKUP(F1548,#REF!,12,FALSE),"")</f>
        <v/>
      </c>
      <c r="Q1548" s="1229" t="s">
        <v>8</v>
      </c>
      <c r="R1548" s="1324" t="str">
        <f>IFERROR(VLOOKUP(F1548,#REF!,14,FALSE),"")</f>
        <v/>
      </c>
      <c r="S1548" s="1217" t="str">
        <f t="shared" si="180"/>
        <v/>
      </c>
      <c r="U1548" s="1728"/>
      <c r="V1548" s="864">
        <f t="shared" si="176"/>
        <v>0</v>
      </c>
      <c r="W1548" s="1767"/>
      <c r="X1548" s="864"/>
    </row>
    <row r="1549" spans="2:24" x14ac:dyDescent="0.2">
      <c r="B1549" s="1667" t="s">
        <v>144</v>
      </c>
      <c r="C1549" s="1208">
        <v>44637</v>
      </c>
      <c r="D1549" s="864">
        <v>44</v>
      </c>
      <c r="E1549" s="865" t="s">
        <v>293</v>
      </c>
      <c r="F1549" s="1555" t="s">
        <v>302</v>
      </c>
      <c r="G1549" s="1209">
        <v>3.3611111111111112E-2</v>
      </c>
      <c r="H1549" s="1210">
        <v>9.75</v>
      </c>
      <c r="I1549" s="1211">
        <f t="shared" si="162"/>
        <v>3.4472934472934472E-3</v>
      </c>
      <c r="J1549" s="1212">
        <v>152</v>
      </c>
      <c r="K1549" s="1742"/>
      <c r="L1549" s="1578">
        <v>239</v>
      </c>
      <c r="M1549" s="1602">
        <v>17</v>
      </c>
      <c r="N1549" s="1171">
        <f t="shared" si="179"/>
        <v>1.0624661308840413</v>
      </c>
      <c r="O1549" s="1213" t="s">
        <v>341</v>
      </c>
      <c r="P1549" s="1173" t="str">
        <f>IFERROR(VLOOKUP(F1549,#REF!,12,FALSE),"")</f>
        <v/>
      </c>
      <c r="Q1549" s="1229" t="s">
        <v>8</v>
      </c>
      <c r="R1549" s="1324" t="str">
        <f>IFERROR(VLOOKUP(F1549,#REF!,14,FALSE),"")</f>
        <v/>
      </c>
      <c r="S1549" s="1217">
        <f t="shared" si="180"/>
        <v>1.5723684210526316</v>
      </c>
      <c r="U1549" s="1728"/>
      <c r="V1549" s="864">
        <f t="shared" si="176"/>
        <v>0</v>
      </c>
      <c r="W1549" s="1767"/>
      <c r="X1549" s="864"/>
    </row>
    <row r="1550" spans="2:24" ht="16" thickBot="1" x14ac:dyDescent="0.25">
      <c r="B1550" s="1668" t="e">
        <f>SUM(#REF!)</f>
        <v>#REF!</v>
      </c>
      <c r="C1550" s="1347">
        <v>44638</v>
      </c>
      <c r="D1550" s="1348">
        <v>45</v>
      </c>
      <c r="E1550" s="1349" t="s">
        <v>293</v>
      </c>
      <c r="F1550" s="1557" t="s">
        <v>326</v>
      </c>
      <c r="G1550" s="1350">
        <v>3.0949074074074077E-2</v>
      </c>
      <c r="H1550" s="1351">
        <v>8.09</v>
      </c>
      <c r="I1550" s="1352">
        <f t="shared" si="162"/>
        <v>3.8255963008744223E-3</v>
      </c>
      <c r="J1550" s="1353">
        <v>129</v>
      </c>
      <c r="K1550" s="1742"/>
      <c r="L1550" s="1578">
        <v>219</v>
      </c>
      <c r="M1550" s="1602">
        <v>21</v>
      </c>
      <c r="N1550" s="1354">
        <f t="shared" si="179"/>
        <v>1.0803940741287383</v>
      </c>
      <c r="O1550" s="1355" t="s">
        <v>339</v>
      </c>
      <c r="P1550" s="1356" t="str">
        <f>IFERROR(VLOOKUP(F1550,#REF!,12,FALSE),"")</f>
        <v/>
      </c>
      <c r="Q1550" s="1357" t="s">
        <v>8</v>
      </c>
      <c r="R1550" s="1358" t="str">
        <f>IFERROR(VLOOKUP(F1550,#REF!,14,FALSE),"")</f>
        <v/>
      </c>
      <c r="S1550" s="1359">
        <f t="shared" si="180"/>
        <v>1.6976744186046511</v>
      </c>
      <c r="U1550" s="1728"/>
      <c r="V1550" s="1348">
        <f t="shared" si="176"/>
        <v>0</v>
      </c>
      <c r="W1550" s="1767"/>
      <c r="X1550" s="1348"/>
    </row>
    <row r="1551" spans="2:24" x14ac:dyDescent="0.2">
      <c r="B1551" s="1669" t="s">
        <v>256</v>
      </c>
      <c r="C1551" s="1237">
        <v>44639</v>
      </c>
      <c r="D1551" s="70"/>
      <c r="E1551" s="71"/>
      <c r="F1551" s="1558"/>
      <c r="G1551" s="1238"/>
      <c r="H1551" s="1239" t="str">
        <f>IFERROR(VLOOKUP(F1551,#REF!,10,FALSE),"")</f>
        <v/>
      </c>
      <c r="I1551" s="1240" t="str">
        <f t="shared" si="162"/>
        <v/>
      </c>
      <c r="J1551" s="265"/>
      <c r="K1551" s="1742"/>
      <c r="L1551" s="1581"/>
      <c r="M1551" s="265"/>
      <c r="N1551" s="77" t="str">
        <f t="shared" si="179"/>
        <v/>
      </c>
      <c r="O1551" s="1241"/>
      <c r="P1551" s="79" t="str">
        <f>IFERROR(VLOOKUP(F1551,#REF!,12,FALSE),"")</f>
        <v/>
      </c>
      <c r="Q1551" s="1242" t="s">
        <v>8</v>
      </c>
      <c r="R1551" s="1243" t="str">
        <f>IFERROR(VLOOKUP(F1551,#REF!,14,FALSE),"")</f>
        <v/>
      </c>
      <c r="S1551" s="1244" t="str">
        <f t="shared" si="180"/>
        <v/>
      </c>
      <c r="U1551" s="1728"/>
      <c r="V1551" s="70">
        <f t="shared" si="176"/>
        <v>0</v>
      </c>
      <c r="W1551" s="1767"/>
      <c r="X1551" s="70"/>
    </row>
    <row r="1552" spans="2:24" ht="16" thickBot="1" x14ac:dyDescent="0.25">
      <c r="B1552" s="1710" t="e">
        <f>AVERAGE(#REF!)</f>
        <v>#REF!</v>
      </c>
      <c r="C1552" s="544">
        <v>44640</v>
      </c>
      <c r="D1552" s="67">
        <v>46</v>
      </c>
      <c r="E1552" s="208" t="s">
        <v>293</v>
      </c>
      <c r="F1552" s="1557" t="s">
        <v>274</v>
      </c>
      <c r="G1552" s="1230">
        <v>6.7199074074074064E-2</v>
      </c>
      <c r="H1552" s="1231">
        <v>17.579999999999998</v>
      </c>
      <c r="I1552" s="1232">
        <f t="shared" si="162"/>
        <v>3.8224729279905615E-3</v>
      </c>
      <c r="J1552" s="256">
        <v>134</v>
      </c>
      <c r="K1552" s="1742"/>
      <c r="L1552" s="1580">
        <v>222</v>
      </c>
      <c r="M1552" s="1561">
        <v>58</v>
      </c>
      <c r="N1552" s="172">
        <f t="shared" si="179"/>
        <v>1.0942998318985278</v>
      </c>
      <c r="O1552" s="1233" t="s">
        <v>327</v>
      </c>
      <c r="P1552" s="447" t="str">
        <f>IFERROR(VLOOKUP(F1552,#REF!,12,FALSE),"")</f>
        <v/>
      </c>
      <c r="Q1552" s="1234" t="s">
        <v>8</v>
      </c>
      <c r="R1552" s="1235" t="str">
        <f>IFERROR(VLOOKUP(F1552,#REF!,14,FALSE),"")</f>
        <v/>
      </c>
      <c r="S1552" s="1236">
        <f t="shared" si="180"/>
        <v>1.6567164179104477</v>
      </c>
      <c r="U1552" s="1728"/>
      <c r="V1552" s="67">
        <f t="shared" si="176"/>
        <v>0</v>
      </c>
      <c r="W1552" s="1768"/>
      <c r="X1552" s="67"/>
    </row>
    <row r="1553" spans="2:24" ht="16" thickBot="1" x14ac:dyDescent="0.25">
      <c r="B1553" s="1661">
        <f t="shared" ref="B1553" si="185">B1546+1</f>
        <v>12</v>
      </c>
      <c r="C1553" s="1199">
        <v>44641</v>
      </c>
      <c r="D1553" s="1108"/>
      <c r="E1553" s="1109"/>
      <c r="F1553" s="1557"/>
      <c r="G1553" s="1200"/>
      <c r="H1553" s="1201" t="str">
        <f>IFERROR(VLOOKUP(F1553,#REF!,10,FALSE),"")</f>
        <v/>
      </c>
      <c r="I1553" s="1202" t="str">
        <f t="shared" si="162"/>
        <v/>
      </c>
      <c r="J1553" s="1203"/>
      <c r="K1553" s="1742"/>
      <c r="L1553" s="1577"/>
      <c r="M1553" s="1374"/>
      <c r="N1553" s="1111" t="str">
        <f t="shared" si="179"/>
        <v/>
      </c>
      <c r="O1553" s="1204"/>
      <c r="P1553" s="1113" t="str">
        <f>IFERROR(VLOOKUP(F1553,#REF!,12,FALSE),"")</f>
        <v/>
      </c>
      <c r="Q1553" s="1205" t="s">
        <v>8</v>
      </c>
      <c r="R1553" s="1206" t="str">
        <f>IFERROR(VLOOKUP(F1553,#REF!,14,FALSE),"")</f>
        <v/>
      </c>
      <c r="S1553" s="1207" t="str">
        <f t="shared" si="180"/>
        <v/>
      </c>
      <c r="U1553" s="1728"/>
      <c r="V1553" s="1108">
        <f t="shared" si="176"/>
        <v>0</v>
      </c>
      <c r="W1553" s="1766"/>
      <c r="X1553" s="1108"/>
    </row>
    <row r="1554" spans="2:24" ht="16" thickBot="1" x14ac:dyDescent="0.25">
      <c r="B1554" s="1666" t="s">
        <v>142</v>
      </c>
      <c r="C1554" s="1208">
        <v>44642</v>
      </c>
      <c r="D1554" s="864">
        <v>47</v>
      </c>
      <c r="E1554" s="865" t="s">
        <v>293</v>
      </c>
      <c r="F1554" s="1559" t="s">
        <v>308</v>
      </c>
      <c r="G1554" s="1209">
        <v>4.6469907407407411E-2</v>
      </c>
      <c r="H1554" s="1210">
        <v>12.71</v>
      </c>
      <c r="I1554" s="1211">
        <f t="shared" ref="I1554:I1617" si="186">IFERROR(G1554/H1554,"")</f>
        <v>3.6561689541626599E-3</v>
      </c>
      <c r="J1554" s="1212">
        <v>143</v>
      </c>
      <c r="K1554" s="1742"/>
      <c r="L1554" s="1578">
        <v>234</v>
      </c>
      <c r="M1554" s="1602">
        <v>50</v>
      </c>
      <c r="N1554" s="1171">
        <f t="shared" si="179"/>
        <v>1.1032680813086415</v>
      </c>
      <c r="O1554" s="1213" t="s">
        <v>311</v>
      </c>
      <c r="P1554" s="1173" t="str">
        <f>IFERROR(VLOOKUP(F1554,#REF!,12,FALSE),"")</f>
        <v/>
      </c>
      <c r="Q1554" s="1229" t="s">
        <v>8</v>
      </c>
      <c r="R1554" s="1324" t="str">
        <f>IFERROR(VLOOKUP(F1554,#REF!,14,FALSE),"")</f>
        <v/>
      </c>
      <c r="S1554" s="1217">
        <f t="shared" si="180"/>
        <v>1.6363636363636365</v>
      </c>
      <c r="U1554" s="1728"/>
      <c r="V1554" s="864">
        <f t="shared" si="176"/>
        <v>0</v>
      </c>
      <c r="W1554" s="1767"/>
      <c r="X1554" s="864"/>
    </row>
    <row r="1555" spans="2:24" ht="16" thickBot="1" x14ac:dyDescent="0.25">
      <c r="B1555" s="1654">
        <f t="shared" ref="B1555" si="187">SUM(H1553:H1559)</f>
        <v>50.88000000000001</v>
      </c>
      <c r="C1555" s="1208">
        <v>44643</v>
      </c>
      <c r="D1555" s="864">
        <v>48</v>
      </c>
      <c r="E1555" s="865" t="s">
        <v>293</v>
      </c>
      <c r="F1555" s="1557" t="s">
        <v>313</v>
      </c>
      <c r="G1555" s="1209">
        <v>4.3819444444444446E-2</v>
      </c>
      <c r="H1555" s="1210">
        <v>12.38</v>
      </c>
      <c r="I1555" s="1211">
        <f t="shared" si="186"/>
        <v>3.5395350924430084E-3</v>
      </c>
      <c r="J1555" s="1212">
        <v>144</v>
      </c>
      <c r="K1555" s="1742"/>
      <c r="L1555" s="1578">
        <v>234</v>
      </c>
      <c r="M1555" s="1602">
        <v>22</v>
      </c>
      <c r="N1555" s="1171">
        <f t="shared" si="179"/>
        <v>1.0680732042533696</v>
      </c>
      <c r="O1555" s="1213" t="s">
        <v>341</v>
      </c>
      <c r="P1555" s="1173" t="str">
        <f>IFERROR(VLOOKUP(F1555,#REF!,12,FALSE),"")</f>
        <v/>
      </c>
      <c r="Q1555" s="1229" t="s">
        <v>8</v>
      </c>
      <c r="R1555" s="1324" t="str">
        <f>IFERROR(VLOOKUP(F1555,#REF!,14,FALSE),"")</f>
        <v/>
      </c>
      <c r="S1555" s="1217">
        <f t="shared" si="180"/>
        <v>1.625</v>
      </c>
      <c r="U1555" s="1728"/>
      <c r="V1555" s="864">
        <f t="shared" si="176"/>
        <v>0</v>
      </c>
      <c r="W1555" s="1767"/>
      <c r="X1555" s="864"/>
    </row>
    <row r="1556" spans="2:24" x14ac:dyDescent="0.2">
      <c r="B1556" s="1667" t="s">
        <v>144</v>
      </c>
      <c r="C1556" s="1208">
        <v>44644</v>
      </c>
      <c r="D1556" s="864">
        <v>49</v>
      </c>
      <c r="E1556" s="865" t="s">
        <v>293</v>
      </c>
      <c r="F1556" s="1557" t="s">
        <v>279</v>
      </c>
      <c r="G1556" s="1209">
        <v>3.9664351851851853E-2</v>
      </c>
      <c r="H1556" s="1210">
        <v>10.7</v>
      </c>
      <c r="I1556" s="1211">
        <f t="shared" si="186"/>
        <v>3.706948771201108E-3</v>
      </c>
      <c r="J1556" s="1212">
        <v>140</v>
      </c>
      <c r="K1556" s="1742"/>
      <c r="L1556" s="1578">
        <v>226</v>
      </c>
      <c r="M1556" s="1602">
        <v>32</v>
      </c>
      <c r="N1556" s="1171">
        <f t="shared" si="179"/>
        <v>1.0803487236713629</v>
      </c>
      <c r="O1556" s="1213" t="s">
        <v>339</v>
      </c>
      <c r="P1556" s="1173" t="str">
        <f>IFERROR(VLOOKUP(F1556,#REF!,12,FALSE),"")</f>
        <v/>
      </c>
      <c r="Q1556" s="1229" t="s">
        <v>8</v>
      </c>
      <c r="R1556" s="1324" t="str">
        <f>IFERROR(VLOOKUP(F1556,#REF!,14,FALSE),"")</f>
        <v/>
      </c>
      <c r="S1556" s="1217">
        <f t="shared" si="180"/>
        <v>1.6142857142857143</v>
      </c>
      <c r="U1556" s="1728"/>
      <c r="V1556" s="864">
        <f t="shared" si="176"/>
        <v>0</v>
      </c>
      <c r="W1556" s="1767"/>
      <c r="X1556" s="864"/>
    </row>
    <row r="1557" spans="2:24" ht="16" thickBot="1" x14ac:dyDescent="0.25">
      <c r="B1557" s="1668" t="e">
        <f>SUM(#REF!)</f>
        <v>#REF!</v>
      </c>
      <c r="C1557" s="1347">
        <v>44645</v>
      </c>
      <c r="D1557" s="1348"/>
      <c r="E1557" s="1349"/>
      <c r="F1557" s="1558"/>
      <c r="G1557" s="1350"/>
      <c r="H1557" s="1351" t="str">
        <f>IFERROR(VLOOKUP(F1557,#REF!,10,FALSE),"")</f>
        <v/>
      </c>
      <c r="I1557" s="1352" t="str">
        <f t="shared" si="186"/>
        <v/>
      </c>
      <c r="J1557" s="1353"/>
      <c r="K1557" s="1742"/>
      <c r="L1557" s="1578"/>
      <c r="M1557" s="1602"/>
      <c r="N1557" s="1354" t="str">
        <f t="shared" si="179"/>
        <v/>
      </c>
      <c r="O1557" s="1355"/>
      <c r="P1557" s="1356" t="str">
        <f>IFERROR(VLOOKUP(F1557,#REF!,12,FALSE),"")</f>
        <v/>
      </c>
      <c r="Q1557" s="1357" t="s">
        <v>8</v>
      </c>
      <c r="R1557" s="1358" t="str">
        <f>IFERROR(VLOOKUP(F1557,#REF!,14,FALSE),"")</f>
        <v/>
      </c>
      <c r="S1557" s="1359" t="str">
        <f t="shared" si="180"/>
        <v/>
      </c>
      <c r="U1557" s="1728"/>
      <c r="V1557" s="1348">
        <f t="shared" si="176"/>
        <v>0</v>
      </c>
      <c r="W1557" s="1767"/>
      <c r="X1557" s="1348"/>
    </row>
    <row r="1558" spans="2:24" x14ac:dyDescent="0.2">
      <c r="B1558" s="1669" t="s">
        <v>256</v>
      </c>
      <c r="C1558" s="1237">
        <v>44646</v>
      </c>
      <c r="D1558" s="70">
        <v>50</v>
      </c>
      <c r="E1558" s="71" t="s">
        <v>293</v>
      </c>
      <c r="F1558" s="1557" t="s">
        <v>297</v>
      </c>
      <c r="G1558" s="1238">
        <v>8.8379629629629627E-2</v>
      </c>
      <c r="H1558" s="1239">
        <v>15.09</v>
      </c>
      <c r="I1558" s="1240">
        <f t="shared" si="186"/>
        <v>5.8568343028250255E-3</v>
      </c>
      <c r="J1558" s="265">
        <v>135</v>
      </c>
      <c r="K1558" s="1742"/>
      <c r="L1558" s="1581">
        <v>160</v>
      </c>
      <c r="M1558" s="265">
        <v>668</v>
      </c>
      <c r="N1558" s="77"/>
      <c r="O1558" s="1241" t="s">
        <v>299</v>
      </c>
      <c r="P1558" s="79" t="str">
        <f>IFERROR(VLOOKUP(F1558,#REF!,12,FALSE),"")</f>
        <v/>
      </c>
      <c r="Q1558" s="1242" t="s">
        <v>8</v>
      </c>
      <c r="R1558" s="1243" t="str">
        <f>IFERROR(VLOOKUP(F1558,#REF!,14,FALSE),"")</f>
        <v/>
      </c>
      <c r="S1558" s="1359"/>
      <c r="U1558" s="1728"/>
      <c r="V1558" s="70">
        <f t="shared" si="176"/>
        <v>0</v>
      </c>
      <c r="W1558" s="1767"/>
      <c r="X1558" s="70"/>
    </row>
    <row r="1559" spans="2:24" ht="16" thickBot="1" x14ac:dyDescent="0.25">
      <c r="B1559" s="1710" t="e">
        <f>AVERAGE(#REF!)</f>
        <v>#REF!</v>
      </c>
      <c r="C1559" s="544">
        <v>44647</v>
      </c>
      <c r="D1559" s="67"/>
      <c r="E1559" s="208"/>
      <c r="F1559" s="1557"/>
      <c r="G1559" s="1230"/>
      <c r="H1559" s="1231" t="str">
        <f>IFERROR(VLOOKUP(F1559,#REF!,10,FALSE),"")</f>
        <v/>
      </c>
      <c r="I1559" s="1232" t="str">
        <f t="shared" si="186"/>
        <v/>
      </c>
      <c r="J1559" s="256"/>
      <c r="K1559" s="1742"/>
      <c r="L1559" s="1580"/>
      <c r="M1559" s="1561"/>
      <c r="N1559" s="172" t="str">
        <f t="shared" ref="N1559:N1590" si="188">IFERROR((L1559/67)/(1/(I1559*24)/3.6),"")</f>
        <v/>
      </c>
      <c r="O1559" s="1233"/>
      <c r="P1559" s="447" t="str">
        <f>IFERROR(VLOOKUP(F1559,#REF!,12,FALSE),"")</f>
        <v/>
      </c>
      <c r="Q1559" s="1234" t="s">
        <v>8</v>
      </c>
      <c r="R1559" s="1235" t="str">
        <f>IFERROR(VLOOKUP(F1559,#REF!,14,FALSE),"")</f>
        <v/>
      </c>
      <c r="S1559" s="1236" t="str">
        <f t="shared" ref="S1559:S1590" si="189">IFERROR(L1559/J1559,"")</f>
        <v/>
      </c>
      <c r="U1559" s="1728"/>
      <c r="V1559" s="67">
        <f t="shared" si="176"/>
        <v>0</v>
      </c>
      <c r="W1559" s="1768"/>
      <c r="X1559" s="67"/>
    </row>
    <row r="1560" spans="2:24" ht="16" thickBot="1" x14ac:dyDescent="0.25">
      <c r="B1560" s="1661">
        <f t="shared" ref="B1560" si="190">B1553+1</f>
        <v>13</v>
      </c>
      <c r="C1560" s="1199">
        <v>44648</v>
      </c>
      <c r="D1560" s="1108">
        <v>51</v>
      </c>
      <c r="E1560" s="1109" t="s">
        <v>293</v>
      </c>
      <c r="F1560" s="1558" t="s">
        <v>279</v>
      </c>
      <c r="G1560" s="1200">
        <v>3.953703703703703E-2</v>
      </c>
      <c r="H1560" s="1201">
        <v>10.119999999999999</v>
      </c>
      <c r="I1560" s="1202">
        <f t="shared" si="186"/>
        <v>3.9068218416044498E-3</v>
      </c>
      <c r="J1560" s="1203">
        <v>133</v>
      </c>
      <c r="K1560" s="1742"/>
      <c r="L1560" s="1577">
        <v>217</v>
      </c>
      <c r="M1560" s="1374">
        <v>33</v>
      </c>
      <c r="N1560" s="1111">
        <f t="shared" si="188"/>
        <v>1.0932570349831867</v>
      </c>
      <c r="O1560" s="1204" t="s">
        <v>339</v>
      </c>
      <c r="P1560" s="1113" t="str">
        <f>IFERROR(VLOOKUP(F1560,#REF!,12,FALSE),"")</f>
        <v/>
      </c>
      <c r="Q1560" s="1205" t="s">
        <v>8</v>
      </c>
      <c r="R1560" s="1206" t="str">
        <f>IFERROR(VLOOKUP(F1560,#REF!,14,FALSE),"")</f>
        <v/>
      </c>
      <c r="S1560" s="1207">
        <f t="shared" si="189"/>
        <v>1.631578947368421</v>
      </c>
      <c r="U1560" s="1728"/>
      <c r="V1560" s="1108">
        <f t="shared" si="176"/>
        <v>0</v>
      </c>
      <c r="W1560" s="1766"/>
      <c r="X1560" s="1108"/>
    </row>
    <row r="1561" spans="2:24" x14ac:dyDescent="0.2">
      <c r="B1561" s="1666" t="s">
        <v>142</v>
      </c>
      <c r="C1561" s="1208">
        <v>44649</v>
      </c>
      <c r="D1561" s="864"/>
      <c r="E1561" s="865"/>
      <c r="F1561" s="1557"/>
      <c r="G1561" s="1209"/>
      <c r="H1561" s="1210" t="str">
        <f>IFERROR(VLOOKUP(F1561,#REF!,10,FALSE),"")</f>
        <v/>
      </c>
      <c r="I1561" s="1211" t="str">
        <f t="shared" si="186"/>
        <v/>
      </c>
      <c r="J1561" s="1212"/>
      <c r="K1561" s="1742"/>
      <c r="L1561" s="1578"/>
      <c r="M1561" s="1602"/>
      <c r="N1561" s="1171" t="str">
        <f t="shared" si="188"/>
        <v/>
      </c>
      <c r="O1561" s="1213"/>
      <c r="P1561" s="1173" t="str">
        <f>IFERROR(VLOOKUP(F1561,#REF!,12,FALSE),"")</f>
        <v/>
      </c>
      <c r="Q1561" s="1229" t="s">
        <v>8</v>
      </c>
      <c r="R1561" s="1324" t="str">
        <f>IFERROR(VLOOKUP(F1561,#REF!,14,FALSE),"")</f>
        <v/>
      </c>
      <c r="S1561" s="1217" t="str">
        <f t="shared" si="189"/>
        <v/>
      </c>
      <c r="U1561" s="1728"/>
      <c r="V1561" s="864">
        <f t="shared" si="176"/>
        <v>0</v>
      </c>
      <c r="W1561" s="1767"/>
      <c r="X1561" s="864"/>
    </row>
    <row r="1562" spans="2:24" ht="16" thickBot="1" x14ac:dyDescent="0.25">
      <c r="B1562" s="1654">
        <f t="shared" ref="B1562" si="191">SUM(H1560:H1566)</f>
        <v>63.63</v>
      </c>
      <c r="C1562" s="1208">
        <v>44650</v>
      </c>
      <c r="D1562" s="864">
        <v>52</v>
      </c>
      <c r="E1562" s="865" t="s">
        <v>293</v>
      </c>
      <c r="F1562" s="1557" t="s">
        <v>303</v>
      </c>
      <c r="G1562" s="1209">
        <v>4.4699074074074079E-2</v>
      </c>
      <c r="H1562" s="1210">
        <v>12.63</v>
      </c>
      <c r="I1562" s="1211">
        <f t="shared" si="186"/>
        <v>3.5391190874167915E-3</v>
      </c>
      <c r="J1562" s="1212">
        <v>145</v>
      </c>
      <c r="K1562" s="1742"/>
      <c r="L1562" s="1578">
        <v>232</v>
      </c>
      <c r="M1562" s="1602">
        <v>21</v>
      </c>
      <c r="N1562" s="1171">
        <f t="shared" si="188"/>
        <v>1.0588199146783897</v>
      </c>
      <c r="O1562" s="1213" t="s">
        <v>341</v>
      </c>
      <c r="P1562" s="1173" t="str">
        <f>IFERROR(VLOOKUP(F1562,#REF!,12,FALSE),"")</f>
        <v/>
      </c>
      <c r="Q1562" s="1229" t="s">
        <v>8</v>
      </c>
      <c r="R1562" s="1324" t="str">
        <f>IFERROR(VLOOKUP(F1562,#REF!,14,FALSE),"")</f>
        <v/>
      </c>
      <c r="S1562" s="1217">
        <f t="shared" si="189"/>
        <v>1.6</v>
      </c>
      <c r="U1562" s="1728"/>
      <c r="V1562" s="864">
        <f t="shared" si="176"/>
        <v>0</v>
      </c>
      <c r="W1562" s="1767"/>
      <c r="X1562" s="864"/>
    </row>
    <row r="1563" spans="2:24" ht="16" thickBot="1" x14ac:dyDescent="0.25">
      <c r="B1563" s="1667" t="s">
        <v>144</v>
      </c>
      <c r="C1563" s="1208">
        <v>44651</v>
      </c>
      <c r="D1563" s="864">
        <v>53</v>
      </c>
      <c r="E1563" s="865" t="s">
        <v>293</v>
      </c>
      <c r="F1563" s="1557" t="s">
        <v>326</v>
      </c>
      <c r="G1563" s="1209">
        <v>2.836805555555556E-2</v>
      </c>
      <c r="H1563" s="1210">
        <v>7.25</v>
      </c>
      <c r="I1563" s="1211">
        <f t="shared" si="186"/>
        <v>3.9128352490421462E-3</v>
      </c>
      <c r="J1563" s="1212">
        <v>130</v>
      </c>
      <c r="K1563" s="1742"/>
      <c r="L1563" s="1578">
        <v>217</v>
      </c>
      <c r="M1563" s="1602">
        <v>27</v>
      </c>
      <c r="N1563" s="1171">
        <f t="shared" si="188"/>
        <v>1.0949397838394237</v>
      </c>
      <c r="O1563" s="1213" t="s">
        <v>311</v>
      </c>
      <c r="P1563" s="1173" t="str">
        <f>IFERROR(VLOOKUP(F1563,#REF!,12,FALSE),"")</f>
        <v/>
      </c>
      <c r="Q1563" s="1229" t="s">
        <v>8</v>
      </c>
      <c r="R1563" s="1324" t="str">
        <f>IFERROR(VLOOKUP(F1563,#REF!,14,FALSE),"")</f>
        <v/>
      </c>
      <c r="S1563" s="1217">
        <f t="shared" si="189"/>
        <v>1.6692307692307693</v>
      </c>
      <c r="U1563" s="1728"/>
      <c r="V1563" s="864">
        <f t="shared" si="176"/>
        <v>0</v>
      </c>
      <c r="W1563" s="1767"/>
      <c r="X1563" s="864"/>
    </row>
    <row r="1564" spans="2:24" ht="16" thickBot="1" x14ac:dyDescent="0.25">
      <c r="B1564" s="1668" t="e">
        <f>SUM(#REF!)</f>
        <v>#REF!</v>
      </c>
      <c r="C1564" s="1347">
        <v>44652</v>
      </c>
      <c r="D1564" s="1348">
        <v>54</v>
      </c>
      <c r="E1564" s="1349" t="s">
        <v>293</v>
      </c>
      <c r="F1564" s="1608" t="s">
        <v>279</v>
      </c>
      <c r="G1564" s="1350">
        <v>4.3969907407407409E-2</v>
      </c>
      <c r="H1564" s="1351">
        <v>12.23</v>
      </c>
      <c r="I1564" s="1352">
        <f t="shared" si="186"/>
        <v>3.5952499924290604E-3</v>
      </c>
      <c r="J1564" s="1353">
        <v>138</v>
      </c>
      <c r="K1564" s="1742"/>
      <c r="L1564" s="1578">
        <v>239</v>
      </c>
      <c r="M1564" s="1602">
        <v>40</v>
      </c>
      <c r="N1564" s="1354">
        <f t="shared" si="188"/>
        <v>1.1080667797561659</v>
      </c>
      <c r="O1564" s="1355" t="s">
        <v>328</v>
      </c>
      <c r="P1564" s="1356" t="str">
        <f>IFERROR(VLOOKUP(F1564,#REF!,12,FALSE),"")</f>
        <v/>
      </c>
      <c r="Q1564" s="1357" t="s">
        <v>8</v>
      </c>
      <c r="R1564" s="1358" t="str">
        <f>IFERROR(VLOOKUP(F1564,#REF!,14,FALSE),"")</f>
        <v/>
      </c>
      <c r="S1564" s="1359">
        <f t="shared" si="189"/>
        <v>1.7318840579710144</v>
      </c>
      <c r="U1564" s="1728"/>
      <c r="V1564" s="1348">
        <f t="shared" si="176"/>
        <v>0</v>
      </c>
      <c r="W1564" s="1767"/>
      <c r="X1564" s="1348"/>
    </row>
    <row r="1565" spans="2:24" x14ac:dyDescent="0.2">
      <c r="B1565" s="1669" t="s">
        <v>256</v>
      </c>
      <c r="C1565" s="1237">
        <v>44653</v>
      </c>
      <c r="D1565" s="70"/>
      <c r="E1565" s="71"/>
      <c r="F1565" s="1557"/>
      <c r="G1565" s="1238"/>
      <c r="H1565" s="1239" t="str">
        <f>IFERROR(VLOOKUP(F1565,#REF!,10,FALSE),"")</f>
        <v/>
      </c>
      <c r="I1565" s="1240" t="str">
        <f t="shared" si="186"/>
        <v/>
      </c>
      <c r="J1565" s="265"/>
      <c r="K1565" s="1742"/>
      <c r="L1565" s="1581"/>
      <c r="M1565" s="265"/>
      <c r="N1565" s="77" t="str">
        <f t="shared" si="188"/>
        <v/>
      </c>
      <c r="O1565" s="1241"/>
      <c r="P1565" s="79" t="str">
        <f>IFERROR(VLOOKUP(F1565,#REF!,12,FALSE),"")</f>
        <v/>
      </c>
      <c r="Q1565" s="1242" t="s">
        <v>8</v>
      </c>
      <c r="R1565" s="1243" t="str">
        <f>IFERROR(VLOOKUP(F1565,#REF!,14,FALSE),"")</f>
        <v/>
      </c>
      <c r="S1565" s="1244" t="str">
        <f t="shared" si="189"/>
        <v/>
      </c>
      <c r="U1565" s="1728"/>
      <c r="V1565" s="70">
        <f t="shared" si="176"/>
        <v>0</v>
      </c>
      <c r="W1565" s="1767"/>
      <c r="X1565" s="70"/>
    </row>
    <row r="1566" spans="2:24" ht="16" thickBot="1" x14ac:dyDescent="0.25">
      <c r="B1566" s="1710" t="e">
        <f>AVERAGE(#REF!)</f>
        <v>#REF!</v>
      </c>
      <c r="C1566" s="544">
        <v>44654</v>
      </c>
      <c r="D1566" s="67">
        <v>55</v>
      </c>
      <c r="E1566" s="208" t="s">
        <v>293</v>
      </c>
      <c r="F1566" s="1558" t="s">
        <v>276</v>
      </c>
      <c r="G1566" s="1230">
        <v>7.767361111111111E-2</v>
      </c>
      <c r="H1566" s="1231">
        <v>21.4</v>
      </c>
      <c r="I1566" s="1232">
        <f t="shared" si="186"/>
        <v>3.6296079958463138E-3</v>
      </c>
      <c r="J1566" s="256">
        <v>142</v>
      </c>
      <c r="K1566" s="1742"/>
      <c r="L1566" s="1580">
        <v>232</v>
      </c>
      <c r="M1566" s="1561">
        <v>91</v>
      </c>
      <c r="N1566" s="172">
        <f t="shared" si="188"/>
        <v>1.0858920351513461</v>
      </c>
      <c r="O1566" s="1233" t="s">
        <v>327</v>
      </c>
      <c r="P1566" s="447" t="str">
        <f>IFERROR(VLOOKUP(F1566,#REF!,12,FALSE),"")</f>
        <v/>
      </c>
      <c r="Q1566" s="1234" t="s">
        <v>8</v>
      </c>
      <c r="R1566" s="1235" t="str">
        <f>IFERROR(VLOOKUP(F1566,#REF!,14,FALSE),"")</f>
        <v/>
      </c>
      <c r="S1566" s="1236">
        <f t="shared" si="189"/>
        <v>1.6338028169014085</v>
      </c>
      <c r="U1566" s="1728"/>
      <c r="V1566" s="67">
        <f t="shared" si="176"/>
        <v>0</v>
      </c>
      <c r="W1566" s="1768"/>
      <c r="X1566" s="67"/>
    </row>
    <row r="1567" spans="2:24" ht="16" thickBot="1" x14ac:dyDescent="0.25">
      <c r="B1567" s="1661">
        <f t="shared" ref="B1567" si="192">B1560+1</f>
        <v>14</v>
      </c>
      <c r="C1567" s="1199">
        <v>44655</v>
      </c>
      <c r="D1567" s="1108"/>
      <c r="E1567" s="1109"/>
      <c r="F1567" s="1557"/>
      <c r="G1567" s="1200"/>
      <c r="H1567" s="1201" t="str">
        <f>IFERROR(VLOOKUP(F1567,#REF!,10,FALSE),"")</f>
        <v/>
      </c>
      <c r="I1567" s="1202" t="str">
        <f t="shared" si="186"/>
        <v/>
      </c>
      <c r="J1567" s="1203"/>
      <c r="K1567" s="1742"/>
      <c r="L1567" s="1577"/>
      <c r="M1567" s="1374"/>
      <c r="N1567" s="1111" t="str">
        <f t="shared" si="188"/>
        <v/>
      </c>
      <c r="O1567" s="1204"/>
      <c r="P1567" s="1113" t="str">
        <f>IFERROR(VLOOKUP(F1567,#REF!,12,FALSE),"")</f>
        <v/>
      </c>
      <c r="Q1567" s="1205" t="s">
        <v>8</v>
      </c>
      <c r="R1567" s="1206" t="str">
        <f>IFERROR(VLOOKUP(F1567,#REF!,14,FALSE),"")</f>
        <v/>
      </c>
      <c r="S1567" s="1207" t="str">
        <f t="shared" si="189"/>
        <v/>
      </c>
      <c r="U1567" s="1728"/>
      <c r="V1567" s="1108">
        <f t="shared" si="176"/>
        <v>0</v>
      </c>
      <c r="W1567" s="1766"/>
      <c r="X1567" s="1108"/>
    </row>
    <row r="1568" spans="2:24" x14ac:dyDescent="0.2">
      <c r="B1568" s="1666" t="s">
        <v>142</v>
      </c>
      <c r="C1568" s="1208">
        <v>44656</v>
      </c>
      <c r="D1568" s="864">
        <v>56</v>
      </c>
      <c r="E1568" s="865" t="s">
        <v>293</v>
      </c>
      <c r="F1568" s="1557" t="s">
        <v>279</v>
      </c>
      <c r="G1568" s="1209">
        <v>3.7268518518518513E-2</v>
      </c>
      <c r="H1568" s="1210">
        <v>10.1</v>
      </c>
      <c r="I1568" s="1211">
        <f t="shared" ref="I1568" si="193">IFERROR(G1568/H1568,"")</f>
        <v>3.6899523285661897E-3</v>
      </c>
      <c r="J1568" s="1212"/>
      <c r="K1568" s="1742"/>
      <c r="L1568" s="1578">
        <v>230</v>
      </c>
      <c r="M1568" s="1602">
        <v>43</v>
      </c>
      <c r="N1568" s="1171">
        <f t="shared" si="188"/>
        <v>1.0944288458696616</v>
      </c>
      <c r="O1568" s="1213" t="s">
        <v>329</v>
      </c>
      <c r="P1568" s="1173" t="str">
        <f>IFERROR(VLOOKUP(F1568,#REF!,12,FALSE),"")</f>
        <v/>
      </c>
      <c r="Q1568" s="1229" t="s">
        <v>8</v>
      </c>
      <c r="R1568" s="1324" t="str">
        <f>IFERROR(VLOOKUP(F1568,#REF!,14,FALSE),"")</f>
        <v/>
      </c>
      <c r="S1568" s="1217" t="str">
        <f t="shared" si="189"/>
        <v/>
      </c>
      <c r="U1568" s="1728"/>
      <c r="V1568" s="864">
        <f t="shared" si="176"/>
        <v>0</v>
      </c>
      <c r="W1568" s="1767"/>
      <c r="X1568" s="864"/>
    </row>
    <row r="1569" spans="2:24" ht="16" thickBot="1" x14ac:dyDescent="0.25">
      <c r="B1569" s="1654">
        <f t="shared" ref="B1569" si="194">SUM(H1567:H1573)</f>
        <v>43.029999999999994</v>
      </c>
      <c r="C1569" s="1208">
        <v>44657</v>
      </c>
      <c r="D1569" s="864">
        <v>57</v>
      </c>
      <c r="E1569" s="865" t="s">
        <v>293</v>
      </c>
      <c r="F1569" s="1558" t="s">
        <v>11</v>
      </c>
      <c r="G1569" s="1209">
        <v>4.4085648148148145E-2</v>
      </c>
      <c r="H1569" s="1210">
        <v>12.41</v>
      </c>
      <c r="I1569" s="1211">
        <f t="shared" si="186"/>
        <v>3.5524293431223324E-3</v>
      </c>
      <c r="J1569" s="1212">
        <v>142</v>
      </c>
      <c r="K1569" s="1742"/>
      <c r="L1569" s="1578">
        <v>237</v>
      </c>
      <c r="M1569" s="1602">
        <v>50</v>
      </c>
      <c r="N1569" s="1171">
        <f t="shared" si="188"/>
        <v>1.0857072413917521</v>
      </c>
      <c r="O1569" s="1213" t="s">
        <v>280</v>
      </c>
      <c r="P1569" s="1173" t="str">
        <f>IFERROR(VLOOKUP(F1569,#REF!,12,FALSE),"")</f>
        <v/>
      </c>
      <c r="Q1569" s="1229" t="s">
        <v>8</v>
      </c>
      <c r="R1569" s="1324" t="str">
        <f>IFERROR(VLOOKUP(F1569,#REF!,14,FALSE),"")</f>
        <v/>
      </c>
      <c r="S1569" s="1217">
        <f t="shared" si="189"/>
        <v>1.6690140845070423</v>
      </c>
      <c r="U1569" s="1728"/>
      <c r="V1569" s="864">
        <f t="shared" si="176"/>
        <v>0</v>
      </c>
      <c r="W1569" s="1767"/>
      <c r="X1569" s="864"/>
    </row>
    <row r="1570" spans="2:24" x14ac:dyDescent="0.2">
      <c r="B1570" s="1667" t="s">
        <v>144</v>
      </c>
      <c r="C1570" s="1208">
        <v>44658</v>
      </c>
      <c r="D1570" s="864"/>
      <c r="E1570" s="865"/>
      <c r="F1570" s="1557"/>
      <c r="G1570" s="1209"/>
      <c r="H1570" s="1210" t="str">
        <f>IFERROR(VLOOKUP(F1570,#REF!,10,FALSE),"")</f>
        <v/>
      </c>
      <c r="I1570" s="1211" t="str">
        <f t="shared" si="186"/>
        <v/>
      </c>
      <c r="J1570" s="1212"/>
      <c r="K1570" s="1742"/>
      <c r="L1570" s="1578"/>
      <c r="M1570" s="1602"/>
      <c r="N1570" s="1171" t="str">
        <f t="shared" si="188"/>
        <v/>
      </c>
      <c r="O1570" s="1213"/>
      <c r="P1570" s="1173" t="str">
        <f>IFERROR(VLOOKUP(F1570,#REF!,12,FALSE),"")</f>
        <v/>
      </c>
      <c r="Q1570" s="1229" t="s">
        <v>8</v>
      </c>
      <c r="R1570" s="1324" t="str">
        <f>IFERROR(VLOOKUP(F1570,#REF!,14,FALSE),"")</f>
        <v/>
      </c>
      <c r="S1570" s="1217" t="str">
        <f t="shared" si="189"/>
        <v/>
      </c>
      <c r="U1570" s="1728"/>
      <c r="V1570" s="864">
        <f t="shared" si="176"/>
        <v>0</v>
      </c>
      <c r="W1570" s="1767"/>
      <c r="X1570" s="864"/>
    </row>
    <row r="1571" spans="2:24" ht="16" thickBot="1" x14ac:dyDescent="0.25">
      <c r="B1571" s="1668" t="e">
        <f>SUM(#REF!)</f>
        <v>#REF!</v>
      </c>
      <c r="C1571" s="1347">
        <v>44659</v>
      </c>
      <c r="D1571" s="1348">
        <v>58</v>
      </c>
      <c r="E1571" s="1349" t="s">
        <v>293</v>
      </c>
      <c r="F1571" s="1609" t="s">
        <v>279</v>
      </c>
      <c r="G1571" s="1350">
        <v>3.6469907407407402E-2</v>
      </c>
      <c r="H1571" s="1351">
        <v>10.08</v>
      </c>
      <c r="I1571" s="1352">
        <f t="shared" si="186"/>
        <v>3.6180463697824804E-3</v>
      </c>
      <c r="J1571" s="1353">
        <v>137</v>
      </c>
      <c r="K1571" s="1742"/>
      <c r="L1571" s="1578">
        <v>234</v>
      </c>
      <c r="M1571" s="1602">
        <v>37</v>
      </c>
      <c r="N1571" s="1354">
        <f t="shared" si="188"/>
        <v>1.0917643923240936</v>
      </c>
      <c r="O1571" s="1355" t="s">
        <v>328</v>
      </c>
      <c r="P1571" s="1356" t="str">
        <f>IFERROR(VLOOKUP(F1571,#REF!,12,FALSE),"")</f>
        <v/>
      </c>
      <c r="Q1571" s="1357" t="s">
        <v>8</v>
      </c>
      <c r="R1571" s="1358" t="str">
        <f>IFERROR(VLOOKUP(F1571,#REF!,14,FALSE),"")</f>
        <v/>
      </c>
      <c r="S1571" s="1359">
        <f t="shared" si="189"/>
        <v>1.7080291970802919</v>
      </c>
      <c r="U1571" s="1728"/>
      <c r="V1571" s="1348">
        <f t="shared" si="176"/>
        <v>0</v>
      </c>
      <c r="W1571" s="1767"/>
      <c r="X1571" s="1348"/>
    </row>
    <row r="1572" spans="2:24" ht="16" thickBot="1" x14ac:dyDescent="0.25">
      <c r="B1572" s="1669" t="s">
        <v>256</v>
      </c>
      <c r="C1572" s="1237">
        <v>44660</v>
      </c>
      <c r="D1572" s="70"/>
      <c r="E1572" s="71"/>
      <c r="F1572" s="1559"/>
      <c r="G1572" s="1238"/>
      <c r="H1572" s="1351" t="str">
        <f>IFERROR(VLOOKUP(F1572,#REF!,10,FALSE),"")</f>
        <v/>
      </c>
      <c r="I1572" s="1240" t="str">
        <f t="shared" si="186"/>
        <v/>
      </c>
      <c r="J1572" s="265"/>
      <c r="K1572" s="1742"/>
      <c r="L1572" s="1581"/>
      <c r="M1572" s="265"/>
      <c r="N1572" s="77" t="str">
        <f t="shared" si="188"/>
        <v/>
      </c>
      <c r="O1572" s="1241"/>
      <c r="P1572" s="79" t="str">
        <f>IFERROR(VLOOKUP(F1572,#REF!,12,FALSE),"")</f>
        <v/>
      </c>
      <c r="Q1572" s="1242" t="s">
        <v>8</v>
      </c>
      <c r="R1572" s="1243" t="str">
        <f>IFERROR(VLOOKUP(F1572,#REF!,14,FALSE),"")</f>
        <v/>
      </c>
      <c r="S1572" s="1244" t="str">
        <f t="shared" si="189"/>
        <v/>
      </c>
      <c r="U1572" s="1728"/>
      <c r="V1572" s="70">
        <f t="shared" si="176"/>
        <v>0</v>
      </c>
      <c r="W1572" s="1767"/>
      <c r="X1572" s="70"/>
    </row>
    <row r="1573" spans="2:24" ht="16" thickBot="1" x14ac:dyDescent="0.25">
      <c r="B1573" s="1710" t="e">
        <f>AVERAGE(#REF!)</f>
        <v>#REF!</v>
      </c>
      <c r="C1573" s="544">
        <v>44661</v>
      </c>
      <c r="D1573" s="67">
        <v>59</v>
      </c>
      <c r="E1573" s="208" t="s">
        <v>293</v>
      </c>
      <c r="F1573" s="1556" t="s">
        <v>279</v>
      </c>
      <c r="G1573" s="1230">
        <v>3.8217592592592588E-2</v>
      </c>
      <c r="H1573" s="1351">
        <v>10.44</v>
      </c>
      <c r="I1573" s="1232">
        <f t="shared" si="186"/>
        <v>3.6606889456506312E-3</v>
      </c>
      <c r="J1573" s="256">
        <v>136</v>
      </c>
      <c r="K1573" s="1742"/>
      <c r="L1573" s="1580">
        <v>234</v>
      </c>
      <c r="M1573" s="1561">
        <v>35</v>
      </c>
      <c r="N1573" s="172">
        <f t="shared" si="188"/>
        <v>1.1046320123520328</v>
      </c>
      <c r="O1573" s="1233" t="s">
        <v>329</v>
      </c>
      <c r="P1573" s="447" t="str">
        <f>IFERROR(VLOOKUP(F1573,#REF!,12,FALSE),"")</f>
        <v/>
      </c>
      <c r="Q1573" s="1234" t="s">
        <v>8</v>
      </c>
      <c r="R1573" s="1235" t="str">
        <f>IFERROR(VLOOKUP(F1573,#REF!,14,FALSE),"")</f>
        <v/>
      </c>
      <c r="S1573" s="1236">
        <f t="shared" si="189"/>
        <v>1.7205882352941178</v>
      </c>
      <c r="U1573" s="1728"/>
      <c r="V1573" s="67">
        <f t="shared" si="176"/>
        <v>0</v>
      </c>
      <c r="W1573" s="1768"/>
      <c r="X1573" s="67"/>
    </row>
    <row r="1574" spans="2:24" ht="16" thickBot="1" x14ac:dyDescent="0.25">
      <c r="B1574" s="1661">
        <f t="shared" ref="B1574" si="195">B1567+1</f>
        <v>15</v>
      </c>
      <c r="C1574" s="1199">
        <v>44662</v>
      </c>
      <c r="D1574" s="1108"/>
      <c r="E1574" s="1109"/>
      <c r="F1574" s="1557"/>
      <c r="G1574" s="1200"/>
      <c r="H1574" s="1201" t="str">
        <f>IFERROR(VLOOKUP(F1574,#REF!,10,FALSE),"")</f>
        <v/>
      </c>
      <c r="I1574" s="1202" t="str">
        <f t="shared" si="186"/>
        <v/>
      </c>
      <c r="J1574" s="1203"/>
      <c r="K1574" s="1742"/>
      <c r="L1574" s="1577"/>
      <c r="M1574" s="1374"/>
      <c r="N1574" s="1111" t="str">
        <f t="shared" si="188"/>
        <v/>
      </c>
      <c r="O1574" s="1204"/>
      <c r="P1574" s="1113" t="str">
        <f>IFERROR(VLOOKUP(F1574,#REF!,12,FALSE),"")</f>
        <v/>
      </c>
      <c r="Q1574" s="1205" t="s">
        <v>8</v>
      </c>
      <c r="R1574" s="1206" t="str">
        <f>IFERROR(VLOOKUP(F1574,#REF!,14,FALSE),"")</f>
        <v/>
      </c>
      <c r="S1574" s="1207" t="str">
        <f t="shared" si="189"/>
        <v/>
      </c>
      <c r="U1574" s="1728"/>
      <c r="V1574" s="1108">
        <f t="shared" si="176"/>
        <v>0</v>
      </c>
      <c r="W1574" s="1766"/>
      <c r="X1574" s="1108"/>
    </row>
    <row r="1575" spans="2:24" x14ac:dyDescent="0.2">
      <c r="B1575" s="1666" t="s">
        <v>142</v>
      </c>
      <c r="C1575" s="1208">
        <v>44663</v>
      </c>
      <c r="D1575" s="864">
        <v>60</v>
      </c>
      <c r="E1575" s="865" t="s">
        <v>293</v>
      </c>
      <c r="F1575" s="1557" t="s">
        <v>279</v>
      </c>
      <c r="G1575" s="1209">
        <v>3.7974537037037036E-2</v>
      </c>
      <c r="H1575" s="1210">
        <v>10.33</v>
      </c>
      <c r="I1575" s="1211">
        <f t="shared" si="186"/>
        <v>3.6761410490839339E-3</v>
      </c>
      <c r="J1575" s="1212">
        <v>142</v>
      </c>
      <c r="K1575" s="1742"/>
      <c r="L1575" s="1578">
        <v>231</v>
      </c>
      <c r="M1575" s="1602">
        <v>35</v>
      </c>
      <c r="N1575" s="1171">
        <f t="shared" si="188"/>
        <v>1.0950730375229372</v>
      </c>
      <c r="O1575" s="1213" t="s">
        <v>339</v>
      </c>
      <c r="P1575" s="1173" t="str">
        <f>IFERROR(VLOOKUP(F1575,#REF!,12,FALSE),"")</f>
        <v/>
      </c>
      <c r="Q1575" s="1229" t="s">
        <v>8</v>
      </c>
      <c r="R1575" s="1324" t="str">
        <f>IFERROR(VLOOKUP(F1575,#REF!,14,FALSE),"")</f>
        <v/>
      </c>
      <c r="S1575" s="1217">
        <f t="shared" si="189"/>
        <v>1.6267605633802817</v>
      </c>
      <c r="U1575" s="1728"/>
      <c r="V1575" s="864">
        <f t="shared" si="176"/>
        <v>0</v>
      </c>
      <c r="W1575" s="1767"/>
      <c r="X1575" s="864"/>
    </row>
    <row r="1576" spans="2:24" ht="16" thickBot="1" x14ac:dyDescent="0.25">
      <c r="B1576" s="1654">
        <f t="shared" ref="B1576" si="196">SUM(H1574:H1580)</f>
        <v>30.020000000000003</v>
      </c>
      <c r="C1576" s="1208">
        <v>44664</v>
      </c>
      <c r="D1576" s="864"/>
      <c r="E1576" s="865"/>
      <c r="F1576" s="1557"/>
      <c r="G1576" s="1209"/>
      <c r="H1576" s="1210" t="str">
        <f>IFERROR(VLOOKUP(F1576,#REF!,10,FALSE),"")</f>
        <v/>
      </c>
      <c r="I1576" s="1211" t="str">
        <f t="shared" si="186"/>
        <v/>
      </c>
      <c r="J1576" s="1212"/>
      <c r="K1576" s="1742"/>
      <c r="L1576" s="1578"/>
      <c r="M1576" s="1602"/>
      <c r="N1576" s="1171" t="str">
        <f t="shared" si="188"/>
        <v/>
      </c>
      <c r="O1576" s="1213"/>
      <c r="P1576" s="1173" t="str">
        <f>IFERROR(VLOOKUP(F1576,#REF!,12,FALSE),"")</f>
        <v/>
      </c>
      <c r="Q1576" s="1229" t="s">
        <v>8</v>
      </c>
      <c r="R1576" s="1324" t="str">
        <f>IFERROR(VLOOKUP(F1576,#REF!,14,FALSE),"")</f>
        <v/>
      </c>
      <c r="S1576" s="1217" t="str">
        <f t="shared" si="189"/>
        <v/>
      </c>
      <c r="U1576" s="1728"/>
      <c r="V1576" s="864">
        <f t="shared" si="176"/>
        <v>0</v>
      </c>
      <c r="W1576" s="1767"/>
      <c r="X1576" s="864"/>
    </row>
    <row r="1577" spans="2:24" x14ac:dyDescent="0.2">
      <c r="B1577" s="1667" t="s">
        <v>144</v>
      </c>
      <c r="C1577" s="1208">
        <v>44665</v>
      </c>
      <c r="D1577" s="864">
        <v>61</v>
      </c>
      <c r="E1577" s="865" t="s">
        <v>293</v>
      </c>
      <c r="F1577" s="1557" t="s">
        <v>279</v>
      </c>
      <c r="G1577" s="1209">
        <v>3.8437499999999999E-2</v>
      </c>
      <c r="H1577" s="1210">
        <v>10.09</v>
      </c>
      <c r="I1577" s="1211">
        <f t="shared" si="186"/>
        <v>3.8094648166501488E-3</v>
      </c>
      <c r="J1577" s="1212">
        <v>139</v>
      </c>
      <c r="K1577" s="1742"/>
      <c r="L1577" s="1578">
        <v>225</v>
      </c>
      <c r="M1577" s="1602">
        <v>33</v>
      </c>
      <c r="N1577" s="1171">
        <f t="shared" si="188"/>
        <v>1.1053133736668492</v>
      </c>
      <c r="O1577" s="1213" t="s">
        <v>311</v>
      </c>
      <c r="P1577" s="1173" t="str">
        <f>IFERROR(VLOOKUP(F1577,#REF!,12,FALSE),"")</f>
        <v/>
      </c>
      <c r="Q1577" s="1229" t="s">
        <v>8</v>
      </c>
      <c r="R1577" s="1324" t="str">
        <f>IFERROR(VLOOKUP(F1577,#REF!,14,FALSE),"")</f>
        <v/>
      </c>
      <c r="S1577" s="1217">
        <f t="shared" si="189"/>
        <v>1.6187050359712229</v>
      </c>
      <c r="U1577" s="1728"/>
      <c r="V1577" s="864">
        <f t="shared" si="176"/>
        <v>0</v>
      </c>
      <c r="W1577" s="1767"/>
      <c r="X1577" s="864"/>
    </row>
    <row r="1578" spans="2:24" ht="16" thickBot="1" x14ac:dyDescent="0.25">
      <c r="B1578" s="1668" t="e">
        <f>SUM(#REF!)</f>
        <v>#REF!</v>
      </c>
      <c r="C1578" s="1347">
        <v>44666</v>
      </c>
      <c r="D1578" s="1348"/>
      <c r="E1578" s="1349"/>
      <c r="F1578" s="1557"/>
      <c r="G1578" s="1350"/>
      <c r="H1578" s="1210" t="str">
        <f>IFERROR(VLOOKUP(F1578,#REF!,10,FALSE),"")</f>
        <v/>
      </c>
      <c r="I1578" s="1211" t="str">
        <f t="shared" si="186"/>
        <v/>
      </c>
      <c r="J1578" s="1353"/>
      <c r="K1578" s="1742"/>
      <c r="L1578" s="1578"/>
      <c r="M1578" s="1602"/>
      <c r="N1578" s="1354" t="str">
        <f t="shared" si="188"/>
        <v/>
      </c>
      <c r="O1578" s="1355"/>
      <c r="P1578" s="1356" t="str">
        <f>IFERROR(VLOOKUP(F1578,#REF!,12,FALSE),"")</f>
        <v/>
      </c>
      <c r="Q1578" s="1357" t="s">
        <v>8</v>
      </c>
      <c r="R1578" s="1358" t="str">
        <f>IFERROR(VLOOKUP(F1578,#REF!,14,FALSE),"")</f>
        <v/>
      </c>
      <c r="S1578" s="1359" t="str">
        <f t="shared" si="189"/>
        <v/>
      </c>
      <c r="U1578" s="1728"/>
      <c r="V1578" s="1348">
        <f t="shared" si="176"/>
        <v>0</v>
      </c>
      <c r="W1578" s="1767"/>
      <c r="X1578" s="1348"/>
    </row>
    <row r="1579" spans="2:24" x14ac:dyDescent="0.2">
      <c r="B1579" s="1669" t="s">
        <v>256</v>
      </c>
      <c r="C1579" s="1237">
        <v>44667</v>
      </c>
      <c r="D1579" s="70">
        <v>62</v>
      </c>
      <c r="E1579" s="71" t="s">
        <v>293</v>
      </c>
      <c r="F1579" s="1557" t="s">
        <v>279</v>
      </c>
      <c r="G1579" s="1238">
        <v>3.6354166666666667E-2</v>
      </c>
      <c r="H1579" s="1210">
        <v>9.6</v>
      </c>
      <c r="I1579" s="1211">
        <f t="shared" si="186"/>
        <v>3.7868923611111111E-3</v>
      </c>
      <c r="J1579" s="265">
        <v>129</v>
      </c>
      <c r="K1579" s="1742"/>
      <c r="L1579" s="1581">
        <v>225</v>
      </c>
      <c r="M1579" s="265">
        <v>69</v>
      </c>
      <c r="N1579" s="77">
        <f t="shared" si="188"/>
        <v>1.0987639925373134</v>
      </c>
      <c r="O1579" s="1241" t="s">
        <v>329</v>
      </c>
      <c r="P1579" s="79" t="str">
        <f>IFERROR(VLOOKUP(F1579,#REF!,12,FALSE),"")</f>
        <v/>
      </c>
      <c r="Q1579" s="1242" t="s">
        <v>8</v>
      </c>
      <c r="R1579" s="1243" t="str">
        <f>IFERROR(VLOOKUP(F1579,#REF!,14,FALSE),"")</f>
        <v/>
      </c>
      <c r="S1579" s="1244">
        <f t="shared" si="189"/>
        <v>1.7441860465116279</v>
      </c>
      <c r="U1579" s="1728"/>
      <c r="V1579" s="70">
        <f t="shared" si="176"/>
        <v>0</v>
      </c>
      <c r="W1579" s="1767"/>
      <c r="X1579" s="70"/>
    </row>
    <row r="1580" spans="2:24" ht="16" thickBot="1" x14ac:dyDescent="0.25">
      <c r="B1580" s="1710" t="e">
        <f>AVERAGE(#REF!)</f>
        <v>#REF!</v>
      </c>
      <c r="C1580" s="544">
        <v>44668</v>
      </c>
      <c r="D1580" s="67"/>
      <c r="E1580" s="208"/>
      <c r="F1580" s="1557"/>
      <c r="G1580" s="1230"/>
      <c r="H1580" s="1231" t="str">
        <f>IFERROR(VLOOKUP(F1580,#REF!,10,FALSE),"")</f>
        <v/>
      </c>
      <c r="I1580" s="1232" t="str">
        <f t="shared" si="186"/>
        <v/>
      </c>
      <c r="J1580" s="256"/>
      <c r="K1580" s="1742"/>
      <c r="L1580" s="1580"/>
      <c r="M1580" s="1561"/>
      <c r="N1580" s="172" t="str">
        <f t="shared" si="188"/>
        <v/>
      </c>
      <c r="O1580" s="1233"/>
      <c r="P1580" s="447" t="str">
        <f>IFERROR(VLOOKUP(F1580,#REF!,12,FALSE),"")</f>
        <v/>
      </c>
      <c r="Q1580" s="1234" t="s">
        <v>8</v>
      </c>
      <c r="R1580" s="1235" t="str">
        <f>IFERROR(VLOOKUP(F1580,#REF!,14,FALSE),"")</f>
        <v/>
      </c>
      <c r="S1580" s="1236" t="str">
        <f t="shared" si="189"/>
        <v/>
      </c>
      <c r="U1580" s="1728"/>
      <c r="V1580" s="67">
        <f t="shared" si="176"/>
        <v>0</v>
      </c>
      <c r="W1580" s="1768"/>
      <c r="X1580" s="67"/>
    </row>
    <row r="1581" spans="2:24" ht="16" thickBot="1" x14ac:dyDescent="0.25">
      <c r="B1581" s="1661">
        <f t="shared" ref="B1581" si="197">B1574+1</f>
        <v>16</v>
      </c>
      <c r="C1581" s="1199">
        <v>44669</v>
      </c>
      <c r="D1581" s="1108"/>
      <c r="E1581" s="1109"/>
      <c r="F1581" s="1557"/>
      <c r="G1581" s="1200"/>
      <c r="H1581" s="1201" t="str">
        <f>IFERROR(VLOOKUP(F1581,#REF!,10,FALSE),"")</f>
        <v/>
      </c>
      <c r="I1581" s="1202" t="str">
        <f t="shared" si="186"/>
        <v/>
      </c>
      <c r="J1581" s="1203"/>
      <c r="K1581" s="1742"/>
      <c r="L1581" s="1577"/>
      <c r="M1581" s="1374"/>
      <c r="N1581" s="1111" t="str">
        <f t="shared" si="188"/>
        <v/>
      </c>
      <c r="O1581" s="1204"/>
      <c r="P1581" s="1113" t="str">
        <f>IFERROR(VLOOKUP(F1581,#REF!,12,FALSE),"")</f>
        <v/>
      </c>
      <c r="Q1581" s="1205" t="s">
        <v>8</v>
      </c>
      <c r="R1581" s="1206" t="str">
        <f>IFERROR(VLOOKUP(F1581,#REF!,14,FALSE),"")</f>
        <v/>
      </c>
      <c r="S1581" s="1207" t="str">
        <f t="shared" si="189"/>
        <v/>
      </c>
      <c r="U1581" s="1728"/>
      <c r="V1581" s="1108">
        <f t="shared" si="176"/>
        <v>0</v>
      </c>
      <c r="W1581" s="1766"/>
      <c r="X1581" s="1108"/>
    </row>
    <row r="1582" spans="2:24" x14ac:dyDescent="0.2">
      <c r="B1582" s="1666" t="s">
        <v>142</v>
      </c>
      <c r="C1582" s="1208">
        <v>44670</v>
      </c>
      <c r="D1582" s="864">
        <v>63</v>
      </c>
      <c r="E1582" s="865" t="s">
        <v>293</v>
      </c>
      <c r="F1582" s="1556" t="s">
        <v>279</v>
      </c>
      <c r="G1582" s="1209">
        <v>3.8854166666666669E-2</v>
      </c>
      <c r="H1582" s="1210">
        <v>10.77</v>
      </c>
      <c r="I1582" s="1211">
        <f t="shared" si="186"/>
        <v>3.6076292169606936E-3</v>
      </c>
      <c r="J1582" s="1212">
        <v>140</v>
      </c>
      <c r="K1582" s="1742"/>
      <c r="L1582" s="1578">
        <v>236</v>
      </c>
      <c r="M1582" s="1602">
        <v>39</v>
      </c>
      <c r="N1582" s="1171">
        <f t="shared" si="188"/>
        <v>1.0979254147091839</v>
      </c>
      <c r="O1582" s="1213" t="s">
        <v>328</v>
      </c>
      <c r="P1582" s="1173" t="str">
        <f>IFERROR(VLOOKUP(F1582,#REF!,12,FALSE),"")</f>
        <v/>
      </c>
      <c r="Q1582" s="1229" t="s">
        <v>8</v>
      </c>
      <c r="R1582" s="1324" t="str">
        <f>IFERROR(VLOOKUP(F1582,#REF!,14,FALSE),"")</f>
        <v/>
      </c>
      <c r="S1582" s="1217">
        <f t="shared" si="189"/>
        <v>1.6857142857142857</v>
      </c>
      <c r="U1582" s="1728"/>
      <c r="V1582" s="864">
        <f t="shared" si="176"/>
        <v>0</v>
      </c>
      <c r="W1582" s="1767"/>
      <c r="X1582" s="864"/>
    </row>
    <row r="1583" spans="2:24" ht="16" thickBot="1" x14ac:dyDescent="0.25">
      <c r="B1583" s="1654">
        <f t="shared" ref="B1583" si="198">SUM(H1581:H1587)</f>
        <v>38.42</v>
      </c>
      <c r="C1583" s="1208">
        <v>44671</v>
      </c>
      <c r="D1583" s="864"/>
      <c r="E1583" s="865"/>
      <c r="F1583" s="1557"/>
      <c r="G1583" s="1209"/>
      <c r="H1583" s="1210" t="str">
        <f>IFERROR(VLOOKUP(F1583,#REF!,10,FALSE),"")</f>
        <v/>
      </c>
      <c r="I1583" s="1211" t="str">
        <f t="shared" si="186"/>
        <v/>
      </c>
      <c r="J1583" s="1212"/>
      <c r="K1583" s="1742"/>
      <c r="L1583" s="1578"/>
      <c r="M1583" s="1602"/>
      <c r="N1583" s="1171" t="str">
        <f t="shared" si="188"/>
        <v/>
      </c>
      <c r="O1583" s="1213"/>
      <c r="P1583" s="1173" t="str">
        <f>IFERROR(VLOOKUP(F1583,#REF!,12,FALSE),"")</f>
        <v/>
      </c>
      <c r="Q1583" s="1229" t="s">
        <v>8</v>
      </c>
      <c r="R1583" s="1324" t="str">
        <f>IFERROR(VLOOKUP(F1583,#REF!,14,FALSE),"")</f>
        <v/>
      </c>
      <c r="S1583" s="1217" t="str">
        <f t="shared" si="189"/>
        <v/>
      </c>
      <c r="U1583" s="1728"/>
      <c r="V1583" s="864">
        <f t="shared" si="176"/>
        <v>0</v>
      </c>
      <c r="W1583" s="1767"/>
      <c r="X1583" s="864"/>
    </row>
    <row r="1584" spans="2:24" x14ac:dyDescent="0.2">
      <c r="B1584" s="1667" t="s">
        <v>144</v>
      </c>
      <c r="C1584" s="1208">
        <v>44672</v>
      </c>
      <c r="D1584" s="864">
        <v>64</v>
      </c>
      <c r="E1584" s="865" t="s">
        <v>293</v>
      </c>
      <c r="F1584" s="1558" t="s">
        <v>279</v>
      </c>
      <c r="G1584" s="1209">
        <v>3.7766203703703705E-2</v>
      </c>
      <c r="H1584" s="1210">
        <v>10.3</v>
      </c>
      <c r="I1584" s="1211">
        <f t="shared" si="186"/>
        <v>3.6666217188061848E-3</v>
      </c>
      <c r="J1584" s="1212">
        <v>134</v>
      </c>
      <c r="K1584" s="1742"/>
      <c r="L1584" s="1578">
        <v>231</v>
      </c>
      <c r="M1584" s="1602">
        <v>30</v>
      </c>
      <c r="N1584" s="1171">
        <f t="shared" si="188"/>
        <v>1.0922373569047965</v>
      </c>
      <c r="O1584" s="1213" t="s">
        <v>329</v>
      </c>
      <c r="P1584" s="1173" t="str">
        <f>IFERROR(VLOOKUP(F1584,#REF!,12,FALSE),"")</f>
        <v/>
      </c>
      <c r="Q1584" s="1229" t="s">
        <v>8</v>
      </c>
      <c r="R1584" s="1324" t="str">
        <f>IFERROR(VLOOKUP(F1584,#REF!,14,FALSE),"")</f>
        <v/>
      </c>
      <c r="S1584" s="1217">
        <f t="shared" si="189"/>
        <v>1.7238805970149254</v>
      </c>
      <c r="U1584" s="1728"/>
      <c r="V1584" s="864">
        <f t="shared" si="176"/>
        <v>0</v>
      </c>
      <c r="W1584" s="1767"/>
      <c r="X1584" s="864"/>
    </row>
    <row r="1585" spans="2:24" ht="16" thickBot="1" x14ac:dyDescent="0.25">
      <c r="B1585" s="1668" t="e">
        <f>SUM(#REF!)</f>
        <v>#REF!</v>
      </c>
      <c r="C1585" s="1347">
        <v>44673</v>
      </c>
      <c r="D1585" s="1348"/>
      <c r="E1585" s="1349"/>
      <c r="F1585" s="1555"/>
      <c r="G1585" s="1350"/>
      <c r="H1585" s="1351" t="str">
        <f>IFERROR(VLOOKUP(F1585,#REF!,10,FALSE),"")</f>
        <v/>
      </c>
      <c r="I1585" s="1352" t="str">
        <f t="shared" si="186"/>
        <v/>
      </c>
      <c r="J1585" s="1353"/>
      <c r="K1585" s="1742"/>
      <c r="L1585" s="1578"/>
      <c r="M1585" s="1602"/>
      <c r="N1585" s="1354" t="str">
        <f t="shared" si="188"/>
        <v/>
      </c>
      <c r="O1585" s="1355"/>
      <c r="P1585" s="1356" t="str">
        <f>IFERROR(VLOOKUP(F1585,#REF!,12,FALSE),"")</f>
        <v/>
      </c>
      <c r="Q1585" s="1357" t="s">
        <v>8</v>
      </c>
      <c r="R1585" s="1358" t="str">
        <f>IFERROR(VLOOKUP(F1585,#REF!,14,FALSE),"")</f>
        <v/>
      </c>
      <c r="S1585" s="1359" t="str">
        <f t="shared" si="189"/>
        <v/>
      </c>
      <c r="U1585" s="1728"/>
      <c r="V1585" s="1348">
        <f t="shared" si="176"/>
        <v>0</v>
      </c>
      <c r="W1585" s="1767"/>
      <c r="X1585" s="1348"/>
    </row>
    <row r="1586" spans="2:24" x14ac:dyDescent="0.2">
      <c r="B1586" s="1669" t="s">
        <v>256</v>
      </c>
      <c r="C1586" s="1237">
        <v>44674</v>
      </c>
      <c r="D1586" s="70">
        <v>65</v>
      </c>
      <c r="E1586" s="71" t="s">
        <v>293</v>
      </c>
      <c r="F1586" s="1557" t="s">
        <v>273</v>
      </c>
      <c r="G1586" s="1238">
        <v>6.3796296296296295E-2</v>
      </c>
      <c r="H1586" s="1239">
        <v>17.350000000000001</v>
      </c>
      <c r="I1586" s="1240">
        <f t="shared" si="186"/>
        <v>3.6770199594407084E-3</v>
      </c>
      <c r="J1586" s="265">
        <v>137</v>
      </c>
      <c r="K1586" s="1742"/>
      <c r="L1586" s="1581">
        <v>231</v>
      </c>
      <c r="M1586" s="265">
        <v>69</v>
      </c>
      <c r="N1586" s="77">
        <f t="shared" si="188"/>
        <v>1.0953348531119618</v>
      </c>
      <c r="O1586" s="1241" t="s">
        <v>327</v>
      </c>
      <c r="P1586" s="79" t="str">
        <f>IFERROR(VLOOKUP(F1586,#REF!,12,FALSE),"")</f>
        <v/>
      </c>
      <c r="Q1586" s="1242" t="s">
        <v>8</v>
      </c>
      <c r="R1586" s="1243" t="str">
        <f>IFERROR(VLOOKUP(F1586,#REF!,14,FALSE),"")</f>
        <v/>
      </c>
      <c r="S1586" s="1244">
        <f t="shared" si="189"/>
        <v>1.6861313868613139</v>
      </c>
      <c r="U1586" s="1728"/>
      <c r="V1586" s="70">
        <f t="shared" si="176"/>
        <v>0</v>
      </c>
      <c r="W1586" s="1767"/>
      <c r="X1586" s="70"/>
    </row>
    <row r="1587" spans="2:24" ht="16" thickBot="1" x14ac:dyDescent="0.25">
      <c r="B1587" s="1710" t="e">
        <f>AVERAGE(#REF!)</f>
        <v>#REF!</v>
      </c>
      <c r="C1587" s="544">
        <v>44675</v>
      </c>
      <c r="D1587" s="67"/>
      <c r="E1587" s="208"/>
      <c r="F1587" s="1557"/>
      <c r="G1587" s="1230"/>
      <c r="H1587" s="1231" t="str">
        <f>IFERROR(VLOOKUP(F1587,#REF!,10,FALSE),"")</f>
        <v/>
      </c>
      <c r="I1587" s="1232" t="str">
        <f t="shared" si="186"/>
        <v/>
      </c>
      <c r="J1587" s="256"/>
      <c r="K1587" s="1742"/>
      <c r="L1587" s="1580"/>
      <c r="M1587" s="1561"/>
      <c r="N1587" s="172" t="str">
        <f t="shared" si="188"/>
        <v/>
      </c>
      <c r="O1587" s="1233"/>
      <c r="P1587" s="447" t="str">
        <f>IFERROR(VLOOKUP(F1587,#REF!,12,FALSE),"")</f>
        <v/>
      </c>
      <c r="Q1587" s="1234" t="s">
        <v>8</v>
      </c>
      <c r="R1587" s="1235" t="str">
        <f>IFERROR(VLOOKUP(F1587,#REF!,14,FALSE),"")</f>
        <v/>
      </c>
      <c r="S1587" s="1236" t="str">
        <f t="shared" si="189"/>
        <v/>
      </c>
      <c r="U1587" s="1728"/>
      <c r="V1587" s="67">
        <f t="shared" si="176"/>
        <v>0</v>
      </c>
      <c r="W1587" s="1768"/>
      <c r="X1587" s="67"/>
    </row>
    <row r="1588" spans="2:24" ht="16" thickBot="1" x14ac:dyDescent="0.25">
      <c r="B1588" s="1661">
        <f t="shared" ref="B1588" si="199">B1581+1</f>
        <v>17</v>
      </c>
      <c r="C1588" s="1199">
        <v>44676</v>
      </c>
      <c r="D1588" s="1108">
        <v>66</v>
      </c>
      <c r="E1588" s="1109" t="s">
        <v>293</v>
      </c>
      <c r="F1588" s="1613" t="s">
        <v>279</v>
      </c>
      <c r="G1588" s="1200">
        <v>3.9583333333333331E-2</v>
      </c>
      <c r="H1588" s="1201">
        <v>11.29</v>
      </c>
      <c r="I1588" s="1202">
        <f t="shared" si="186"/>
        <v>3.5060525538824919E-3</v>
      </c>
      <c r="J1588" s="1203">
        <v>138</v>
      </c>
      <c r="K1588" s="1742"/>
      <c r="L1588" s="1577">
        <v>241</v>
      </c>
      <c r="M1588" s="1374">
        <v>35</v>
      </c>
      <c r="N1588" s="1111">
        <f t="shared" si="188"/>
        <v>1.0896183387755642</v>
      </c>
      <c r="O1588" s="1204" t="s">
        <v>329</v>
      </c>
      <c r="P1588" s="1113" t="str">
        <f>IFERROR(VLOOKUP(F1588,#REF!,12,FALSE),"")</f>
        <v/>
      </c>
      <c r="Q1588" s="1205" t="s">
        <v>8</v>
      </c>
      <c r="R1588" s="1206" t="str">
        <f>IFERROR(VLOOKUP(F1588,#REF!,14,FALSE),"")</f>
        <v/>
      </c>
      <c r="S1588" s="1207">
        <f t="shared" si="189"/>
        <v>1.7463768115942029</v>
      </c>
      <c r="U1588" s="1728"/>
      <c r="V1588" s="1108">
        <f t="shared" si="176"/>
        <v>0</v>
      </c>
      <c r="W1588" s="1766"/>
      <c r="X1588" s="1108"/>
    </row>
    <row r="1589" spans="2:24" x14ac:dyDescent="0.2">
      <c r="B1589" s="1666" t="s">
        <v>142</v>
      </c>
      <c r="C1589" s="1208">
        <v>44677</v>
      </c>
      <c r="D1589" s="864"/>
      <c r="E1589" s="865"/>
      <c r="F1589" s="1614"/>
      <c r="G1589" s="1209"/>
      <c r="H1589" s="1210" t="str">
        <f>IFERROR(VLOOKUP(F1589,#REF!,10,FALSE),"")</f>
        <v/>
      </c>
      <c r="I1589" s="1211" t="str">
        <f t="shared" si="186"/>
        <v/>
      </c>
      <c r="J1589" s="1212"/>
      <c r="K1589" s="1742"/>
      <c r="L1589" s="1578"/>
      <c r="M1589" s="1602"/>
      <c r="N1589" s="1171" t="str">
        <f t="shared" si="188"/>
        <v/>
      </c>
      <c r="O1589" s="1213"/>
      <c r="P1589" s="1173" t="str">
        <f>IFERROR(VLOOKUP(F1589,#REF!,12,FALSE),"")</f>
        <v/>
      </c>
      <c r="Q1589" s="1229" t="s">
        <v>8</v>
      </c>
      <c r="R1589" s="1324" t="str">
        <f>IFERROR(VLOOKUP(F1589,#REF!,14,FALSE),"")</f>
        <v/>
      </c>
      <c r="S1589" s="1217" t="str">
        <f t="shared" si="189"/>
        <v/>
      </c>
      <c r="U1589" s="1728"/>
      <c r="V1589" s="864">
        <f t="shared" si="176"/>
        <v>0</v>
      </c>
      <c r="W1589" s="1767"/>
      <c r="X1589" s="864"/>
    </row>
    <row r="1590" spans="2:24" ht="16" thickBot="1" x14ac:dyDescent="0.25">
      <c r="B1590" s="1654">
        <f t="shared" ref="B1590" si="200">SUM(H1588:H1594)</f>
        <v>49</v>
      </c>
      <c r="C1590" s="1208">
        <v>44678</v>
      </c>
      <c r="D1590" s="864">
        <v>67</v>
      </c>
      <c r="E1590" s="865" t="s">
        <v>293</v>
      </c>
      <c r="F1590" s="1614" t="s">
        <v>313</v>
      </c>
      <c r="G1590" s="1209">
        <v>3.4722222222222224E-2</v>
      </c>
      <c r="H1590" s="1210">
        <v>9.68</v>
      </c>
      <c r="I1590" s="1211">
        <f t="shared" si="186"/>
        <v>3.5870064279155192E-3</v>
      </c>
      <c r="J1590" s="1212">
        <v>146</v>
      </c>
      <c r="K1590" s="1742"/>
      <c r="L1590" s="1578">
        <v>226</v>
      </c>
      <c r="M1590" s="1602">
        <v>26</v>
      </c>
      <c r="N1590" s="1171">
        <f t="shared" si="188"/>
        <v>1.0453928703589492</v>
      </c>
      <c r="O1590" s="1213" t="s">
        <v>341</v>
      </c>
      <c r="P1590" s="1173" t="str">
        <f>IFERROR(VLOOKUP(F1590,#REF!,12,FALSE),"")</f>
        <v/>
      </c>
      <c r="Q1590" s="1229" t="s">
        <v>8</v>
      </c>
      <c r="R1590" s="1324" t="str">
        <f>IFERROR(VLOOKUP(F1590,#REF!,14,FALSE),"")</f>
        <v/>
      </c>
      <c r="S1590" s="1217">
        <f t="shared" si="189"/>
        <v>1.547945205479452</v>
      </c>
      <c r="U1590" s="1728"/>
      <c r="V1590" s="864">
        <f t="shared" si="176"/>
        <v>0</v>
      </c>
      <c r="W1590" s="1767"/>
      <c r="X1590" s="864"/>
    </row>
    <row r="1591" spans="2:24" x14ac:dyDescent="0.2">
      <c r="B1591" s="1667" t="s">
        <v>144</v>
      </c>
      <c r="C1591" s="1208">
        <v>44679</v>
      </c>
      <c r="D1591" s="864">
        <v>68</v>
      </c>
      <c r="E1591" s="865" t="s">
        <v>293</v>
      </c>
      <c r="F1591" s="1614" t="s">
        <v>326</v>
      </c>
      <c r="G1591" s="1209">
        <v>2.836805555555556E-2</v>
      </c>
      <c r="H1591" s="1210">
        <v>7.45</v>
      </c>
      <c r="I1591" s="1211">
        <f t="shared" si="186"/>
        <v>3.8077926920208802E-3</v>
      </c>
      <c r="J1591" s="1212">
        <v>134</v>
      </c>
      <c r="K1591" s="1742"/>
      <c r="L1591" s="1578">
        <v>222</v>
      </c>
      <c r="M1591" s="1602">
        <v>24</v>
      </c>
      <c r="N1591" s="1171">
        <f t="shared" ref="N1591:N1619" si="201">IFERROR((L1591/67)/(1/(I1591*24)/3.6),"")</f>
        <v>1.0900971651808073</v>
      </c>
      <c r="O1591" s="1213" t="s">
        <v>339</v>
      </c>
      <c r="P1591" s="1173" t="str">
        <f>IFERROR(VLOOKUP(F1591,#REF!,12,FALSE),"")</f>
        <v/>
      </c>
      <c r="Q1591" s="1229" t="s">
        <v>8</v>
      </c>
      <c r="R1591" s="1324" t="str">
        <f>IFERROR(VLOOKUP(F1591,#REF!,14,FALSE),"")</f>
        <v/>
      </c>
      <c r="S1591" s="1217">
        <f t="shared" ref="S1591:S1624" si="202">IFERROR(L1591/J1591,"")</f>
        <v>1.6567164179104477</v>
      </c>
      <c r="U1591" s="1728"/>
      <c r="V1591" s="864">
        <f t="shared" si="176"/>
        <v>0</v>
      </c>
      <c r="W1591" s="1767"/>
      <c r="X1591" s="864"/>
    </row>
    <row r="1592" spans="2:24" ht="16" thickBot="1" x14ac:dyDescent="0.25">
      <c r="B1592" s="1668" t="e">
        <f>SUM(#REF!)</f>
        <v>#REF!</v>
      </c>
      <c r="C1592" s="1347">
        <v>44680</v>
      </c>
      <c r="D1592" s="1348"/>
      <c r="E1592" s="1349"/>
      <c r="F1592" s="1614"/>
      <c r="G1592" s="1350"/>
      <c r="H1592" s="1351" t="str">
        <f>IFERROR(VLOOKUP(F1592,#REF!,10,FALSE),"")</f>
        <v/>
      </c>
      <c r="I1592" s="1352" t="str">
        <f t="shared" si="186"/>
        <v/>
      </c>
      <c r="J1592" s="1353"/>
      <c r="K1592" s="1742"/>
      <c r="L1592" s="1578"/>
      <c r="M1592" s="1602"/>
      <c r="N1592" s="1354" t="str">
        <f t="shared" si="201"/>
        <v/>
      </c>
      <c r="O1592" s="1355"/>
      <c r="P1592" s="1356" t="str">
        <f>IFERROR(VLOOKUP(F1592,#REF!,12,FALSE),"")</f>
        <v/>
      </c>
      <c r="Q1592" s="1357" t="s">
        <v>8</v>
      </c>
      <c r="R1592" s="1358" t="str">
        <f>IFERROR(VLOOKUP(F1592,#REF!,14,FALSE),"")</f>
        <v/>
      </c>
      <c r="S1592" s="1359" t="str">
        <f t="shared" si="202"/>
        <v/>
      </c>
      <c r="U1592" s="1728"/>
      <c r="V1592" s="1348">
        <f t="shared" si="176"/>
        <v>0</v>
      </c>
      <c r="W1592" s="1767"/>
      <c r="X1592" s="1348"/>
    </row>
    <row r="1593" spans="2:24" x14ac:dyDescent="0.2">
      <c r="B1593" s="1669" t="s">
        <v>256</v>
      </c>
      <c r="C1593" s="1237">
        <v>44681</v>
      </c>
      <c r="D1593" s="70">
        <v>69</v>
      </c>
      <c r="E1593" s="71" t="s">
        <v>293</v>
      </c>
      <c r="F1593" s="1614" t="s">
        <v>274</v>
      </c>
      <c r="G1593" s="1238">
        <v>7.3969907407407401E-2</v>
      </c>
      <c r="H1593" s="1239">
        <v>20.58</v>
      </c>
      <c r="I1593" s="1240">
        <f t="shared" si="186"/>
        <v>3.5942617787855882E-3</v>
      </c>
      <c r="J1593" s="265">
        <v>140</v>
      </c>
      <c r="K1593" s="1742"/>
      <c r="L1593" s="1581">
        <v>235</v>
      </c>
      <c r="M1593" s="265">
        <v>79</v>
      </c>
      <c r="N1593" s="77">
        <f t="shared" si="201"/>
        <v>1.0892222560666058</v>
      </c>
      <c r="O1593" s="1241" t="s">
        <v>327</v>
      </c>
      <c r="P1593" s="79" t="str">
        <f>IFERROR(VLOOKUP(F1593,#REF!,12,FALSE),"")</f>
        <v/>
      </c>
      <c r="Q1593" s="1242" t="s">
        <v>8</v>
      </c>
      <c r="R1593" s="1243" t="str">
        <f>IFERROR(VLOOKUP(F1593,#REF!,14,FALSE),"")</f>
        <v/>
      </c>
      <c r="S1593" s="1244">
        <f t="shared" si="202"/>
        <v>1.6785714285714286</v>
      </c>
      <c r="U1593" s="1728"/>
      <c r="V1593" s="70">
        <f t="shared" si="176"/>
        <v>0</v>
      </c>
      <c r="W1593" s="1767"/>
      <c r="X1593" s="70"/>
    </row>
    <row r="1594" spans="2:24" ht="16" thickBot="1" x14ac:dyDescent="0.25">
      <c r="B1594" s="1710" t="e">
        <f>AVERAGE(#REF!)</f>
        <v>#REF!</v>
      </c>
      <c r="C1594" s="544">
        <v>44682</v>
      </c>
      <c r="D1594" s="67"/>
      <c r="E1594" s="208"/>
      <c r="F1594" s="1615"/>
      <c r="G1594" s="1230"/>
      <c r="H1594" s="1231" t="str">
        <f>IFERROR(VLOOKUP(F1594,#REF!,10,FALSE),"")</f>
        <v/>
      </c>
      <c r="I1594" s="1232" t="str">
        <f t="shared" si="186"/>
        <v/>
      </c>
      <c r="J1594" s="256"/>
      <c r="K1594" s="1742"/>
      <c r="L1594" s="1580"/>
      <c r="M1594" s="1561"/>
      <c r="N1594" s="172" t="str">
        <f t="shared" si="201"/>
        <v/>
      </c>
      <c r="O1594" s="1233"/>
      <c r="P1594" s="447" t="str">
        <f>IFERROR(VLOOKUP(F1594,#REF!,12,FALSE),"")</f>
        <v/>
      </c>
      <c r="Q1594" s="1234" t="s">
        <v>8</v>
      </c>
      <c r="R1594" s="1235" t="str">
        <f>IFERROR(VLOOKUP(F1594,#REF!,14,FALSE),"")</f>
        <v/>
      </c>
      <c r="S1594" s="1236" t="str">
        <f t="shared" si="202"/>
        <v/>
      </c>
      <c r="U1594" s="1728"/>
      <c r="V1594" s="67">
        <f t="shared" ref="V1594:V1657" si="203">U1593-T1593</f>
        <v>0</v>
      </c>
      <c r="W1594" s="1768"/>
      <c r="X1594" s="67"/>
    </row>
    <row r="1595" spans="2:24" ht="16" thickBot="1" x14ac:dyDescent="0.25">
      <c r="B1595" s="1661">
        <f t="shared" ref="B1595" si="204">B1588+1</f>
        <v>18</v>
      </c>
      <c r="C1595" s="1199">
        <v>44683</v>
      </c>
      <c r="D1595" s="1108">
        <v>70</v>
      </c>
      <c r="E1595" s="1109" t="s">
        <v>293</v>
      </c>
      <c r="F1595" s="1610" t="s">
        <v>308</v>
      </c>
      <c r="G1595" s="1200">
        <v>4.6365740740740742E-2</v>
      </c>
      <c r="H1595" s="1201">
        <v>12.79</v>
      </c>
      <c r="I1595" s="1202">
        <f t="shared" si="186"/>
        <v>3.6251556482205429E-3</v>
      </c>
      <c r="J1595" s="1203">
        <v>138</v>
      </c>
      <c r="K1595" s="1742"/>
      <c r="L1595" s="1577">
        <v>236</v>
      </c>
      <c r="M1595" s="1374">
        <v>38</v>
      </c>
      <c r="N1595" s="1111">
        <f t="shared" si="201"/>
        <v>1.1032593093951666</v>
      </c>
      <c r="O1595" s="1204" t="s">
        <v>329</v>
      </c>
      <c r="P1595" s="1113" t="str">
        <f>IFERROR(VLOOKUP(F1595,#REF!,12,FALSE),"")</f>
        <v/>
      </c>
      <c r="Q1595" s="1205" t="s">
        <v>8</v>
      </c>
      <c r="R1595" s="1206" t="str">
        <f>IFERROR(VLOOKUP(F1595,#REF!,14,FALSE),"")</f>
        <v/>
      </c>
      <c r="S1595" s="1207">
        <f t="shared" si="202"/>
        <v>1.7101449275362319</v>
      </c>
      <c r="U1595" s="1728"/>
      <c r="V1595" s="1108">
        <f t="shared" si="203"/>
        <v>0</v>
      </c>
      <c r="W1595" s="1766"/>
      <c r="X1595" s="1108"/>
    </row>
    <row r="1596" spans="2:24" x14ac:dyDescent="0.2">
      <c r="B1596" s="1666" t="s">
        <v>142</v>
      </c>
      <c r="C1596" s="1208">
        <v>44684</v>
      </c>
      <c r="D1596" s="864"/>
      <c r="E1596" s="865"/>
      <c r="F1596" s="1611"/>
      <c r="G1596" s="1209"/>
      <c r="H1596" s="1210" t="str">
        <f>IFERROR(VLOOKUP(F1596,#REF!,10,FALSE),"")</f>
        <v/>
      </c>
      <c r="I1596" s="1211" t="str">
        <f t="shared" si="186"/>
        <v/>
      </c>
      <c r="J1596" s="1212"/>
      <c r="K1596" s="1742"/>
      <c r="L1596" s="1578"/>
      <c r="M1596" s="1602"/>
      <c r="N1596" s="1171" t="str">
        <f t="shared" si="201"/>
        <v/>
      </c>
      <c r="O1596" s="1213"/>
      <c r="P1596" s="1173" t="str">
        <f>IFERROR(VLOOKUP(F1596,#REF!,12,FALSE),"")</f>
        <v/>
      </c>
      <c r="Q1596" s="1229" t="s">
        <v>8</v>
      </c>
      <c r="R1596" s="1324" t="str">
        <f>IFERROR(VLOOKUP(F1596,#REF!,14,FALSE),"")</f>
        <v/>
      </c>
      <c r="S1596" s="1217" t="str">
        <f t="shared" si="202"/>
        <v/>
      </c>
      <c r="U1596" s="1728"/>
      <c r="V1596" s="864">
        <f t="shared" si="203"/>
        <v>0</v>
      </c>
      <c r="W1596" s="1767"/>
      <c r="X1596" s="864"/>
    </row>
    <row r="1597" spans="2:24" ht="16" thickBot="1" x14ac:dyDescent="0.25">
      <c r="B1597" s="1654">
        <f t="shared" ref="B1597" si="205">SUM(H1595:H1601)</f>
        <v>32.36</v>
      </c>
      <c r="C1597" s="1208">
        <v>44685</v>
      </c>
      <c r="D1597" s="864">
        <v>71</v>
      </c>
      <c r="E1597" s="865" t="s">
        <v>293</v>
      </c>
      <c r="F1597" s="1611" t="s">
        <v>314</v>
      </c>
      <c r="G1597" s="1209">
        <v>4.5081018518518513E-2</v>
      </c>
      <c r="H1597" s="1210">
        <v>12.1</v>
      </c>
      <c r="I1597" s="1211">
        <f t="shared" si="186"/>
        <v>3.7257040097949186E-3</v>
      </c>
      <c r="J1597" s="1212">
        <v>145</v>
      </c>
      <c r="K1597" s="1742"/>
      <c r="L1597" s="1578">
        <v>218</v>
      </c>
      <c r="M1597" s="1602">
        <v>31</v>
      </c>
      <c r="N1597" s="1171">
        <f t="shared" si="201"/>
        <v>1.0473788084371531</v>
      </c>
      <c r="O1597" s="1213" t="s">
        <v>341</v>
      </c>
      <c r="P1597" s="1173" t="str">
        <f>IFERROR(VLOOKUP(F1597,#REF!,12,FALSE),"")</f>
        <v/>
      </c>
      <c r="Q1597" s="1229" t="s">
        <v>8</v>
      </c>
      <c r="R1597" s="1324" t="str">
        <f>IFERROR(VLOOKUP(F1597,#REF!,14,FALSE),"")</f>
        <v/>
      </c>
      <c r="S1597" s="1217">
        <f t="shared" si="202"/>
        <v>1.5034482758620689</v>
      </c>
      <c r="U1597" s="1728"/>
      <c r="V1597" s="864">
        <f t="shared" si="203"/>
        <v>0</v>
      </c>
      <c r="W1597" s="1767"/>
      <c r="X1597" s="864"/>
    </row>
    <row r="1598" spans="2:24" x14ac:dyDescent="0.2">
      <c r="B1598" s="1667" t="s">
        <v>144</v>
      </c>
      <c r="C1598" s="1208">
        <v>44686</v>
      </c>
      <c r="D1598" s="864">
        <v>72</v>
      </c>
      <c r="E1598" s="865" t="s">
        <v>293</v>
      </c>
      <c r="F1598" s="1611" t="s">
        <v>326</v>
      </c>
      <c r="G1598" s="1209">
        <v>2.8692129629629633E-2</v>
      </c>
      <c r="H1598" s="1210">
        <v>7.47</v>
      </c>
      <c r="I1598" s="1211">
        <f t="shared" si="186"/>
        <v>3.8409812087857611E-3</v>
      </c>
      <c r="J1598" s="1212">
        <v>132</v>
      </c>
      <c r="K1598" s="1742"/>
      <c r="L1598" s="1578">
        <v>222</v>
      </c>
      <c r="M1598" s="1602">
        <v>17</v>
      </c>
      <c r="N1598" s="1171">
        <f t="shared" si="201"/>
        <v>1.0995983935742975</v>
      </c>
      <c r="O1598" s="1213" t="s">
        <v>328</v>
      </c>
      <c r="P1598" s="1173" t="str">
        <f>IFERROR(VLOOKUP(F1598,#REF!,12,FALSE),"")</f>
        <v/>
      </c>
      <c r="Q1598" s="1229" t="s">
        <v>8</v>
      </c>
      <c r="R1598" s="1324" t="str">
        <f>IFERROR(VLOOKUP(F1598,#REF!,14,FALSE),"")</f>
        <v/>
      </c>
      <c r="S1598" s="1217">
        <f t="shared" si="202"/>
        <v>1.6818181818181819</v>
      </c>
      <c r="U1598" s="1728"/>
      <c r="V1598" s="864">
        <f t="shared" si="203"/>
        <v>0</v>
      </c>
      <c r="W1598" s="1767"/>
      <c r="X1598" s="864"/>
    </row>
    <row r="1599" spans="2:24" ht="16" thickBot="1" x14ac:dyDescent="0.25">
      <c r="B1599" s="1668" t="e">
        <f>SUM(#REF!)</f>
        <v>#REF!</v>
      </c>
      <c r="C1599" s="1347">
        <v>44687</v>
      </c>
      <c r="D1599" s="1348"/>
      <c r="E1599" s="1349"/>
      <c r="F1599" s="1611"/>
      <c r="G1599" s="1350"/>
      <c r="H1599" s="1351" t="str">
        <f>IFERROR(VLOOKUP(F1599,#REF!,10,FALSE),"")</f>
        <v/>
      </c>
      <c r="I1599" s="1352" t="str">
        <f t="shared" si="186"/>
        <v/>
      </c>
      <c r="J1599" s="1353"/>
      <c r="K1599" s="1742"/>
      <c r="L1599" s="1578"/>
      <c r="M1599" s="1602"/>
      <c r="N1599" s="1354" t="str">
        <f t="shared" si="201"/>
        <v/>
      </c>
      <c r="O1599" s="1355"/>
      <c r="P1599" s="1356" t="str">
        <f>IFERROR(VLOOKUP(F1599,#REF!,12,FALSE),"")</f>
        <v/>
      </c>
      <c r="Q1599" s="1357" t="s">
        <v>8</v>
      </c>
      <c r="R1599" s="1358" t="str">
        <f>IFERROR(VLOOKUP(F1599,#REF!,14,FALSE),"")</f>
        <v/>
      </c>
      <c r="S1599" s="1359" t="str">
        <f t="shared" si="202"/>
        <v/>
      </c>
      <c r="U1599" s="1728"/>
      <c r="V1599" s="1348">
        <f t="shared" si="203"/>
        <v>0</v>
      </c>
      <c r="W1599" s="1767"/>
      <c r="X1599" s="1348"/>
    </row>
    <row r="1600" spans="2:24" x14ac:dyDescent="0.2">
      <c r="B1600" s="1669" t="s">
        <v>256</v>
      </c>
      <c r="C1600" s="1237">
        <v>44688</v>
      </c>
      <c r="D1600" s="70"/>
      <c r="E1600" s="71"/>
      <c r="F1600" s="1611"/>
      <c r="G1600" s="1238"/>
      <c r="H1600" s="1239" t="str">
        <f>IFERROR(VLOOKUP(F1600,#REF!,10,FALSE),"")</f>
        <v/>
      </c>
      <c r="I1600" s="1240" t="str">
        <f t="shared" si="186"/>
        <v/>
      </c>
      <c r="J1600" s="265"/>
      <c r="K1600" s="1742"/>
      <c r="L1600" s="1581"/>
      <c r="M1600" s="265"/>
      <c r="N1600" s="77" t="str">
        <f t="shared" si="201"/>
        <v/>
      </c>
      <c r="O1600" s="1241"/>
      <c r="P1600" s="79" t="str">
        <f>IFERROR(VLOOKUP(F1600,#REF!,12,FALSE),"")</f>
        <v/>
      </c>
      <c r="Q1600" s="1242" t="s">
        <v>8</v>
      </c>
      <c r="R1600" s="1243" t="str">
        <f>IFERROR(VLOOKUP(F1600,#REF!,14,FALSE),"")</f>
        <v/>
      </c>
      <c r="S1600" s="1244" t="str">
        <f t="shared" si="202"/>
        <v/>
      </c>
      <c r="U1600" s="1728"/>
      <c r="V1600" s="70">
        <f t="shared" si="203"/>
        <v>0</v>
      </c>
      <c r="W1600" s="1767"/>
      <c r="X1600" s="70"/>
    </row>
    <row r="1601" spans="2:24" ht="16" thickBot="1" x14ac:dyDescent="0.25">
      <c r="B1601" s="1710" t="e">
        <f>AVERAGE(#REF!)</f>
        <v>#REF!</v>
      </c>
      <c r="C1601" s="544">
        <v>44689</v>
      </c>
      <c r="D1601" s="67"/>
      <c r="E1601" s="208"/>
      <c r="F1601" s="1612"/>
      <c r="G1601" s="1230"/>
      <c r="H1601" s="1231" t="str">
        <f>IFERROR(VLOOKUP(F1601,#REF!,10,FALSE),"")</f>
        <v/>
      </c>
      <c r="I1601" s="1232" t="str">
        <f t="shared" si="186"/>
        <v/>
      </c>
      <c r="J1601" s="256"/>
      <c r="K1601" s="1742"/>
      <c r="L1601" s="1580"/>
      <c r="M1601" s="1561"/>
      <c r="N1601" s="172" t="str">
        <f t="shared" si="201"/>
        <v/>
      </c>
      <c r="O1601" s="1233"/>
      <c r="P1601" s="447" t="str">
        <f>IFERROR(VLOOKUP(F1601,#REF!,12,FALSE),"")</f>
        <v/>
      </c>
      <c r="Q1601" s="1234" t="s">
        <v>8</v>
      </c>
      <c r="R1601" s="1235" t="str">
        <f>IFERROR(VLOOKUP(F1601,#REF!,14,FALSE),"")</f>
        <v/>
      </c>
      <c r="S1601" s="1236" t="str">
        <f t="shared" si="202"/>
        <v/>
      </c>
      <c r="U1601" s="1728"/>
      <c r="V1601" s="67">
        <f t="shared" si="203"/>
        <v>0</v>
      </c>
      <c r="W1601" s="1768"/>
      <c r="X1601" s="67"/>
    </row>
    <row r="1602" spans="2:24" ht="16" thickBot="1" x14ac:dyDescent="0.25">
      <c r="B1602" s="1661">
        <f t="shared" ref="B1602" si="206">B1595+1</f>
        <v>19</v>
      </c>
      <c r="C1602" s="1199">
        <v>44690</v>
      </c>
      <c r="D1602" s="1108"/>
      <c r="E1602" s="1109"/>
      <c r="F1602" s="1549"/>
      <c r="G1602" s="1200"/>
      <c r="H1602" s="1201" t="str">
        <f>IFERROR(VLOOKUP(F1602,#REF!,10,FALSE),"")</f>
        <v/>
      </c>
      <c r="I1602" s="1202" t="str">
        <f t="shared" si="186"/>
        <v/>
      </c>
      <c r="J1602" s="1203"/>
      <c r="K1602" s="1742"/>
      <c r="L1602" s="1577"/>
      <c r="M1602" s="1374"/>
      <c r="N1602" s="1111" t="str">
        <f t="shared" si="201"/>
        <v/>
      </c>
      <c r="O1602" s="1204"/>
      <c r="P1602" s="1113" t="str">
        <f>IFERROR(VLOOKUP(F1602,#REF!,12,FALSE),"")</f>
        <v/>
      </c>
      <c r="Q1602" s="1205" t="s">
        <v>8</v>
      </c>
      <c r="R1602" s="1206" t="str">
        <f>IFERROR(VLOOKUP(F1602,#REF!,14,FALSE),"")</f>
        <v/>
      </c>
      <c r="S1602" s="1207" t="str">
        <f t="shared" si="202"/>
        <v/>
      </c>
      <c r="U1602" s="1728"/>
      <c r="V1602" s="1108">
        <f t="shared" si="203"/>
        <v>0</v>
      </c>
      <c r="W1602" s="1766"/>
      <c r="X1602" s="1108"/>
    </row>
    <row r="1603" spans="2:24" x14ac:dyDescent="0.2">
      <c r="B1603" s="1666" t="s">
        <v>142</v>
      </c>
      <c r="C1603" s="1208">
        <v>44691</v>
      </c>
      <c r="D1603" s="864"/>
      <c r="E1603" s="865"/>
      <c r="F1603" s="1616"/>
      <c r="G1603" s="1209"/>
      <c r="H1603" s="1210" t="str">
        <f>IFERROR(VLOOKUP(F1603,#REF!,10,FALSE),"")</f>
        <v/>
      </c>
      <c r="I1603" s="1211" t="str">
        <f t="shared" si="186"/>
        <v/>
      </c>
      <c r="J1603" s="1212"/>
      <c r="K1603" s="1742"/>
      <c r="L1603" s="1578"/>
      <c r="M1603" s="1602"/>
      <c r="N1603" s="1171" t="str">
        <f t="shared" si="201"/>
        <v/>
      </c>
      <c r="O1603" s="1213"/>
      <c r="P1603" s="1173" t="str">
        <f>IFERROR(VLOOKUP(F1603,#REF!,12,FALSE),"")</f>
        <v/>
      </c>
      <c r="Q1603" s="1229" t="s">
        <v>8</v>
      </c>
      <c r="R1603" s="1324" t="str">
        <f>IFERROR(VLOOKUP(F1603,#REF!,14,FALSE),"")</f>
        <v/>
      </c>
      <c r="S1603" s="1217" t="str">
        <f t="shared" si="202"/>
        <v/>
      </c>
      <c r="U1603" s="1728"/>
      <c r="V1603" s="864">
        <f t="shared" si="203"/>
        <v>0</v>
      </c>
      <c r="W1603" s="1767"/>
      <c r="X1603" s="864"/>
    </row>
    <row r="1604" spans="2:24" ht="16" thickBot="1" x14ac:dyDescent="0.25">
      <c r="B1604" s="1654">
        <f t="shared" ref="B1604" si="207">SUM(H1602:H1608)</f>
        <v>7.36</v>
      </c>
      <c r="C1604" s="1208">
        <v>44692</v>
      </c>
      <c r="D1604" s="864"/>
      <c r="E1604" s="865"/>
      <c r="F1604" s="1616"/>
      <c r="G1604" s="1209"/>
      <c r="H1604" s="1210" t="str">
        <f>IFERROR(VLOOKUP(F1604,#REF!,10,FALSE),"")</f>
        <v/>
      </c>
      <c r="I1604" s="1211" t="str">
        <f t="shared" si="186"/>
        <v/>
      </c>
      <c r="J1604" s="1212"/>
      <c r="K1604" s="1742"/>
      <c r="L1604" s="1578"/>
      <c r="M1604" s="1602"/>
      <c r="N1604" s="1171" t="str">
        <f t="shared" si="201"/>
        <v/>
      </c>
      <c r="O1604" s="1213"/>
      <c r="P1604" s="1173" t="str">
        <f>IFERROR(VLOOKUP(F1604,#REF!,12,FALSE),"")</f>
        <v/>
      </c>
      <c r="Q1604" s="1229" t="s">
        <v>8</v>
      </c>
      <c r="R1604" s="1324" t="str">
        <f>IFERROR(VLOOKUP(F1604,#REF!,14,FALSE),"")</f>
        <v/>
      </c>
      <c r="S1604" s="1217" t="str">
        <f t="shared" si="202"/>
        <v/>
      </c>
      <c r="U1604" s="1728"/>
      <c r="V1604" s="864">
        <f t="shared" si="203"/>
        <v>0</v>
      </c>
      <c r="W1604" s="1767"/>
      <c r="X1604" s="864"/>
    </row>
    <row r="1605" spans="2:24" x14ac:dyDescent="0.2">
      <c r="B1605" s="1667" t="s">
        <v>144</v>
      </c>
      <c r="C1605" s="1208">
        <v>44693</v>
      </c>
      <c r="D1605" s="864"/>
      <c r="E1605" s="865"/>
      <c r="F1605" s="1616"/>
      <c r="G1605" s="1209"/>
      <c r="H1605" s="1210" t="str">
        <f>IFERROR(VLOOKUP(F1605,#REF!,10,FALSE),"")</f>
        <v/>
      </c>
      <c r="I1605" s="1211" t="str">
        <f t="shared" si="186"/>
        <v/>
      </c>
      <c r="J1605" s="1212"/>
      <c r="K1605" s="1742"/>
      <c r="L1605" s="1578"/>
      <c r="M1605" s="1602"/>
      <c r="N1605" s="1171" t="str">
        <f t="shared" si="201"/>
        <v/>
      </c>
      <c r="O1605" s="1213"/>
      <c r="P1605" s="1173" t="str">
        <f>IFERROR(VLOOKUP(F1605,#REF!,12,FALSE),"")</f>
        <v/>
      </c>
      <c r="Q1605" s="1229" t="s">
        <v>8</v>
      </c>
      <c r="R1605" s="1324" t="str">
        <f>IFERROR(VLOOKUP(F1605,#REF!,14,FALSE),"")</f>
        <v/>
      </c>
      <c r="S1605" s="1217" t="str">
        <f t="shared" si="202"/>
        <v/>
      </c>
      <c r="U1605" s="1728"/>
      <c r="V1605" s="864">
        <f t="shared" si="203"/>
        <v>0</v>
      </c>
      <c r="W1605" s="1767"/>
      <c r="X1605" s="864"/>
    </row>
    <row r="1606" spans="2:24" ht="16" thickBot="1" x14ac:dyDescent="0.25">
      <c r="B1606" s="1668" t="e">
        <f>SUM(#REF!)</f>
        <v>#REF!</v>
      </c>
      <c r="C1606" s="1347">
        <v>44694</v>
      </c>
      <c r="D1606" s="1348"/>
      <c r="E1606" s="1349"/>
      <c r="F1606" s="1616"/>
      <c r="G1606" s="1350"/>
      <c r="H1606" s="1351" t="str">
        <f>IFERROR(VLOOKUP(F1606,#REF!,10,FALSE),"")</f>
        <v/>
      </c>
      <c r="I1606" s="1352" t="str">
        <f t="shared" si="186"/>
        <v/>
      </c>
      <c r="J1606" s="1353"/>
      <c r="K1606" s="1742"/>
      <c r="L1606" s="1578"/>
      <c r="M1606" s="1602"/>
      <c r="N1606" s="1354" t="str">
        <f t="shared" si="201"/>
        <v/>
      </c>
      <c r="O1606" s="1355"/>
      <c r="P1606" s="1356" t="str">
        <f>IFERROR(VLOOKUP(F1606,#REF!,12,FALSE),"")</f>
        <v/>
      </c>
      <c r="Q1606" s="1357" t="s">
        <v>8</v>
      </c>
      <c r="R1606" s="1358" t="str">
        <f>IFERROR(VLOOKUP(F1606,#REF!,14,FALSE),"")</f>
        <v/>
      </c>
      <c r="S1606" s="1359" t="str">
        <f t="shared" si="202"/>
        <v/>
      </c>
      <c r="U1606" s="1728"/>
      <c r="V1606" s="1348">
        <f t="shared" si="203"/>
        <v>0</v>
      </c>
      <c r="W1606" s="1767"/>
      <c r="X1606" s="1348"/>
    </row>
    <row r="1607" spans="2:24" x14ac:dyDescent="0.2">
      <c r="B1607" s="1669" t="s">
        <v>256</v>
      </c>
      <c r="C1607" s="1237">
        <v>44695</v>
      </c>
      <c r="D1607" s="70"/>
      <c r="E1607" s="71"/>
      <c r="F1607" s="1616"/>
      <c r="G1607" s="1238"/>
      <c r="H1607" s="1239" t="str">
        <f>IFERROR(VLOOKUP(F1607,#REF!,10,FALSE),"")</f>
        <v/>
      </c>
      <c r="I1607" s="1240" t="str">
        <f t="shared" si="186"/>
        <v/>
      </c>
      <c r="J1607" s="265"/>
      <c r="K1607" s="1742"/>
      <c r="L1607" s="1581"/>
      <c r="M1607" s="265"/>
      <c r="N1607" s="77" t="str">
        <f t="shared" si="201"/>
        <v/>
      </c>
      <c r="O1607" s="1241"/>
      <c r="P1607" s="79" t="str">
        <f>IFERROR(VLOOKUP(F1607,#REF!,12,FALSE),"")</f>
        <v/>
      </c>
      <c r="Q1607" s="1242" t="s">
        <v>8</v>
      </c>
      <c r="R1607" s="1243" t="str">
        <f>IFERROR(VLOOKUP(F1607,#REF!,14,FALSE),"")</f>
        <v/>
      </c>
      <c r="S1607" s="1244" t="str">
        <f t="shared" si="202"/>
        <v/>
      </c>
      <c r="U1607" s="1728"/>
      <c r="V1607" s="70">
        <f t="shared" si="203"/>
        <v>0</v>
      </c>
      <c r="W1607" s="1767"/>
      <c r="X1607" s="70"/>
    </row>
    <row r="1608" spans="2:24" ht="16" thickBot="1" x14ac:dyDescent="0.25">
      <c r="B1608" s="1710" t="e">
        <f>AVERAGE(#REF!)</f>
        <v>#REF!</v>
      </c>
      <c r="C1608" s="544">
        <v>44696</v>
      </c>
      <c r="D1608" s="67">
        <v>73</v>
      </c>
      <c r="E1608" s="208" t="s">
        <v>293</v>
      </c>
      <c r="F1608" s="1617" t="s">
        <v>322</v>
      </c>
      <c r="G1608" s="1230">
        <v>2.883101851851852E-2</v>
      </c>
      <c r="H1608" s="1231">
        <v>7.36</v>
      </c>
      <c r="I1608" s="1232">
        <f t="shared" si="186"/>
        <v>3.9172579508856683E-3</v>
      </c>
      <c r="J1608" s="256">
        <v>142</v>
      </c>
      <c r="K1608" s="1742"/>
      <c r="L1608" s="1580">
        <v>220</v>
      </c>
      <c r="M1608" s="1561">
        <v>24</v>
      </c>
      <c r="N1608" s="172">
        <f t="shared" si="201"/>
        <v>1.111331927319922</v>
      </c>
      <c r="O1608" s="1233" t="s">
        <v>329</v>
      </c>
      <c r="P1608" s="447" t="str">
        <f>IFERROR(VLOOKUP(F1608,#REF!,12,FALSE),"")</f>
        <v/>
      </c>
      <c r="Q1608" s="1234" t="s">
        <v>8</v>
      </c>
      <c r="R1608" s="1235" t="str">
        <f>IFERROR(VLOOKUP(F1608,#REF!,14,FALSE),"")</f>
        <v/>
      </c>
      <c r="S1608" s="1236">
        <f t="shared" si="202"/>
        <v>1.5492957746478873</v>
      </c>
      <c r="U1608" s="1728"/>
      <c r="V1608" s="67">
        <f t="shared" si="203"/>
        <v>0</v>
      </c>
      <c r="W1608" s="1768"/>
      <c r="X1608" s="67"/>
    </row>
    <row r="1609" spans="2:24" ht="16" thickBot="1" x14ac:dyDescent="0.25">
      <c r="B1609" s="1661">
        <f t="shared" ref="B1609" si="208">B1602+1</f>
        <v>20</v>
      </c>
      <c r="C1609" s="1199">
        <v>44697</v>
      </c>
      <c r="D1609" s="1108"/>
      <c r="E1609" s="1109"/>
      <c r="F1609" s="1549"/>
      <c r="G1609" s="1200"/>
      <c r="H1609" s="1201" t="str">
        <f>IFERROR(VLOOKUP(F1609,#REF!,10,FALSE),"")</f>
        <v/>
      </c>
      <c r="I1609" s="1202" t="str">
        <f t="shared" si="186"/>
        <v/>
      </c>
      <c r="J1609" s="1203"/>
      <c r="K1609" s="1743"/>
      <c r="L1609" s="1577"/>
      <c r="M1609" s="1374"/>
      <c r="N1609" s="1111" t="str">
        <f t="shared" si="201"/>
        <v/>
      </c>
      <c r="O1609" s="1204"/>
      <c r="P1609" s="1113" t="str">
        <f>IFERROR(VLOOKUP(F1609,#REF!,12,FALSE),"")</f>
        <v/>
      </c>
      <c r="Q1609" s="1205" t="s">
        <v>8</v>
      </c>
      <c r="R1609" s="1206" t="str">
        <f>IFERROR(VLOOKUP(F1609,#REF!,14,FALSE),"")</f>
        <v/>
      </c>
      <c r="S1609" s="1207" t="str">
        <f t="shared" si="202"/>
        <v/>
      </c>
      <c r="U1609" s="1728"/>
      <c r="V1609" s="1108">
        <f t="shared" si="203"/>
        <v>0</v>
      </c>
      <c r="W1609" s="1766"/>
      <c r="X1609" s="1108"/>
    </row>
    <row r="1610" spans="2:24" x14ac:dyDescent="0.2">
      <c r="B1610" s="1666" t="s">
        <v>142</v>
      </c>
      <c r="C1610" s="1208">
        <v>44698</v>
      </c>
      <c r="D1610" s="864">
        <v>74</v>
      </c>
      <c r="E1610" s="865" t="s">
        <v>293</v>
      </c>
      <c r="F1610" s="1616" t="s">
        <v>322</v>
      </c>
      <c r="G1610" s="1209">
        <v>3.3206018518518517E-2</v>
      </c>
      <c r="H1610" s="1210">
        <v>8.66</v>
      </c>
      <c r="I1610" s="1211">
        <f t="shared" si="186"/>
        <v>3.8344132238474038E-3</v>
      </c>
      <c r="J1610" s="1212">
        <v>139</v>
      </c>
      <c r="K1610" s="1743"/>
      <c r="L1610" s="1578">
        <v>222</v>
      </c>
      <c r="M1610" s="1602">
        <v>23</v>
      </c>
      <c r="N1610" s="1171">
        <f t="shared" si="201"/>
        <v>1.0977181069249595</v>
      </c>
      <c r="O1610" s="1213" t="s">
        <v>329</v>
      </c>
      <c r="P1610" s="1173" t="str">
        <f>IFERROR(VLOOKUP(F1610,#REF!,12,FALSE),"")</f>
        <v/>
      </c>
      <c r="Q1610" s="1229" t="s">
        <v>8</v>
      </c>
      <c r="R1610" s="1324" t="str">
        <f>IFERROR(VLOOKUP(F1610,#REF!,14,FALSE),"")</f>
        <v/>
      </c>
      <c r="S1610" s="1217">
        <f t="shared" si="202"/>
        <v>1.5971223021582734</v>
      </c>
      <c r="U1610" s="1728"/>
      <c r="V1610" s="864">
        <f t="shared" si="203"/>
        <v>0</v>
      </c>
      <c r="W1610" s="1767"/>
      <c r="X1610" s="864"/>
    </row>
    <row r="1611" spans="2:24" ht="16" thickBot="1" x14ac:dyDescent="0.25">
      <c r="B1611" s="1654">
        <f t="shared" ref="B1611" si="209">SUM(H1609:H1615)</f>
        <v>25.47</v>
      </c>
      <c r="C1611" s="1208">
        <v>44699</v>
      </c>
      <c r="D1611" s="864"/>
      <c r="E1611" s="865"/>
      <c r="F1611" s="1616"/>
      <c r="G1611" s="1209"/>
      <c r="H1611" s="1210" t="str">
        <f>IFERROR(VLOOKUP(F1611,#REF!,10,FALSE),"")</f>
        <v/>
      </c>
      <c r="I1611" s="1211" t="str">
        <f t="shared" si="186"/>
        <v/>
      </c>
      <c r="J1611" s="1212"/>
      <c r="K1611" s="1743"/>
      <c r="L1611" s="1578"/>
      <c r="M1611" s="1602"/>
      <c r="N1611" s="1171" t="str">
        <f t="shared" si="201"/>
        <v/>
      </c>
      <c r="O1611" s="1213"/>
      <c r="P1611" s="1173" t="str">
        <f>IFERROR(VLOOKUP(F1611,#REF!,12,FALSE),"")</f>
        <v/>
      </c>
      <c r="Q1611" s="1229" t="s">
        <v>8</v>
      </c>
      <c r="R1611" s="1324" t="str">
        <f>IFERROR(VLOOKUP(F1611,#REF!,14,FALSE),"")</f>
        <v/>
      </c>
      <c r="S1611" s="1217" t="str">
        <f t="shared" si="202"/>
        <v/>
      </c>
      <c r="U1611" s="1728"/>
      <c r="V1611" s="864">
        <f t="shared" si="203"/>
        <v>0</v>
      </c>
      <c r="W1611" s="1767"/>
      <c r="X1611" s="864"/>
    </row>
    <row r="1612" spans="2:24" x14ac:dyDescent="0.2">
      <c r="B1612" s="1667" t="s">
        <v>144</v>
      </c>
      <c r="C1612" s="1208">
        <v>44700</v>
      </c>
      <c r="D1612" s="864">
        <v>75</v>
      </c>
      <c r="E1612" s="865" t="s">
        <v>293</v>
      </c>
      <c r="F1612" s="1616" t="s">
        <v>322</v>
      </c>
      <c r="G1612" s="1209">
        <v>3.2048611111111111E-2</v>
      </c>
      <c r="H1612" s="1210">
        <v>8.3800000000000008</v>
      </c>
      <c r="I1612" s="1211">
        <f t="shared" si="186"/>
        <v>3.8244166003712538E-3</v>
      </c>
      <c r="J1612" s="1212">
        <v>139</v>
      </c>
      <c r="K1612" s="1743"/>
      <c r="L1612" s="1578">
        <v>224</v>
      </c>
      <c r="M1612" s="1602">
        <v>21</v>
      </c>
      <c r="N1612" s="1171">
        <f t="shared" si="201"/>
        <v>1.1047198375663447</v>
      </c>
      <c r="O1612" s="1213" t="s">
        <v>328</v>
      </c>
      <c r="P1612" s="1173" t="str">
        <f>IFERROR(VLOOKUP(F1612,#REF!,12,FALSE),"")</f>
        <v/>
      </c>
      <c r="Q1612" s="1229" t="s">
        <v>8</v>
      </c>
      <c r="R1612" s="1324" t="str">
        <f>IFERROR(VLOOKUP(F1612,#REF!,14,FALSE),"")</f>
        <v/>
      </c>
      <c r="S1612" s="1217">
        <f t="shared" si="202"/>
        <v>1.6115107913669064</v>
      </c>
      <c r="U1612" s="1728"/>
      <c r="V1612" s="864">
        <f t="shared" si="203"/>
        <v>0</v>
      </c>
      <c r="W1612" s="1767"/>
      <c r="X1612" s="864"/>
    </row>
    <row r="1613" spans="2:24" ht="16" thickBot="1" x14ac:dyDescent="0.25">
      <c r="B1613" s="1668" t="e">
        <f>SUM(#REF!)</f>
        <v>#REF!</v>
      </c>
      <c r="C1613" s="1347">
        <v>44701</v>
      </c>
      <c r="D1613" s="1348"/>
      <c r="E1613" s="1349"/>
      <c r="F1613" s="1616"/>
      <c r="G1613" s="1350"/>
      <c r="H1613" s="1351" t="str">
        <f>IFERROR(VLOOKUP(F1613,#REF!,10,FALSE),"")</f>
        <v/>
      </c>
      <c r="I1613" s="1352" t="str">
        <f t="shared" si="186"/>
        <v/>
      </c>
      <c r="J1613" s="1353"/>
      <c r="K1613" s="1743"/>
      <c r="L1613" s="1578"/>
      <c r="M1613" s="1602"/>
      <c r="N1613" s="1354" t="str">
        <f t="shared" si="201"/>
        <v/>
      </c>
      <c r="O1613" s="1355"/>
      <c r="P1613" s="1356" t="str">
        <f>IFERROR(VLOOKUP(F1613,#REF!,12,FALSE),"")</f>
        <v/>
      </c>
      <c r="Q1613" s="1357" t="s">
        <v>8</v>
      </c>
      <c r="R1613" s="1358" t="str">
        <f>IFERROR(VLOOKUP(F1613,#REF!,14,FALSE),"")</f>
        <v/>
      </c>
      <c r="S1613" s="1359" t="str">
        <f t="shared" si="202"/>
        <v/>
      </c>
      <c r="U1613" s="1728"/>
      <c r="V1613" s="1348">
        <f t="shared" si="203"/>
        <v>0</v>
      </c>
      <c r="W1613" s="1767"/>
      <c r="X1613" s="1348"/>
    </row>
    <row r="1614" spans="2:24" x14ac:dyDescent="0.2">
      <c r="B1614" s="1669" t="s">
        <v>256</v>
      </c>
      <c r="C1614" s="1237">
        <v>44702</v>
      </c>
      <c r="D1614" s="70">
        <v>76</v>
      </c>
      <c r="E1614" s="71" t="s">
        <v>293</v>
      </c>
      <c r="F1614" s="1804" t="s">
        <v>322</v>
      </c>
      <c r="G1614" s="1238">
        <v>3.2476851851851847E-2</v>
      </c>
      <c r="H1614" s="1351">
        <v>8.43</v>
      </c>
      <c r="I1614" s="1352">
        <f t="shared" ref="I1614:I1615" si="210">IFERROR(G1614/H1614,"")</f>
        <v>3.8525328412635645E-3</v>
      </c>
      <c r="J1614" s="265">
        <v>143</v>
      </c>
      <c r="K1614" s="1743"/>
      <c r="L1614" s="1581">
        <v>222</v>
      </c>
      <c r="M1614" s="265">
        <v>23</v>
      </c>
      <c r="N1614" s="77">
        <f t="shared" si="201"/>
        <v>1.1029054018165401</v>
      </c>
      <c r="O1614" s="1241" t="s">
        <v>329</v>
      </c>
      <c r="P1614" s="79" t="str">
        <f>IFERROR(VLOOKUP(F1615,#REF!,12,FALSE),"")</f>
        <v/>
      </c>
      <c r="Q1614" s="1242" t="s">
        <v>8</v>
      </c>
      <c r="R1614" s="1243" t="str">
        <f>IFERROR(VLOOKUP(F1615,#REF!,14,FALSE),"")</f>
        <v/>
      </c>
      <c r="S1614" s="1244">
        <f t="shared" si="202"/>
        <v>1.5524475524475525</v>
      </c>
      <c r="U1614" s="1728"/>
      <c r="V1614" s="70">
        <f t="shared" si="203"/>
        <v>0</v>
      </c>
      <c r="W1614" s="1767"/>
      <c r="X1614" s="70"/>
    </row>
    <row r="1615" spans="2:24" ht="16" thickBot="1" x14ac:dyDescent="0.25">
      <c r="B1615" s="1710" t="e">
        <f>AVERAGE(#REF!)</f>
        <v>#REF!</v>
      </c>
      <c r="C1615" s="544">
        <v>44703</v>
      </c>
      <c r="D1615" s="67"/>
      <c r="E1615" s="208"/>
      <c r="F1615" s="1616"/>
      <c r="G1615" s="1230"/>
      <c r="H1615" s="1351"/>
      <c r="I1615" s="1352" t="str">
        <f t="shared" si="210"/>
        <v/>
      </c>
      <c r="J1615" s="256"/>
      <c r="K1615" s="1743"/>
      <c r="L1615" s="1580"/>
      <c r="M1615" s="1561"/>
      <c r="N1615" s="172" t="str">
        <f t="shared" si="201"/>
        <v/>
      </c>
      <c r="O1615" s="1233"/>
      <c r="P1615" s="447" t="str">
        <f>IFERROR(VLOOKUP(#REF!,#REF!,12,FALSE),"")</f>
        <v/>
      </c>
      <c r="Q1615" s="1234" t="s">
        <v>8</v>
      </c>
      <c r="R1615" s="1235" t="str">
        <f>IFERROR(VLOOKUP(#REF!,#REF!,14,FALSE),"")</f>
        <v/>
      </c>
      <c r="S1615" s="1236" t="str">
        <f t="shared" si="202"/>
        <v/>
      </c>
      <c r="U1615" s="1728"/>
      <c r="V1615" s="67">
        <f t="shared" si="203"/>
        <v>0</v>
      </c>
      <c r="W1615" s="1768"/>
      <c r="X1615" s="67"/>
    </row>
    <row r="1616" spans="2:24" ht="16" thickBot="1" x14ac:dyDescent="0.25">
      <c r="B1616" s="1661">
        <f t="shared" ref="B1616" si="211">B1609+1</f>
        <v>21</v>
      </c>
      <c r="C1616" s="1199">
        <v>44704</v>
      </c>
      <c r="D1616" s="1108">
        <v>77</v>
      </c>
      <c r="E1616" s="1109" t="s">
        <v>293</v>
      </c>
      <c r="F1616" s="1618" t="s">
        <v>322</v>
      </c>
      <c r="G1616" s="1200">
        <v>3.4247685185185187E-2</v>
      </c>
      <c r="H1616" s="1201">
        <v>8.7899999999999991</v>
      </c>
      <c r="I1616" s="1202">
        <f t="shared" si="186"/>
        <v>3.8962099186786335E-3</v>
      </c>
      <c r="J1616" s="1203">
        <v>141</v>
      </c>
      <c r="K1616" s="1743"/>
      <c r="L1616" s="1577">
        <v>219</v>
      </c>
      <c r="M1616" s="1374">
        <v>39</v>
      </c>
      <c r="N1616" s="1111">
        <f t="shared" si="201"/>
        <v>1.1003362029443229</v>
      </c>
      <c r="O1616" s="1204" t="s">
        <v>329</v>
      </c>
      <c r="P1616" s="1113" t="str">
        <f>IFERROR(VLOOKUP(F1616,#REF!,12,FALSE),"")</f>
        <v/>
      </c>
      <c r="Q1616" s="1205" t="s">
        <v>8</v>
      </c>
      <c r="R1616" s="1206" t="str">
        <f>IFERROR(VLOOKUP(F1616,#REF!,14,FALSE),"")</f>
        <v/>
      </c>
      <c r="S1616" s="1207">
        <f t="shared" si="202"/>
        <v>1.553191489361702</v>
      </c>
      <c r="U1616" s="1728"/>
      <c r="V1616" s="1108">
        <f t="shared" si="203"/>
        <v>0</v>
      </c>
      <c r="W1616" s="1766"/>
      <c r="X1616" s="1108"/>
    </row>
    <row r="1617" spans="2:24" x14ac:dyDescent="0.2">
      <c r="B1617" s="1666" t="s">
        <v>142</v>
      </c>
      <c r="C1617" s="1208">
        <v>44705</v>
      </c>
      <c r="D1617" s="864"/>
      <c r="E1617" s="865"/>
      <c r="F1617" s="1616"/>
      <c r="G1617" s="1209"/>
      <c r="H1617" s="1210" t="str">
        <f>IFERROR(VLOOKUP(F1617,#REF!,10,FALSE),"")</f>
        <v/>
      </c>
      <c r="I1617" s="1211" t="str">
        <f t="shared" si="186"/>
        <v/>
      </c>
      <c r="J1617" s="1212"/>
      <c r="K1617" s="1743"/>
      <c r="L1617" s="1578"/>
      <c r="M1617" s="1602"/>
      <c r="N1617" s="1171" t="str">
        <f t="shared" si="201"/>
        <v/>
      </c>
      <c r="O1617" s="1213"/>
      <c r="P1617" s="1173" t="str">
        <f>IFERROR(VLOOKUP(F1617,#REF!,12,FALSE),"")</f>
        <v/>
      </c>
      <c r="Q1617" s="1229" t="s">
        <v>8</v>
      </c>
      <c r="R1617" s="1324" t="str">
        <f>IFERROR(VLOOKUP(F1617,#REF!,14,FALSE),"")</f>
        <v/>
      </c>
      <c r="S1617" s="1217" t="str">
        <f t="shared" si="202"/>
        <v/>
      </c>
      <c r="U1617" s="1728"/>
      <c r="V1617" s="864">
        <f t="shared" si="203"/>
        <v>0</v>
      </c>
      <c r="W1617" s="1767"/>
      <c r="X1617" s="864"/>
    </row>
    <row r="1618" spans="2:24" ht="16" thickBot="1" x14ac:dyDescent="0.25">
      <c r="B1618" s="1654">
        <f t="shared" ref="B1618" si="212">SUM(H1616:H1622)</f>
        <v>38.35</v>
      </c>
      <c r="C1618" s="1208">
        <v>44706</v>
      </c>
      <c r="D1618" s="864">
        <v>78</v>
      </c>
      <c r="E1618" s="865" t="s">
        <v>293</v>
      </c>
      <c r="F1618" s="1611" t="s">
        <v>279</v>
      </c>
      <c r="G1618" s="1209">
        <v>3.8391203703703698E-2</v>
      </c>
      <c r="H1618" s="1210">
        <v>10.43</v>
      </c>
      <c r="I1618" s="1211">
        <f t="shared" ref="I1618:I1681" si="213">IFERROR(G1618/H1618,"")</f>
        <v>3.6808440751393769E-3</v>
      </c>
      <c r="J1618" s="1212">
        <v>141</v>
      </c>
      <c r="K1618" s="1743"/>
      <c r="L1618" s="1578">
        <v>229</v>
      </c>
      <c r="M1618" s="1602">
        <v>34</v>
      </c>
      <c r="N1618" s="1171">
        <f t="shared" si="201"/>
        <v>1.0869807243742933</v>
      </c>
      <c r="O1618" s="1213" t="s">
        <v>339</v>
      </c>
      <c r="P1618" s="1173" t="str">
        <f>IFERROR(VLOOKUP(F1618,#REF!,12,FALSE),"")</f>
        <v/>
      </c>
      <c r="Q1618" s="1229" t="s">
        <v>8</v>
      </c>
      <c r="R1618" s="1324" t="str">
        <f>IFERROR(VLOOKUP(F1618,#REF!,14,FALSE),"")</f>
        <v/>
      </c>
      <c r="S1618" s="1217">
        <f t="shared" si="202"/>
        <v>1.624113475177305</v>
      </c>
      <c r="U1618" s="1728"/>
      <c r="V1618" s="864">
        <f t="shared" si="203"/>
        <v>0</v>
      </c>
      <c r="W1618" s="1767"/>
      <c r="X1618" s="864"/>
    </row>
    <row r="1619" spans="2:24" x14ac:dyDescent="0.2">
      <c r="B1619" s="1667" t="s">
        <v>144</v>
      </c>
      <c r="C1619" s="1208">
        <v>44707</v>
      </c>
      <c r="D1619" s="864"/>
      <c r="E1619" s="865"/>
      <c r="F1619" s="1611"/>
      <c r="G1619" s="1209"/>
      <c r="H1619" s="1210" t="str">
        <f>IFERROR(VLOOKUP(F1619,#REF!,10,FALSE),"")</f>
        <v/>
      </c>
      <c r="I1619" s="1211" t="str">
        <f t="shared" si="213"/>
        <v/>
      </c>
      <c r="J1619" s="1212"/>
      <c r="K1619" s="1743"/>
      <c r="L1619" s="1578"/>
      <c r="M1619" s="1602"/>
      <c r="N1619" s="1171" t="str">
        <f t="shared" si="201"/>
        <v/>
      </c>
      <c r="O1619" s="1213"/>
      <c r="P1619" s="1173" t="str">
        <f>IFERROR(VLOOKUP(F1619,#REF!,12,FALSE),"")</f>
        <v/>
      </c>
      <c r="Q1619" s="1229" t="s">
        <v>8</v>
      </c>
      <c r="R1619" s="1324" t="str">
        <f>IFERROR(VLOOKUP(F1619,#REF!,14,FALSE),"")</f>
        <v/>
      </c>
      <c r="S1619" s="1217" t="str">
        <f t="shared" si="202"/>
        <v/>
      </c>
      <c r="U1619" s="1728"/>
      <c r="V1619" s="864">
        <f t="shared" si="203"/>
        <v>0</v>
      </c>
      <c r="W1619" s="1767"/>
      <c r="X1619" s="864"/>
    </row>
    <row r="1620" spans="2:24" ht="16" thickBot="1" x14ac:dyDescent="0.25">
      <c r="B1620" s="1668" t="e">
        <f>SUM(#REF!)</f>
        <v>#REF!</v>
      </c>
      <c r="C1620" s="1347">
        <v>44708</v>
      </c>
      <c r="D1620" s="1348">
        <v>79</v>
      </c>
      <c r="E1620" s="1349" t="s">
        <v>293</v>
      </c>
      <c r="F1620" s="1611" t="s">
        <v>297</v>
      </c>
      <c r="G1620" s="1350">
        <v>3.5740740740740747E-2</v>
      </c>
      <c r="H1620" s="1351">
        <v>8.0500000000000007</v>
      </c>
      <c r="I1620" s="1352">
        <f t="shared" si="213"/>
        <v>4.4398435702783529E-3</v>
      </c>
      <c r="J1620" s="1353">
        <v>141</v>
      </c>
      <c r="K1620" s="1743"/>
      <c r="L1620" s="1578">
        <v>204</v>
      </c>
      <c r="M1620" s="1602">
        <v>185</v>
      </c>
      <c r="N1620" s="1354"/>
      <c r="O1620" s="1355" t="s">
        <v>299</v>
      </c>
      <c r="P1620" s="1356" t="str">
        <f>IFERROR(VLOOKUP(F1620,#REF!,12,FALSE),"")</f>
        <v/>
      </c>
      <c r="Q1620" s="1357" t="s">
        <v>8</v>
      </c>
      <c r="R1620" s="1358" t="str">
        <f>IFERROR(VLOOKUP(F1620,#REF!,14,FALSE),"")</f>
        <v/>
      </c>
      <c r="S1620" s="1359">
        <f t="shared" si="202"/>
        <v>1.446808510638298</v>
      </c>
      <c r="U1620" s="1728"/>
      <c r="V1620" s="1348">
        <f t="shared" si="203"/>
        <v>0</v>
      </c>
      <c r="W1620" s="1767"/>
      <c r="X1620" s="1348"/>
    </row>
    <row r="1621" spans="2:24" x14ac:dyDescent="0.2">
      <c r="B1621" s="1669" t="s">
        <v>256</v>
      </c>
      <c r="C1621" s="1237">
        <v>44709</v>
      </c>
      <c r="D1621" s="70"/>
      <c r="E1621" s="71"/>
      <c r="F1621" s="1611"/>
      <c r="G1621" s="1238"/>
      <c r="H1621" s="1239" t="str">
        <f>IFERROR(VLOOKUP(F1621,#REF!,10,FALSE),"")</f>
        <v/>
      </c>
      <c r="I1621" s="1240" t="str">
        <f t="shared" si="213"/>
        <v/>
      </c>
      <c r="J1621" s="265"/>
      <c r="K1621" s="1743"/>
      <c r="L1621" s="1581"/>
      <c r="M1621" s="265"/>
      <c r="N1621" s="77" t="str">
        <f t="shared" ref="N1621:N1634" si="214">IFERROR((L1621/67)/(1/(I1621*24)/3.6),"")</f>
        <v/>
      </c>
      <c r="O1621" s="1241"/>
      <c r="P1621" s="79" t="str">
        <f>IFERROR(VLOOKUP(F1621,#REF!,12,FALSE),"")</f>
        <v/>
      </c>
      <c r="Q1621" s="1242" t="s">
        <v>8</v>
      </c>
      <c r="R1621" s="1243" t="str">
        <f>IFERROR(VLOOKUP(F1621,#REF!,14,FALSE),"")</f>
        <v/>
      </c>
      <c r="S1621" s="1244" t="str">
        <f t="shared" si="202"/>
        <v/>
      </c>
      <c r="U1621" s="1728"/>
      <c r="V1621" s="70">
        <f t="shared" si="203"/>
        <v>0</v>
      </c>
      <c r="W1621" s="1767"/>
      <c r="X1621" s="70"/>
    </row>
    <row r="1622" spans="2:24" ht="16" thickBot="1" x14ac:dyDescent="0.25">
      <c r="B1622" s="1710" t="e">
        <f>AVERAGE(#REF!)</f>
        <v>#REF!</v>
      </c>
      <c r="C1622" s="544">
        <v>44710</v>
      </c>
      <c r="D1622" s="67">
        <v>80</v>
      </c>
      <c r="E1622" s="208" t="s">
        <v>293</v>
      </c>
      <c r="F1622" s="1559" t="s">
        <v>279</v>
      </c>
      <c r="G1622" s="1230">
        <v>4.2268518518518518E-2</v>
      </c>
      <c r="H1622" s="1239">
        <v>11.08</v>
      </c>
      <c r="I1622" s="1232">
        <f t="shared" si="213"/>
        <v>3.8148482417435484E-3</v>
      </c>
      <c r="J1622" s="256">
        <v>138</v>
      </c>
      <c r="K1622" s="1742"/>
      <c r="L1622" s="1580">
        <v>224</v>
      </c>
      <c r="M1622" s="1561">
        <v>34</v>
      </c>
      <c r="N1622" s="172">
        <f t="shared" si="214"/>
        <v>1.1019559243493722</v>
      </c>
      <c r="O1622" s="1233" t="s">
        <v>329</v>
      </c>
      <c r="P1622" s="447" t="str">
        <f>IFERROR(VLOOKUP(F1622,#REF!,12,FALSE),"")</f>
        <v/>
      </c>
      <c r="Q1622" s="1234" t="s">
        <v>8</v>
      </c>
      <c r="R1622" s="1235" t="str">
        <f>IFERROR(VLOOKUP(F1622,#REF!,14,FALSE),"")</f>
        <v/>
      </c>
      <c r="S1622" s="1236">
        <f t="shared" si="202"/>
        <v>1.6231884057971016</v>
      </c>
      <c r="U1622" s="1728"/>
      <c r="V1622" s="67">
        <f t="shared" si="203"/>
        <v>0</v>
      </c>
      <c r="W1622" s="1768"/>
      <c r="X1622" s="67"/>
    </row>
    <row r="1623" spans="2:24" ht="16" thickBot="1" x14ac:dyDescent="0.25">
      <c r="B1623" s="1661">
        <f t="shared" ref="B1623" si="215">B1616+1</f>
        <v>22</v>
      </c>
      <c r="C1623" s="1199">
        <v>44711</v>
      </c>
      <c r="D1623" s="1108">
        <v>81</v>
      </c>
      <c r="E1623" s="1109" t="s">
        <v>293</v>
      </c>
      <c r="F1623" s="1536" t="s">
        <v>322</v>
      </c>
      <c r="G1623" s="1200">
        <v>2.8518518518518523E-2</v>
      </c>
      <c r="H1623" s="1201">
        <v>7.53</v>
      </c>
      <c r="I1623" s="1202">
        <f t="shared" si="213"/>
        <v>3.7873198563769619E-3</v>
      </c>
      <c r="J1623" s="1203">
        <v>134</v>
      </c>
      <c r="K1623" s="1741"/>
      <c r="L1623" s="1577">
        <v>225</v>
      </c>
      <c r="M1623" s="1374">
        <v>26</v>
      </c>
      <c r="N1623" s="1111">
        <f t="shared" si="214"/>
        <v>1.0988880299696737</v>
      </c>
      <c r="O1623" s="1204" t="s">
        <v>328</v>
      </c>
      <c r="P1623" s="1113" t="str">
        <f>IFERROR(VLOOKUP(F1623,#REF!,12,FALSE),"")</f>
        <v/>
      </c>
      <c r="Q1623" s="1205" t="s">
        <v>8</v>
      </c>
      <c r="R1623" s="1206" t="str">
        <f>IFERROR(VLOOKUP(F1623,#REF!,14,FALSE),"")</f>
        <v/>
      </c>
      <c r="S1623" s="1207">
        <f t="shared" si="202"/>
        <v>1.6791044776119404</v>
      </c>
      <c r="U1623" s="1728"/>
      <c r="V1623" s="1108">
        <f t="shared" si="203"/>
        <v>0</v>
      </c>
      <c r="W1623" s="1766"/>
      <c r="X1623" s="1108"/>
    </row>
    <row r="1624" spans="2:24" x14ac:dyDescent="0.2">
      <c r="B1624" s="1666" t="s">
        <v>142</v>
      </c>
      <c r="C1624" s="1208">
        <v>44712</v>
      </c>
      <c r="D1624" s="864"/>
      <c r="E1624" s="865"/>
      <c r="F1624" s="1534"/>
      <c r="G1624" s="1209"/>
      <c r="H1624" s="1210" t="str">
        <f>IFERROR(VLOOKUP(F1624,#REF!,10,FALSE),"")</f>
        <v/>
      </c>
      <c r="I1624" s="1211" t="str">
        <f t="shared" si="213"/>
        <v/>
      </c>
      <c r="J1624" s="1212"/>
      <c r="K1624" s="1741"/>
      <c r="L1624" s="1578"/>
      <c r="M1624" s="1602"/>
      <c r="N1624" s="1171" t="str">
        <f t="shared" si="214"/>
        <v/>
      </c>
      <c r="O1624" s="1213"/>
      <c r="P1624" s="1173" t="str">
        <f>IFERROR(VLOOKUP(F1624,#REF!,12,FALSE),"")</f>
        <v/>
      </c>
      <c r="Q1624" s="1229" t="s">
        <v>8</v>
      </c>
      <c r="R1624" s="1324" t="str">
        <f>IFERROR(VLOOKUP(F1624,#REF!,14,FALSE),"")</f>
        <v/>
      </c>
      <c r="S1624" s="1217" t="str">
        <f t="shared" si="202"/>
        <v/>
      </c>
      <c r="U1624" s="1728"/>
      <c r="V1624" s="864">
        <f t="shared" si="203"/>
        <v>0</v>
      </c>
      <c r="W1624" s="1767"/>
      <c r="X1624" s="864"/>
    </row>
    <row r="1625" spans="2:24" ht="16" thickBot="1" x14ac:dyDescent="0.25">
      <c r="B1625" s="1654">
        <f t="shared" ref="B1625" si="216">SUM(H1623:H1629)</f>
        <v>35.880000000000003</v>
      </c>
      <c r="C1625" s="1208">
        <v>44713</v>
      </c>
      <c r="D1625" s="864">
        <v>82</v>
      </c>
      <c r="E1625" s="865" t="s">
        <v>293</v>
      </c>
      <c r="F1625" s="1534" t="s">
        <v>322</v>
      </c>
      <c r="G1625" s="1209">
        <v>2.6504629629629628E-2</v>
      </c>
      <c r="H1625" s="1210">
        <v>7.11</v>
      </c>
      <c r="I1625" s="1211">
        <f t="shared" si="213"/>
        <v>3.7277960097931964E-3</v>
      </c>
      <c r="J1625" s="1212"/>
      <c r="K1625" s="1741"/>
      <c r="L1625" s="1578">
        <v>227</v>
      </c>
      <c r="M1625" s="1602">
        <v>17</v>
      </c>
      <c r="N1625" s="1171">
        <f t="shared" si="214"/>
        <v>1.0912316056846569</v>
      </c>
      <c r="O1625" s="1213" t="s">
        <v>311</v>
      </c>
      <c r="P1625" s="1173" t="str">
        <f>IFERROR(VLOOKUP(F1625,#REF!,12,FALSE),"")</f>
        <v/>
      </c>
      <c r="Q1625" s="1229" t="s">
        <v>8</v>
      </c>
      <c r="R1625" s="1324" t="str">
        <f>IFERROR(VLOOKUP(F1625,#REF!,14,FALSE),"")</f>
        <v/>
      </c>
      <c r="S1625" s="1217"/>
      <c r="U1625" s="1728"/>
      <c r="V1625" s="864">
        <f t="shared" si="203"/>
        <v>0</v>
      </c>
      <c r="W1625" s="1767"/>
      <c r="X1625" s="864"/>
    </row>
    <row r="1626" spans="2:24" x14ac:dyDescent="0.2">
      <c r="B1626" s="1667" t="s">
        <v>144</v>
      </c>
      <c r="C1626" s="1208">
        <v>44714</v>
      </c>
      <c r="D1626" s="864">
        <v>83</v>
      </c>
      <c r="E1626" s="865" t="s">
        <v>293</v>
      </c>
      <c r="F1626" s="1534" t="s">
        <v>279</v>
      </c>
      <c r="G1626" s="1209">
        <v>3.8356481481481484E-2</v>
      </c>
      <c r="H1626" s="1210">
        <v>10.14</v>
      </c>
      <c r="I1626" s="1211">
        <f t="shared" si="213"/>
        <v>3.7826904814084301E-3</v>
      </c>
      <c r="J1626" s="1212">
        <v>151</v>
      </c>
      <c r="K1626" s="1741"/>
      <c r="L1626" s="1578">
        <v>226</v>
      </c>
      <c r="M1626" s="1602">
        <v>28</v>
      </c>
      <c r="N1626" s="1171">
        <f t="shared" si="214"/>
        <v>1.1024227972563219</v>
      </c>
      <c r="O1626" s="1213" t="s">
        <v>329</v>
      </c>
      <c r="P1626" s="1173" t="str">
        <f>IFERROR(VLOOKUP(F1626,#REF!,12,FALSE),"")</f>
        <v/>
      </c>
      <c r="Q1626" s="1229" t="s">
        <v>8</v>
      </c>
      <c r="R1626" s="1324" t="str">
        <f>IFERROR(VLOOKUP(F1626,#REF!,14,FALSE),"")</f>
        <v/>
      </c>
      <c r="S1626" s="1217">
        <f t="shared" ref="S1626:S1634" si="217">IFERROR(L1626/J1626,"")</f>
        <v>1.4966887417218544</v>
      </c>
      <c r="U1626" s="1728"/>
      <c r="V1626" s="864">
        <f t="shared" si="203"/>
        <v>0</v>
      </c>
      <c r="W1626" s="1767"/>
      <c r="X1626" s="864"/>
    </row>
    <row r="1627" spans="2:24" ht="16" thickBot="1" x14ac:dyDescent="0.25">
      <c r="B1627" s="1668" t="e">
        <f>SUM(#REF!)</f>
        <v>#REF!</v>
      </c>
      <c r="C1627" s="1347">
        <v>44715</v>
      </c>
      <c r="D1627" s="1348"/>
      <c r="E1627" s="1349"/>
      <c r="F1627" s="1550" t="s">
        <v>15</v>
      </c>
      <c r="G1627" s="1350"/>
      <c r="H1627" s="1351" t="str">
        <f>IFERROR(VLOOKUP(F1627,#REF!,10,FALSE),"")</f>
        <v/>
      </c>
      <c r="I1627" s="1352" t="str">
        <f t="shared" si="213"/>
        <v/>
      </c>
      <c r="J1627" s="1353"/>
      <c r="K1627" s="1741"/>
      <c r="L1627" s="1578"/>
      <c r="M1627" s="1602"/>
      <c r="N1627" s="1354" t="str">
        <f t="shared" si="214"/>
        <v/>
      </c>
      <c r="O1627" s="1355"/>
      <c r="P1627" s="1356" t="str">
        <f>IFERROR(VLOOKUP(F1627,#REF!,12,FALSE),"")</f>
        <v/>
      </c>
      <c r="Q1627" s="1357" t="s">
        <v>8</v>
      </c>
      <c r="R1627" s="1358" t="str">
        <f>IFERROR(VLOOKUP(F1627,#REF!,14,FALSE),"")</f>
        <v/>
      </c>
      <c r="S1627" s="1359" t="str">
        <f t="shared" si="217"/>
        <v/>
      </c>
      <c r="U1627" s="1728"/>
      <c r="V1627" s="1348">
        <f t="shared" si="203"/>
        <v>0</v>
      </c>
      <c r="W1627" s="1767"/>
      <c r="X1627" s="1348"/>
    </row>
    <row r="1628" spans="2:24" x14ac:dyDescent="0.2">
      <c r="B1628" s="1669" t="s">
        <v>256</v>
      </c>
      <c r="C1628" s="1237">
        <v>44716</v>
      </c>
      <c r="D1628" s="70">
        <v>84</v>
      </c>
      <c r="E1628" s="71" t="s">
        <v>292</v>
      </c>
      <c r="F1628" s="1549" t="s">
        <v>279</v>
      </c>
      <c r="G1628" s="1238">
        <v>4.2638888888888893E-2</v>
      </c>
      <c r="H1628" s="1239">
        <v>11.1</v>
      </c>
      <c r="I1628" s="1240">
        <f t="shared" si="213"/>
        <v>3.8413413413413418E-3</v>
      </c>
      <c r="J1628" s="265">
        <v>140</v>
      </c>
      <c r="K1628" s="1741"/>
      <c r="L1628" s="1581">
        <v>217</v>
      </c>
      <c r="M1628" s="265">
        <v>33</v>
      </c>
      <c r="N1628" s="77">
        <f t="shared" si="214"/>
        <v>1.0749334409035902</v>
      </c>
      <c r="O1628" s="1241" t="s">
        <v>327</v>
      </c>
      <c r="P1628" s="79" t="str">
        <f>IFERROR(VLOOKUP(F1628,#REF!,12,FALSE),"")</f>
        <v/>
      </c>
      <c r="Q1628" s="1242" t="s">
        <v>8</v>
      </c>
      <c r="R1628" s="1243" t="str">
        <f>IFERROR(VLOOKUP(F1628,#REF!,14,FALSE),"")</f>
        <v/>
      </c>
      <c r="S1628" s="1244">
        <f t="shared" si="217"/>
        <v>1.55</v>
      </c>
      <c r="U1628" s="1728"/>
      <c r="V1628" s="70">
        <f t="shared" si="203"/>
        <v>0</v>
      </c>
      <c r="W1628" s="1767"/>
      <c r="X1628" s="70"/>
    </row>
    <row r="1629" spans="2:24" ht="16" thickBot="1" x14ac:dyDescent="0.25">
      <c r="B1629" s="1710" t="e">
        <f>AVERAGE(#REF!)</f>
        <v>#REF!</v>
      </c>
      <c r="C1629" s="544">
        <v>44717</v>
      </c>
      <c r="D1629" s="67"/>
      <c r="E1629" s="208"/>
      <c r="F1629" s="1538"/>
      <c r="G1629" s="1230"/>
      <c r="H1629" s="1231" t="str">
        <f>IFERROR(VLOOKUP(F1629,#REF!,10,FALSE),"")</f>
        <v/>
      </c>
      <c r="I1629" s="1232" t="str">
        <f t="shared" si="213"/>
        <v/>
      </c>
      <c r="J1629" s="256"/>
      <c r="K1629" s="1741"/>
      <c r="L1629" s="1580"/>
      <c r="M1629" s="1561"/>
      <c r="N1629" s="172" t="str">
        <f t="shared" si="214"/>
        <v/>
      </c>
      <c r="O1629" s="1233"/>
      <c r="P1629" s="447" t="str">
        <f>IFERROR(VLOOKUP(F1629,#REF!,12,FALSE),"")</f>
        <v/>
      </c>
      <c r="Q1629" s="1234" t="s">
        <v>8</v>
      </c>
      <c r="R1629" s="1235" t="str">
        <f>IFERROR(VLOOKUP(F1629,#REF!,14,FALSE),"")</f>
        <v/>
      </c>
      <c r="S1629" s="1236" t="str">
        <f t="shared" si="217"/>
        <v/>
      </c>
      <c r="U1629" s="1728"/>
      <c r="V1629" s="67">
        <f t="shared" si="203"/>
        <v>0</v>
      </c>
      <c r="W1629" s="1768"/>
      <c r="X1629" s="67"/>
    </row>
    <row r="1630" spans="2:24" ht="16" thickBot="1" x14ac:dyDescent="0.25">
      <c r="B1630" s="1661">
        <f t="shared" ref="B1630" si="218">B1623+1</f>
        <v>23</v>
      </c>
      <c r="C1630" s="1199">
        <v>44718</v>
      </c>
      <c r="D1630" s="1108">
        <v>85</v>
      </c>
      <c r="E1630" s="1109" t="s">
        <v>292</v>
      </c>
      <c r="F1630" s="1536" t="s">
        <v>309</v>
      </c>
      <c r="G1630" s="1200">
        <v>5.4004629629629632E-2</v>
      </c>
      <c r="H1630" s="1201">
        <v>13.55</v>
      </c>
      <c r="I1630" s="1202">
        <f t="shared" si="213"/>
        <v>3.9855815224818913E-3</v>
      </c>
      <c r="J1630" s="1203">
        <v>141</v>
      </c>
      <c r="K1630" s="1741"/>
      <c r="L1630" s="1577">
        <v>211</v>
      </c>
      <c r="M1630" s="1374">
        <v>47</v>
      </c>
      <c r="N1630" s="1111">
        <f t="shared" si="214"/>
        <v>1.0844588863799085</v>
      </c>
      <c r="O1630" s="1204" t="s">
        <v>329</v>
      </c>
      <c r="P1630" s="1113" t="str">
        <f>IFERROR(VLOOKUP(F1630,#REF!,12,FALSE),"")</f>
        <v/>
      </c>
      <c r="Q1630" s="1205" t="s">
        <v>8</v>
      </c>
      <c r="R1630" s="1206" t="str">
        <f>IFERROR(VLOOKUP(F1630,#REF!,14,FALSE),"")</f>
        <v/>
      </c>
      <c r="S1630" s="1207">
        <f t="shared" si="217"/>
        <v>1.4964539007092199</v>
      </c>
      <c r="U1630" s="1728"/>
      <c r="V1630" s="1108">
        <f t="shared" si="203"/>
        <v>0</v>
      </c>
      <c r="W1630" s="1766"/>
      <c r="X1630" s="1108"/>
    </row>
    <row r="1631" spans="2:24" x14ac:dyDescent="0.2">
      <c r="B1631" s="1666" t="s">
        <v>142</v>
      </c>
      <c r="C1631" s="1208">
        <v>44719</v>
      </c>
      <c r="D1631" s="864"/>
      <c r="E1631" s="865"/>
      <c r="F1631" s="1534"/>
      <c r="G1631" s="1209"/>
      <c r="H1631" s="1210" t="str">
        <f>IFERROR(VLOOKUP(F1631,#REF!,10,FALSE),"")</f>
        <v/>
      </c>
      <c r="I1631" s="1211" t="str">
        <f t="shared" si="213"/>
        <v/>
      </c>
      <c r="J1631" s="1212"/>
      <c r="K1631" s="1741"/>
      <c r="L1631" s="1578"/>
      <c r="M1631" s="1602"/>
      <c r="N1631" s="1171" t="str">
        <f t="shared" si="214"/>
        <v/>
      </c>
      <c r="O1631" s="1213"/>
      <c r="P1631" s="1173" t="str">
        <f>IFERROR(VLOOKUP(F1631,#REF!,12,FALSE),"")</f>
        <v/>
      </c>
      <c r="Q1631" s="1229" t="s">
        <v>8</v>
      </c>
      <c r="R1631" s="1324" t="str">
        <f>IFERROR(VLOOKUP(F1631,#REF!,14,FALSE),"")</f>
        <v/>
      </c>
      <c r="S1631" s="1217" t="str">
        <f t="shared" si="217"/>
        <v/>
      </c>
      <c r="U1631" s="1728"/>
      <c r="V1631" s="864">
        <f t="shared" si="203"/>
        <v>0</v>
      </c>
      <c r="W1631" s="1767"/>
      <c r="X1631" s="864"/>
    </row>
    <row r="1632" spans="2:24" ht="16" thickBot="1" x14ac:dyDescent="0.25">
      <c r="B1632" s="1654">
        <f t="shared" ref="B1632" si="219">SUM(H1630:H1636)</f>
        <v>47.02</v>
      </c>
      <c r="C1632" s="1208">
        <v>44720</v>
      </c>
      <c r="D1632" s="864">
        <v>86</v>
      </c>
      <c r="E1632" s="865" t="s">
        <v>293</v>
      </c>
      <c r="F1632" s="1534" t="s">
        <v>279</v>
      </c>
      <c r="G1632" s="1209">
        <v>3.9375E-2</v>
      </c>
      <c r="H1632" s="1210">
        <v>10.199999999999999</v>
      </c>
      <c r="I1632" s="1211">
        <f t="shared" si="213"/>
        <v>3.860294117647059E-3</v>
      </c>
      <c r="J1632" s="1212">
        <v>150</v>
      </c>
      <c r="K1632" s="1741"/>
      <c r="L1632" s="1578">
        <v>221</v>
      </c>
      <c r="M1632" s="1602">
        <v>29</v>
      </c>
      <c r="N1632" s="1171">
        <f t="shared" si="214"/>
        <v>1.1001492537313433</v>
      </c>
      <c r="O1632" s="1213" t="s">
        <v>328</v>
      </c>
      <c r="P1632" s="1173" t="str">
        <f>IFERROR(VLOOKUP(F1632,#REF!,12,FALSE),"")</f>
        <v/>
      </c>
      <c r="Q1632" s="1229" t="s">
        <v>8</v>
      </c>
      <c r="R1632" s="1324" t="str">
        <f>IFERROR(VLOOKUP(F1632,#REF!,14,FALSE),"")</f>
        <v/>
      </c>
      <c r="S1632" s="1217">
        <f t="shared" si="217"/>
        <v>1.4733333333333334</v>
      </c>
      <c r="U1632" s="1728"/>
      <c r="V1632" s="864">
        <f t="shared" si="203"/>
        <v>0</v>
      </c>
      <c r="W1632" s="1767"/>
      <c r="X1632" s="864"/>
    </row>
    <row r="1633" spans="2:24" x14ac:dyDescent="0.2">
      <c r="B1633" s="1667" t="s">
        <v>144</v>
      </c>
      <c r="C1633" s="1208">
        <v>44721</v>
      </c>
      <c r="D1633" s="864">
        <v>87</v>
      </c>
      <c r="E1633" s="865" t="s">
        <v>293</v>
      </c>
      <c r="F1633" s="1534" t="s">
        <v>322</v>
      </c>
      <c r="G1633" s="1209">
        <v>3.3287037037037039E-2</v>
      </c>
      <c r="H1633" s="1210">
        <v>8.73</v>
      </c>
      <c r="I1633" s="1211">
        <f t="shared" si="213"/>
        <v>3.8129481142081369E-3</v>
      </c>
      <c r="J1633" s="1212">
        <v>138</v>
      </c>
      <c r="K1633" s="1741"/>
      <c r="L1633" s="1578">
        <v>222</v>
      </c>
      <c r="M1633" s="1602">
        <v>26</v>
      </c>
      <c r="N1633" s="1171">
        <f t="shared" si="214"/>
        <v>1.0915730625224394</v>
      </c>
      <c r="O1633" s="1213" t="s">
        <v>339</v>
      </c>
      <c r="P1633" s="1173" t="str">
        <f>IFERROR(VLOOKUP(F1633,#REF!,12,FALSE),"")</f>
        <v/>
      </c>
      <c r="Q1633" s="1229" t="s">
        <v>8</v>
      </c>
      <c r="R1633" s="1324" t="str">
        <f>IFERROR(VLOOKUP(F1633,#REF!,14,FALSE),"")</f>
        <v/>
      </c>
      <c r="S1633" s="1217">
        <f t="shared" si="217"/>
        <v>1.6086956521739131</v>
      </c>
      <c r="U1633" s="1728"/>
      <c r="V1633" s="864">
        <f t="shared" si="203"/>
        <v>0</v>
      </c>
      <c r="W1633" s="1767"/>
      <c r="X1633" s="864"/>
    </row>
    <row r="1634" spans="2:24" ht="16" thickBot="1" x14ac:dyDescent="0.25">
      <c r="B1634" s="1668" t="e">
        <f>SUM(#REF!)</f>
        <v>#REF!</v>
      </c>
      <c r="C1634" s="1347">
        <v>44722</v>
      </c>
      <c r="D1634" s="1348"/>
      <c r="E1634" s="1349"/>
      <c r="F1634" s="1550"/>
      <c r="G1634" s="1350"/>
      <c r="H1634" s="1351" t="str">
        <f>IFERROR(VLOOKUP(F1634,#REF!,10,FALSE),"")</f>
        <v/>
      </c>
      <c r="I1634" s="1352" t="str">
        <f t="shared" si="213"/>
        <v/>
      </c>
      <c r="J1634" s="1353"/>
      <c r="K1634" s="1741"/>
      <c r="L1634" s="1578"/>
      <c r="M1634" s="1602"/>
      <c r="N1634" s="1354" t="str">
        <f t="shared" si="214"/>
        <v/>
      </c>
      <c r="O1634" s="1355"/>
      <c r="P1634" s="1356" t="str">
        <f>IFERROR(VLOOKUP(F1634,#REF!,12,FALSE),"")</f>
        <v/>
      </c>
      <c r="Q1634" s="1357" t="s">
        <v>8</v>
      </c>
      <c r="R1634" s="1358" t="str">
        <f>IFERROR(VLOOKUP(F1634,#REF!,14,FALSE),"")</f>
        <v/>
      </c>
      <c r="S1634" s="1359" t="str">
        <f t="shared" si="217"/>
        <v/>
      </c>
      <c r="U1634" s="1728"/>
      <c r="V1634" s="1348">
        <f t="shared" si="203"/>
        <v>0</v>
      </c>
      <c r="W1634" s="1767"/>
      <c r="X1634" s="1348"/>
    </row>
    <row r="1635" spans="2:24" x14ac:dyDescent="0.2">
      <c r="B1635" s="1669" t="s">
        <v>256</v>
      </c>
      <c r="C1635" s="1237">
        <v>44723</v>
      </c>
      <c r="D1635" s="70">
        <v>88</v>
      </c>
      <c r="E1635" s="71" t="s">
        <v>293</v>
      </c>
      <c r="F1635" s="1549" t="s">
        <v>297</v>
      </c>
      <c r="G1635" s="1238">
        <v>6.4953703703703694E-2</v>
      </c>
      <c r="H1635" s="1239">
        <v>14.54</v>
      </c>
      <c r="I1635" s="1240">
        <f t="shared" si="213"/>
        <v>4.4672423455091948E-3</v>
      </c>
      <c r="J1635" s="265">
        <v>150</v>
      </c>
      <c r="K1635" s="1741"/>
      <c r="L1635" s="1581">
        <v>208</v>
      </c>
      <c r="M1635" s="265">
        <v>457</v>
      </c>
      <c r="N1635" s="77"/>
      <c r="O1635" s="1241" t="s">
        <v>299</v>
      </c>
      <c r="P1635" s="79" t="str">
        <f>IFERROR(VLOOKUP(F1635,#REF!,12,FALSE),"")</f>
        <v/>
      </c>
      <c r="Q1635" s="1242" t="s">
        <v>8</v>
      </c>
      <c r="R1635" s="1243" t="str">
        <f>IFERROR(VLOOKUP(F1635,#REF!,14,FALSE),"")</f>
        <v/>
      </c>
      <c r="S1635" s="1244"/>
      <c r="U1635" s="1728"/>
      <c r="V1635" s="70">
        <f t="shared" si="203"/>
        <v>0</v>
      </c>
      <c r="W1635" s="1767"/>
      <c r="X1635" s="70"/>
    </row>
    <row r="1636" spans="2:24" ht="16" thickBot="1" x14ac:dyDescent="0.25">
      <c r="B1636" s="1670" t="e">
        <f>AVERAGE(#REF!)</f>
        <v>#REF!</v>
      </c>
      <c r="C1636" s="544">
        <v>44724</v>
      </c>
      <c r="D1636" s="67"/>
      <c r="E1636" s="208"/>
      <c r="F1636" s="1538"/>
      <c r="G1636" s="1230"/>
      <c r="H1636" s="1231" t="str">
        <f>IFERROR(VLOOKUP(F1636,#REF!,10,FALSE),"")</f>
        <v/>
      </c>
      <c r="I1636" s="1232" t="str">
        <f t="shared" si="213"/>
        <v/>
      </c>
      <c r="J1636" s="256"/>
      <c r="K1636" s="1741"/>
      <c r="L1636" s="1580"/>
      <c r="M1636" s="1561"/>
      <c r="N1636" s="172" t="str">
        <f>IFERROR((L1636/67)/(1/(I1636*24)/3.6),"")</f>
        <v/>
      </c>
      <c r="O1636" s="1233"/>
      <c r="P1636" s="447" t="str">
        <f>IFERROR(VLOOKUP(F1636,#REF!,12,FALSE),"")</f>
        <v/>
      </c>
      <c r="Q1636" s="1234" t="s">
        <v>8</v>
      </c>
      <c r="R1636" s="1235" t="str">
        <f>IFERROR(VLOOKUP(F1636,#REF!,14,FALSE),"")</f>
        <v/>
      </c>
      <c r="S1636" s="1236" t="str">
        <f>IFERROR(L1636/J1636,"")</f>
        <v/>
      </c>
      <c r="U1636" s="1728"/>
      <c r="V1636" s="67">
        <f t="shared" si="203"/>
        <v>0</v>
      </c>
      <c r="W1636" s="1768"/>
      <c r="X1636" s="67"/>
    </row>
    <row r="1637" spans="2:24" ht="16" thickBot="1" x14ac:dyDescent="0.25">
      <c r="B1637" s="1661">
        <f t="shared" ref="B1637" si="220">B1630+1</f>
        <v>24</v>
      </c>
      <c r="C1637" s="1199">
        <v>44725</v>
      </c>
      <c r="D1637" s="1108">
        <v>89</v>
      </c>
      <c r="E1637" s="1109" t="s">
        <v>293</v>
      </c>
      <c r="F1637" s="1536" t="s">
        <v>322</v>
      </c>
      <c r="G1637" s="1200">
        <v>3.3020833333333333E-2</v>
      </c>
      <c r="H1637" s="1201">
        <v>8.81</v>
      </c>
      <c r="I1637" s="1202">
        <f t="shared" si="213"/>
        <v>3.7481082103670068E-3</v>
      </c>
      <c r="J1637" s="1203">
        <v>136</v>
      </c>
      <c r="K1637" s="1741"/>
      <c r="L1637" s="1577">
        <v>226</v>
      </c>
      <c r="M1637" s="1374">
        <v>11</v>
      </c>
      <c r="N1637" s="1111">
        <f>IFERROR((L1637/67)/(1/(I1637*24)/3.6),"")</f>
        <v>1.0923441814762733</v>
      </c>
      <c r="O1637" s="1204" t="s">
        <v>329</v>
      </c>
      <c r="P1637" s="1113" t="str">
        <f>IFERROR(VLOOKUP(F1637,#REF!,12,FALSE),"")</f>
        <v/>
      </c>
      <c r="Q1637" s="1205" t="s">
        <v>8</v>
      </c>
      <c r="R1637" s="1206" t="str">
        <f>IFERROR(VLOOKUP(F1637,#REF!,14,FALSE),"")</f>
        <v/>
      </c>
      <c r="S1637" s="1207">
        <f>IFERROR(L1637/J1637,"")</f>
        <v>1.661764705882353</v>
      </c>
      <c r="U1637" s="1728"/>
      <c r="V1637" s="1108">
        <f t="shared" si="203"/>
        <v>0</v>
      </c>
      <c r="W1637" s="1766"/>
      <c r="X1637" s="1108"/>
    </row>
    <row r="1638" spans="2:24" x14ac:dyDescent="0.2">
      <c r="B1638" s="1666" t="s">
        <v>142</v>
      </c>
      <c r="C1638" s="1208">
        <v>44726</v>
      </c>
      <c r="D1638" s="864"/>
      <c r="E1638" s="865"/>
      <c r="F1638" s="1534"/>
      <c r="G1638" s="1209"/>
      <c r="H1638" s="1210" t="str">
        <f>IFERROR(VLOOKUP(F1638,#REF!,10,FALSE),"")</f>
        <v/>
      </c>
      <c r="I1638" s="1211" t="str">
        <f t="shared" si="213"/>
        <v/>
      </c>
      <c r="J1638" s="1212"/>
      <c r="K1638" s="1741"/>
      <c r="L1638" s="1578"/>
      <c r="M1638" s="1602"/>
      <c r="N1638" s="1171" t="str">
        <f>IFERROR((L1638/67)/(1/(I1638*24)/3.6),"")</f>
        <v/>
      </c>
      <c r="O1638" s="1213"/>
      <c r="P1638" s="1173" t="str">
        <f>IFERROR(VLOOKUP(F1638,#REF!,12,FALSE),"")</f>
        <v/>
      </c>
      <c r="Q1638" s="1229" t="s">
        <v>8</v>
      </c>
      <c r="R1638" s="1324" t="str">
        <f>IFERROR(VLOOKUP(F1638,#REF!,14,FALSE),"")</f>
        <v/>
      </c>
      <c r="S1638" s="1217" t="str">
        <f>IFERROR(L1638/J1638,"")</f>
        <v/>
      </c>
      <c r="U1638" s="1728"/>
      <c r="V1638" s="864">
        <f t="shared" si="203"/>
        <v>0</v>
      </c>
      <c r="W1638" s="1767"/>
      <c r="X1638" s="864"/>
    </row>
    <row r="1639" spans="2:24" ht="16" thickBot="1" x14ac:dyDescent="0.25">
      <c r="B1639" s="1654">
        <f t="shared" ref="B1639" si="221">SUM(H1637:H1643)</f>
        <v>21.740000000000002</v>
      </c>
      <c r="C1639" s="1208">
        <v>44727</v>
      </c>
      <c r="D1639" s="864"/>
      <c r="E1639" s="865"/>
      <c r="F1639" s="1534"/>
      <c r="G1639" s="1209"/>
      <c r="H1639" s="1210" t="str">
        <f>IFERROR(VLOOKUP(F1639,#REF!,10,FALSE),"")</f>
        <v/>
      </c>
      <c r="I1639" s="1211" t="str">
        <f t="shared" si="213"/>
        <v/>
      </c>
      <c r="J1639" s="1212"/>
      <c r="K1639" s="1741"/>
      <c r="L1639" s="1578"/>
      <c r="M1639" s="1602"/>
      <c r="N1639" s="1171" t="str">
        <f>IFERROR((L1639/67)/(1/(I1639*24)/3.6),"")</f>
        <v/>
      </c>
      <c r="O1639" s="1213"/>
      <c r="P1639" s="1173" t="str">
        <f>IFERROR(VLOOKUP(F1639,#REF!,12,FALSE),"")</f>
        <v/>
      </c>
      <c r="Q1639" s="1229" t="s">
        <v>8</v>
      </c>
      <c r="R1639" s="1324" t="str">
        <f>IFERROR(VLOOKUP(F1639,#REF!,14,FALSE),"")</f>
        <v/>
      </c>
      <c r="S1639" s="1217" t="str">
        <f>IFERROR(L1639/J1639,"")</f>
        <v/>
      </c>
      <c r="U1639" s="1728"/>
      <c r="V1639" s="864">
        <f t="shared" si="203"/>
        <v>0</v>
      </c>
      <c r="W1639" s="1767"/>
      <c r="X1639" s="864"/>
    </row>
    <row r="1640" spans="2:24" x14ac:dyDescent="0.2">
      <c r="B1640" s="1667" t="s">
        <v>144</v>
      </c>
      <c r="C1640" s="1208">
        <v>44728</v>
      </c>
      <c r="D1640" s="864">
        <v>90</v>
      </c>
      <c r="E1640" s="865" t="s">
        <v>293</v>
      </c>
      <c r="F1640" s="1534" t="s">
        <v>297</v>
      </c>
      <c r="G1640" s="1209">
        <v>5.5729166666666663E-2</v>
      </c>
      <c r="H1640" s="1210">
        <v>12.93</v>
      </c>
      <c r="I1640" s="1211">
        <f t="shared" si="213"/>
        <v>4.3100670275844286E-3</v>
      </c>
      <c r="J1640" s="1212">
        <v>145</v>
      </c>
      <c r="K1640" s="1741"/>
      <c r="L1640" s="1578">
        <v>210</v>
      </c>
      <c r="M1640" s="1602">
        <v>293</v>
      </c>
      <c r="N1640" s="1171"/>
      <c r="O1640" s="1213" t="s">
        <v>299</v>
      </c>
      <c r="P1640" s="1173" t="str">
        <f>IFERROR(VLOOKUP(F1640,#REF!,12,FALSE),"")</f>
        <v/>
      </c>
      <c r="Q1640" s="1229" t="s">
        <v>8</v>
      </c>
      <c r="R1640" s="1324" t="str">
        <f>IFERROR(VLOOKUP(F1640,#REF!,14,FALSE),"")</f>
        <v/>
      </c>
      <c r="S1640" s="1217"/>
      <c r="U1640" s="1728"/>
      <c r="V1640" s="864">
        <f t="shared" si="203"/>
        <v>0</v>
      </c>
      <c r="W1640" s="1767"/>
      <c r="X1640" s="864"/>
    </row>
    <row r="1641" spans="2:24" ht="16" thickBot="1" x14ac:dyDescent="0.25">
      <c r="B1641" s="1668" t="e">
        <f>SUM(#REF!)</f>
        <v>#REF!</v>
      </c>
      <c r="C1641" s="1347">
        <v>44729</v>
      </c>
      <c r="D1641" s="1348"/>
      <c r="E1641" s="1349"/>
      <c r="F1641" s="1550"/>
      <c r="G1641" s="1350"/>
      <c r="H1641" s="1351" t="str">
        <f>IFERROR(VLOOKUP(F1641,#REF!,10,FALSE),"")</f>
        <v/>
      </c>
      <c r="I1641" s="1352" t="str">
        <f t="shared" si="213"/>
        <v/>
      </c>
      <c r="J1641" s="1353"/>
      <c r="K1641" s="1741"/>
      <c r="L1641" s="1578"/>
      <c r="M1641" s="1602"/>
      <c r="N1641" s="1354" t="str">
        <f t="shared" ref="N1641:N1650" si="222">IFERROR((L1641/67)/(1/(I1641*24)/3.6),"")</f>
        <v/>
      </c>
      <c r="O1641" s="1355"/>
      <c r="P1641" s="1356" t="str">
        <f>IFERROR(VLOOKUP(F1641,#REF!,12,FALSE),"")</f>
        <v/>
      </c>
      <c r="Q1641" s="1357" t="s">
        <v>8</v>
      </c>
      <c r="R1641" s="1358" t="str">
        <f>IFERROR(VLOOKUP(F1641,#REF!,14,FALSE),"")</f>
        <v/>
      </c>
      <c r="S1641" s="1359" t="str">
        <f t="shared" ref="S1641:S1650" si="223">IFERROR(L1641/J1641,"")</f>
        <v/>
      </c>
      <c r="U1641" s="1728"/>
      <c r="V1641" s="1348">
        <f t="shared" si="203"/>
        <v>0</v>
      </c>
      <c r="W1641" s="1767"/>
      <c r="X1641" s="1348"/>
    </row>
    <row r="1642" spans="2:24" x14ac:dyDescent="0.2">
      <c r="B1642" s="1669" t="s">
        <v>256</v>
      </c>
      <c r="C1642" s="1237">
        <v>44730</v>
      </c>
      <c r="D1642" s="70"/>
      <c r="E1642" s="71"/>
      <c r="F1642" s="1549"/>
      <c r="G1642" s="1238"/>
      <c r="H1642" s="1239" t="str">
        <f>IFERROR(VLOOKUP(F1642,#REF!,10,FALSE),"")</f>
        <v/>
      </c>
      <c r="I1642" s="1240" t="str">
        <f t="shared" si="213"/>
        <v/>
      </c>
      <c r="J1642" s="265"/>
      <c r="K1642" s="1741"/>
      <c r="L1642" s="1581"/>
      <c r="M1642" s="265"/>
      <c r="N1642" s="77" t="str">
        <f t="shared" si="222"/>
        <v/>
      </c>
      <c r="O1642" s="1241"/>
      <c r="P1642" s="79" t="str">
        <f>IFERROR(VLOOKUP(F1642,#REF!,12,FALSE),"")</f>
        <v/>
      </c>
      <c r="Q1642" s="1242" t="s">
        <v>8</v>
      </c>
      <c r="R1642" s="1243" t="str">
        <f>IFERROR(VLOOKUP(F1642,#REF!,14,FALSE),"")</f>
        <v/>
      </c>
      <c r="S1642" s="1244" t="str">
        <f t="shared" si="223"/>
        <v/>
      </c>
      <c r="U1642" s="1728"/>
      <c r="V1642" s="70">
        <f t="shared" si="203"/>
        <v>0</v>
      </c>
      <c r="W1642" s="1767"/>
      <c r="X1642" s="70"/>
    </row>
    <row r="1643" spans="2:24" ht="16" thickBot="1" x14ac:dyDescent="0.25">
      <c r="B1643" s="1670" t="e">
        <f>AVERAGE(#REF!)</f>
        <v>#REF!</v>
      </c>
      <c r="C1643" s="544">
        <v>44731</v>
      </c>
      <c r="D1643" s="67"/>
      <c r="E1643" s="208"/>
      <c r="F1643" s="1538"/>
      <c r="G1643" s="1230"/>
      <c r="H1643" s="1231" t="str">
        <f>IFERROR(VLOOKUP(F1643,#REF!,10,FALSE),"")</f>
        <v/>
      </c>
      <c r="I1643" s="1232" t="str">
        <f t="shared" si="213"/>
        <v/>
      </c>
      <c r="J1643" s="256"/>
      <c r="K1643" s="1741"/>
      <c r="L1643" s="1580"/>
      <c r="M1643" s="1561"/>
      <c r="N1643" s="172" t="str">
        <f t="shared" si="222"/>
        <v/>
      </c>
      <c r="O1643" s="1233"/>
      <c r="P1643" s="447" t="str">
        <f>IFERROR(VLOOKUP(F1643,#REF!,12,FALSE),"")</f>
        <v/>
      </c>
      <c r="Q1643" s="1234" t="s">
        <v>8</v>
      </c>
      <c r="R1643" s="1235" t="str">
        <f>IFERROR(VLOOKUP(F1643,#REF!,14,FALSE),"")</f>
        <v/>
      </c>
      <c r="S1643" s="1236" t="str">
        <f t="shared" si="223"/>
        <v/>
      </c>
      <c r="U1643" s="1728"/>
      <c r="V1643" s="67">
        <f t="shared" si="203"/>
        <v>0</v>
      </c>
      <c r="W1643" s="1768"/>
      <c r="X1643" s="67"/>
    </row>
    <row r="1644" spans="2:24" ht="16" thickBot="1" x14ac:dyDescent="0.25">
      <c r="B1644" s="1661">
        <f t="shared" ref="B1644" si="224">B1637+1</f>
        <v>25</v>
      </c>
      <c r="C1644" s="1199">
        <v>44732</v>
      </c>
      <c r="D1644" s="1108"/>
      <c r="E1644" s="1109"/>
      <c r="F1644" s="1536"/>
      <c r="G1644" s="1200"/>
      <c r="H1644" s="1201" t="str">
        <f>IFERROR(VLOOKUP(F1644,#REF!,10,FALSE),"")</f>
        <v/>
      </c>
      <c r="I1644" s="1202" t="str">
        <f t="shared" si="213"/>
        <v/>
      </c>
      <c r="J1644" s="1203"/>
      <c r="K1644" s="1741"/>
      <c r="L1644" s="1577"/>
      <c r="M1644" s="1374"/>
      <c r="N1644" s="1111" t="str">
        <f t="shared" si="222"/>
        <v/>
      </c>
      <c r="O1644" s="1204"/>
      <c r="P1644" s="1113" t="str">
        <f>IFERROR(VLOOKUP(F1644,#REF!,12,FALSE),"")</f>
        <v/>
      </c>
      <c r="Q1644" s="1205" t="s">
        <v>8</v>
      </c>
      <c r="R1644" s="1206" t="str">
        <f>IFERROR(VLOOKUP(F1644,#REF!,14,FALSE),"")</f>
        <v/>
      </c>
      <c r="S1644" s="1207" t="str">
        <f t="shared" si="223"/>
        <v/>
      </c>
      <c r="U1644" s="1728"/>
      <c r="V1644" s="1108">
        <f t="shared" si="203"/>
        <v>0</v>
      </c>
      <c r="W1644" s="1766"/>
      <c r="X1644" s="1108"/>
    </row>
    <row r="1645" spans="2:24" x14ac:dyDescent="0.2">
      <c r="B1645" s="1666" t="s">
        <v>142</v>
      </c>
      <c r="C1645" s="1208">
        <v>44733</v>
      </c>
      <c r="D1645" s="864">
        <v>91</v>
      </c>
      <c r="E1645" s="865" t="s">
        <v>293</v>
      </c>
      <c r="F1645" s="1534" t="s">
        <v>279</v>
      </c>
      <c r="G1645" s="1209">
        <v>3.5902777777777777E-2</v>
      </c>
      <c r="H1645" s="1210">
        <v>9.57</v>
      </c>
      <c r="I1645" s="1211">
        <f t="shared" si="213"/>
        <v>3.751596424010217E-3</v>
      </c>
      <c r="J1645" s="1212">
        <v>138</v>
      </c>
      <c r="K1645" s="1741"/>
      <c r="L1645" s="1578">
        <v>227</v>
      </c>
      <c r="M1645" s="1602">
        <v>28</v>
      </c>
      <c r="N1645" s="1171">
        <f t="shared" si="222"/>
        <v>1.0981986618630981</v>
      </c>
      <c r="O1645" s="1213" t="s">
        <v>329</v>
      </c>
      <c r="P1645" s="1173" t="str">
        <f>IFERROR(VLOOKUP(F1645,#REF!,12,FALSE),"")</f>
        <v/>
      </c>
      <c r="Q1645" s="1229" t="s">
        <v>8</v>
      </c>
      <c r="R1645" s="1324" t="str">
        <f>IFERROR(VLOOKUP(F1645,#REF!,14,FALSE),"")</f>
        <v/>
      </c>
      <c r="S1645" s="1217">
        <f t="shared" si="223"/>
        <v>1.644927536231884</v>
      </c>
      <c r="U1645" s="1728"/>
      <c r="V1645" s="864">
        <f t="shared" si="203"/>
        <v>0</v>
      </c>
      <c r="W1645" s="1767"/>
      <c r="X1645" s="864"/>
    </row>
    <row r="1646" spans="2:24" ht="16" thickBot="1" x14ac:dyDescent="0.25">
      <c r="B1646" s="1654">
        <f t="shared" ref="B1646" si="225">SUM(H1644:H1650)</f>
        <v>32.08</v>
      </c>
      <c r="C1646" s="1208">
        <v>44734</v>
      </c>
      <c r="D1646" s="864"/>
      <c r="E1646" s="865"/>
      <c r="F1646" s="1534"/>
      <c r="G1646" s="1209"/>
      <c r="H1646" s="1210" t="str">
        <f>IFERROR(VLOOKUP(F1646,#REF!,10,FALSE),"")</f>
        <v/>
      </c>
      <c r="I1646" s="1211" t="str">
        <f t="shared" si="213"/>
        <v/>
      </c>
      <c r="J1646" s="1212"/>
      <c r="K1646" s="1741"/>
      <c r="L1646" s="1578"/>
      <c r="M1646" s="1602"/>
      <c r="N1646" s="1171" t="str">
        <f t="shared" si="222"/>
        <v/>
      </c>
      <c r="O1646" s="1213"/>
      <c r="P1646" s="1173" t="str">
        <f>IFERROR(VLOOKUP(F1646,#REF!,12,FALSE),"")</f>
        <v/>
      </c>
      <c r="Q1646" s="1229" t="s">
        <v>8</v>
      </c>
      <c r="R1646" s="1324" t="str">
        <f>IFERROR(VLOOKUP(F1646,#REF!,14,FALSE),"")</f>
        <v/>
      </c>
      <c r="S1646" s="1217" t="str">
        <f t="shared" si="223"/>
        <v/>
      </c>
      <c r="U1646" s="1728"/>
      <c r="V1646" s="864">
        <f t="shared" si="203"/>
        <v>0</v>
      </c>
      <c r="W1646" s="1767"/>
      <c r="X1646" s="864"/>
    </row>
    <row r="1647" spans="2:24" x14ac:dyDescent="0.2">
      <c r="B1647" s="1667" t="s">
        <v>144</v>
      </c>
      <c r="C1647" s="1208">
        <v>44735</v>
      </c>
      <c r="D1647" s="864">
        <v>92</v>
      </c>
      <c r="E1647" s="865" t="s">
        <v>293</v>
      </c>
      <c r="F1647" s="1534" t="s">
        <v>279</v>
      </c>
      <c r="G1647" s="1209">
        <v>3.8912037037037037E-2</v>
      </c>
      <c r="H1647" s="1210">
        <v>9.51</v>
      </c>
      <c r="I1647" s="1211">
        <f t="shared" si="213"/>
        <v>4.0916968493204036E-3</v>
      </c>
      <c r="J1647" s="1212">
        <v>131</v>
      </c>
      <c r="K1647" s="1741"/>
      <c r="L1647" s="1578">
        <v>208</v>
      </c>
      <c r="M1647" s="1602">
        <v>29</v>
      </c>
      <c r="N1647" s="1171">
        <f t="shared" si="222"/>
        <v>1.0975030211717438</v>
      </c>
      <c r="O1647" s="1213" t="s">
        <v>339</v>
      </c>
      <c r="P1647" s="1173" t="str">
        <f>IFERROR(VLOOKUP(F1647,#REF!,12,FALSE),"")</f>
        <v/>
      </c>
      <c r="Q1647" s="1229" t="s">
        <v>8</v>
      </c>
      <c r="R1647" s="1324" t="str">
        <f>IFERROR(VLOOKUP(F1647,#REF!,14,FALSE),"")</f>
        <v/>
      </c>
      <c r="S1647" s="1217">
        <f t="shared" si="223"/>
        <v>1.5877862595419847</v>
      </c>
      <c r="U1647" s="1728"/>
      <c r="V1647" s="864">
        <f t="shared" si="203"/>
        <v>0</v>
      </c>
      <c r="W1647" s="1767"/>
      <c r="X1647" s="864"/>
    </row>
    <row r="1648" spans="2:24" ht="16" thickBot="1" x14ac:dyDescent="0.25">
      <c r="B1648" s="1668" t="e">
        <f>SUM(#REF!)</f>
        <v>#REF!</v>
      </c>
      <c r="C1648" s="1347">
        <v>44736</v>
      </c>
      <c r="D1648" s="1348"/>
      <c r="E1648" s="1349"/>
      <c r="F1648" s="1550"/>
      <c r="G1648" s="1350"/>
      <c r="H1648" s="1351" t="str">
        <f>IFERROR(VLOOKUP(F1648,#REF!,10,FALSE),"")</f>
        <v/>
      </c>
      <c r="I1648" s="1352" t="str">
        <f t="shared" si="213"/>
        <v/>
      </c>
      <c r="J1648" s="1353"/>
      <c r="K1648" s="1741"/>
      <c r="L1648" s="1578"/>
      <c r="M1648" s="1602"/>
      <c r="N1648" s="1354" t="str">
        <f t="shared" si="222"/>
        <v/>
      </c>
      <c r="O1648" s="1355"/>
      <c r="P1648" s="1356" t="str">
        <f>IFERROR(VLOOKUP(F1648,#REF!,12,FALSE),"")</f>
        <v/>
      </c>
      <c r="Q1648" s="1357" t="s">
        <v>8</v>
      </c>
      <c r="R1648" s="1358" t="str">
        <f>IFERROR(VLOOKUP(F1648,#REF!,14,FALSE),"")</f>
        <v/>
      </c>
      <c r="S1648" s="1359" t="str">
        <f t="shared" si="223"/>
        <v/>
      </c>
      <c r="U1648" s="1728"/>
      <c r="V1648" s="1348">
        <f t="shared" si="203"/>
        <v>0</v>
      </c>
      <c r="W1648" s="1767"/>
      <c r="X1648" s="1348"/>
    </row>
    <row r="1649" spans="2:24" x14ac:dyDescent="0.2">
      <c r="B1649" s="1669" t="s">
        <v>256</v>
      </c>
      <c r="C1649" s="1237">
        <v>44737</v>
      </c>
      <c r="D1649" s="70">
        <v>93</v>
      </c>
      <c r="E1649" s="71" t="s">
        <v>293</v>
      </c>
      <c r="F1649" s="1549" t="s">
        <v>308</v>
      </c>
      <c r="G1649" s="1238">
        <v>4.9479166666666664E-2</v>
      </c>
      <c r="H1649" s="1239">
        <v>13</v>
      </c>
      <c r="I1649" s="1240">
        <f t="shared" si="213"/>
        <v>3.8060897435897435E-3</v>
      </c>
      <c r="J1649" s="265">
        <v>137</v>
      </c>
      <c r="K1649" s="1741"/>
      <c r="L1649" s="1581">
        <v>226</v>
      </c>
      <c r="M1649" s="265">
        <v>48</v>
      </c>
      <c r="N1649" s="77">
        <f t="shared" si="222"/>
        <v>1.1092422502870265</v>
      </c>
      <c r="O1649" s="1241" t="s">
        <v>329</v>
      </c>
      <c r="P1649" s="79" t="str">
        <f>IFERROR(VLOOKUP(F1649,#REF!,12,FALSE),"")</f>
        <v/>
      </c>
      <c r="Q1649" s="1242" t="s">
        <v>8</v>
      </c>
      <c r="R1649" s="1243" t="str">
        <f>IFERROR(VLOOKUP(F1649,#REF!,14,FALSE),"")</f>
        <v/>
      </c>
      <c r="S1649" s="1244">
        <f t="shared" si="223"/>
        <v>1.6496350364963503</v>
      </c>
      <c r="U1649" s="1728"/>
      <c r="V1649" s="70">
        <f t="shared" si="203"/>
        <v>0</v>
      </c>
      <c r="W1649" s="1767"/>
      <c r="X1649" s="70"/>
    </row>
    <row r="1650" spans="2:24" ht="16" thickBot="1" x14ac:dyDescent="0.25">
      <c r="B1650" s="1670" t="e">
        <f>AVERAGE(#REF!)</f>
        <v>#REF!</v>
      </c>
      <c r="C1650" s="544">
        <v>44738</v>
      </c>
      <c r="D1650" s="67"/>
      <c r="E1650" s="208"/>
      <c r="F1650" s="1538"/>
      <c r="G1650" s="1230"/>
      <c r="H1650" s="1231" t="str">
        <f>IFERROR(VLOOKUP(F1650,#REF!,10,FALSE),"")</f>
        <v/>
      </c>
      <c r="I1650" s="1232" t="str">
        <f t="shared" si="213"/>
        <v/>
      </c>
      <c r="J1650" s="256"/>
      <c r="K1650" s="1741"/>
      <c r="L1650" s="1580"/>
      <c r="M1650" s="1561"/>
      <c r="N1650" s="172" t="str">
        <f t="shared" si="222"/>
        <v/>
      </c>
      <c r="O1650" s="1233"/>
      <c r="P1650" s="447" t="str">
        <f>IFERROR(VLOOKUP(F1650,#REF!,12,FALSE),"")</f>
        <v/>
      </c>
      <c r="Q1650" s="1234" t="s">
        <v>8</v>
      </c>
      <c r="R1650" s="1235" t="str">
        <f>IFERROR(VLOOKUP(F1650,#REF!,14,FALSE),"")</f>
        <v/>
      </c>
      <c r="S1650" s="1236" t="str">
        <f t="shared" si="223"/>
        <v/>
      </c>
      <c r="U1650" s="1728"/>
      <c r="V1650" s="67">
        <f t="shared" si="203"/>
        <v>0</v>
      </c>
      <c r="W1650" s="1768"/>
      <c r="X1650" s="67"/>
    </row>
    <row r="1651" spans="2:24" ht="16" thickBot="1" x14ac:dyDescent="0.25">
      <c r="B1651" s="1661">
        <f t="shared" ref="B1651" si="226">B1644+1</f>
        <v>26</v>
      </c>
      <c r="C1651" s="1199">
        <v>44739</v>
      </c>
      <c r="D1651" s="1108">
        <v>94</v>
      </c>
      <c r="E1651" s="1109" t="s">
        <v>293</v>
      </c>
      <c r="F1651" s="1536" t="s">
        <v>322</v>
      </c>
      <c r="G1651" s="1200">
        <v>3.4097222222222223E-2</v>
      </c>
      <c r="H1651" s="1201">
        <v>8.5399999999999991</v>
      </c>
      <c r="I1651" s="1202">
        <f t="shared" si="213"/>
        <v>3.9926489721571696E-3</v>
      </c>
      <c r="J1651" s="1203">
        <v>128</v>
      </c>
      <c r="K1651" s="1741"/>
      <c r="L1651" s="1577"/>
      <c r="M1651" s="1374">
        <v>23</v>
      </c>
      <c r="N1651" s="1111"/>
      <c r="O1651" s="1204"/>
      <c r="P1651" s="1113" t="str">
        <f>IFERROR(VLOOKUP(F1651,#REF!,12,FALSE),"")</f>
        <v/>
      </c>
      <c r="Q1651" s="1205" t="s">
        <v>8</v>
      </c>
      <c r="R1651" s="1206" t="str">
        <f>IFERROR(VLOOKUP(F1651,#REF!,14,FALSE),"")</f>
        <v/>
      </c>
      <c r="S1651" s="1207"/>
      <c r="U1651" s="1728"/>
      <c r="V1651" s="1108">
        <f t="shared" si="203"/>
        <v>0</v>
      </c>
      <c r="W1651" s="1766"/>
      <c r="X1651" s="1108"/>
    </row>
    <row r="1652" spans="2:24" x14ac:dyDescent="0.2">
      <c r="B1652" s="1666" t="s">
        <v>142</v>
      </c>
      <c r="C1652" s="1208">
        <v>44740</v>
      </c>
      <c r="D1652" s="864"/>
      <c r="E1652" s="865"/>
      <c r="F1652" s="1534"/>
      <c r="G1652" s="1209"/>
      <c r="H1652" s="1210" t="str">
        <f>IFERROR(VLOOKUP(F1652,#REF!,10,FALSE),"")</f>
        <v/>
      </c>
      <c r="I1652" s="1211" t="str">
        <f t="shared" si="213"/>
        <v/>
      </c>
      <c r="J1652" s="1212"/>
      <c r="K1652" s="1741"/>
      <c r="L1652" s="1578"/>
      <c r="M1652" s="1602"/>
      <c r="N1652" s="1171" t="str">
        <f t="shared" ref="N1652:N1662" si="227">IFERROR((L1652/67)/(1/(I1652*24)/3.6),"")</f>
        <v/>
      </c>
      <c r="O1652" s="1213"/>
      <c r="P1652" s="1173" t="str">
        <f>IFERROR(VLOOKUP(F1652,#REF!,12,FALSE),"")</f>
        <v/>
      </c>
      <c r="Q1652" s="1229" t="s">
        <v>8</v>
      </c>
      <c r="R1652" s="1324" t="str">
        <f>IFERROR(VLOOKUP(F1652,#REF!,14,FALSE),"")</f>
        <v/>
      </c>
      <c r="S1652" s="1217" t="str">
        <f t="shared" ref="S1652:S1662" si="228">IFERROR(L1652/J1652,"")</f>
        <v/>
      </c>
      <c r="U1652" s="1728"/>
      <c r="V1652" s="864">
        <f t="shared" si="203"/>
        <v>0</v>
      </c>
      <c r="W1652" s="1767"/>
      <c r="X1652" s="864"/>
    </row>
    <row r="1653" spans="2:24" ht="16" thickBot="1" x14ac:dyDescent="0.25">
      <c r="B1653" s="1654">
        <f t="shared" ref="B1653" si="229">SUM(H1651:H1657)</f>
        <v>27.25</v>
      </c>
      <c r="C1653" s="1208">
        <v>44741</v>
      </c>
      <c r="D1653" s="864">
        <v>95</v>
      </c>
      <c r="E1653" s="865" t="s">
        <v>293</v>
      </c>
      <c r="F1653" s="1534" t="s">
        <v>279</v>
      </c>
      <c r="G1653" s="1209">
        <v>3.9675925925925927E-2</v>
      </c>
      <c r="H1653" s="1210">
        <v>10.88</v>
      </c>
      <c r="I1653" s="1211">
        <f t="shared" si="213"/>
        <v>3.6466843681917209E-3</v>
      </c>
      <c r="J1653" s="1212">
        <v>145</v>
      </c>
      <c r="K1653" s="1741"/>
      <c r="L1653" s="1578">
        <v>232</v>
      </c>
      <c r="M1653" s="1602">
        <v>33</v>
      </c>
      <c r="N1653" s="1171">
        <f t="shared" si="227"/>
        <v>1.0910008779631253</v>
      </c>
      <c r="O1653" s="1213" t="s">
        <v>280</v>
      </c>
      <c r="P1653" s="1173" t="str">
        <f>IFERROR(VLOOKUP(F1653,#REF!,12,FALSE),"")</f>
        <v/>
      </c>
      <c r="Q1653" s="1229" t="s">
        <v>8</v>
      </c>
      <c r="R1653" s="1324" t="str">
        <f>IFERROR(VLOOKUP(F1653,#REF!,14,FALSE),"")</f>
        <v/>
      </c>
      <c r="S1653" s="1217">
        <f t="shared" si="228"/>
        <v>1.6</v>
      </c>
      <c r="U1653" s="1728"/>
      <c r="V1653" s="864">
        <f t="shared" si="203"/>
        <v>0</v>
      </c>
      <c r="W1653" s="1767"/>
      <c r="X1653" s="864"/>
    </row>
    <row r="1654" spans="2:24" x14ac:dyDescent="0.2">
      <c r="B1654" s="1667" t="s">
        <v>144</v>
      </c>
      <c r="C1654" s="1208">
        <v>44742</v>
      </c>
      <c r="D1654" s="864"/>
      <c r="E1654" s="865"/>
      <c r="F1654" s="1534"/>
      <c r="G1654" s="1209"/>
      <c r="H1654" s="1210" t="str">
        <f>IFERROR(VLOOKUP(F1654,#REF!,10,FALSE),"")</f>
        <v/>
      </c>
      <c r="I1654" s="1211" t="str">
        <f t="shared" si="213"/>
        <v/>
      </c>
      <c r="J1654" s="1212"/>
      <c r="K1654" s="1741"/>
      <c r="L1654" s="1578"/>
      <c r="M1654" s="1602"/>
      <c r="N1654" s="1171" t="str">
        <f t="shared" si="227"/>
        <v/>
      </c>
      <c r="O1654" s="1213"/>
      <c r="P1654" s="1173" t="str">
        <f>IFERROR(VLOOKUP(F1654,#REF!,12,FALSE),"")</f>
        <v/>
      </c>
      <c r="Q1654" s="1229" t="s">
        <v>8</v>
      </c>
      <c r="R1654" s="1324" t="str">
        <f>IFERROR(VLOOKUP(F1654,#REF!,14,FALSE),"")</f>
        <v/>
      </c>
      <c r="S1654" s="1217" t="str">
        <f t="shared" si="228"/>
        <v/>
      </c>
      <c r="U1654" s="1728"/>
      <c r="V1654" s="864">
        <f t="shared" si="203"/>
        <v>0</v>
      </c>
      <c r="W1654" s="1767"/>
      <c r="X1654" s="864"/>
    </row>
    <row r="1655" spans="2:24" ht="16" thickBot="1" x14ac:dyDescent="0.25">
      <c r="B1655" s="1668" t="e">
        <f>SUM(#REF!)</f>
        <v>#REF!</v>
      </c>
      <c r="C1655" s="1347">
        <v>44743</v>
      </c>
      <c r="D1655" s="1348"/>
      <c r="E1655" s="1349"/>
      <c r="F1655" s="1550"/>
      <c r="G1655" s="1350"/>
      <c r="H1655" s="1351"/>
      <c r="I1655" s="1352" t="str">
        <f t="shared" si="213"/>
        <v/>
      </c>
      <c r="J1655" s="1353"/>
      <c r="K1655" s="1741"/>
      <c r="L1655" s="1578"/>
      <c r="M1655" s="1602"/>
      <c r="N1655" s="1354" t="str">
        <f t="shared" si="227"/>
        <v/>
      </c>
      <c r="O1655" s="1355"/>
      <c r="P1655" s="1356" t="str">
        <f>IFERROR(VLOOKUP(F1655,#REF!,12,FALSE),"")</f>
        <v/>
      </c>
      <c r="Q1655" s="1357" t="s">
        <v>8</v>
      </c>
      <c r="R1655" s="1358" t="str">
        <f>IFERROR(VLOOKUP(F1655,#REF!,14,FALSE),"")</f>
        <v/>
      </c>
      <c r="S1655" s="1359" t="str">
        <f t="shared" si="228"/>
        <v/>
      </c>
      <c r="U1655" s="1728"/>
      <c r="V1655" s="1348">
        <f t="shared" si="203"/>
        <v>0</v>
      </c>
      <c r="W1655" s="1767"/>
      <c r="X1655" s="1348"/>
    </row>
    <row r="1656" spans="2:24" x14ac:dyDescent="0.2">
      <c r="B1656" s="1669" t="s">
        <v>256</v>
      </c>
      <c r="C1656" s="1237">
        <v>44744</v>
      </c>
      <c r="D1656" s="70">
        <v>96</v>
      </c>
      <c r="E1656" s="71" t="s">
        <v>293</v>
      </c>
      <c r="F1656" s="1549" t="s">
        <v>322</v>
      </c>
      <c r="G1656" s="1238">
        <v>3.0914351851851849E-2</v>
      </c>
      <c r="H1656" s="1239">
        <v>7.83</v>
      </c>
      <c r="I1656" s="1240">
        <f t="shared" si="213"/>
        <v>3.9481930845276948E-3</v>
      </c>
      <c r="J1656" s="265">
        <v>129</v>
      </c>
      <c r="K1656" s="1741"/>
      <c r="L1656" s="1581">
        <v>215</v>
      </c>
      <c r="M1656" s="265">
        <v>24</v>
      </c>
      <c r="N1656" s="77">
        <f t="shared" si="227"/>
        <v>1.0946512647490518</v>
      </c>
      <c r="O1656" s="1241" t="s">
        <v>339</v>
      </c>
      <c r="P1656" s="79" t="str">
        <f>IFERROR(VLOOKUP(F1656,#REF!,12,FALSE),"")</f>
        <v/>
      </c>
      <c r="Q1656" s="1242" t="s">
        <v>8</v>
      </c>
      <c r="R1656" s="1243" t="str">
        <f>IFERROR(VLOOKUP(F1656,#REF!,14,FALSE),"")</f>
        <v/>
      </c>
      <c r="S1656" s="1244">
        <f t="shared" si="228"/>
        <v>1.6666666666666667</v>
      </c>
      <c r="U1656" s="1728"/>
      <c r="V1656" s="70">
        <f t="shared" si="203"/>
        <v>0</v>
      </c>
      <c r="W1656" s="1767"/>
      <c r="X1656" s="70"/>
    </row>
    <row r="1657" spans="2:24" ht="16" thickBot="1" x14ac:dyDescent="0.25">
      <c r="B1657" s="1670" t="e">
        <f>AVERAGE(#REF!)</f>
        <v>#REF!</v>
      </c>
      <c r="C1657" s="544">
        <v>44745</v>
      </c>
      <c r="D1657" s="67"/>
      <c r="E1657" s="208"/>
      <c r="F1657" s="1538"/>
      <c r="G1657" s="1230"/>
      <c r="H1657" s="1231" t="str">
        <f>IFERROR(VLOOKUP(F1657,#REF!,10,FALSE),"")</f>
        <v/>
      </c>
      <c r="I1657" s="1232" t="str">
        <f t="shared" si="213"/>
        <v/>
      </c>
      <c r="J1657" s="256"/>
      <c r="K1657" s="1741"/>
      <c r="L1657" s="1580"/>
      <c r="M1657" s="1561"/>
      <c r="N1657" s="172" t="str">
        <f t="shared" si="227"/>
        <v/>
      </c>
      <c r="O1657" s="1233"/>
      <c r="P1657" s="447" t="str">
        <f>IFERROR(VLOOKUP(F1657,#REF!,12,FALSE),"")</f>
        <v/>
      </c>
      <c r="Q1657" s="1234" t="s">
        <v>8</v>
      </c>
      <c r="R1657" s="1235" t="str">
        <f>IFERROR(VLOOKUP(F1657,#REF!,14,FALSE),"")</f>
        <v/>
      </c>
      <c r="S1657" s="1236" t="str">
        <f t="shared" si="228"/>
        <v/>
      </c>
      <c r="U1657" s="1728"/>
      <c r="V1657" s="67">
        <f t="shared" si="203"/>
        <v>0</v>
      </c>
      <c r="W1657" s="1768"/>
      <c r="X1657" s="67"/>
    </row>
    <row r="1658" spans="2:24" ht="16" thickBot="1" x14ac:dyDescent="0.25">
      <c r="B1658" s="1661">
        <f t="shared" ref="B1658" si="230">B1651+1</f>
        <v>27</v>
      </c>
      <c r="C1658" s="1199">
        <v>44746</v>
      </c>
      <c r="D1658" s="1108">
        <v>97</v>
      </c>
      <c r="E1658" s="1109" t="s">
        <v>293</v>
      </c>
      <c r="F1658" s="1536" t="s">
        <v>322</v>
      </c>
      <c r="G1658" s="1200">
        <v>3.4768518518518525E-2</v>
      </c>
      <c r="H1658" s="1201">
        <v>9.08</v>
      </c>
      <c r="I1658" s="1202">
        <f t="shared" si="213"/>
        <v>3.8291319954315557E-3</v>
      </c>
      <c r="J1658" s="1203"/>
      <c r="K1658" s="1741"/>
      <c r="L1658" s="1577">
        <v>223</v>
      </c>
      <c r="M1658" s="1374">
        <v>27</v>
      </c>
      <c r="N1658" s="1111">
        <f t="shared" si="227"/>
        <v>1.1011440594384905</v>
      </c>
      <c r="O1658" s="1204" t="s">
        <v>329</v>
      </c>
      <c r="P1658" s="1113" t="str">
        <f>IFERROR(VLOOKUP(F1658,#REF!,12,FALSE),"")</f>
        <v/>
      </c>
      <c r="Q1658" s="1205" t="s">
        <v>8</v>
      </c>
      <c r="R1658" s="1206" t="str">
        <f>IFERROR(VLOOKUP(F1658,#REF!,14,FALSE),"")</f>
        <v/>
      </c>
      <c r="S1658" s="1207" t="str">
        <f t="shared" si="228"/>
        <v/>
      </c>
      <c r="U1658" s="1728"/>
      <c r="V1658" s="1108">
        <f t="shared" ref="V1658:V1721" si="231">U1657-T1657</f>
        <v>0</v>
      </c>
      <c r="W1658" s="1766"/>
      <c r="X1658" s="1108"/>
    </row>
    <row r="1659" spans="2:24" x14ac:dyDescent="0.2">
      <c r="B1659" s="1666" t="s">
        <v>142</v>
      </c>
      <c r="C1659" s="1208">
        <v>44747</v>
      </c>
      <c r="D1659" s="864"/>
      <c r="E1659" s="865"/>
      <c r="F1659" s="1534"/>
      <c r="G1659" s="1209"/>
      <c r="H1659" s="1210" t="str">
        <f>IFERROR(VLOOKUP(F1659,#REF!,10,FALSE),"")</f>
        <v/>
      </c>
      <c r="I1659" s="1211" t="str">
        <f t="shared" si="213"/>
        <v/>
      </c>
      <c r="J1659" s="1212"/>
      <c r="K1659" s="1741"/>
      <c r="L1659" s="1578"/>
      <c r="M1659" s="1602"/>
      <c r="N1659" s="1171" t="str">
        <f t="shared" si="227"/>
        <v/>
      </c>
      <c r="O1659" s="1213"/>
      <c r="P1659" s="1173" t="str">
        <f>IFERROR(VLOOKUP(F1659,#REF!,12,FALSE),"")</f>
        <v/>
      </c>
      <c r="Q1659" s="1229" t="s">
        <v>8</v>
      </c>
      <c r="R1659" s="1324" t="str">
        <f>IFERROR(VLOOKUP(F1659,#REF!,14,FALSE),"")</f>
        <v/>
      </c>
      <c r="S1659" s="1217" t="str">
        <f t="shared" si="228"/>
        <v/>
      </c>
      <c r="U1659" s="1728"/>
      <c r="V1659" s="864">
        <f t="shared" si="231"/>
        <v>0</v>
      </c>
      <c r="W1659" s="1767"/>
      <c r="X1659" s="864"/>
    </row>
    <row r="1660" spans="2:24" ht="16" thickBot="1" x14ac:dyDescent="0.25">
      <c r="B1660" s="1654">
        <f t="shared" ref="B1660" si="232">SUM(H1658:H1664)</f>
        <v>38.44</v>
      </c>
      <c r="C1660" s="1208">
        <v>44748</v>
      </c>
      <c r="D1660" s="864">
        <v>98</v>
      </c>
      <c r="E1660" s="865" t="s">
        <v>292</v>
      </c>
      <c r="F1660" s="1534" t="s">
        <v>279</v>
      </c>
      <c r="G1660" s="1209">
        <v>3.8252314814814815E-2</v>
      </c>
      <c r="H1660" s="1210">
        <v>9.8699999999999992</v>
      </c>
      <c r="I1660" s="1211">
        <f t="shared" si="213"/>
        <v>3.8756144695861012E-3</v>
      </c>
      <c r="J1660" s="1212">
        <v>130</v>
      </c>
      <c r="K1660" s="1741"/>
      <c r="L1660" s="1578">
        <v>214</v>
      </c>
      <c r="M1660" s="1602">
        <v>20</v>
      </c>
      <c r="N1660" s="1171">
        <f t="shared" si="227"/>
        <v>1.0695307656247637</v>
      </c>
      <c r="O1660" s="1213" t="s">
        <v>328</v>
      </c>
      <c r="P1660" s="1173" t="str">
        <f>IFERROR(VLOOKUP(F1660,#REF!,12,FALSE),"")</f>
        <v/>
      </c>
      <c r="Q1660" s="1229" t="s">
        <v>8</v>
      </c>
      <c r="R1660" s="1324" t="str">
        <f>IFERROR(VLOOKUP(F1660,#REF!,14,FALSE),"")</f>
        <v/>
      </c>
      <c r="S1660" s="1217">
        <f t="shared" si="228"/>
        <v>1.6461538461538461</v>
      </c>
      <c r="U1660" s="1728"/>
      <c r="V1660" s="864">
        <f t="shared" si="231"/>
        <v>0</v>
      </c>
      <c r="W1660" s="1767"/>
      <c r="X1660" s="864"/>
    </row>
    <row r="1661" spans="2:24" x14ac:dyDescent="0.2">
      <c r="B1661" s="1667" t="s">
        <v>144</v>
      </c>
      <c r="C1661" s="1208">
        <v>44749</v>
      </c>
      <c r="D1661" s="864">
        <v>99</v>
      </c>
      <c r="E1661" s="865" t="s">
        <v>293</v>
      </c>
      <c r="F1661" s="1534" t="s">
        <v>322</v>
      </c>
      <c r="G1661" s="1209">
        <v>3.1631944444444442E-2</v>
      </c>
      <c r="H1661" s="1210">
        <v>8.48</v>
      </c>
      <c r="I1661" s="1211">
        <f t="shared" si="213"/>
        <v>3.7301821278825989E-3</v>
      </c>
      <c r="J1661" s="1212">
        <v>138</v>
      </c>
      <c r="K1661" s="1741"/>
      <c r="L1661" s="1578">
        <v>228</v>
      </c>
      <c r="M1661" s="1602">
        <v>19</v>
      </c>
      <c r="N1661" s="1171">
        <f t="shared" si="227"/>
        <v>1.0967403548296253</v>
      </c>
      <c r="O1661" s="1213" t="s">
        <v>329</v>
      </c>
      <c r="P1661" s="1173" t="str">
        <f>IFERROR(VLOOKUP(F1661,#REF!,12,FALSE),"")</f>
        <v/>
      </c>
      <c r="Q1661" s="1229" t="s">
        <v>8</v>
      </c>
      <c r="R1661" s="1324" t="str">
        <f>IFERROR(VLOOKUP(F1661,#REF!,14,FALSE),"")</f>
        <v/>
      </c>
      <c r="S1661" s="1217">
        <f t="shared" si="228"/>
        <v>1.6521739130434783</v>
      </c>
      <c r="U1661" s="1728"/>
      <c r="V1661" s="864">
        <f t="shared" si="231"/>
        <v>0</v>
      </c>
      <c r="W1661" s="1767"/>
      <c r="X1661" s="864"/>
    </row>
    <row r="1662" spans="2:24" ht="16" thickBot="1" x14ac:dyDescent="0.25">
      <c r="B1662" s="1668" t="e">
        <f>SUM(#REF!)</f>
        <v>#REF!</v>
      </c>
      <c r="C1662" s="1347">
        <v>44750</v>
      </c>
      <c r="D1662" s="1348"/>
      <c r="E1662" s="1349"/>
      <c r="F1662" s="1550"/>
      <c r="G1662" s="1350"/>
      <c r="H1662" s="1351" t="str">
        <f>IFERROR(VLOOKUP(F1662,#REF!,10,FALSE),"")</f>
        <v/>
      </c>
      <c r="I1662" s="1352" t="str">
        <f t="shared" si="213"/>
        <v/>
      </c>
      <c r="J1662" s="1353"/>
      <c r="K1662" s="1741"/>
      <c r="L1662" s="1578"/>
      <c r="M1662" s="1602"/>
      <c r="N1662" s="1354" t="str">
        <f t="shared" si="227"/>
        <v/>
      </c>
      <c r="O1662" s="1355"/>
      <c r="P1662" s="1356" t="str">
        <f>IFERROR(VLOOKUP(F1662,#REF!,12,FALSE),"")</f>
        <v/>
      </c>
      <c r="Q1662" s="1357" t="s">
        <v>8</v>
      </c>
      <c r="R1662" s="1358" t="str">
        <f>IFERROR(VLOOKUP(F1662,#REF!,14,FALSE),"")</f>
        <v/>
      </c>
      <c r="S1662" s="1359" t="str">
        <f t="shared" si="228"/>
        <v/>
      </c>
      <c r="U1662" s="1728"/>
      <c r="V1662" s="1348">
        <f t="shared" si="231"/>
        <v>0</v>
      </c>
      <c r="W1662" s="1767"/>
      <c r="X1662" s="1348"/>
    </row>
    <row r="1663" spans="2:24" x14ac:dyDescent="0.2">
      <c r="B1663" s="1669" t="s">
        <v>256</v>
      </c>
      <c r="C1663" s="1237">
        <v>44751</v>
      </c>
      <c r="D1663" s="70">
        <v>100</v>
      </c>
      <c r="E1663" s="71" t="s">
        <v>293</v>
      </c>
      <c r="F1663" s="1549" t="s">
        <v>297</v>
      </c>
      <c r="G1663" s="1238">
        <v>5.9849537037037041E-2</v>
      </c>
      <c r="H1663" s="1239">
        <v>11.01</v>
      </c>
      <c r="I1663" s="1240">
        <f t="shared" si="213"/>
        <v>5.4359252531368798E-3</v>
      </c>
      <c r="J1663" s="265">
        <v>140</v>
      </c>
      <c r="K1663" s="1741"/>
      <c r="L1663" s="1581">
        <v>188</v>
      </c>
      <c r="M1663" s="265">
        <v>522</v>
      </c>
      <c r="N1663" s="77"/>
      <c r="O1663" s="1241" t="s">
        <v>299</v>
      </c>
      <c r="P1663" s="79" t="str">
        <f>IFERROR(VLOOKUP(F1663,#REF!,12,FALSE),"")</f>
        <v/>
      </c>
      <c r="Q1663" s="1242" t="s">
        <v>8</v>
      </c>
      <c r="R1663" s="1243" t="str">
        <f>IFERROR(VLOOKUP(F1663,#REF!,14,FALSE),"")</f>
        <v/>
      </c>
      <c r="S1663" s="1244"/>
      <c r="U1663" s="1728"/>
      <c r="V1663" s="70">
        <f t="shared" si="231"/>
        <v>0</v>
      </c>
      <c r="W1663" s="1767"/>
      <c r="X1663" s="70"/>
    </row>
    <row r="1664" spans="2:24" ht="16" thickBot="1" x14ac:dyDescent="0.25">
      <c r="B1664" s="1670" t="e">
        <f>AVERAGE(#REF!)</f>
        <v>#REF!</v>
      </c>
      <c r="C1664" s="544">
        <v>44752</v>
      </c>
      <c r="D1664" s="67"/>
      <c r="E1664" s="208"/>
      <c r="F1664" s="1538"/>
      <c r="G1664" s="1230"/>
      <c r="H1664" s="1231" t="str">
        <f>IFERROR(VLOOKUP(F1664,#REF!,10,FALSE),"")</f>
        <v/>
      </c>
      <c r="I1664" s="1232" t="str">
        <f t="shared" si="213"/>
        <v/>
      </c>
      <c r="J1664" s="256"/>
      <c r="K1664" s="1741"/>
      <c r="L1664" s="1580"/>
      <c r="M1664" s="1561"/>
      <c r="N1664" s="172" t="str">
        <f t="shared" ref="N1664:N1700" si="233">IFERROR((L1664/67)/(1/(I1664*24)/3.6),"")</f>
        <v/>
      </c>
      <c r="O1664" s="1233"/>
      <c r="P1664" s="447" t="str">
        <f>IFERROR(VLOOKUP(F1664,#REF!,12,FALSE),"")</f>
        <v/>
      </c>
      <c r="Q1664" s="1234" t="s">
        <v>8</v>
      </c>
      <c r="R1664" s="1235" t="str">
        <f>IFERROR(VLOOKUP(F1664,#REF!,14,FALSE),"")</f>
        <v/>
      </c>
      <c r="S1664" s="1236" t="str">
        <f t="shared" ref="S1664:S1700" si="234">IFERROR(L1664/J1664,"")</f>
        <v/>
      </c>
      <c r="U1664" s="1728"/>
      <c r="V1664" s="67">
        <f t="shared" si="231"/>
        <v>0</v>
      </c>
      <c r="W1664" s="1768"/>
      <c r="X1664" s="67"/>
    </row>
    <row r="1665" spans="2:24" ht="16" thickBot="1" x14ac:dyDescent="0.25">
      <c r="B1665" s="1661">
        <f t="shared" ref="B1665" si="235">B1658+1</f>
        <v>28</v>
      </c>
      <c r="C1665" s="1199">
        <v>44753</v>
      </c>
      <c r="D1665" s="1108"/>
      <c r="E1665" s="1109"/>
      <c r="F1665" s="1536"/>
      <c r="G1665" s="1200"/>
      <c r="H1665" s="1201" t="str">
        <f>IFERROR(VLOOKUP(F1665,#REF!,10,FALSE),"")</f>
        <v/>
      </c>
      <c r="I1665" s="1202" t="str">
        <f t="shared" si="213"/>
        <v/>
      </c>
      <c r="J1665" s="1203"/>
      <c r="K1665" s="1741"/>
      <c r="L1665" s="1577"/>
      <c r="M1665" s="1374"/>
      <c r="N1665" s="1111" t="str">
        <f t="shared" si="233"/>
        <v/>
      </c>
      <c r="O1665" s="1204"/>
      <c r="P1665" s="1113" t="str">
        <f>IFERROR(VLOOKUP(F1665,#REF!,12,FALSE),"")</f>
        <v/>
      </c>
      <c r="Q1665" s="1205" t="s">
        <v>8</v>
      </c>
      <c r="R1665" s="1206" t="str">
        <f>IFERROR(VLOOKUP(F1665,#REF!,14,FALSE),"")</f>
        <v/>
      </c>
      <c r="S1665" s="1207" t="str">
        <f t="shared" si="234"/>
        <v/>
      </c>
      <c r="U1665" s="1728"/>
      <c r="V1665" s="1108">
        <f t="shared" si="231"/>
        <v>0</v>
      </c>
      <c r="W1665" s="1766"/>
      <c r="X1665" s="1108"/>
    </row>
    <row r="1666" spans="2:24" x14ac:dyDescent="0.2">
      <c r="B1666" s="1666" t="s">
        <v>142</v>
      </c>
      <c r="C1666" s="1208">
        <v>44754</v>
      </c>
      <c r="D1666" s="864">
        <v>101</v>
      </c>
      <c r="E1666" s="865" t="s">
        <v>293</v>
      </c>
      <c r="F1666" s="1534" t="s">
        <v>322</v>
      </c>
      <c r="G1666" s="1209">
        <v>3.3923611111111113E-2</v>
      </c>
      <c r="H1666" s="1210">
        <v>8.9700000000000006</v>
      </c>
      <c r="I1666" s="1211">
        <f t="shared" si="213"/>
        <v>3.7818964449399233E-3</v>
      </c>
      <c r="J1666" s="1212">
        <v>139</v>
      </c>
      <c r="K1666" s="1741"/>
      <c r="L1666" s="1578">
        <v>223</v>
      </c>
      <c r="M1666" s="1602">
        <v>24</v>
      </c>
      <c r="N1666" s="1171">
        <f t="shared" si="233"/>
        <v>1.0875605251335299</v>
      </c>
      <c r="O1666" s="1213" t="s">
        <v>327</v>
      </c>
      <c r="P1666" s="1173" t="str">
        <f>IFERROR(VLOOKUP(F1666,#REF!,12,FALSE),"")</f>
        <v/>
      </c>
      <c r="Q1666" s="1229" t="s">
        <v>8</v>
      </c>
      <c r="R1666" s="1324" t="str">
        <f>IFERROR(VLOOKUP(F1666,#REF!,14,FALSE),"")</f>
        <v/>
      </c>
      <c r="S1666" s="1217">
        <f t="shared" si="234"/>
        <v>1.6043165467625899</v>
      </c>
      <c r="U1666" s="1728"/>
      <c r="V1666" s="864">
        <f t="shared" si="231"/>
        <v>0</v>
      </c>
      <c r="W1666" s="1767"/>
      <c r="X1666" s="864"/>
    </row>
    <row r="1667" spans="2:24" ht="16" thickBot="1" x14ac:dyDescent="0.25">
      <c r="B1667" s="1654">
        <f t="shared" ref="B1667" si="236">SUM(H1665:H1671)</f>
        <v>33.44</v>
      </c>
      <c r="C1667" s="1208">
        <v>44755</v>
      </c>
      <c r="D1667" s="864">
        <v>102</v>
      </c>
      <c r="E1667" s="865" t="s">
        <v>293</v>
      </c>
      <c r="F1667" s="1534" t="s">
        <v>322</v>
      </c>
      <c r="G1667" s="1209">
        <v>2.732638888888889E-2</v>
      </c>
      <c r="H1667" s="1210">
        <v>7.31</v>
      </c>
      <c r="I1667" s="1211">
        <f t="shared" si="213"/>
        <v>3.7382200942392462E-3</v>
      </c>
      <c r="J1667" s="1212">
        <v>142</v>
      </c>
      <c r="K1667" s="1741"/>
      <c r="L1667" s="1578">
        <v>224</v>
      </c>
      <c r="M1667" s="1602">
        <v>16</v>
      </c>
      <c r="N1667" s="1171">
        <f t="shared" si="233"/>
        <v>1.0798211405353535</v>
      </c>
      <c r="O1667" s="1213" t="s">
        <v>327</v>
      </c>
      <c r="P1667" s="1173" t="str">
        <f>IFERROR(VLOOKUP(F1667,#REF!,12,FALSE),"")</f>
        <v/>
      </c>
      <c r="Q1667" s="1229" t="s">
        <v>8</v>
      </c>
      <c r="R1667" s="1324" t="str">
        <f>IFERROR(VLOOKUP(F1667,#REF!,14,FALSE),"")</f>
        <v/>
      </c>
      <c r="S1667" s="1217">
        <f t="shared" si="234"/>
        <v>1.5774647887323943</v>
      </c>
      <c r="U1667" s="1728"/>
      <c r="V1667" s="864">
        <f t="shared" si="231"/>
        <v>0</v>
      </c>
      <c r="W1667" s="1767"/>
      <c r="X1667" s="864"/>
    </row>
    <row r="1668" spans="2:24" x14ac:dyDescent="0.2">
      <c r="B1668" s="1667" t="s">
        <v>144</v>
      </c>
      <c r="C1668" s="1208">
        <v>44756</v>
      </c>
      <c r="D1668" s="864">
        <v>103</v>
      </c>
      <c r="E1668" s="865" t="s">
        <v>293</v>
      </c>
      <c r="F1668" s="1534" t="s">
        <v>322</v>
      </c>
      <c r="G1668" s="1209">
        <v>3.1458333333333331E-2</v>
      </c>
      <c r="H1668" s="1210">
        <v>8.3000000000000007</v>
      </c>
      <c r="I1668" s="1211">
        <f t="shared" si="213"/>
        <v>3.7901606425702807E-3</v>
      </c>
      <c r="J1668" s="1212">
        <v>142</v>
      </c>
      <c r="K1668" s="1741"/>
      <c r="L1668" s="1578">
        <v>222</v>
      </c>
      <c r="M1668" s="1602">
        <v>19</v>
      </c>
      <c r="N1668" s="1171">
        <f t="shared" si="233"/>
        <v>1.0850494515374929</v>
      </c>
      <c r="O1668" s="1213" t="s">
        <v>328</v>
      </c>
      <c r="P1668" s="1173" t="str">
        <f>IFERROR(VLOOKUP(F1668,#REF!,12,FALSE),"")</f>
        <v/>
      </c>
      <c r="Q1668" s="1229" t="s">
        <v>8</v>
      </c>
      <c r="R1668" s="1324" t="str">
        <f>IFERROR(VLOOKUP(F1668,#REF!,14,FALSE),"")</f>
        <v/>
      </c>
      <c r="S1668" s="1217">
        <f t="shared" si="234"/>
        <v>1.5633802816901408</v>
      </c>
      <c r="U1668" s="1728"/>
      <c r="V1668" s="864">
        <f t="shared" si="231"/>
        <v>0</v>
      </c>
      <c r="W1668" s="1767"/>
      <c r="X1668" s="864"/>
    </row>
    <row r="1669" spans="2:24" ht="16" thickBot="1" x14ac:dyDescent="0.25">
      <c r="B1669" s="1668" t="e">
        <f>SUM(#REF!)</f>
        <v>#REF!</v>
      </c>
      <c r="C1669" s="1347">
        <v>44757</v>
      </c>
      <c r="D1669" s="1348"/>
      <c r="E1669" s="1349"/>
      <c r="F1669" s="1550"/>
      <c r="G1669" s="1350"/>
      <c r="H1669" s="1351" t="str">
        <f>IFERROR(VLOOKUP(F1669,#REF!,10,FALSE),"")</f>
        <v/>
      </c>
      <c r="I1669" s="1352" t="str">
        <f t="shared" si="213"/>
        <v/>
      </c>
      <c r="J1669" s="1353"/>
      <c r="K1669" s="1741"/>
      <c r="L1669" s="1578"/>
      <c r="M1669" s="1602"/>
      <c r="N1669" s="1354" t="str">
        <f t="shared" si="233"/>
        <v/>
      </c>
      <c r="O1669" s="1355"/>
      <c r="P1669" s="1356" t="str">
        <f>IFERROR(VLOOKUP(F1669,#REF!,12,FALSE),"")</f>
        <v/>
      </c>
      <c r="Q1669" s="1357" t="s">
        <v>8</v>
      </c>
      <c r="R1669" s="1358" t="str">
        <f>IFERROR(VLOOKUP(F1669,#REF!,14,FALSE),"")</f>
        <v/>
      </c>
      <c r="S1669" s="1359" t="str">
        <f t="shared" si="234"/>
        <v/>
      </c>
      <c r="U1669" s="1728"/>
      <c r="V1669" s="1348">
        <f t="shared" si="231"/>
        <v>0</v>
      </c>
      <c r="W1669" s="1767"/>
      <c r="X1669" s="1348"/>
    </row>
    <row r="1670" spans="2:24" x14ac:dyDescent="0.2">
      <c r="B1670" s="1669" t="s">
        <v>256</v>
      </c>
      <c r="C1670" s="1237">
        <v>44758</v>
      </c>
      <c r="D1670" s="70">
        <v>104</v>
      </c>
      <c r="E1670" s="71" t="s">
        <v>292</v>
      </c>
      <c r="F1670" s="1549" t="s">
        <v>322</v>
      </c>
      <c r="G1670" s="1238">
        <v>3.4583333333333334E-2</v>
      </c>
      <c r="H1670" s="1239">
        <v>8.86</v>
      </c>
      <c r="I1670" s="1240">
        <f t="shared" si="213"/>
        <v>3.9033107599699027E-3</v>
      </c>
      <c r="J1670" s="265">
        <v>136</v>
      </c>
      <c r="K1670" s="1741"/>
      <c r="L1670" s="1581">
        <v>212</v>
      </c>
      <c r="M1670" s="265">
        <v>17</v>
      </c>
      <c r="N1670" s="77">
        <f t="shared" si="233"/>
        <v>1.0671069034062195</v>
      </c>
      <c r="O1670" s="1241" t="s">
        <v>329</v>
      </c>
      <c r="P1670" s="79" t="str">
        <f>IFERROR(VLOOKUP(F1670,#REF!,12,FALSE),"")</f>
        <v/>
      </c>
      <c r="Q1670" s="1242" t="s">
        <v>8</v>
      </c>
      <c r="R1670" s="1243" t="str">
        <f>IFERROR(VLOOKUP(F1670,#REF!,14,FALSE),"")</f>
        <v/>
      </c>
      <c r="S1670" s="1244">
        <f t="shared" si="234"/>
        <v>1.5588235294117647</v>
      </c>
      <c r="U1670" s="1728"/>
      <c r="V1670" s="70">
        <f t="shared" si="231"/>
        <v>0</v>
      </c>
      <c r="W1670" s="1767"/>
      <c r="X1670" s="70"/>
    </row>
    <row r="1671" spans="2:24" ht="16" thickBot="1" x14ac:dyDescent="0.25">
      <c r="B1671" s="1670" t="e">
        <f>AVERAGE(#REF!)</f>
        <v>#REF!</v>
      </c>
      <c r="C1671" s="544">
        <v>44759</v>
      </c>
      <c r="D1671" s="67"/>
      <c r="E1671" s="208"/>
      <c r="F1671" s="1538"/>
      <c r="G1671" s="1230"/>
      <c r="H1671" s="1231" t="str">
        <f>IFERROR(VLOOKUP(F1671,#REF!,10,FALSE),"")</f>
        <v/>
      </c>
      <c r="I1671" s="1232" t="str">
        <f t="shared" si="213"/>
        <v/>
      </c>
      <c r="J1671" s="256"/>
      <c r="K1671" s="1741"/>
      <c r="L1671" s="1580"/>
      <c r="M1671" s="1561"/>
      <c r="N1671" s="172" t="str">
        <f t="shared" si="233"/>
        <v/>
      </c>
      <c r="O1671" s="1233"/>
      <c r="P1671" s="447" t="str">
        <f>IFERROR(VLOOKUP(F1671,#REF!,12,FALSE),"")</f>
        <v/>
      </c>
      <c r="Q1671" s="1234" t="s">
        <v>8</v>
      </c>
      <c r="R1671" s="1235" t="str">
        <f>IFERROR(VLOOKUP(F1671,#REF!,14,FALSE),"")</f>
        <v/>
      </c>
      <c r="S1671" s="1236" t="str">
        <f t="shared" si="234"/>
        <v/>
      </c>
      <c r="U1671" s="1728"/>
      <c r="V1671" s="67">
        <f t="shared" si="231"/>
        <v>0</v>
      </c>
      <c r="W1671" s="1768"/>
      <c r="X1671" s="67"/>
    </row>
    <row r="1672" spans="2:24" ht="16" thickBot="1" x14ac:dyDescent="0.25">
      <c r="B1672" s="1661">
        <f t="shared" ref="B1672" si="237">B1665+1</f>
        <v>29</v>
      </c>
      <c r="C1672" s="1199">
        <v>44760</v>
      </c>
      <c r="D1672" s="1108">
        <v>105</v>
      </c>
      <c r="E1672" s="1109" t="s">
        <v>293</v>
      </c>
      <c r="F1672" s="1536" t="s">
        <v>322</v>
      </c>
      <c r="G1672" s="1200">
        <v>3.0995370370370371E-2</v>
      </c>
      <c r="H1672" s="1201">
        <v>7.89</v>
      </c>
      <c r="I1672" s="1202">
        <f t="shared" si="213"/>
        <v>3.92843730929916E-3</v>
      </c>
      <c r="J1672" s="1203">
        <v>135</v>
      </c>
      <c r="K1672" s="1741"/>
      <c r="L1672" s="1577">
        <v>214</v>
      </c>
      <c r="M1672" s="1374">
        <v>22</v>
      </c>
      <c r="N1672" s="1111">
        <f t="shared" si="233"/>
        <v>1.0841079772241455</v>
      </c>
      <c r="O1672" s="1204" t="s">
        <v>329</v>
      </c>
      <c r="P1672" s="1113" t="str">
        <f>IFERROR(VLOOKUP(F1672,#REF!,12,FALSE),"")</f>
        <v/>
      </c>
      <c r="Q1672" s="1205" t="s">
        <v>8</v>
      </c>
      <c r="R1672" s="1206" t="str">
        <f>IFERROR(VLOOKUP(F1672,#REF!,14,FALSE),"")</f>
        <v/>
      </c>
      <c r="S1672" s="1207">
        <f t="shared" si="234"/>
        <v>1.5851851851851853</v>
      </c>
      <c r="U1672" s="1728"/>
      <c r="V1672" s="1108">
        <f t="shared" si="231"/>
        <v>0</v>
      </c>
      <c r="W1672" s="1766"/>
      <c r="X1672" s="1108"/>
    </row>
    <row r="1673" spans="2:24" x14ac:dyDescent="0.2">
      <c r="B1673" s="1666" t="s">
        <v>142</v>
      </c>
      <c r="C1673" s="1208">
        <v>44761</v>
      </c>
      <c r="D1673" s="864">
        <v>106</v>
      </c>
      <c r="E1673" s="865" t="s">
        <v>293</v>
      </c>
      <c r="F1673" s="1534" t="s">
        <v>322</v>
      </c>
      <c r="G1673" s="1209">
        <v>2.4652777777777777E-2</v>
      </c>
      <c r="H1673" s="1210">
        <v>6.01</v>
      </c>
      <c r="I1673" s="1211">
        <f t="shared" si="213"/>
        <v>4.1019596968016273E-3</v>
      </c>
      <c r="J1673" s="1212">
        <v>128</v>
      </c>
      <c r="K1673" s="1741"/>
      <c r="L1673" s="1578">
        <v>207</v>
      </c>
      <c r="M1673" s="1602">
        <v>12</v>
      </c>
      <c r="N1673" s="1171">
        <f t="shared" si="233"/>
        <v>1.094966101273996</v>
      </c>
      <c r="O1673" s="1213" t="s">
        <v>328</v>
      </c>
      <c r="P1673" s="1173" t="str">
        <f>IFERROR(VLOOKUP(F1673,#REF!,12,FALSE),"")</f>
        <v/>
      </c>
      <c r="Q1673" s="1229" t="s">
        <v>8</v>
      </c>
      <c r="R1673" s="1324" t="str">
        <f>IFERROR(VLOOKUP(F1673,#REF!,14,FALSE),"")</f>
        <v/>
      </c>
      <c r="S1673" s="1217">
        <f t="shared" si="234"/>
        <v>1.6171875</v>
      </c>
      <c r="U1673" s="1728"/>
      <c r="V1673" s="864">
        <f t="shared" si="231"/>
        <v>0</v>
      </c>
      <c r="W1673" s="1767"/>
      <c r="X1673" s="864"/>
    </row>
    <row r="1674" spans="2:24" ht="16" thickBot="1" x14ac:dyDescent="0.25">
      <c r="B1674" s="1654">
        <f t="shared" ref="B1674" si="238">SUM(H1672:H1678)</f>
        <v>34.159999999999997</v>
      </c>
      <c r="C1674" s="1208">
        <v>44762</v>
      </c>
      <c r="D1674" s="864">
        <v>107</v>
      </c>
      <c r="E1674" s="865" t="s">
        <v>293</v>
      </c>
      <c r="F1674" s="1534" t="s">
        <v>11</v>
      </c>
      <c r="G1674" s="1209">
        <v>4.2500000000000003E-2</v>
      </c>
      <c r="H1674" s="1210">
        <v>11.5</v>
      </c>
      <c r="I1674" s="1211">
        <f t="shared" si="213"/>
        <v>3.6956521739130439E-3</v>
      </c>
      <c r="J1674" s="1212">
        <v>151</v>
      </c>
      <c r="K1674" s="1741"/>
      <c r="L1674" s="1578">
        <v>228</v>
      </c>
      <c r="M1674" s="1602">
        <v>40</v>
      </c>
      <c r="N1674" s="1171">
        <f t="shared" si="233"/>
        <v>1.0865879299156394</v>
      </c>
      <c r="O1674" s="1213" t="s">
        <v>329</v>
      </c>
      <c r="P1674" s="1173" t="str">
        <f>IFERROR(VLOOKUP(F1674,#REF!,12,FALSE),"")</f>
        <v/>
      </c>
      <c r="Q1674" s="1229" t="s">
        <v>8</v>
      </c>
      <c r="R1674" s="1324" t="str">
        <f>IFERROR(VLOOKUP(F1674,#REF!,14,FALSE),"")</f>
        <v/>
      </c>
      <c r="S1674" s="1217">
        <f t="shared" si="234"/>
        <v>1.509933774834437</v>
      </c>
      <c r="U1674" s="1728"/>
      <c r="V1674" s="864">
        <f t="shared" si="231"/>
        <v>0</v>
      </c>
      <c r="W1674" s="1767"/>
      <c r="X1674" s="864"/>
    </row>
    <row r="1675" spans="2:24" x14ac:dyDescent="0.2">
      <c r="B1675" s="1667" t="s">
        <v>144</v>
      </c>
      <c r="C1675" s="1208">
        <v>44763</v>
      </c>
      <c r="D1675" s="864"/>
      <c r="E1675" s="865"/>
      <c r="F1675" s="1534"/>
      <c r="G1675" s="1209"/>
      <c r="H1675" s="1210" t="str">
        <f>IFERROR(VLOOKUP(F1675,#REF!,10,FALSE),"")</f>
        <v/>
      </c>
      <c r="I1675" s="1211" t="str">
        <f t="shared" si="213"/>
        <v/>
      </c>
      <c r="J1675" s="1212"/>
      <c r="K1675" s="1741"/>
      <c r="L1675" s="1578"/>
      <c r="M1675" s="1602"/>
      <c r="N1675" s="1171" t="str">
        <f t="shared" si="233"/>
        <v/>
      </c>
      <c r="O1675" s="1213"/>
      <c r="P1675" s="1173" t="str">
        <f>IFERROR(VLOOKUP(F1675,#REF!,12,FALSE),"")</f>
        <v/>
      </c>
      <c r="Q1675" s="1229" t="s">
        <v>8</v>
      </c>
      <c r="R1675" s="1324" t="str">
        <f>IFERROR(VLOOKUP(F1675,#REF!,14,FALSE),"")</f>
        <v/>
      </c>
      <c r="S1675" s="1217" t="str">
        <f t="shared" si="234"/>
        <v/>
      </c>
      <c r="U1675" s="1728"/>
      <c r="V1675" s="864">
        <f t="shared" si="231"/>
        <v>0</v>
      </c>
      <c r="W1675" s="1767"/>
      <c r="X1675" s="864"/>
    </row>
    <row r="1676" spans="2:24" ht="16" thickBot="1" x14ac:dyDescent="0.25">
      <c r="B1676" s="1668" t="e">
        <f>SUM(#REF!)</f>
        <v>#REF!</v>
      </c>
      <c r="C1676" s="1347">
        <v>44764</v>
      </c>
      <c r="D1676" s="1348"/>
      <c r="E1676" s="1349"/>
      <c r="F1676" s="1550"/>
      <c r="G1676" s="1350"/>
      <c r="H1676" s="1351" t="str">
        <f>IFERROR(VLOOKUP(F1676,#REF!,10,FALSE),"")</f>
        <v/>
      </c>
      <c r="I1676" s="1352" t="str">
        <f t="shared" si="213"/>
        <v/>
      </c>
      <c r="J1676" s="1353"/>
      <c r="K1676" s="1741"/>
      <c r="L1676" s="1578"/>
      <c r="M1676" s="1602"/>
      <c r="N1676" s="1354" t="str">
        <f t="shared" si="233"/>
        <v/>
      </c>
      <c r="O1676" s="1355"/>
      <c r="P1676" s="1356" t="str">
        <f>IFERROR(VLOOKUP(F1676,#REF!,12,FALSE),"")</f>
        <v/>
      </c>
      <c r="Q1676" s="1357" t="s">
        <v>8</v>
      </c>
      <c r="R1676" s="1358" t="str">
        <f>IFERROR(VLOOKUP(F1676,#REF!,14,FALSE),"")</f>
        <v/>
      </c>
      <c r="S1676" s="1359" t="str">
        <f t="shared" si="234"/>
        <v/>
      </c>
      <c r="U1676" s="1728"/>
      <c r="V1676" s="1348">
        <f t="shared" si="231"/>
        <v>0</v>
      </c>
      <c r="W1676" s="1767"/>
      <c r="X1676" s="1348"/>
    </row>
    <row r="1677" spans="2:24" x14ac:dyDescent="0.2">
      <c r="B1677" s="1669" t="s">
        <v>256</v>
      </c>
      <c r="C1677" s="1237">
        <v>44765</v>
      </c>
      <c r="D1677" s="70">
        <v>108</v>
      </c>
      <c r="E1677" s="71" t="s">
        <v>293</v>
      </c>
      <c r="F1677" s="1549" t="s">
        <v>279</v>
      </c>
      <c r="G1677" s="1238">
        <v>3.4143518518518517E-2</v>
      </c>
      <c r="H1677" s="1239">
        <v>8.76</v>
      </c>
      <c r="I1677" s="1240">
        <f t="shared" si="213"/>
        <v>3.8976619313377302E-3</v>
      </c>
      <c r="J1677" s="265">
        <v>140</v>
      </c>
      <c r="K1677" s="1741"/>
      <c r="L1677" s="1581">
        <v>217</v>
      </c>
      <c r="M1677" s="265">
        <v>21</v>
      </c>
      <c r="N1677" s="77">
        <f t="shared" si="233"/>
        <v>1.0906937913173858</v>
      </c>
      <c r="O1677" s="1241" t="s">
        <v>339</v>
      </c>
      <c r="P1677" s="79" t="str">
        <f>IFERROR(VLOOKUP(F1677,#REF!,12,FALSE),"")</f>
        <v/>
      </c>
      <c r="Q1677" s="1242" t="s">
        <v>8</v>
      </c>
      <c r="R1677" s="1243" t="str">
        <f>IFERROR(VLOOKUP(F1677,#REF!,14,FALSE),"")</f>
        <v/>
      </c>
      <c r="S1677" s="1244">
        <f t="shared" si="234"/>
        <v>1.55</v>
      </c>
      <c r="U1677" s="1728"/>
      <c r="V1677" s="70">
        <f t="shared" si="231"/>
        <v>0</v>
      </c>
      <c r="W1677" s="1767"/>
      <c r="X1677" s="70"/>
    </row>
    <row r="1678" spans="2:24" ht="16" thickBot="1" x14ac:dyDescent="0.25">
      <c r="B1678" s="1670" t="e">
        <f>AVERAGE(#REF!)</f>
        <v>#REF!</v>
      </c>
      <c r="C1678" s="544">
        <v>44766</v>
      </c>
      <c r="D1678" s="67"/>
      <c r="E1678" s="208"/>
      <c r="F1678" s="1538"/>
      <c r="G1678" s="1230"/>
      <c r="H1678" s="1231" t="str">
        <f>IFERROR(VLOOKUP(F1678,#REF!,10,FALSE),"")</f>
        <v/>
      </c>
      <c r="I1678" s="1232" t="str">
        <f t="shared" si="213"/>
        <v/>
      </c>
      <c r="J1678" s="256"/>
      <c r="K1678" s="1741"/>
      <c r="L1678" s="1580"/>
      <c r="M1678" s="1561"/>
      <c r="N1678" s="172" t="str">
        <f t="shared" si="233"/>
        <v/>
      </c>
      <c r="O1678" s="1233"/>
      <c r="P1678" s="447" t="str">
        <f>IFERROR(VLOOKUP(F1678,#REF!,12,FALSE),"")</f>
        <v/>
      </c>
      <c r="Q1678" s="1234" t="s">
        <v>8</v>
      </c>
      <c r="R1678" s="1235" t="str">
        <f>IFERROR(VLOOKUP(F1678,#REF!,14,FALSE),"")</f>
        <v/>
      </c>
      <c r="S1678" s="1236" t="str">
        <f t="shared" si="234"/>
        <v/>
      </c>
      <c r="U1678" s="1728"/>
      <c r="V1678" s="67">
        <f t="shared" si="231"/>
        <v>0</v>
      </c>
      <c r="W1678" s="1768"/>
      <c r="X1678" s="67"/>
    </row>
    <row r="1679" spans="2:24" ht="16" thickBot="1" x14ac:dyDescent="0.25">
      <c r="B1679" s="1661">
        <f t="shared" ref="B1679" si="239">B1672+1</f>
        <v>30</v>
      </c>
      <c r="C1679" s="1199">
        <v>44767</v>
      </c>
      <c r="D1679" s="1108"/>
      <c r="E1679" s="1109"/>
      <c r="F1679" s="1551"/>
      <c r="G1679" s="1200"/>
      <c r="H1679" s="1201" t="str">
        <f>IFERROR(VLOOKUP(F1679,#REF!,10,FALSE),"")</f>
        <v/>
      </c>
      <c r="I1679" s="1202" t="str">
        <f t="shared" si="213"/>
        <v/>
      </c>
      <c r="J1679" s="1203"/>
      <c r="K1679" s="1741"/>
      <c r="L1679" s="1577"/>
      <c r="M1679" s="1374"/>
      <c r="N1679" s="1111" t="str">
        <f t="shared" si="233"/>
        <v/>
      </c>
      <c r="O1679" s="1204"/>
      <c r="P1679" s="1113" t="str">
        <f>IFERROR(VLOOKUP(F1679,#REF!,12,FALSE),"")</f>
        <v/>
      </c>
      <c r="Q1679" s="1205" t="s">
        <v>8</v>
      </c>
      <c r="R1679" s="1206" t="str">
        <f>IFERROR(VLOOKUP(F1679,#REF!,14,FALSE),"")</f>
        <v/>
      </c>
      <c r="S1679" s="1207" t="str">
        <f t="shared" si="234"/>
        <v/>
      </c>
      <c r="U1679" s="1728"/>
      <c r="V1679" s="1108">
        <f t="shared" si="231"/>
        <v>0</v>
      </c>
      <c r="W1679" s="1766"/>
      <c r="X1679" s="1108"/>
    </row>
    <row r="1680" spans="2:24" x14ac:dyDescent="0.2">
      <c r="B1680" s="1666" t="s">
        <v>142</v>
      </c>
      <c r="C1680" s="1208">
        <v>44768</v>
      </c>
      <c r="D1680" s="864"/>
      <c r="E1680" s="865"/>
      <c r="F1680" s="1552"/>
      <c r="G1680" s="1209"/>
      <c r="H1680" s="1210" t="str">
        <f>IFERROR(VLOOKUP(F1680,#REF!,10,FALSE),"")</f>
        <v/>
      </c>
      <c r="I1680" s="1211" t="str">
        <f t="shared" si="213"/>
        <v/>
      </c>
      <c r="J1680" s="1212"/>
      <c r="K1680" s="1741"/>
      <c r="L1680" s="1578"/>
      <c r="M1680" s="1602"/>
      <c r="N1680" s="1171" t="str">
        <f t="shared" si="233"/>
        <v/>
      </c>
      <c r="O1680" s="1213"/>
      <c r="P1680" s="1173" t="str">
        <f>IFERROR(VLOOKUP(F1680,#REF!,12,FALSE),"")</f>
        <v/>
      </c>
      <c r="Q1680" s="1229" t="s">
        <v>8</v>
      </c>
      <c r="R1680" s="1324" t="str">
        <f>IFERROR(VLOOKUP(F1680,#REF!,14,FALSE),"")</f>
        <v/>
      </c>
      <c r="S1680" s="1217" t="str">
        <f t="shared" si="234"/>
        <v/>
      </c>
      <c r="U1680" s="1728"/>
      <c r="V1680" s="864">
        <f t="shared" si="231"/>
        <v>0</v>
      </c>
      <c r="W1680" s="1767"/>
      <c r="X1680" s="864"/>
    </row>
    <row r="1681" spans="2:24" ht="16" thickBot="1" x14ac:dyDescent="0.25">
      <c r="B1681" s="1654">
        <f t="shared" ref="B1681" si="240">SUM(H1679:H1685)</f>
        <v>9.92</v>
      </c>
      <c r="C1681" s="1208">
        <v>44769</v>
      </c>
      <c r="D1681" s="864"/>
      <c r="E1681" s="865"/>
      <c r="F1681" s="1552"/>
      <c r="G1681" s="1209"/>
      <c r="H1681" s="1210" t="str">
        <f>IFERROR(VLOOKUP(F1681,#REF!,10,FALSE),"")</f>
        <v/>
      </c>
      <c r="I1681" s="1211" t="str">
        <f t="shared" si="213"/>
        <v/>
      </c>
      <c r="J1681" s="1212"/>
      <c r="K1681" s="1741"/>
      <c r="L1681" s="1578"/>
      <c r="M1681" s="1602"/>
      <c r="N1681" s="1171" t="str">
        <f t="shared" si="233"/>
        <v/>
      </c>
      <c r="O1681" s="1213"/>
      <c r="P1681" s="1173" t="str">
        <f>IFERROR(VLOOKUP(F1681,#REF!,12,FALSE),"")</f>
        <v/>
      </c>
      <c r="Q1681" s="1229" t="s">
        <v>8</v>
      </c>
      <c r="R1681" s="1324" t="str">
        <f>IFERROR(VLOOKUP(F1681,#REF!,14,FALSE),"")</f>
        <v/>
      </c>
      <c r="S1681" s="1217" t="str">
        <f t="shared" si="234"/>
        <v/>
      </c>
      <c r="U1681" s="1728"/>
      <c r="V1681" s="864">
        <f t="shared" si="231"/>
        <v>0</v>
      </c>
      <c r="W1681" s="1767"/>
      <c r="X1681" s="864"/>
    </row>
    <row r="1682" spans="2:24" x14ac:dyDescent="0.2">
      <c r="B1682" s="1667" t="s">
        <v>144</v>
      </c>
      <c r="C1682" s="1208">
        <v>44770</v>
      </c>
      <c r="D1682" s="864"/>
      <c r="E1682" s="865"/>
      <c r="F1682" s="1552"/>
      <c r="G1682" s="1209"/>
      <c r="H1682" s="1210" t="str">
        <f>IFERROR(VLOOKUP(F1682,#REF!,10,FALSE),"")</f>
        <v/>
      </c>
      <c r="I1682" s="1211" t="str">
        <f t="shared" ref="I1682:I1745" si="241">IFERROR(G1682/H1682,"")</f>
        <v/>
      </c>
      <c r="J1682" s="1212"/>
      <c r="K1682" s="1741"/>
      <c r="L1682" s="1578"/>
      <c r="M1682" s="1602"/>
      <c r="N1682" s="1171" t="str">
        <f t="shared" si="233"/>
        <v/>
      </c>
      <c r="O1682" s="1213"/>
      <c r="P1682" s="1173" t="str">
        <f>IFERROR(VLOOKUP(F1682,#REF!,12,FALSE),"")</f>
        <v/>
      </c>
      <c r="Q1682" s="1229" t="s">
        <v>8</v>
      </c>
      <c r="R1682" s="1324" t="str">
        <f>IFERROR(VLOOKUP(F1682,#REF!,14,FALSE),"")</f>
        <v/>
      </c>
      <c r="S1682" s="1217" t="str">
        <f t="shared" si="234"/>
        <v/>
      </c>
      <c r="U1682" s="1728"/>
      <c r="V1682" s="864">
        <f t="shared" si="231"/>
        <v>0</v>
      </c>
      <c r="W1682" s="1767"/>
      <c r="X1682" s="864"/>
    </row>
    <row r="1683" spans="2:24" ht="16" thickBot="1" x14ac:dyDescent="0.25">
      <c r="B1683" s="1668" t="e">
        <f>SUM(#REF!)</f>
        <v>#REF!</v>
      </c>
      <c r="C1683" s="1347">
        <v>44771</v>
      </c>
      <c r="D1683" s="1348"/>
      <c r="E1683" s="1349"/>
      <c r="F1683" s="1552"/>
      <c r="G1683" s="1350"/>
      <c r="H1683" s="1351" t="str">
        <f>IFERROR(VLOOKUP(F1683,#REF!,10,FALSE),"")</f>
        <v/>
      </c>
      <c r="I1683" s="1352" t="str">
        <f t="shared" si="241"/>
        <v/>
      </c>
      <c r="J1683" s="1353"/>
      <c r="K1683" s="1741"/>
      <c r="L1683" s="1578"/>
      <c r="M1683" s="1602"/>
      <c r="N1683" s="1354" t="str">
        <f t="shared" si="233"/>
        <v/>
      </c>
      <c r="O1683" s="1355"/>
      <c r="P1683" s="1356" t="str">
        <f>IFERROR(VLOOKUP(F1683,#REF!,12,FALSE),"")</f>
        <v/>
      </c>
      <c r="Q1683" s="1357" t="s">
        <v>8</v>
      </c>
      <c r="R1683" s="1358" t="str">
        <f>IFERROR(VLOOKUP(F1683,#REF!,14,FALSE),"")</f>
        <v/>
      </c>
      <c r="S1683" s="1359" t="str">
        <f t="shared" si="234"/>
        <v/>
      </c>
      <c r="U1683" s="1728"/>
      <c r="V1683" s="1348">
        <f t="shared" si="231"/>
        <v>0</v>
      </c>
      <c r="W1683" s="1767"/>
      <c r="X1683" s="1348"/>
    </row>
    <row r="1684" spans="2:24" x14ac:dyDescent="0.2">
      <c r="B1684" s="1669" t="s">
        <v>256</v>
      </c>
      <c r="C1684" s="1237">
        <v>44772</v>
      </c>
      <c r="D1684" s="70"/>
      <c r="E1684" s="71"/>
      <c r="F1684" s="1552"/>
      <c r="G1684" s="1238"/>
      <c r="H1684" s="1239" t="str">
        <f>IFERROR(VLOOKUP(F1684,#REF!,10,FALSE),"")</f>
        <v/>
      </c>
      <c r="I1684" s="1240" t="str">
        <f t="shared" si="241"/>
        <v/>
      </c>
      <c r="J1684" s="265"/>
      <c r="K1684" s="1741"/>
      <c r="L1684" s="1581"/>
      <c r="M1684" s="265"/>
      <c r="N1684" s="77" t="str">
        <f t="shared" si="233"/>
        <v/>
      </c>
      <c r="O1684" s="1241"/>
      <c r="P1684" s="79" t="str">
        <f>IFERROR(VLOOKUP(F1684,#REF!,12,FALSE),"")</f>
        <v/>
      </c>
      <c r="Q1684" s="1242" t="s">
        <v>8</v>
      </c>
      <c r="R1684" s="1243" t="str">
        <f>IFERROR(VLOOKUP(F1684,#REF!,14,FALSE),"")</f>
        <v/>
      </c>
      <c r="S1684" s="1244" t="str">
        <f t="shared" si="234"/>
        <v/>
      </c>
      <c r="U1684" s="1728"/>
      <c r="V1684" s="70">
        <f t="shared" si="231"/>
        <v>0</v>
      </c>
      <c r="W1684" s="1767"/>
      <c r="X1684" s="70"/>
    </row>
    <row r="1685" spans="2:24" ht="16" thickBot="1" x14ac:dyDescent="0.25">
      <c r="B1685" s="1670" t="e">
        <f>AVERAGE(#REF!)</f>
        <v>#REF!</v>
      </c>
      <c r="C1685" s="544">
        <v>44773</v>
      </c>
      <c r="D1685" s="67">
        <v>109</v>
      </c>
      <c r="E1685" s="208" t="s">
        <v>292</v>
      </c>
      <c r="F1685" s="1553" t="s">
        <v>279</v>
      </c>
      <c r="G1685" s="1230">
        <v>3.9398148148148147E-2</v>
      </c>
      <c r="H1685" s="1231">
        <v>9.92</v>
      </c>
      <c r="I1685" s="1232">
        <f t="shared" si="241"/>
        <v>3.9715875149342892E-3</v>
      </c>
      <c r="J1685" s="256">
        <v>146</v>
      </c>
      <c r="K1685" s="1741"/>
      <c r="L1685" s="1580">
        <v>209</v>
      </c>
      <c r="M1685" s="1561">
        <v>24</v>
      </c>
      <c r="N1685" s="172">
        <f t="shared" si="233"/>
        <v>1.0704080404429466</v>
      </c>
      <c r="O1685" s="1233" t="s">
        <v>329</v>
      </c>
      <c r="P1685" s="447" t="str">
        <f>IFERROR(VLOOKUP(F1685,#REF!,12,FALSE),"")</f>
        <v/>
      </c>
      <c r="Q1685" s="1234" t="s">
        <v>8</v>
      </c>
      <c r="R1685" s="1235" t="str">
        <f>IFERROR(VLOOKUP(F1685,#REF!,14,FALSE),"")</f>
        <v/>
      </c>
      <c r="S1685" s="1236">
        <f t="shared" si="234"/>
        <v>1.4315068493150684</v>
      </c>
      <c r="U1685" s="1728"/>
      <c r="V1685" s="67">
        <f t="shared" si="231"/>
        <v>0</v>
      </c>
      <c r="W1685" s="1768"/>
      <c r="X1685" s="67"/>
    </row>
    <row r="1686" spans="2:24" ht="16" thickBot="1" x14ac:dyDescent="0.25">
      <c r="B1686" s="1661">
        <f t="shared" ref="B1686" si="242">B1679+1</f>
        <v>31</v>
      </c>
      <c r="C1686" s="1199">
        <v>44774</v>
      </c>
      <c r="D1686" s="1108"/>
      <c r="E1686" s="1109"/>
      <c r="F1686" s="1551"/>
      <c r="G1686" s="1200"/>
      <c r="H1686" s="1201" t="str">
        <f>IFERROR(VLOOKUP(F1686,#REF!,10,FALSE),"")</f>
        <v/>
      </c>
      <c r="I1686" s="1202" t="str">
        <f t="shared" si="241"/>
        <v/>
      </c>
      <c r="J1686" s="1203"/>
      <c r="K1686" s="1741"/>
      <c r="L1686" s="1577"/>
      <c r="M1686" s="1374"/>
      <c r="N1686" s="1111" t="str">
        <f t="shared" si="233"/>
        <v/>
      </c>
      <c r="O1686" s="1204"/>
      <c r="P1686" s="1113" t="str">
        <f>IFERROR(VLOOKUP(F1686,#REF!,12,FALSE),"")</f>
        <v/>
      </c>
      <c r="Q1686" s="1205" t="s">
        <v>8</v>
      </c>
      <c r="R1686" s="1206" t="str">
        <f>IFERROR(VLOOKUP(F1686,#REF!,14,FALSE),"")</f>
        <v/>
      </c>
      <c r="S1686" s="1207" t="str">
        <f t="shared" si="234"/>
        <v/>
      </c>
      <c r="U1686" s="1728"/>
      <c r="V1686" s="1108">
        <f t="shared" si="231"/>
        <v>0</v>
      </c>
      <c r="W1686" s="1766"/>
      <c r="X1686" s="1108"/>
    </row>
    <row r="1687" spans="2:24" x14ac:dyDescent="0.2">
      <c r="B1687" s="1666" t="s">
        <v>142</v>
      </c>
      <c r="C1687" s="1208">
        <v>44775</v>
      </c>
      <c r="D1687" s="864">
        <v>110</v>
      </c>
      <c r="E1687" s="865" t="s">
        <v>292</v>
      </c>
      <c r="F1687" s="1552" t="s">
        <v>279</v>
      </c>
      <c r="G1687" s="1209">
        <v>3.8912037037037037E-2</v>
      </c>
      <c r="H1687" s="1210">
        <v>10</v>
      </c>
      <c r="I1687" s="1211">
        <f t="shared" si="241"/>
        <v>3.8912037037037036E-3</v>
      </c>
      <c r="J1687" s="1212">
        <v>137</v>
      </c>
      <c r="K1687" s="1741"/>
      <c r="L1687" s="1578">
        <v>214</v>
      </c>
      <c r="M1687" s="1602">
        <v>17</v>
      </c>
      <c r="N1687" s="1171">
        <f t="shared" si="233"/>
        <v>1.0738328358208955</v>
      </c>
      <c r="O1687" s="1213" t="s">
        <v>327</v>
      </c>
      <c r="P1687" s="1173" t="str">
        <f>IFERROR(VLOOKUP(F1687,#REF!,12,FALSE),"")</f>
        <v/>
      </c>
      <c r="Q1687" s="1229" t="s">
        <v>8</v>
      </c>
      <c r="R1687" s="1324" t="str">
        <f>IFERROR(VLOOKUP(F1687,#REF!,14,FALSE),"")</f>
        <v/>
      </c>
      <c r="S1687" s="1217">
        <f t="shared" si="234"/>
        <v>1.562043795620438</v>
      </c>
      <c r="U1687" s="1728"/>
      <c r="V1687" s="864">
        <f t="shared" si="231"/>
        <v>0</v>
      </c>
      <c r="W1687" s="1767"/>
      <c r="X1687" s="864"/>
    </row>
    <row r="1688" spans="2:24" ht="16" thickBot="1" x14ac:dyDescent="0.25">
      <c r="B1688" s="1654">
        <f t="shared" ref="B1688" si="243">SUM(H1686:H1692)</f>
        <v>32.950000000000003</v>
      </c>
      <c r="C1688" s="1208">
        <v>44776</v>
      </c>
      <c r="D1688" s="864"/>
      <c r="E1688" s="865"/>
      <c r="F1688" s="1552"/>
      <c r="G1688" s="1209"/>
      <c r="H1688" s="1210" t="str">
        <f>IFERROR(VLOOKUP(F1688,#REF!,10,FALSE),"")</f>
        <v/>
      </c>
      <c r="I1688" s="1211" t="str">
        <f t="shared" si="241"/>
        <v/>
      </c>
      <c r="J1688" s="1212"/>
      <c r="K1688" s="1741"/>
      <c r="L1688" s="1578"/>
      <c r="M1688" s="1602"/>
      <c r="N1688" s="1171" t="str">
        <f t="shared" si="233"/>
        <v/>
      </c>
      <c r="O1688" s="1213"/>
      <c r="P1688" s="1173" t="str">
        <f>IFERROR(VLOOKUP(F1688,#REF!,12,FALSE),"")</f>
        <v/>
      </c>
      <c r="Q1688" s="1229" t="s">
        <v>8</v>
      </c>
      <c r="R1688" s="1324" t="str">
        <f>IFERROR(VLOOKUP(F1688,#REF!,14,FALSE),"")</f>
        <v/>
      </c>
      <c r="S1688" s="1217" t="str">
        <f t="shared" si="234"/>
        <v/>
      </c>
      <c r="U1688" s="1728"/>
      <c r="V1688" s="864">
        <f t="shared" si="231"/>
        <v>0</v>
      </c>
      <c r="W1688" s="1767"/>
      <c r="X1688" s="864"/>
    </row>
    <row r="1689" spans="2:24" x14ac:dyDescent="0.2">
      <c r="B1689" s="1667" t="s">
        <v>144</v>
      </c>
      <c r="C1689" s="1208">
        <v>44777</v>
      </c>
      <c r="D1689" s="864">
        <v>111</v>
      </c>
      <c r="E1689" s="865" t="s">
        <v>292</v>
      </c>
      <c r="F1689" s="1552" t="s">
        <v>279</v>
      </c>
      <c r="G1689" s="1209">
        <v>3.9560185185185184E-2</v>
      </c>
      <c r="H1689" s="1210">
        <v>9.75</v>
      </c>
      <c r="I1689" s="1211">
        <f t="shared" si="241"/>
        <v>4.0574548907882238E-3</v>
      </c>
      <c r="J1689" s="1212">
        <v>138</v>
      </c>
      <c r="K1689" s="1741"/>
      <c r="L1689" s="1578">
        <v>206</v>
      </c>
      <c r="M1689" s="1602">
        <v>27</v>
      </c>
      <c r="N1689" s="1171">
        <f t="shared" si="233"/>
        <v>1.0778538078836586</v>
      </c>
      <c r="O1689" s="1213" t="s">
        <v>328</v>
      </c>
      <c r="P1689" s="1173" t="str">
        <f>IFERROR(VLOOKUP(F1689,#REF!,12,FALSE),"")</f>
        <v/>
      </c>
      <c r="Q1689" s="1229" t="s">
        <v>8</v>
      </c>
      <c r="R1689" s="1324" t="str">
        <f>IFERROR(VLOOKUP(F1689,#REF!,14,FALSE),"")</f>
        <v/>
      </c>
      <c r="S1689" s="1217">
        <f t="shared" si="234"/>
        <v>1.4927536231884058</v>
      </c>
      <c r="U1689" s="1728"/>
      <c r="V1689" s="864">
        <f t="shared" si="231"/>
        <v>0</v>
      </c>
      <c r="W1689" s="1767"/>
      <c r="X1689" s="864"/>
    </row>
    <row r="1690" spans="2:24" ht="16" thickBot="1" x14ac:dyDescent="0.25">
      <c r="B1690" s="1668" t="e">
        <f>SUM(#REF!)</f>
        <v>#REF!</v>
      </c>
      <c r="C1690" s="1347">
        <v>44778</v>
      </c>
      <c r="D1690" s="1348"/>
      <c r="E1690" s="1349"/>
      <c r="F1690" s="1552"/>
      <c r="G1690" s="1350"/>
      <c r="H1690" s="1351" t="str">
        <f>IFERROR(VLOOKUP(F1690,#REF!,10,FALSE),"")</f>
        <v/>
      </c>
      <c r="I1690" s="1352" t="str">
        <f t="shared" si="241"/>
        <v/>
      </c>
      <c r="J1690" s="1353"/>
      <c r="K1690" s="1741"/>
      <c r="L1690" s="1578"/>
      <c r="M1690" s="1602"/>
      <c r="N1690" s="1354" t="str">
        <f t="shared" si="233"/>
        <v/>
      </c>
      <c r="O1690" s="1355"/>
      <c r="P1690" s="1356" t="str">
        <f>IFERROR(VLOOKUP(F1690,#REF!,12,FALSE),"")</f>
        <v/>
      </c>
      <c r="Q1690" s="1357" t="s">
        <v>8</v>
      </c>
      <c r="R1690" s="1358" t="str">
        <f>IFERROR(VLOOKUP(F1690,#REF!,14,FALSE),"")</f>
        <v/>
      </c>
      <c r="S1690" s="1359" t="str">
        <f t="shared" si="234"/>
        <v/>
      </c>
      <c r="U1690" s="1728"/>
      <c r="V1690" s="1348">
        <f t="shared" si="231"/>
        <v>0</v>
      </c>
      <c r="W1690" s="1767"/>
      <c r="X1690" s="1348"/>
    </row>
    <row r="1691" spans="2:24" x14ac:dyDescent="0.2">
      <c r="B1691" s="1669" t="s">
        <v>256</v>
      </c>
      <c r="C1691" s="1237">
        <v>44779</v>
      </c>
      <c r="D1691" s="70">
        <v>112</v>
      </c>
      <c r="E1691" s="71" t="s">
        <v>292</v>
      </c>
      <c r="F1691" s="1552" t="s">
        <v>308</v>
      </c>
      <c r="G1691" s="1238">
        <v>5.2361111111111108E-2</v>
      </c>
      <c r="H1691" s="1239">
        <v>13.2</v>
      </c>
      <c r="I1691" s="1240">
        <f t="shared" si="241"/>
        <v>3.9667508417508416E-3</v>
      </c>
      <c r="J1691" s="265">
        <v>137</v>
      </c>
      <c r="K1691" s="1741"/>
      <c r="L1691" s="1581">
        <v>211</v>
      </c>
      <c r="M1691" s="265">
        <v>50</v>
      </c>
      <c r="N1691" s="77">
        <f t="shared" si="233"/>
        <v>1.079335142469471</v>
      </c>
      <c r="O1691" s="1241" t="s">
        <v>327</v>
      </c>
      <c r="P1691" s="79" t="str">
        <f>IFERROR(VLOOKUP(F1691,#REF!,12,FALSE),"")</f>
        <v/>
      </c>
      <c r="Q1691" s="1242" t="s">
        <v>8</v>
      </c>
      <c r="R1691" s="1243" t="str">
        <f>IFERROR(VLOOKUP(F1691,#REF!,14,FALSE),"")</f>
        <v/>
      </c>
      <c r="S1691" s="1244">
        <f t="shared" si="234"/>
        <v>1.5401459854014599</v>
      </c>
      <c r="U1691" s="1728"/>
      <c r="V1691" s="70">
        <f t="shared" si="231"/>
        <v>0</v>
      </c>
      <c r="W1691" s="1767"/>
      <c r="X1691" s="70"/>
    </row>
    <row r="1692" spans="2:24" ht="16" thickBot="1" x14ac:dyDescent="0.25">
      <c r="B1692" s="1670" t="e">
        <f>AVERAGE(#REF!)</f>
        <v>#REF!</v>
      </c>
      <c r="C1692" s="544">
        <v>44780</v>
      </c>
      <c r="D1692" s="67"/>
      <c r="E1692" s="208"/>
      <c r="F1692" s="1619"/>
      <c r="G1692" s="1230"/>
      <c r="H1692" s="1231" t="str">
        <f>IFERROR(VLOOKUP(F1692,#REF!,10,FALSE),"")</f>
        <v/>
      </c>
      <c r="I1692" s="1232" t="str">
        <f t="shared" si="241"/>
        <v/>
      </c>
      <c r="J1692" s="256"/>
      <c r="K1692" s="1741"/>
      <c r="L1692" s="1580"/>
      <c r="M1692" s="1561"/>
      <c r="N1692" s="172" t="str">
        <f t="shared" si="233"/>
        <v/>
      </c>
      <c r="O1692" s="1233"/>
      <c r="P1692" s="447" t="str">
        <f>IFERROR(VLOOKUP(F1692,#REF!,12,FALSE),"")</f>
        <v/>
      </c>
      <c r="Q1692" s="1234" t="s">
        <v>8</v>
      </c>
      <c r="R1692" s="1235" t="str">
        <f>IFERROR(VLOOKUP(F1692,#REF!,14,FALSE),"")</f>
        <v/>
      </c>
      <c r="S1692" s="1236" t="str">
        <f t="shared" si="234"/>
        <v/>
      </c>
      <c r="U1692" s="1728"/>
      <c r="V1692" s="67">
        <f t="shared" si="231"/>
        <v>0</v>
      </c>
      <c r="W1692" s="1768"/>
      <c r="X1692" s="67"/>
    </row>
    <row r="1693" spans="2:24" ht="16" thickBot="1" x14ac:dyDescent="0.25">
      <c r="B1693" s="1661">
        <f t="shared" ref="B1693" si="244">B1686+1</f>
        <v>32</v>
      </c>
      <c r="C1693" s="1199">
        <v>44781</v>
      </c>
      <c r="D1693" s="1108">
        <v>113</v>
      </c>
      <c r="E1693" s="1109" t="s">
        <v>293</v>
      </c>
      <c r="F1693" s="1551" t="s">
        <v>322</v>
      </c>
      <c r="G1693" s="1200">
        <v>3.2303240740740737E-2</v>
      </c>
      <c r="H1693" s="1201">
        <v>9.01</v>
      </c>
      <c r="I1693" s="1202">
        <f t="shared" si="241"/>
        <v>3.5852653430344882E-3</v>
      </c>
      <c r="J1693" s="1203">
        <v>146</v>
      </c>
      <c r="K1693" s="1741"/>
      <c r="L1693" s="1577">
        <v>236</v>
      </c>
      <c r="M1693" s="1374">
        <v>17</v>
      </c>
      <c r="N1693" s="1111">
        <f t="shared" si="233"/>
        <v>1.0911193201583647</v>
      </c>
      <c r="O1693" s="1204" t="s">
        <v>329</v>
      </c>
      <c r="P1693" s="1113" t="str">
        <f>IFERROR(VLOOKUP(F1693,#REF!,12,FALSE),"")</f>
        <v/>
      </c>
      <c r="Q1693" s="1205" t="s">
        <v>8</v>
      </c>
      <c r="R1693" s="1206" t="str">
        <f>IFERROR(VLOOKUP(F1693,#REF!,14,FALSE),"")</f>
        <v/>
      </c>
      <c r="S1693" s="1207">
        <f t="shared" si="234"/>
        <v>1.6164383561643836</v>
      </c>
      <c r="U1693" s="1728"/>
      <c r="V1693" s="1108">
        <f t="shared" si="231"/>
        <v>0</v>
      </c>
      <c r="W1693" s="1766"/>
      <c r="X1693" s="1108"/>
    </row>
    <row r="1694" spans="2:24" x14ac:dyDescent="0.2">
      <c r="B1694" s="1666" t="s">
        <v>142</v>
      </c>
      <c r="C1694" s="1208">
        <v>44782</v>
      </c>
      <c r="D1694" s="864"/>
      <c r="E1694" s="865"/>
      <c r="F1694" s="1552"/>
      <c r="G1694" s="1209"/>
      <c r="H1694" s="1210" t="str">
        <f>IFERROR(VLOOKUP(F1694,#REF!,10,FALSE),"")</f>
        <v/>
      </c>
      <c r="I1694" s="1211" t="str">
        <f t="shared" si="241"/>
        <v/>
      </c>
      <c r="J1694" s="1212"/>
      <c r="K1694" s="1741"/>
      <c r="L1694" s="1578"/>
      <c r="M1694" s="1602"/>
      <c r="N1694" s="1171" t="str">
        <f t="shared" si="233"/>
        <v/>
      </c>
      <c r="O1694" s="1213"/>
      <c r="P1694" s="1173" t="str">
        <f>IFERROR(VLOOKUP(F1694,#REF!,12,FALSE),"")</f>
        <v/>
      </c>
      <c r="Q1694" s="1229" t="s">
        <v>8</v>
      </c>
      <c r="R1694" s="1324" t="str">
        <f>IFERROR(VLOOKUP(F1694,#REF!,14,FALSE),"")</f>
        <v/>
      </c>
      <c r="S1694" s="1217" t="str">
        <f t="shared" si="234"/>
        <v/>
      </c>
      <c r="U1694" s="1728"/>
      <c r="V1694" s="864">
        <f t="shared" si="231"/>
        <v>0</v>
      </c>
      <c r="W1694" s="1767"/>
      <c r="X1694" s="864"/>
    </row>
    <row r="1695" spans="2:24" ht="16" thickBot="1" x14ac:dyDescent="0.25">
      <c r="B1695" s="1654">
        <f t="shared" ref="B1695" si="245">SUM(H1693:H1699)</f>
        <v>15.17</v>
      </c>
      <c r="C1695" s="1208">
        <v>44783</v>
      </c>
      <c r="D1695" s="864">
        <v>114</v>
      </c>
      <c r="E1695" s="865" t="s">
        <v>292</v>
      </c>
      <c r="F1695" s="1552" t="s">
        <v>322</v>
      </c>
      <c r="G1695" s="1209">
        <v>2.4988425925925928E-2</v>
      </c>
      <c r="H1695" s="1210">
        <v>6.16</v>
      </c>
      <c r="I1695" s="1211">
        <f t="shared" si="241"/>
        <v>4.0565626503126506E-3</v>
      </c>
      <c r="J1695" s="1212">
        <v>124</v>
      </c>
      <c r="K1695" s="1741"/>
      <c r="L1695" s="1578">
        <v>202</v>
      </c>
      <c r="M1695" s="1602">
        <v>14</v>
      </c>
      <c r="N1695" s="1171">
        <f t="shared" si="233"/>
        <v>1.0566921884086065</v>
      </c>
      <c r="O1695" s="1213" t="s">
        <v>339</v>
      </c>
      <c r="P1695" s="1173" t="str">
        <f>IFERROR(VLOOKUP(F1695,#REF!,12,FALSE),"")</f>
        <v/>
      </c>
      <c r="Q1695" s="1229" t="s">
        <v>8</v>
      </c>
      <c r="R1695" s="1324" t="str">
        <f>IFERROR(VLOOKUP(F1695,#REF!,14,FALSE),"")</f>
        <v/>
      </c>
      <c r="S1695" s="1217">
        <f t="shared" si="234"/>
        <v>1.6290322580645162</v>
      </c>
      <c r="U1695" s="1728"/>
      <c r="V1695" s="864">
        <f t="shared" si="231"/>
        <v>0</v>
      </c>
      <c r="W1695" s="1767"/>
      <c r="X1695" s="864"/>
    </row>
    <row r="1696" spans="2:24" x14ac:dyDescent="0.2">
      <c r="B1696" s="1667" t="s">
        <v>144</v>
      </c>
      <c r="C1696" s="1208">
        <v>44784</v>
      </c>
      <c r="D1696" s="864"/>
      <c r="E1696" s="865"/>
      <c r="F1696" s="1552"/>
      <c r="G1696" s="1209"/>
      <c r="H1696" s="1210" t="str">
        <f>IFERROR(VLOOKUP(F1696,#REF!,10,FALSE),"")</f>
        <v/>
      </c>
      <c r="I1696" s="1211" t="str">
        <f t="shared" si="241"/>
        <v/>
      </c>
      <c r="J1696" s="1212"/>
      <c r="K1696" s="1741"/>
      <c r="L1696" s="1578"/>
      <c r="M1696" s="1602"/>
      <c r="N1696" s="1171" t="str">
        <f t="shared" si="233"/>
        <v/>
      </c>
      <c r="O1696" s="1213"/>
      <c r="P1696" s="1173" t="str">
        <f>IFERROR(VLOOKUP(F1696,#REF!,12,FALSE),"")</f>
        <v/>
      </c>
      <c r="Q1696" s="1229" t="s">
        <v>8</v>
      </c>
      <c r="R1696" s="1324" t="str">
        <f>IFERROR(VLOOKUP(F1696,#REF!,14,FALSE),"")</f>
        <v/>
      </c>
      <c r="S1696" s="1217" t="str">
        <f t="shared" si="234"/>
        <v/>
      </c>
      <c r="U1696" s="1728"/>
      <c r="V1696" s="864">
        <f t="shared" si="231"/>
        <v>0</v>
      </c>
      <c r="W1696" s="1767"/>
      <c r="X1696" s="864"/>
    </row>
    <row r="1697" spans="2:24" ht="16" thickBot="1" x14ac:dyDescent="0.25">
      <c r="B1697" s="1668" t="e">
        <f>SUM(#REF!)</f>
        <v>#REF!</v>
      </c>
      <c r="C1697" s="1347">
        <v>44785</v>
      </c>
      <c r="D1697" s="1348"/>
      <c r="E1697" s="1349"/>
      <c r="F1697" s="1552"/>
      <c r="G1697" s="1350"/>
      <c r="H1697" s="1351" t="str">
        <f>IFERROR(VLOOKUP(F1697,#REF!,10,FALSE),"")</f>
        <v/>
      </c>
      <c r="I1697" s="1352" t="str">
        <f t="shared" si="241"/>
        <v/>
      </c>
      <c r="J1697" s="1353"/>
      <c r="K1697" s="1741"/>
      <c r="L1697" s="1578"/>
      <c r="M1697" s="1602"/>
      <c r="N1697" s="1354" t="str">
        <f t="shared" si="233"/>
        <v/>
      </c>
      <c r="O1697" s="1355"/>
      <c r="P1697" s="1356" t="str">
        <f>IFERROR(VLOOKUP(F1697,#REF!,12,FALSE),"")</f>
        <v/>
      </c>
      <c r="Q1697" s="1357" t="s">
        <v>8</v>
      </c>
      <c r="R1697" s="1358" t="str">
        <f>IFERROR(VLOOKUP(F1697,#REF!,14,FALSE),"")</f>
        <v/>
      </c>
      <c r="S1697" s="1359" t="str">
        <f t="shared" si="234"/>
        <v/>
      </c>
      <c r="U1697" s="1728"/>
      <c r="V1697" s="1348">
        <f t="shared" si="231"/>
        <v>0</v>
      </c>
      <c r="W1697" s="1767"/>
      <c r="X1697" s="1348"/>
    </row>
    <row r="1698" spans="2:24" x14ac:dyDescent="0.2">
      <c r="B1698" s="1669" t="s">
        <v>256</v>
      </c>
      <c r="C1698" s="1237">
        <v>44786</v>
      </c>
      <c r="D1698" s="70"/>
      <c r="E1698" s="71"/>
      <c r="F1698" s="1552"/>
      <c r="G1698" s="1238"/>
      <c r="H1698" s="1239" t="str">
        <f>IFERROR(VLOOKUP(F1698,#REF!,10,FALSE),"")</f>
        <v/>
      </c>
      <c r="I1698" s="1240" t="str">
        <f t="shared" si="241"/>
        <v/>
      </c>
      <c r="J1698" s="265"/>
      <c r="K1698" s="1741"/>
      <c r="L1698" s="1581"/>
      <c r="M1698" s="265"/>
      <c r="N1698" s="77" t="str">
        <f t="shared" si="233"/>
        <v/>
      </c>
      <c r="O1698" s="1241"/>
      <c r="P1698" s="79" t="str">
        <f>IFERROR(VLOOKUP(F1698,#REF!,12,FALSE),"")</f>
        <v/>
      </c>
      <c r="Q1698" s="1242" t="s">
        <v>8</v>
      </c>
      <c r="R1698" s="1243" t="str">
        <f>IFERROR(VLOOKUP(F1698,#REF!,14,FALSE),"")</f>
        <v/>
      </c>
      <c r="S1698" s="1244" t="str">
        <f t="shared" si="234"/>
        <v/>
      </c>
      <c r="U1698" s="1728"/>
      <c r="V1698" s="70">
        <f t="shared" si="231"/>
        <v>0</v>
      </c>
      <c r="W1698" s="1767"/>
      <c r="X1698" s="70"/>
    </row>
    <row r="1699" spans="2:24" ht="16" thickBot="1" x14ac:dyDescent="0.25">
      <c r="B1699" s="1670" t="e">
        <f>AVERAGE(#REF!)</f>
        <v>#REF!</v>
      </c>
      <c r="C1699" s="544">
        <v>44787</v>
      </c>
      <c r="D1699" s="67"/>
      <c r="E1699" s="208"/>
      <c r="F1699" s="1553"/>
      <c r="G1699" s="1230"/>
      <c r="H1699" s="1231" t="str">
        <f>IFERROR(VLOOKUP(F1699,#REF!,10,FALSE),"")</f>
        <v/>
      </c>
      <c r="I1699" s="1232" t="str">
        <f t="shared" si="241"/>
        <v/>
      </c>
      <c r="J1699" s="256"/>
      <c r="K1699" s="1741"/>
      <c r="L1699" s="1580"/>
      <c r="M1699" s="1561"/>
      <c r="N1699" s="172" t="str">
        <f t="shared" si="233"/>
        <v/>
      </c>
      <c r="O1699" s="1233"/>
      <c r="P1699" s="447" t="str">
        <f>IFERROR(VLOOKUP(F1699,#REF!,12,FALSE),"")</f>
        <v/>
      </c>
      <c r="Q1699" s="1234" t="s">
        <v>8</v>
      </c>
      <c r="R1699" s="1235" t="str">
        <f>IFERROR(VLOOKUP(F1699,#REF!,14,FALSE),"")</f>
        <v/>
      </c>
      <c r="S1699" s="1236" t="str">
        <f t="shared" si="234"/>
        <v/>
      </c>
      <c r="U1699" s="1728"/>
      <c r="V1699" s="67">
        <f t="shared" si="231"/>
        <v>0</v>
      </c>
      <c r="W1699" s="1768"/>
      <c r="X1699" s="67"/>
    </row>
    <row r="1700" spans="2:24" ht="16" thickBot="1" x14ac:dyDescent="0.25">
      <c r="B1700" s="1661">
        <f t="shared" ref="B1700" si="246">B1693+1</f>
        <v>33</v>
      </c>
      <c r="C1700" s="1199">
        <v>44788</v>
      </c>
      <c r="D1700" s="1108"/>
      <c r="E1700" s="1109"/>
      <c r="F1700" s="1551"/>
      <c r="G1700" s="1200"/>
      <c r="H1700" s="1201" t="str">
        <f>IFERROR(VLOOKUP(F1700,#REF!,10,FALSE),"")</f>
        <v/>
      </c>
      <c r="I1700" s="1202" t="str">
        <f t="shared" si="241"/>
        <v/>
      </c>
      <c r="J1700" s="1203"/>
      <c r="K1700" s="1741"/>
      <c r="L1700" s="1577"/>
      <c r="M1700" s="1374"/>
      <c r="N1700" s="1111" t="str">
        <f t="shared" si="233"/>
        <v/>
      </c>
      <c r="O1700" s="1204"/>
      <c r="P1700" s="1113" t="str">
        <f>IFERROR(VLOOKUP(F1700,#REF!,12,FALSE),"")</f>
        <v/>
      </c>
      <c r="Q1700" s="1205" t="s">
        <v>8</v>
      </c>
      <c r="R1700" s="1206" t="str">
        <f>IFERROR(VLOOKUP(F1700,#REF!,14,FALSE),"")</f>
        <v/>
      </c>
      <c r="S1700" s="1207" t="str">
        <f t="shared" si="234"/>
        <v/>
      </c>
      <c r="U1700" s="1728"/>
      <c r="V1700" s="1108">
        <f t="shared" si="231"/>
        <v>0</v>
      </c>
      <c r="W1700" s="1766"/>
      <c r="X1700" s="1108"/>
    </row>
    <row r="1701" spans="2:24" x14ac:dyDescent="0.2">
      <c r="B1701" s="1666" t="s">
        <v>142</v>
      </c>
      <c r="C1701" s="1208">
        <v>44789</v>
      </c>
      <c r="D1701" s="864">
        <v>115</v>
      </c>
      <c r="E1701" s="865" t="s">
        <v>293</v>
      </c>
      <c r="F1701" s="1552" t="s">
        <v>297</v>
      </c>
      <c r="G1701" s="1209">
        <v>5.288194444444444E-2</v>
      </c>
      <c r="H1701" s="1210">
        <v>11.2</v>
      </c>
      <c r="I1701" s="1211">
        <f t="shared" si="241"/>
        <v>4.7216021825396822E-3</v>
      </c>
      <c r="J1701" s="1212">
        <v>137</v>
      </c>
      <c r="K1701" s="1741"/>
      <c r="L1701" s="1578">
        <v>195</v>
      </c>
      <c r="M1701" s="1602">
        <v>301</v>
      </c>
      <c r="N1701" s="1171"/>
      <c r="O1701" s="1213" t="s">
        <v>299</v>
      </c>
      <c r="P1701" s="1173" t="str">
        <f>IFERROR(VLOOKUP(F1701,#REF!,12,FALSE),"")</f>
        <v/>
      </c>
      <c r="Q1701" s="1229" t="s">
        <v>8</v>
      </c>
      <c r="R1701" s="1324" t="str">
        <f>IFERROR(VLOOKUP(F1701,#REF!,14,FALSE),"")</f>
        <v/>
      </c>
      <c r="S1701" s="1217"/>
      <c r="U1701" s="1728"/>
      <c r="V1701" s="864">
        <f t="shared" si="231"/>
        <v>0</v>
      </c>
      <c r="W1701" s="1767"/>
      <c r="X1701" s="864"/>
    </row>
    <row r="1702" spans="2:24" ht="16" thickBot="1" x14ac:dyDescent="0.25">
      <c r="B1702" s="1654">
        <f t="shared" ref="B1702" si="247">SUM(H1700:H1706)</f>
        <v>32.200000000000003</v>
      </c>
      <c r="C1702" s="1208">
        <v>44790</v>
      </c>
      <c r="D1702" s="864"/>
      <c r="E1702" s="865"/>
      <c r="F1702" s="1552"/>
      <c r="G1702" s="1209"/>
      <c r="H1702" s="1210" t="str">
        <f>IFERROR(VLOOKUP(F1702,#REF!,10,FALSE),"")</f>
        <v/>
      </c>
      <c r="I1702" s="1211" t="str">
        <f t="shared" si="241"/>
        <v/>
      </c>
      <c r="J1702" s="1212"/>
      <c r="K1702" s="1741"/>
      <c r="L1702" s="1578"/>
      <c r="M1702" s="1602"/>
      <c r="N1702" s="1171" t="str">
        <f t="shared" ref="N1702:N1711" si="248">IFERROR((L1702/67)/(1/(I1702*24)/3.6),"")</f>
        <v/>
      </c>
      <c r="O1702" s="1213"/>
      <c r="P1702" s="1173" t="str">
        <f>IFERROR(VLOOKUP(F1702,#REF!,12,FALSE),"")</f>
        <v/>
      </c>
      <c r="Q1702" s="1229" t="s">
        <v>8</v>
      </c>
      <c r="R1702" s="1324" t="str">
        <f>IFERROR(VLOOKUP(F1702,#REF!,14,FALSE),"")</f>
        <v/>
      </c>
      <c r="S1702" s="1217" t="str">
        <f t="shared" ref="S1702:S1711" si="249">IFERROR(L1702/J1702,"")</f>
        <v/>
      </c>
      <c r="U1702" s="1728"/>
      <c r="V1702" s="864">
        <f t="shared" si="231"/>
        <v>0</v>
      </c>
      <c r="W1702" s="1767"/>
      <c r="X1702" s="864"/>
    </row>
    <row r="1703" spans="2:24" x14ac:dyDescent="0.2">
      <c r="B1703" s="1667" t="s">
        <v>144</v>
      </c>
      <c r="C1703" s="1208">
        <v>44791</v>
      </c>
      <c r="D1703" s="864">
        <v>116</v>
      </c>
      <c r="E1703" s="865" t="s">
        <v>292</v>
      </c>
      <c r="F1703" s="1552" t="s">
        <v>279</v>
      </c>
      <c r="G1703" s="1209">
        <v>4.1539351851851855E-2</v>
      </c>
      <c r="H1703" s="1210">
        <v>10.5</v>
      </c>
      <c r="I1703" s="1211">
        <f t="shared" si="241"/>
        <v>3.9561287477954147E-3</v>
      </c>
      <c r="J1703" s="1212">
        <v>138</v>
      </c>
      <c r="K1703" s="1741"/>
      <c r="L1703" s="1578">
        <v>211</v>
      </c>
      <c r="M1703" s="1602">
        <v>20</v>
      </c>
      <c r="N1703" s="1171">
        <f t="shared" si="248"/>
        <v>1.0764449182658138</v>
      </c>
      <c r="O1703" s="1213" t="s">
        <v>328</v>
      </c>
      <c r="P1703" s="1173" t="str">
        <f>IFERROR(VLOOKUP(F1703,#REF!,12,FALSE),"")</f>
        <v/>
      </c>
      <c r="Q1703" s="1229" t="s">
        <v>8</v>
      </c>
      <c r="R1703" s="1324" t="str">
        <f>IFERROR(VLOOKUP(F1703,#REF!,14,FALSE),"")</f>
        <v/>
      </c>
      <c r="S1703" s="1217">
        <f t="shared" si="249"/>
        <v>1.5289855072463767</v>
      </c>
      <c r="U1703" s="1728"/>
      <c r="V1703" s="864">
        <f t="shared" si="231"/>
        <v>0</v>
      </c>
      <c r="W1703" s="1767"/>
      <c r="X1703" s="864"/>
    </row>
    <row r="1704" spans="2:24" ht="16" thickBot="1" x14ac:dyDescent="0.25">
      <c r="B1704" s="1668" t="e">
        <f>SUM(#REF!)</f>
        <v>#REF!</v>
      </c>
      <c r="C1704" s="1347">
        <v>44792</v>
      </c>
      <c r="D1704" s="1348"/>
      <c r="E1704" s="1349"/>
      <c r="F1704" s="1552"/>
      <c r="G1704" s="1350"/>
      <c r="H1704" s="1351" t="str">
        <f>IFERROR(VLOOKUP(F1704,#REF!,10,FALSE),"")</f>
        <v/>
      </c>
      <c r="I1704" s="1352" t="str">
        <f t="shared" si="241"/>
        <v/>
      </c>
      <c r="J1704" s="1353"/>
      <c r="K1704" s="1741"/>
      <c r="L1704" s="1578"/>
      <c r="M1704" s="1602"/>
      <c r="N1704" s="1354" t="str">
        <f t="shared" si="248"/>
        <v/>
      </c>
      <c r="O1704" s="1355"/>
      <c r="P1704" s="1356" t="str">
        <f>IFERROR(VLOOKUP(F1704,#REF!,12,FALSE),"")</f>
        <v/>
      </c>
      <c r="Q1704" s="1357" t="s">
        <v>8</v>
      </c>
      <c r="R1704" s="1358" t="str">
        <f>IFERROR(VLOOKUP(F1704,#REF!,14,FALSE),"")</f>
        <v/>
      </c>
      <c r="S1704" s="1359" t="str">
        <f t="shared" si="249"/>
        <v/>
      </c>
      <c r="U1704" s="1728"/>
      <c r="V1704" s="1348">
        <f t="shared" si="231"/>
        <v>0</v>
      </c>
      <c r="W1704" s="1767"/>
      <c r="X1704" s="1348"/>
    </row>
    <row r="1705" spans="2:24" x14ac:dyDescent="0.2">
      <c r="B1705" s="1669" t="s">
        <v>256</v>
      </c>
      <c r="C1705" s="1237">
        <v>44793</v>
      </c>
      <c r="D1705" s="70">
        <v>117</v>
      </c>
      <c r="E1705" s="71" t="s">
        <v>293</v>
      </c>
      <c r="F1705" s="1552" t="s">
        <v>279</v>
      </c>
      <c r="G1705" s="1238">
        <v>3.8935185185185191E-2</v>
      </c>
      <c r="H1705" s="1239">
        <v>10.5</v>
      </c>
      <c r="I1705" s="1240">
        <f t="shared" si="241"/>
        <v>3.7081128747795422E-3</v>
      </c>
      <c r="J1705" s="265">
        <v>137</v>
      </c>
      <c r="K1705" s="1741"/>
      <c r="L1705" s="1581">
        <v>230</v>
      </c>
      <c r="M1705" s="265">
        <v>30</v>
      </c>
      <c r="N1705" s="77">
        <f t="shared" si="248"/>
        <v>1.0998152096659561</v>
      </c>
      <c r="O1705" s="1241" t="s">
        <v>329</v>
      </c>
      <c r="P1705" s="79" t="str">
        <f>IFERROR(VLOOKUP(F1705,#REF!,12,FALSE),"")</f>
        <v/>
      </c>
      <c r="Q1705" s="1242" t="s">
        <v>8</v>
      </c>
      <c r="R1705" s="1243" t="str">
        <f>IFERROR(VLOOKUP(F1705,#REF!,14,FALSE),"")</f>
        <v/>
      </c>
      <c r="S1705" s="1244">
        <f t="shared" si="249"/>
        <v>1.6788321167883211</v>
      </c>
      <c r="U1705" s="1728"/>
      <c r="V1705" s="70">
        <f t="shared" si="231"/>
        <v>0</v>
      </c>
      <c r="W1705" s="1767"/>
      <c r="X1705" s="70"/>
    </row>
    <row r="1706" spans="2:24" ht="16" thickBot="1" x14ac:dyDescent="0.25">
      <c r="B1706" s="1670" t="e">
        <f>AVERAGE(#REF!)</f>
        <v>#REF!</v>
      </c>
      <c r="C1706" s="544">
        <v>44794</v>
      </c>
      <c r="D1706" s="67"/>
      <c r="E1706" s="208"/>
      <c r="F1706" s="1553"/>
      <c r="G1706" s="1230"/>
      <c r="H1706" s="1231" t="str">
        <f>IFERROR(VLOOKUP(F1706,#REF!,10,FALSE),"")</f>
        <v/>
      </c>
      <c r="I1706" s="1232" t="str">
        <f t="shared" si="241"/>
        <v/>
      </c>
      <c r="J1706" s="256"/>
      <c r="K1706" s="1741"/>
      <c r="L1706" s="1580"/>
      <c r="M1706" s="1561"/>
      <c r="N1706" s="172" t="str">
        <f t="shared" si="248"/>
        <v/>
      </c>
      <c r="O1706" s="1233"/>
      <c r="P1706" s="447" t="str">
        <f>IFERROR(VLOOKUP(F1706,#REF!,12,FALSE),"")</f>
        <v/>
      </c>
      <c r="Q1706" s="1234" t="s">
        <v>8</v>
      </c>
      <c r="R1706" s="1235" t="str">
        <f>IFERROR(VLOOKUP(F1706,#REF!,14,FALSE),"")</f>
        <v/>
      </c>
      <c r="S1706" s="1236" t="str">
        <f t="shared" si="249"/>
        <v/>
      </c>
      <c r="U1706" s="1728"/>
      <c r="V1706" s="67">
        <f t="shared" si="231"/>
        <v>0</v>
      </c>
      <c r="W1706" s="1768"/>
      <c r="X1706" s="67"/>
    </row>
    <row r="1707" spans="2:24" ht="16" thickBot="1" x14ac:dyDescent="0.25">
      <c r="B1707" s="1661">
        <f t="shared" ref="B1707" si="250">B1700+1</f>
        <v>34</v>
      </c>
      <c r="C1707" s="1199">
        <v>44795</v>
      </c>
      <c r="D1707" s="1108">
        <v>118</v>
      </c>
      <c r="E1707" s="1109" t="s">
        <v>293</v>
      </c>
      <c r="F1707" s="1551" t="s">
        <v>322</v>
      </c>
      <c r="G1707" s="1200">
        <v>2.7997685185185184E-2</v>
      </c>
      <c r="H1707" s="1201">
        <v>7.68</v>
      </c>
      <c r="I1707" s="1202">
        <f t="shared" si="241"/>
        <v>3.6455319251543212E-3</v>
      </c>
      <c r="J1707" s="1203">
        <v>139</v>
      </c>
      <c r="K1707" s="1741"/>
      <c r="L1707" s="1577">
        <v>231</v>
      </c>
      <c r="M1707" s="1374">
        <v>15</v>
      </c>
      <c r="N1707" s="1111">
        <f t="shared" si="248"/>
        <v>1.0859549906716419</v>
      </c>
      <c r="O1707" s="1204" t="s">
        <v>327</v>
      </c>
      <c r="P1707" s="1113" t="str">
        <f>IFERROR(VLOOKUP(F1707,#REF!,12,FALSE),"")</f>
        <v/>
      </c>
      <c r="Q1707" s="1205" t="s">
        <v>8</v>
      </c>
      <c r="R1707" s="1206" t="str">
        <f>IFERROR(VLOOKUP(F1707,#REF!,14,FALSE),"")</f>
        <v/>
      </c>
      <c r="S1707" s="1207">
        <f t="shared" si="249"/>
        <v>1.6618705035971224</v>
      </c>
      <c r="U1707" s="1728"/>
      <c r="V1707" s="1108">
        <f t="shared" si="231"/>
        <v>0</v>
      </c>
      <c r="W1707" s="1766"/>
      <c r="X1707" s="1108"/>
    </row>
    <row r="1708" spans="2:24" x14ac:dyDescent="0.2">
      <c r="B1708" s="1666" t="s">
        <v>142</v>
      </c>
      <c r="C1708" s="1208">
        <v>44796</v>
      </c>
      <c r="D1708" s="864"/>
      <c r="E1708" s="865"/>
      <c r="F1708" s="1552"/>
      <c r="G1708" s="1209"/>
      <c r="H1708" s="1210" t="str">
        <f>IFERROR(VLOOKUP(F1708,#REF!,10,FALSE),"")</f>
        <v/>
      </c>
      <c r="I1708" s="1211" t="str">
        <f t="shared" si="241"/>
        <v/>
      </c>
      <c r="J1708" s="1212"/>
      <c r="K1708" s="1741"/>
      <c r="L1708" s="1578"/>
      <c r="M1708" s="1602"/>
      <c r="N1708" s="1171" t="str">
        <f t="shared" si="248"/>
        <v/>
      </c>
      <c r="O1708" s="1213"/>
      <c r="P1708" s="1173" t="str">
        <f>IFERROR(VLOOKUP(F1708,#REF!,12,FALSE),"")</f>
        <v/>
      </c>
      <c r="Q1708" s="1229" t="s">
        <v>8</v>
      </c>
      <c r="R1708" s="1324" t="str">
        <f>IFERROR(VLOOKUP(F1708,#REF!,14,FALSE),"")</f>
        <v/>
      </c>
      <c r="S1708" s="1217" t="str">
        <f t="shared" si="249"/>
        <v/>
      </c>
      <c r="U1708" s="1728"/>
      <c r="V1708" s="864">
        <f t="shared" si="231"/>
        <v>0</v>
      </c>
      <c r="W1708" s="1767"/>
      <c r="X1708" s="864"/>
    </row>
    <row r="1709" spans="2:24" ht="16" thickBot="1" x14ac:dyDescent="0.25">
      <c r="B1709" s="1654">
        <f t="shared" ref="B1709" si="251">SUM(H1707:H1713)</f>
        <v>33.790000000000006</v>
      </c>
      <c r="C1709" s="1208">
        <v>44797</v>
      </c>
      <c r="D1709" s="864">
        <v>119</v>
      </c>
      <c r="E1709" s="865" t="s">
        <v>293</v>
      </c>
      <c r="F1709" s="1552" t="s">
        <v>322</v>
      </c>
      <c r="G1709" s="1209">
        <v>3.3796296296296297E-2</v>
      </c>
      <c r="H1709" s="1210">
        <v>9.06</v>
      </c>
      <c r="I1709" s="1211">
        <f t="shared" si="241"/>
        <v>3.7302755293925271E-3</v>
      </c>
      <c r="J1709" s="1212">
        <v>138</v>
      </c>
      <c r="K1709" s="1741"/>
      <c r="L1709" s="1578">
        <v>226</v>
      </c>
      <c r="M1709" s="1602">
        <v>22</v>
      </c>
      <c r="N1709" s="1171">
        <f t="shared" si="248"/>
        <v>1.0871470462258244</v>
      </c>
      <c r="O1709" s="1213" t="s">
        <v>329</v>
      </c>
      <c r="P1709" s="1173" t="str">
        <f>IFERROR(VLOOKUP(F1709,#REF!,12,FALSE),"")</f>
        <v/>
      </c>
      <c r="Q1709" s="1229" t="s">
        <v>8</v>
      </c>
      <c r="R1709" s="1324" t="str">
        <f>IFERROR(VLOOKUP(F1709,#REF!,14,FALSE),"")</f>
        <v/>
      </c>
      <c r="S1709" s="1217">
        <f t="shared" si="249"/>
        <v>1.6376811594202898</v>
      </c>
      <c r="U1709" s="1728"/>
      <c r="V1709" s="864">
        <f t="shared" si="231"/>
        <v>0</v>
      </c>
      <c r="W1709" s="1767"/>
      <c r="X1709" s="864"/>
    </row>
    <row r="1710" spans="2:24" x14ac:dyDescent="0.2">
      <c r="B1710" s="1667" t="s">
        <v>144</v>
      </c>
      <c r="C1710" s="1208">
        <v>44798</v>
      </c>
      <c r="D1710" s="864">
        <v>120</v>
      </c>
      <c r="E1710" s="865" t="s">
        <v>293</v>
      </c>
      <c r="F1710" s="1552" t="s">
        <v>322</v>
      </c>
      <c r="G1710" s="1209">
        <v>2.7523148148148147E-2</v>
      </c>
      <c r="H1710" s="1210">
        <v>7.28</v>
      </c>
      <c r="I1710" s="1211">
        <f t="shared" si="241"/>
        <v>3.7806522181522179E-3</v>
      </c>
      <c r="J1710" s="1212">
        <v>132</v>
      </c>
      <c r="K1710" s="1741"/>
      <c r="L1710" s="1578">
        <v>221</v>
      </c>
      <c r="M1710" s="1602">
        <v>16</v>
      </c>
      <c r="N1710" s="1171">
        <f t="shared" si="248"/>
        <v>1.0774520255863538</v>
      </c>
      <c r="O1710" s="1213" t="s">
        <v>339</v>
      </c>
      <c r="P1710" s="1173" t="str">
        <f>IFERROR(VLOOKUP(F1710,#REF!,12,FALSE),"")</f>
        <v/>
      </c>
      <c r="Q1710" s="1229" t="s">
        <v>8</v>
      </c>
      <c r="R1710" s="1324" t="str">
        <f>IFERROR(VLOOKUP(F1710,#REF!,14,FALSE),"")</f>
        <v/>
      </c>
      <c r="S1710" s="1217">
        <f t="shared" si="249"/>
        <v>1.6742424242424243</v>
      </c>
      <c r="U1710" s="1728"/>
      <c r="V1710" s="864">
        <f t="shared" si="231"/>
        <v>0</v>
      </c>
      <c r="W1710" s="1767"/>
      <c r="X1710" s="864"/>
    </row>
    <row r="1711" spans="2:24" ht="16" thickBot="1" x14ac:dyDescent="0.25">
      <c r="B1711" s="1668" t="e">
        <f>SUM(#REF!)</f>
        <v>#REF!</v>
      </c>
      <c r="C1711" s="1347">
        <v>44799</v>
      </c>
      <c r="D1711" s="1348"/>
      <c r="E1711" s="1349"/>
      <c r="F1711" s="1552"/>
      <c r="G1711" s="1350"/>
      <c r="H1711" s="1351" t="str">
        <f>IFERROR(VLOOKUP(F1711,#REF!,10,FALSE),"")</f>
        <v/>
      </c>
      <c r="I1711" s="1352" t="str">
        <f t="shared" si="241"/>
        <v/>
      </c>
      <c r="J1711" s="1353"/>
      <c r="K1711" s="1741"/>
      <c r="L1711" s="1578"/>
      <c r="M1711" s="1602"/>
      <c r="N1711" s="1354" t="str">
        <f t="shared" si="248"/>
        <v/>
      </c>
      <c r="O1711" s="1355"/>
      <c r="P1711" s="1356" t="str">
        <f>IFERROR(VLOOKUP(F1711,#REF!,12,FALSE),"")</f>
        <v/>
      </c>
      <c r="Q1711" s="1357" t="s">
        <v>8</v>
      </c>
      <c r="R1711" s="1358" t="str">
        <f>IFERROR(VLOOKUP(F1711,#REF!,14,FALSE),"")</f>
        <v/>
      </c>
      <c r="S1711" s="1359" t="str">
        <f t="shared" si="249"/>
        <v/>
      </c>
      <c r="U1711" s="1728"/>
      <c r="V1711" s="1348">
        <f t="shared" si="231"/>
        <v>0</v>
      </c>
      <c r="W1711" s="1767"/>
      <c r="X1711" s="1348"/>
    </row>
    <row r="1712" spans="2:24" x14ac:dyDescent="0.2">
      <c r="B1712" s="1669" t="s">
        <v>256</v>
      </c>
      <c r="C1712" s="1237">
        <v>44800</v>
      </c>
      <c r="D1712" s="70">
        <v>121</v>
      </c>
      <c r="E1712" s="71" t="s">
        <v>293</v>
      </c>
      <c r="F1712" s="1552" t="s">
        <v>297</v>
      </c>
      <c r="G1712" s="1238">
        <v>6.2349537037037044E-2</v>
      </c>
      <c r="H1712" s="1351">
        <v>9.77</v>
      </c>
      <c r="I1712" s="1240">
        <f t="shared" si="241"/>
        <v>6.3817335759505673E-3</v>
      </c>
      <c r="J1712" s="265">
        <v>147</v>
      </c>
      <c r="K1712" s="1741"/>
      <c r="L1712" s="1581">
        <v>157</v>
      </c>
      <c r="M1712" s="265">
        <v>526</v>
      </c>
      <c r="N1712" s="77"/>
      <c r="O1712" s="1241" t="s">
        <v>299</v>
      </c>
      <c r="P1712" s="79" t="str">
        <f>IFERROR(VLOOKUP(F1712,#REF!,12,FALSE),"")</f>
        <v/>
      </c>
      <c r="Q1712" s="1242" t="s">
        <v>8</v>
      </c>
      <c r="R1712" s="1243" t="str">
        <f>IFERROR(VLOOKUP(F1712,#REF!,14,FALSE),"")</f>
        <v/>
      </c>
      <c r="S1712" s="1244"/>
      <c r="U1712" s="1728"/>
      <c r="V1712" s="70">
        <f t="shared" si="231"/>
        <v>0</v>
      </c>
      <c r="W1712" s="1767"/>
      <c r="X1712" s="70"/>
    </row>
    <row r="1713" spans="2:24" ht="16" thickBot="1" x14ac:dyDescent="0.25">
      <c r="B1713" s="1670" t="e">
        <f>AVERAGE(#REF!)</f>
        <v>#REF!</v>
      </c>
      <c r="C1713" s="544">
        <v>44801</v>
      </c>
      <c r="D1713" s="67"/>
      <c r="E1713" s="208"/>
      <c r="F1713" s="1553"/>
      <c r="G1713" s="1230"/>
      <c r="H1713" s="1231" t="str">
        <f>IFERROR(VLOOKUP(F1713,#REF!,10,FALSE),"")</f>
        <v/>
      </c>
      <c r="I1713" s="1232" t="str">
        <f t="shared" si="241"/>
        <v/>
      </c>
      <c r="J1713" s="256"/>
      <c r="K1713" s="1741"/>
      <c r="L1713" s="1580"/>
      <c r="M1713" s="1561"/>
      <c r="N1713" s="172" t="str">
        <f t="shared" ref="N1713:N1776" si="252">IFERROR((L1713/67)/(1/(I1713*24)/3.6),"")</f>
        <v/>
      </c>
      <c r="O1713" s="1233"/>
      <c r="P1713" s="447" t="str">
        <f>IFERROR(VLOOKUP(F1713,#REF!,12,FALSE),"")</f>
        <v/>
      </c>
      <c r="Q1713" s="1234" t="s">
        <v>8</v>
      </c>
      <c r="R1713" s="1235" t="str">
        <f>IFERROR(VLOOKUP(F1713,#REF!,14,FALSE),"")</f>
        <v/>
      </c>
      <c r="S1713" s="1236" t="str">
        <f t="shared" ref="S1713:S1776" si="253">IFERROR(L1713/J1713,"")</f>
        <v/>
      </c>
      <c r="U1713" s="1728"/>
      <c r="V1713" s="67">
        <f t="shared" si="231"/>
        <v>0</v>
      </c>
      <c r="W1713" s="1768"/>
      <c r="X1713" s="67"/>
    </row>
    <row r="1714" spans="2:24" ht="16" thickBot="1" x14ac:dyDescent="0.25">
      <c r="B1714" s="1661">
        <f t="shared" ref="B1714" si="254">B1707+1</f>
        <v>35</v>
      </c>
      <c r="C1714" s="1199">
        <v>44802</v>
      </c>
      <c r="D1714" s="1108"/>
      <c r="E1714" s="1109"/>
      <c r="F1714" s="1551"/>
      <c r="G1714" s="1200"/>
      <c r="H1714" s="1201" t="str">
        <f>IFERROR(VLOOKUP(F1714,#REF!,10,FALSE),"")</f>
        <v/>
      </c>
      <c r="I1714" s="1202" t="str">
        <f t="shared" si="241"/>
        <v/>
      </c>
      <c r="J1714" s="1203"/>
      <c r="K1714" s="1741"/>
      <c r="L1714" s="1577"/>
      <c r="M1714" s="1374"/>
      <c r="N1714" s="1111" t="str">
        <f t="shared" si="252"/>
        <v/>
      </c>
      <c r="O1714" s="1204"/>
      <c r="P1714" s="1113" t="str">
        <f>IFERROR(VLOOKUP(F1714,#REF!,12,FALSE),"")</f>
        <v/>
      </c>
      <c r="Q1714" s="1205" t="s">
        <v>8</v>
      </c>
      <c r="R1714" s="1206" t="str">
        <f>IFERROR(VLOOKUP(F1714,#REF!,14,FALSE),"")</f>
        <v/>
      </c>
      <c r="S1714" s="1207" t="str">
        <f t="shared" si="253"/>
        <v/>
      </c>
      <c r="U1714" s="1728"/>
      <c r="V1714" s="1108">
        <f t="shared" si="231"/>
        <v>0</v>
      </c>
      <c r="W1714" s="1766"/>
      <c r="X1714" s="1108"/>
    </row>
    <row r="1715" spans="2:24" x14ac:dyDescent="0.2">
      <c r="B1715" s="1666" t="s">
        <v>142</v>
      </c>
      <c r="C1715" s="1208">
        <v>44803</v>
      </c>
      <c r="D1715" s="864"/>
      <c r="E1715" s="865"/>
      <c r="F1715" s="1552"/>
      <c r="G1715" s="1209"/>
      <c r="H1715" s="1210" t="str">
        <f>IFERROR(VLOOKUP(F1715,#REF!,10,FALSE),"")</f>
        <v/>
      </c>
      <c r="I1715" s="1211" t="str">
        <f t="shared" si="241"/>
        <v/>
      </c>
      <c r="J1715" s="1212"/>
      <c r="K1715" s="1741"/>
      <c r="L1715" s="1578"/>
      <c r="M1715" s="1602"/>
      <c r="N1715" s="1171" t="str">
        <f t="shared" si="252"/>
        <v/>
      </c>
      <c r="O1715" s="1213"/>
      <c r="P1715" s="1173" t="str">
        <f>IFERROR(VLOOKUP(F1715,#REF!,12,FALSE),"")</f>
        <v/>
      </c>
      <c r="Q1715" s="1229" t="s">
        <v>8</v>
      </c>
      <c r="R1715" s="1324" t="str">
        <f>IFERROR(VLOOKUP(F1715,#REF!,14,FALSE),"")</f>
        <v/>
      </c>
      <c r="S1715" s="1217" t="str">
        <f t="shared" si="253"/>
        <v/>
      </c>
      <c r="U1715" s="1728"/>
      <c r="V1715" s="864">
        <f t="shared" si="231"/>
        <v>0</v>
      </c>
      <c r="W1715" s="1767"/>
      <c r="X1715" s="864"/>
    </row>
    <row r="1716" spans="2:24" ht="16" thickBot="1" x14ac:dyDescent="0.25">
      <c r="B1716" s="1654">
        <f t="shared" ref="B1716" si="255">SUM(H1714:H1720)</f>
        <v>15.05</v>
      </c>
      <c r="C1716" s="1208">
        <v>44804</v>
      </c>
      <c r="D1716" s="864">
        <v>122</v>
      </c>
      <c r="E1716" s="865" t="s">
        <v>293</v>
      </c>
      <c r="F1716" s="1552" t="s">
        <v>322</v>
      </c>
      <c r="G1716" s="1209">
        <v>2.478009259259259E-2</v>
      </c>
      <c r="H1716" s="1210">
        <v>6.9</v>
      </c>
      <c r="I1716" s="1211">
        <f t="shared" si="241"/>
        <v>3.5913177670424041E-3</v>
      </c>
      <c r="J1716" s="1212">
        <v>135</v>
      </c>
      <c r="K1716" s="1741"/>
      <c r="L1716" s="1578">
        <v>234</v>
      </c>
      <c r="M1716" s="1602">
        <v>18</v>
      </c>
      <c r="N1716" s="1171">
        <f t="shared" si="252"/>
        <v>1.0836988968202463</v>
      </c>
      <c r="O1716" s="1213" t="s">
        <v>329</v>
      </c>
      <c r="P1716" s="1173" t="str">
        <f>IFERROR(VLOOKUP(F1716,#REF!,12,FALSE),"")</f>
        <v/>
      </c>
      <c r="Q1716" s="1229" t="s">
        <v>8</v>
      </c>
      <c r="R1716" s="1324" t="str">
        <f>IFERROR(VLOOKUP(F1716,#REF!,14,FALSE),"")</f>
        <v/>
      </c>
      <c r="S1716" s="1217">
        <f t="shared" si="253"/>
        <v>1.7333333333333334</v>
      </c>
      <c r="U1716" s="1728"/>
      <c r="V1716" s="864">
        <f t="shared" si="231"/>
        <v>0</v>
      </c>
      <c r="W1716" s="1767"/>
      <c r="X1716" s="864"/>
    </row>
    <row r="1717" spans="2:24" x14ac:dyDescent="0.2">
      <c r="B1717" s="1667" t="s">
        <v>144</v>
      </c>
      <c r="C1717" s="1208">
        <v>44805</v>
      </c>
      <c r="D1717" s="864"/>
      <c r="E1717" s="865"/>
      <c r="F1717" s="1552"/>
      <c r="G1717" s="1209"/>
      <c r="H1717" s="1210" t="str">
        <f>IFERROR(VLOOKUP(F1717,#REF!,10,FALSE),"")</f>
        <v/>
      </c>
      <c r="I1717" s="1211" t="str">
        <f t="shared" si="241"/>
        <v/>
      </c>
      <c r="J1717" s="1212"/>
      <c r="K1717" s="1741"/>
      <c r="L1717" s="1578"/>
      <c r="M1717" s="1602"/>
      <c r="N1717" s="1171" t="str">
        <f t="shared" si="252"/>
        <v/>
      </c>
      <c r="O1717" s="1213"/>
      <c r="P1717" s="1173" t="str">
        <f>IFERROR(VLOOKUP(F1717,#REF!,12,FALSE),"")</f>
        <v/>
      </c>
      <c r="Q1717" s="1229" t="s">
        <v>8</v>
      </c>
      <c r="R1717" s="1324" t="str">
        <f>IFERROR(VLOOKUP(F1717,#REF!,14,FALSE),"")</f>
        <v/>
      </c>
      <c r="S1717" s="1217" t="str">
        <f t="shared" si="253"/>
        <v/>
      </c>
      <c r="U1717" s="1728"/>
      <c r="V1717" s="864">
        <f t="shared" si="231"/>
        <v>0</v>
      </c>
      <c r="W1717" s="1767"/>
      <c r="X1717" s="864"/>
    </row>
    <row r="1718" spans="2:24" ht="16" thickBot="1" x14ac:dyDescent="0.25">
      <c r="B1718" s="1668" t="e">
        <f>SUM(#REF!)</f>
        <v>#REF!</v>
      </c>
      <c r="C1718" s="1347">
        <v>44806</v>
      </c>
      <c r="D1718" s="1348"/>
      <c r="E1718" s="1349"/>
      <c r="F1718" s="1552"/>
      <c r="G1718" s="1350"/>
      <c r="H1718" s="1351" t="str">
        <f>IFERROR(VLOOKUP(F1718,#REF!,10,FALSE),"")</f>
        <v/>
      </c>
      <c r="I1718" s="1352" t="str">
        <f t="shared" si="241"/>
        <v/>
      </c>
      <c r="J1718" s="1353"/>
      <c r="K1718" s="1741"/>
      <c r="L1718" s="1578"/>
      <c r="M1718" s="1602"/>
      <c r="N1718" s="1354" t="str">
        <f t="shared" si="252"/>
        <v/>
      </c>
      <c r="O1718" s="1355"/>
      <c r="P1718" s="1356" t="str">
        <f>IFERROR(VLOOKUP(F1718,#REF!,12,FALSE),"")</f>
        <v/>
      </c>
      <c r="Q1718" s="1357" t="s">
        <v>8</v>
      </c>
      <c r="R1718" s="1358" t="str">
        <f>IFERROR(VLOOKUP(F1718,#REF!,14,FALSE),"")</f>
        <v/>
      </c>
      <c r="S1718" s="1359" t="str">
        <f t="shared" si="253"/>
        <v/>
      </c>
      <c r="U1718" s="1728"/>
      <c r="V1718" s="1348">
        <f t="shared" si="231"/>
        <v>0</v>
      </c>
      <c r="W1718" s="1767"/>
      <c r="X1718" s="1348"/>
    </row>
    <row r="1719" spans="2:24" x14ac:dyDescent="0.2">
      <c r="B1719" s="1669" t="s">
        <v>256</v>
      </c>
      <c r="C1719" s="1237">
        <v>44807</v>
      </c>
      <c r="D1719" s="70">
        <v>123</v>
      </c>
      <c r="E1719" s="71" t="s">
        <v>292</v>
      </c>
      <c r="F1719" s="1552" t="s">
        <v>322</v>
      </c>
      <c r="G1719" s="1620">
        <v>3.1863425925925927E-2</v>
      </c>
      <c r="H1719" s="1239">
        <v>8.15</v>
      </c>
      <c r="I1719" s="1240">
        <f t="shared" si="241"/>
        <v>3.9096228129970462E-3</v>
      </c>
      <c r="J1719" s="265">
        <v>136</v>
      </c>
      <c r="K1719" s="1741"/>
      <c r="L1719" s="1581">
        <v>211</v>
      </c>
      <c r="M1719" s="265">
        <v>18</v>
      </c>
      <c r="N1719" s="77">
        <f t="shared" si="252"/>
        <v>1.0637908616427068</v>
      </c>
      <c r="O1719" s="1241" t="s">
        <v>328</v>
      </c>
      <c r="P1719" s="79" t="str">
        <f>IFERROR(VLOOKUP(F1719,#REF!,12,FALSE),"")</f>
        <v/>
      </c>
      <c r="Q1719" s="1242" t="s">
        <v>8</v>
      </c>
      <c r="R1719" s="1243" t="str">
        <f>IFERROR(VLOOKUP(F1719,#REF!,14,FALSE),"")</f>
        <v/>
      </c>
      <c r="S1719" s="1244">
        <f t="shared" si="253"/>
        <v>1.5514705882352942</v>
      </c>
      <c r="U1719" s="1728"/>
      <c r="V1719" s="70">
        <f t="shared" si="231"/>
        <v>0</v>
      </c>
      <c r="W1719" s="1767"/>
      <c r="X1719" s="70"/>
    </row>
    <row r="1720" spans="2:24" ht="16" thickBot="1" x14ac:dyDescent="0.25">
      <c r="B1720" s="1670" t="e">
        <f>AVERAGE(#REF!)</f>
        <v>#REF!</v>
      </c>
      <c r="C1720" s="544">
        <v>44808</v>
      </c>
      <c r="D1720" s="67"/>
      <c r="E1720" s="208"/>
      <c r="F1720" s="1553"/>
      <c r="G1720" s="1621"/>
      <c r="H1720" s="1231" t="str">
        <f>IFERROR(VLOOKUP(F1720,#REF!,10,FALSE),"")</f>
        <v/>
      </c>
      <c r="I1720" s="1232" t="str">
        <f t="shared" si="241"/>
        <v/>
      </c>
      <c r="J1720" s="256"/>
      <c r="K1720" s="1741"/>
      <c r="L1720" s="1580"/>
      <c r="M1720" s="1561"/>
      <c r="N1720" s="172" t="str">
        <f t="shared" si="252"/>
        <v/>
      </c>
      <c r="O1720" s="1233"/>
      <c r="P1720" s="447" t="str">
        <f>IFERROR(VLOOKUP(F1720,#REF!,12,FALSE),"")</f>
        <v/>
      </c>
      <c r="Q1720" s="1234" t="s">
        <v>8</v>
      </c>
      <c r="R1720" s="1235" t="str">
        <f>IFERROR(VLOOKUP(F1720,#REF!,14,FALSE),"")</f>
        <v/>
      </c>
      <c r="S1720" s="1236" t="str">
        <f t="shared" si="253"/>
        <v/>
      </c>
      <c r="U1720" s="1728"/>
      <c r="V1720" s="67">
        <f t="shared" si="231"/>
        <v>0</v>
      </c>
      <c r="W1720" s="1768"/>
      <c r="X1720" s="67"/>
    </row>
    <row r="1721" spans="2:24" ht="16" thickBot="1" x14ac:dyDescent="0.25">
      <c r="B1721" s="1661">
        <f t="shared" ref="B1721" si="256">B1714+1</f>
        <v>36</v>
      </c>
      <c r="C1721" s="1199">
        <v>44809</v>
      </c>
      <c r="D1721" s="1108">
        <v>124</v>
      </c>
      <c r="E1721" s="1109" t="s">
        <v>292</v>
      </c>
      <c r="F1721" s="1551" t="s">
        <v>279</v>
      </c>
      <c r="G1721" s="1622">
        <v>3.9745370370370368E-2</v>
      </c>
      <c r="H1721" s="1201">
        <v>10.199999999999999</v>
      </c>
      <c r="I1721" s="1202">
        <f t="shared" si="241"/>
        <v>3.8966049382716051E-3</v>
      </c>
      <c r="J1721" s="1203">
        <v>134</v>
      </c>
      <c r="K1721" s="1741"/>
      <c r="L1721" s="1577">
        <v>213</v>
      </c>
      <c r="M1721" s="1374">
        <v>29</v>
      </c>
      <c r="N1721" s="1111">
        <f t="shared" si="252"/>
        <v>1.0702985074626867</v>
      </c>
      <c r="O1721" s="1204" t="s">
        <v>329</v>
      </c>
      <c r="P1721" s="1113" t="str">
        <f>IFERROR(VLOOKUP(F1721,#REF!,12,FALSE),"")</f>
        <v/>
      </c>
      <c r="Q1721" s="1205" t="s">
        <v>8</v>
      </c>
      <c r="R1721" s="1206" t="str">
        <f>IFERROR(VLOOKUP(F1721,#REF!,14,FALSE),"")</f>
        <v/>
      </c>
      <c r="S1721" s="1207">
        <f t="shared" si="253"/>
        <v>1.5895522388059702</v>
      </c>
      <c r="U1721" s="1728"/>
      <c r="V1721" s="1108">
        <f t="shared" si="231"/>
        <v>0</v>
      </c>
      <c r="W1721" s="1766"/>
      <c r="X1721" s="1108"/>
    </row>
    <row r="1722" spans="2:24" x14ac:dyDescent="0.2">
      <c r="B1722" s="1666" t="s">
        <v>142</v>
      </c>
      <c r="C1722" s="1208">
        <v>44810</v>
      </c>
      <c r="D1722" s="864"/>
      <c r="E1722" s="865"/>
      <c r="F1722" s="1552"/>
      <c r="G1722" s="1623"/>
      <c r="H1722" s="1210" t="str">
        <f>IFERROR(VLOOKUP(F1722,#REF!,10,FALSE),"")</f>
        <v/>
      </c>
      <c r="I1722" s="1211" t="str">
        <f t="shared" si="241"/>
        <v/>
      </c>
      <c r="J1722" s="1212"/>
      <c r="K1722" s="1741"/>
      <c r="L1722" s="1578"/>
      <c r="M1722" s="1602"/>
      <c r="N1722" s="1171" t="str">
        <f t="shared" si="252"/>
        <v/>
      </c>
      <c r="O1722" s="1213"/>
      <c r="P1722" s="1173" t="str">
        <f>IFERROR(VLOOKUP(F1722,#REF!,12,FALSE),"")</f>
        <v/>
      </c>
      <c r="Q1722" s="1229" t="s">
        <v>8</v>
      </c>
      <c r="R1722" s="1324" t="str">
        <f>IFERROR(VLOOKUP(F1722,#REF!,14,FALSE),"")</f>
        <v/>
      </c>
      <c r="S1722" s="1217" t="str">
        <f t="shared" si="253"/>
        <v/>
      </c>
      <c r="U1722" s="1728"/>
      <c r="V1722" s="864">
        <f t="shared" ref="V1722:V1785" si="257">U1721-T1721</f>
        <v>0</v>
      </c>
      <c r="W1722" s="1767"/>
      <c r="X1722" s="864"/>
    </row>
    <row r="1723" spans="2:24" ht="16" thickBot="1" x14ac:dyDescent="0.25">
      <c r="B1723" s="1654">
        <f t="shared" ref="B1723" si="258">SUM(H1721:H1727)</f>
        <v>29.9</v>
      </c>
      <c r="C1723" s="1208">
        <v>44811</v>
      </c>
      <c r="D1723" s="864">
        <v>125</v>
      </c>
      <c r="E1723" s="865" t="s">
        <v>293</v>
      </c>
      <c r="F1723" s="1552" t="s">
        <v>279</v>
      </c>
      <c r="G1723" s="1623">
        <v>3.8067129629629631E-2</v>
      </c>
      <c r="H1723" s="1210">
        <v>10.1</v>
      </c>
      <c r="I1723" s="1211">
        <f t="shared" si="241"/>
        <v>3.7690227356068943E-3</v>
      </c>
      <c r="J1723" s="1212">
        <v>144</v>
      </c>
      <c r="K1723" s="1741"/>
      <c r="L1723" s="1578">
        <v>225</v>
      </c>
      <c r="M1723" s="1602">
        <v>29</v>
      </c>
      <c r="N1723" s="1171">
        <f t="shared" si="252"/>
        <v>1.0935791340328063</v>
      </c>
      <c r="O1723" s="1213" t="s">
        <v>327</v>
      </c>
      <c r="P1723" s="1173" t="str">
        <f>IFERROR(VLOOKUP(F1723,#REF!,12,FALSE),"")</f>
        <v/>
      </c>
      <c r="Q1723" s="1229" t="s">
        <v>8</v>
      </c>
      <c r="R1723" s="1324" t="str">
        <f>IFERROR(VLOOKUP(F1723,#REF!,14,FALSE),"")</f>
        <v/>
      </c>
      <c r="S1723" s="1217">
        <f t="shared" si="253"/>
        <v>1.5625</v>
      </c>
      <c r="U1723" s="1728"/>
      <c r="V1723" s="864">
        <f t="shared" si="257"/>
        <v>0</v>
      </c>
      <c r="W1723" s="1767"/>
      <c r="X1723" s="864"/>
    </row>
    <row r="1724" spans="2:24" x14ac:dyDescent="0.2">
      <c r="B1724" s="1667" t="s">
        <v>144</v>
      </c>
      <c r="C1724" s="1208">
        <v>44812</v>
      </c>
      <c r="D1724" s="864"/>
      <c r="E1724" s="865"/>
      <c r="F1724" s="1552"/>
      <c r="G1724" s="1623"/>
      <c r="H1724" s="1210" t="str">
        <f>IFERROR(VLOOKUP(F1724,#REF!,10,FALSE),"")</f>
        <v/>
      </c>
      <c r="I1724" s="1211" t="str">
        <f t="shared" si="241"/>
        <v/>
      </c>
      <c r="J1724" s="1212"/>
      <c r="K1724" s="1741"/>
      <c r="L1724" s="1578"/>
      <c r="M1724" s="1602"/>
      <c r="N1724" s="1171" t="str">
        <f t="shared" si="252"/>
        <v/>
      </c>
      <c r="O1724" s="1213"/>
      <c r="P1724" s="1173" t="str">
        <f>IFERROR(VLOOKUP(F1724,#REF!,12,FALSE),"")</f>
        <v/>
      </c>
      <c r="Q1724" s="1229" t="s">
        <v>8</v>
      </c>
      <c r="R1724" s="1324" t="str">
        <f>IFERROR(VLOOKUP(F1724,#REF!,14,FALSE),"")</f>
        <v/>
      </c>
      <c r="S1724" s="1217" t="str">
        <f t="shared" si="253"/>
        <v/>
      </c>
      <c r="U1724" s="1728"/>
      <c r="V1724" s="864">
        <f t="shared" si="257"/>
        <v>0</v>
      </c>
      <c r="W1724" s="1767"/>
      <c r="X1724" s="864"/>
    </row>
    <row r="1725" spans="2:24" ht="16" thickBot="1" x14ac:dyDescent="0.25">
      <c r="B1725" s="1668" t="e">
        <f>SUM(#REF!)</f>
        <v>#REF!</v>
      </c>
      <c r="C1725" s="1347">
        <v>44813</v>
      </c>
      <c r="D1725" s="1348">
        <v>126</v>
      </c>
      <c r="E1725" s="1349" t="s">
        <v>293</v>
      </c>
      <c r="F1725" s="1552" t="s">
        <v>279</v>
      </c>
      <c r="G1725" s="1624">
        <v>3.6134259259259262E-2</v>
      </c>
      <c r="H1725" s="1351">
        <v>9.6</v>
      </c>
      <c r="I1725" s="1352">
        <f t="shared" si="241"/>
        <v>3.7639853395061732E-3</v>
      </c>
      <c r="J1725" s="1353">
        <v>135</v>
      </c>
      <c r="K1725" s="1741"/>
      <c r="L1725" s="1578">
        <v>226</v>
      </c>
      <c r="M1725" s="1602">
        <v>32</v>
      </c>
      <c r="N1725" s="1354">
        <f t="shared" si="252"/>
        <v>1.0969713930348259</v>
      </c>
      <c r="O1725" s="1355" t="s">
        <v>329</v>
      </c>
      <c r="P1725" s="1356" t="str">
        <f>IFERROR(VLOOKUP(F1725,#REF!,12,FALSE),"")</f>
        <v/>
      </c>
      <c r="Q1725" s="1357" t="s">
        <v>8</v>
      </c>
      <c r="R1725" s="1358" t="str">
        <f>IFERROR(VLOOKUP(F1725,#REF!,14,FALSE),"")</f>
        <v/>
      </c>
      <c r="S1725" s="1359">
        <f t="shared" si="253"/>
        <v>1.674074074074074</v>
      </c>
      <c r="U1725" s="1728"/>
      <c r="V1725" s="1348">
        <f t="shared" si="257"/>
        <v>0</v>
      </c>
      <c r="W1725" s="1767"/>
      <c r="X1725" s="1348"/>
    </row>
    <row r="1726" spans="2:24" x14ac:dyDescent="0.2">
      <c r="B1726" s="1669" t="s">
        <v>256</v>
      </c>
      <c r="C1726" s="1237">
        <v>44814</v>
      </c>
      <c r="D1726" s="70"/>
      <c r="E1726" s="71"/>
      <c r="F1726" s="1552"/>
      <c r="G1726" s="1620"/>
      <c r="H1726" s="1239" t="str">
        <f>IFERROR(VLOOKUP(F1726,#REF!,10,FALSE),"")</f>
        <v/>
      </c>
      <c r="I1726" s="1240" t="str">
        <f t="shared" si="241"/>
        <v/>
      </c>
      <c r="J1726" s="265"/>
      <c r="K1726" s="1741"/>
      <c r="L1726" s="1581"/>
      <c r="M1726" s="265"/>
      <c r="N1726" s="77" t="str">
        <f t="shared" si="252"/>
        <v/>
      </c>
      <c r="O1726" s="1241"/>
      <c r="P1726" s="79" t="str">
        <f>IFERROR(VLOOKUP(F1726,#REF!,12,FALSE),"")</f>
        <v/>
      </c>
      <c r="Q1726" s="1242" t="s">
        <v>8</v>
      </c>
      <c r="R1726" s="1243" t="str">
        <f>IFERROR(VLOOKUP(F1726,#REF!,14,FALSE),"")</f>
        <v/>
      </c>
      <c r="S1726" s="1244" t="str">
        <f t="shared" si="253"/>
        <v/>
      </c>
      <c r="U1726" s="1728"/>
      <c r="V1726" s="70">
        <f t="shared" si="257"/>
        <v>0</v>
      </c>
      <c r="W1726" s="1767"/>
      <c r="X1726" s="70"/>
    </row>
    <row r="1727" spans="2:24" ht="16" thickBot="1" x14ac:dyDescent="0.25">
      <c r="B1727" s="1670" t="e">
        <f>AVERAGE(#REF!)</f>
        <v>#REF!</v>
      </c>
      <c r="C1727" s="544">
        <v>44815</v>
      </c>
      <c r="D1727" s="67"/>
      <c r="E1727" s="208"/>
      <c r="F1727" s="1553"/>
      <c r="G1727" s="1621"/>
      <c r="H1727" s="1231" t="str">
        <f>IFERROR(VLOOKUP(F1727,#REF!,10,FALSE),"")</f>
        <v/>
      </c>
      <c r="I1727" s="1232" t="str">
        <f t="shared" si="241"/>
        <v/>
      </c>
      <c r="J1727" s="256"/>
      <c r="K1727" s="1741"/>
      <c r="L1727" s="1580"/>
      <c r="M1727" s="1561"/>
      <c r="N1727" s="172" t="str">
        <f t="shared" si="252"/>
        <v/>
      </c>
      <c r="O1727" s="1233"/>
      <c r="P1727" s="447" t="str">
        <f>IFERROR(VLOOKUP(F1727,#REF!,12,FALSE),"")</f>
        <v/>
      </c>
      <c r="Q1727" s="1234" t="s">
        <v>8</v>
      </c>
      <c r="R1727" s="1235" t="str">
        <f>IFERROR(VLOOKUP(F1727,#REF!,14,FALSE),"")</f>
        <v/>
      </c>
      <c r="S1727" s="1236" t="str">
        <f t="shared" si="253"/>
        <v/>
      </c>
      <c r="U1727" s="1728"/>
      <c r="V1727" s="67">
        <f t="shared" si="257"/>
        <v>0</v>
      </c>
      <c r="W1727" s="1768"/>
      <c r="X1727" s="67"/>
    </row>
    <row r="1728" spans="2:24" ht="16" thickBot="1" x14ac:dyDescent="0.25">
      <c r="B1728" s="1661">
        <f t="shared" ref="B1728" si="259">B1721+1</f>
        <v>37</v>
      </c>
      <c r="C1728" s="1199">
        <v>44816</v>
      </c>
      <c r="D1728" s="1108">
        <v>127</v>
      </c>
      <c r="E1728" s="1109" t="s">
        <v>293</v>
      </c>
      <c r="F1728" s="1551" t="s">
        <v>308</v>
      </c>
      <c r="G1728" s="1200">
        <v>4.7199074074074067E-2</v>
      </c>
      <c r="H1728" s="1201">
        <v>12.4</v>
      </c>
      <c r="I1728" s="1202">
        <f t="shared" si="241"/>
        <v>3.8063769414575861E-3</v>
      </c>
      <c r="J1728" s="1203">
        <v>138</v>
      </c>
      <c r="K1728" s="1741"/>
      <c r="L1728" s="1577">
        <v>225</v>
      </c>
      <c r="M1728" s="1374">
        <v>47</v>
      </c>
      <c r="N1728" s="1111">
        <f t="shared" si="252"/>
        <v>1.1044174289841115</v>
      </c>
      <c r="O1728" s="1204" t="s">
        <v>329</v>
      </c>
      <c r="P1728" s="1113" t="str">
        <f>IFERROR(VLOOKUP(F1728,#REF!,12,FALSE),"")</f>
        <v/>
      </c>
      <c r="Q1728" s="1205" t="s">
        <v>8</v>
      </c>
      <c r="R1728" s="1206" t="str">
        <f>IFERROR(VLOOKUP(F1728,#REF!,14,FALSE),"")</f>
        <v/>
      </c>
      <c r="S1728" s="1207">
        <f t="shared" si="253"/>
        <v>1.6304347826086956</v>
      </c>
      <c r="U1728" s="1728"/>
      <c r="V1728" s="1108">
        <f t="shared" si="257"/>
        <v>0</v>
      </c>
      <c r="W1728" s="1766"/>
      <c r="X1728" s="1108"/>
    </row>
    <row r="1729" spans="2:24" x14ac:dyDescent="0.2">
      <c r="B1729" s="1666" t="s">
        <v>142</v>
      </c>
      <c r="C1729" s="1208">
        <v>44817</v>
      </c>
      <c r="D1729" s="864"/>
      <c r="E1729" s="865"/>
      <c r="F1729" s="1552"/>
      <c r="G1729" s="1209"/>
      <c r="H1729" s="1210" t="str">
        <f>IFERROR(VLOOKUP(F1729,#REF!,10,FALSE),"")</f>
        <v/>
      </c>
      <c r="I1729" s="1211" t="str">
        <f t="shared" si="241"/>
        <v/>
      </c>
      <c r="J1729" s="1212"/>
      <c r="K1729" s="1741"/>
      <c r="L1729" s="1578"/>
      <c r="M1729" s="1602"/>
      <c r="N1729" s="1171" t="str">
        <f t="shared" si="252"/>
        <v/>
      </c>
      <c r="O1729" s="1213"/>
      <c r="P1729" s="1173" t="str">
        <f>IFERROR(VLOOKUP(F1729,#REF!,12,FALSE),"")</f>
        <v/>
      </c>
      <c r="Q1729" s="1229" t="s">
        <v>8</v>
      </c>
      <c r="R1729" s="1324" t="str">
        <f>IFERROR(VLOOKUP(F1729,#REF!,14,FALSE),"")</f>
        <v/>
      </c>
      <c r="S1729" s="1217" t="str">
        <f t="shared" si="253"/>
        <v/>
      </c>
      <c r="U1729" s="1728"/>
      <c r="V1729" s="864">
        <f t="shared" si="257"/>
        <v>0</v>
      </c>
      <c r="W1729" s="1767"/>
      <c r="X1729" s="864"/>
    </row>
    <row r="1730" spans="2:24" ht="16" thickBot="1" x14ac:dyDescent="0.25">
      <c r="B1730" s="1654">
        <f t="shared" ref="B1730" si="260">SUM(H1728:H1734)</f>
        <v>29.15</v>
      </c>
      <c r="C1730" s="1208">
        <v>44818</v>
      </c>
      <c r="D1730" s="864">
        <v>128</v>
      </c>
      <c r="E1730" s="865" t="s">
        <v>293</v>
      </c>
      <c r="F1730" s="1552" t="s">
        <v>322</v>
      </c>
      <c r="G1730" s="1209">
        <v>2.8877314814814817E-2</v>
      </c>
      <c r="H1730" s="1210">
        <v>7.44</v>
      </c>
      <c r="I1730" s="1211">
        <f t="shared" si="241"/>
        <v>3.8813595181202711E-3</v>
      </c>
      <c r="J1730" s="1212">
        <v>141</v>
      </c>
      <c r="K1730" s="1741"/>
      <c r="L1730" s="1578">
        <v>221</v>
      </c>
      <c r="M1730" s="1602">
        <v>23</v>
      </c>
      <c r="N1730" s="1171">
        <f t="shared" si="252"/>
        <v>1.1061527042208315</v>
      </c>
      <c r="O1730" s="1213" t="s">
        <v>328</v>
      </c>
      <c r="P1730" s="1173" t="str">
        <f>IFERROR(VLOOKUP(F1730,#REF!,12,FALSE),"")</f>
        <v/>
      </c>
      <c r="Q1730" s="1229" t="s">
        <v>8</v>
      </c>
      <c r="R1730" s="1324" t="str">
        <f>IFERROR(VLOOKUP(F1730,#REF!,14,FALSE),"")</f>
        <v/>
      </c>
      <c r="S1730" s="1217">
        <f t="shared" si="253"/>
        <v>1.5673758865248226</v>
      </c>
      <c r="U1730" s="1728"/>
      <c r="V1730" s="864">
        <f t="shared" si="257"/>
        <v>0</v>
      </c>
      <c r="W1730" s="1767"/>
      <c r="X1730" s="864"/>
    </row>
    <row r="1731" spans="2:24" x14ac:dyDescent="0.2">
      <c r="B1731" s="1667" t="s">
        <v>144</v>
      </c>
      <c r="C1731" s="1208">
        <v>44819</v>
      </c>
      <c r="D1731" s="864"/>
      <c r="E1731" s="865"/>
      <c r="F1731" s="1552"/>
      <c r="G1731" s="1209"/>
      <c r="H1731" s="1210" t="str">
        <f>IFERROR(VLOOKUP(F1731,#REF!,10,FALSE),"")</f>
        <v/>
      </c>
      <c r="I1731" s="1211" t="str">
        <f t="shared" si="241"/>
        <v/>
      </c>
      <c r="J1731" s="1212"/>
      <c r="K1731" s="1741"/>
      <c r="L1731" s="1578"/>
      <c r="M1731" s="1602"/>
      <c r="N1731" s="1171" t="str">
        <f t="shared" si="252"/>
        <v/>
      </c>
      <c r="O1731" s="1213"/>
      <c r="P1731" s="1173" t="str">
        <f>IFERROR(VLOOKUP(F1731,#REF!,12,FALSE),"")</f>
        <v/>
      </c>
      <c r="Q1731" s="1229" t="s">
        <v>8</v>
      </c>
      <c r="R1731" s="1324" t="str">
        <f>IFERROR(VLOOKUP(F1731,#REF!,14,FALSE),"")</f>
        <v/>
      </c>
      <c r="S1731" s="1217" t="str">
        <f t="shared" si="253"/>
        <v/>
      </c>
      <c r="U1731" s="1728"/>
      <c r="V1731" s="864">
        <f t="shared" si="257"/>
        <v>0</v>
      </c>
      <c r="W1731" s="1767"/>
      <c r="X1731" s="864"/>
    </row>
    <row r="1732" spans="2:24" ht="16" thickBot="1" x14ac:dyDescent="0.25">
      <c r="B1732" s="1668" t="e">
        <f>SUM(#REF!)</f>
        <v>#REF!</v>
      </c>
      <c r="C1732" s="1347">
        <v>44820</v>
      </c>
      <c r="D1732" s="1348"/>
      <c r="E1732" s="1349"/>
      <c r="F1732" s="1552"/>
      <c r="G1732" s="1350"/>
      <c r="H1732" s="1351" t="str">
        <f>IFERROR(VLOOKUP(F1732,#REF!,10,FALSE),"")</f>
        <v/>
      </c>
      <c r="I1732" s="1352" t="str">
        <f t="shared" si="241"/>
        <v/>
      </c>
      <c r="J1732" s="1353"/>
      <c r="K1732" s="1741"/>
      <c r="L1732" s="1578"/>
      <c r="M1732" s="1602"/>
      <c r="N1732" s="1354" t="str">
        <f t="shared" si="252"/>
        <v/>
      </c>
      <c r="O1732" s="1355"/>
      <c r="P1732" s="1356" t="str">
        <f>IFERROR(VLOOKUP(F1732,#REF!,12,FALSE),"")</f>
        <v/>
      </c>
      <c r="Q1732" s="1357" t="s">
        <v>8</v>
      </c>
      <c r="R1732" s="1358" t="str">
        <f>IFERROR(VLOOKUP(F1732,#REF!,14,FALSE),"")</f>
        <v/>
      </c>
      <c r="S1732" s="1359" t="str">
        <f t="shared" si="253"/>
        <v/>
      </c>
      <c r="U1732" s="1728"/>
      <c r="V1732" s="1348">
        <f t="shared" si="257"/>
        <v>0</v>
      </c>
      <c r="W1732" s="1767"/>
      <c r="X1732" s="1348"/>
    </row>
    <row r="1733" spans="2:24" x14ac:dyDescent="0.2">
      <c r="B1733" s="1669" t="s">
        <v>256</v>
      </c>
      <c r="C1733" s="1237">
        <v>44821</v>
      </c>
      <c r="D1733" s="70">
        <v>129</v>
      </c>
      <c r="E1733" s="71" t="s">
        <v>293</v>
      </c>
      <c r="F1733" s="1552" t="s">
        <v>321</v>
      </c>
      <c r="G1733" s="1238">
        <v>3.2395833333333332E-2</v>
      </c>
      <c r="H1733" s="1239">
        <v>9.31</v>
      </c>
      <c r="I1733" s="1240">
        <f t="shared" si="241"/>
        <v>3.4796813462226995E-3</v>
      </c>
      <c r="J1733" s="265">
        <v>151</v>
      </c>
      <c r="K1733" s="1741"/>
      <c r="L1733" s="1581">
        <v>246</v>
      </c>
      <c r="M1733" s="265">
        <v>39</v>
      </c>
      <c r="N1733" s="77">
        <f t="shared" si="252"/>
        <v>1.1038587941068021</v>
      </c>
      <c r="O1733" s="1241" t="s">
        <v>329</v>
      </c>
      <c r="P1733" s="79" t="str">
        <f>IFERROR(VLOOKUP(F1733,#REF!,12,FALSE),"")</f>
        <v/>
      </c>
      <c r="Q1733" s="1242" t="s">
        <v>8</v>
      </c>
      <c r="R1733" s="1243" t="str">
        <f>IFERROR(VLOOKUP(F1733,#REF!,14,FALSE),"")</f>
        <v/>
      </c>
      <c r="S1733" s="1244">
        <f t="shared" si="253"/>
        <v>1.6291390728476822</v>
      </c>
      <c r="U1733" s="1728"/>
      <c r="V1733" s="70">
        <f t="shared" si="257"/>
        <v>0</v>
      </c>
      <c r="W1733" s="1767"/>
      <c r="X1733" s="70"/>
    </row>
    <row r="1734" spans="2:24" ht="16" thickBot="1" x14ac:dyDescent="0.25">
      <c r="B1734" s="1670" t="e">
        <f>AVERAGE(#REF!)</f>
        <v>#REF!</v>
      </c>
      <c r="C1734" s="544">
        <v>44822</v>
      </c>
      <c r="D1734" s="67"/>
      <c r="E1734" s="208"/>
      <c r="F1734" s="1553"/>
      <c r="G1734" s="1230"/>
      <c r="H1734" s="1231" t="str">
        <f>IFERROR(VLOOKUP(F1734,#REF!,10,FALSE),"")</f>
        <v/>
      </c>
      <c r="I1734" s="1232" t="str">
        <f t="shared" si="241"/>
        <v/>
      </c>
      <c r="J1734" s="256"/>
      <c r="K1734" s="1741"/>
      <c r="L1734" s="1580"/>
      <c r="M1734" s="1561"/>
      <c r="N1734" s="172" t="str">
        <f t="shared" si="252"/>
        <v/>
      </c>
      <c r="O1734" s="1233"/>
      <c r="P1734" s="447" t="str">
        <f>IFERROR(VLOOKUP(F1734,#REF!,12,FALSE),"")</f>
        <v/>
      </c>
      <c r="Q1734" s="1234" t="s">
        <v>8</v>
      </c>
      <c r="R1734" s="1235" t="str">
        <f>IFERROR(VLOOKUP(F1734,#REF!,14,FALSE),"")</f>
        <v/>
      </c>
      <c r="S1734" s="1236" t="str">
        <f t="shared" si="253"/>
        <v/>
      </c>
      <c r="U1734" s="1728"/>
      <c r="V1734" s="67">
        <f t="shared" si="257"/>
        <v>0</v>
      </c>
      <c r="W1734" s="1768"/>
      <c r="X1734" s="67"/>
    </row>
    <row r="1735" spans="2:24" ht="16" thickBot="1" x14ac:dyDescent="0.25">
      <c r="B1735" s="1661">
        <f t="shared" ref="B1735" si="261">B1728+1</f>
        <v>38</v>
      </c>
      <c r="C1735" s="1199">
        <v>44823</v>
      </c>
      <c r="D1735" s="1108"/>
      <c r="E1735" s="1109"/>
      <c r="F1735" s="1551"/>
      <c r="G1735" s="1200"/>
      <c r="H1735" s="1201" t="str">
        <f>IFERROR(VLOOKUP(F1735,#REF!,10,FALSE),"")</f>
        <v/>
      </c>
      <c r="I1735" s="1202" t="str">
        <f t="shared" si="241"/>
        <v/>
      </c>
      <c r="J1735" s="1203"/>
      <c r="K1735" s="1741"/>
      <c r="L1735" s="1577"/>
      <c r="M1735" s="1374"/>
      <c r="N1735" s="1111" t="str">
        <f t="shared" si="252"/>
        <v/>
      </c>
      <c r="O1735" s="1204"/>
      <c r="P1735" s="1113" t="str">
        <f>IFERROR(VLOOKUP(F1735,#REF!,12,FALSE),"")</f>
        <v/>
      </c>
      <c r="Q1735" s="1205" t="s">
        <v>8</v>
      </c>
      <c r="R1735" s="1206" t="str">
        <f>IFERROR(VLOOKUP(F1735,#REF!,14,FALSE),"")</f>
        <v/>
      </c>
      <c r="S1735" s="1207" t="str">
        <f t="shared" si="253"/>
        <v/>
      </c>
      <c r="U1735" s="1728"/>
      <c r="V1735" s="1108">
        <f t="shared" si="257"/>
        <v>0</v>
      </c>
      <c r="W1735" s="1766"/>
      <c r="X1735" s="1108"/>
    </row>
    <row r="1736" spans="2:24" x14ac:dyDescent="0.2">
      <c r="B1736" s="1666" t="s">
        <v>142</v>
      </c>
      <c r="C1736" s="1208">
        <v>44824</v>
      </c>
      <c r="D1736" s="864"/>
      <c r="E1736" s="865"/>
      <c r="F1736" s="1552"/>
      <c r="G1736" s="1209"/>
      <c r="H1736" s="1210" t="str">
        <f>IFERROR(VLOOKUP(F1736,#REF!,10,FALSE),"")</f>
        <v/>
      </c>
      <c r="I1736" s="1211" t="str">
        <f t="shared" si="241"/>
        <v/>
      </c>
      <c r="J1736" s="1212"/>
      <c r="K1736" s="1741"/>
      <c r="L1736" s="1578"/>
      <c r="M1736" s="1602"/>
      <c r="N1736" s="1171" t="str">
        <f t="shared" si="252"/>
        <v/>
      </c>
      <c r="O1736" s="1213"/>
      <c r="P1736" s="1173" t="str">
        <f>IFERROR(VLOOKUP(F1736,#REF!,12,FALSE),"")</f>
        <v/>
      </c>
      <c r="Q1736" s="1229" t="s">
        <v>8</v>
      </c>
      <c r="R1736" s="1324" t="str">
        <f>IFERROR(VLOOKUP(F1736,#REF!,14,FALSE),"")</f>
        <v/>
      </c>
      <c r="S1736" s="1217" t="str">
        <f t="shared" si="253"/>
        <v/>
      </c>
      <c r="U1736" s="1728"/>
      <c r="V1736" s="864">
        <f t="shared" si="257"/>
        <v>0</v>
      </c>
      <c r="W1736" s="1767"/>
      <c r="X1736" s="864"/>
    </row>
    <row r="1737" spans="2:24" ht="16" thickBot="1" x14ac:dyDescent="0.25">
      <c r="B1737" s="1654">
        <f t="shared" ref="B1737" si="262">SUM(H1735:H1741)</f>
        <v>10.6</v>
      </c>
      <c r="C1737" s="1208">
        <v>44825</v>
      </c>
      <c r="D1737" s="864"/>
      <c r="E1737" s="865"/>
      <c r="F1737" s="1552"/>
      <c r="G1737" s="1209"/>
      <c r="H1737" s="1210" t="str">
        <f>IFERROR(VLOOKUP(F1737,#REF!,10,FALSE),"")</f>
        <v/>
      </c>
      <c r="I1737" s="1211" t="str">
        <f t="shared" si="241"/>
        <v/>
      </c>
      <c r="J1737" s="1212"/>
      <c r="K1737" s="1741"/>
      <c r="L1737" s="1578"/>
      <c r="M1737" s="1602"/>
      <c r="N1737" s="1171" t="str">
        <f t="shared" si="252"/>
        <v/>
      </c>
      <c r="O1737" s="1213"/>
      <c r="P1737" s="1173" t="str">
        <f>IFERROR(VLOOKUP(F1737,#REF!,12,FALSE),"")</f>
        <v/>
      </c>
      <c r="Q1737" s="1229" t="s">
        <v>8</v>
      </c>
      <c r="R1737" s="1324" t="str">
        <f>IFERROR(VLOOKUP(F1737,#REF!,14,FALSE),"")</f>
        <v/>
      </c>
      <c r="S1737" s="1217" t="str">
        <f t="shared" si="253"/>
        <v/>
      </c>
      <c r="U1737" s="1728"/>
      <c r="V1737" s="864">
        <f t="shared" si="257"/>
        <v>0</v>
      </c>
      <c r="W1737" s="1767"/>
      <c r="X1737" s="864"/>
    </row>
    <row r="1738" spans="2:24" x14ac:dyDescent="0.2">
      <c r="B1738" s="1667" t="s">
        <v>144</v>
      </c>
      <c r="C1738" s="1208">
        <v>44826</v>
      </c>
      <c r="D1738" s="864"/>
      <c r="E1738" s="865"/>
      <c r="F1738" s="1552"/>
      <c r="G1738" s="1209"/>
      <c r="H1738" s="1210" t="str">
        <f>IFERROR(VLOOKUP(F1738,#REF!,10,FALSE),"")</f>
        <v/>
      </c>
      <c r="I1738" s="1211" t="str">
        <f t="shared" si="241"/>
        <v/>
      </c>
      <c r="J1738" s="1212"/>
      <c r="K1738" s="1741"/>
      <c r="L1738" s="1578"/>
      <c r="M1738" s="1602"/>
      <c r="N1738" s="1171" t="str">
        <f t="shared" si="252"/>
        <v/>
      </c>
      <c r="O1738" s="1213"/>
      <c r="P1738" s="1173" t="str">
        <f>IFERROR(VLOOKUP(F1738,#REF!,12,FALSE),"")</f>
        <v/>
      </c>
      <c r="Q1738" s="1229" t="s">
        <v>8</v>
      </c>
      <c r="R1738" s="1324" t="str">
        <f>IFERROR(VLOOKUP(F1738,#REF!,14,FALSE),"")</f>
        <v/>
      </c>
      <c r="S1738" s="1217" t="str">
        <f t="shared" si="253"/>
        <v/>
      </c>
      <c r="U1738" s="1728"/>
      <c r="V1738" s="864">
        <f t="shared" si="257"/>
        <v>0</v>
      </c>
      <c r="W1738" s="1767"/>
      <c r="X1738" s="864"/>
    </row>
    <row r="1739" spans="2:24" ht="16" thickBot="1" x14ac:dyDescent="0.25">
      <c r="B1739" s="1668" t="e">
        <f>SUM(#REF!)</f>
        <v>#REF!</v>
      </c>
      <c r="C1739" s="1347">
        <v>44827</v>
      </c>
      <c r="D1739" s="1348"/>
      <c r="E1739" s="1349"/>
      <c r="F1739" s="1552"/>
      <c r="G1739" s="1350"/>
      <c r="H1739" s="1351" t="str">
        <f>IFERROR(VLOOKUP(F1739,#REF!,10,FALSE),"")</f>
        <v/>
      </c>
      <c r="I1739" s="1352" t="str">
        <f t="shared" si="241"/>
        <v/>
      </c>
      <c r="J1739" s="1353"/>
      <c r="K1739" s="1741"/>
      <c r="L1739" s="1578"/>
      <c r="M1739" s="1602"/>
      <c r="N1739" s="1354" t="str">
        <f t="shared" si="252"/>
        <v/>
      </c>
      <c r="O1739" s="1355"/>
      <c r="P1739" s="1356" t="str">
        <f>IFERROR(VLOOKUP(F1739,#REF!,12,FALSE),"")</f>
        <v/>
      </c>
      <c r="Q1739" s="1357" t="s">
        <v>8</v>
      </c>
      <c r="R1739" s="1358" t="str">
        <f>IFERROR(VLOOKUP(F1739,#REF!,14,FALSE),"")</f>
        <v/>
      </c>
      <c r="S1739" s="1359" t="str">
        <f t="shared" si="253"/>
        <v/>
      </c>
      <c r="U1739" s="1728"/>
      <c r="V1739" s="1348">
        <f t="shared" si="257"/>
        <v>0</v>
      </c>
      <c r="W1739" s="1767"/>
      <c r="X1739" s="1348"/>
    </row>
    <row r="1740" spans="2:24" x14ac:dyDescent="0.2">
      <c r="B1740" s="1669" t="s">
        <v>256</v>
      </c>
      <c r="C1740" s="1237">
        <v>44828</v>
      </c>
      <c r="D1740" s="70"/>
      <c r="E1740" s="71"/>
      <c r="F1740" s="1552"/>
      <c r="G1740" s="1238"/>
      <c r="H1740" s="1351" t="str">
        <f>IFERROR(VLOOKUP(F1740,#REF!,10,FALSE),"")</f>
        <v/>
      </c>
      <c r="I1740" s="1352" t="str">
        <f t="shared" ref="I1740" si="263">IFERROR(G1740/H1740,"")</f>
        <v/>
      </c>
      <c r="J1740" s="1353"/>
      <c r="K1740" s="1741"/>
      <c r="L1740" s="1581"/>
      <c r="M1740" s="265"/>
      <c r="N1740" s="77" t="str">
        <f t="shared" si="252"/>
        <v/>
      </c>
      <c r="O1740" s="1241"/>
      <c r="P1740" s="79" t="str">
        <f>IFERROR(VLOOKUP(F1740,#REF!,12,FALSE),"")</f>
        <v/>
      </c>
      <c r="Q1740" s="1242" t="s">
        <v>8</v>
      </c>
      <c r="R1740" s="1243" t="str">
        <f>IFERROR(VLOOKUP(F1740,#REF!,14,FALSE),"")</f>
        <v/>
      </c>
      <c r="S1740" s="1244" t="str">
        <f t="shared" si="253"/>
        <v/>
      </c>
      <c r="U1740" s="1728"/>
      <c r="V1740" s="70">
        <f t="shared" si="257"/>
        <v>0</v>
      </c>
      <c r="W1740" s="1767"/>
      <c r="X1740" s="70"/>
    </row>
    <row r="1741" spans="2:24" ht="16" thickBot="1" x14ac:dyDescent="0.25">
      <c r="B1741" s="1670" t="e">
        <f>AVERAGE(#REF!)</f>
        <v>#REF!</v>
      </c>
      <c r="C1741" s="544">
        <v>44829</v>
      </c>
      <c r="D1741" s="67">
        <v>130</v>
      </c>
      <c r="E1741" s="208" t="s">
        <v>292</v>
      </c>
      <c r="F1741" s="1553" t="s">
        <v>279</v>
      </c>
      <c r="G1741" s="1230">
        <v>4.387731481481482E-2</v>
      </c>
      <c r="H1741" s="1231">
        <v>10.6</v>
      </c>
      <c r="I1741" s="1232">
        <f t="shared" si="241"/>
        <v>4.1393693221523416E-3</v>
      </c>
      <c r="J1741" s="256">
        <v>134</v>
      </c>
      <c r="K1741" s="1741"/>
      <c r="L1741" s="1580">
        <v>201</v>
      </c>
      <c r="M1741" s="1561">
        <v>32</v>
      </c>
      <c r="N1741" s="172">
        <f t="shared" si="252"/>
        <v>1.0729245283018871</v>
      </c>
      <c r="O1741" s="1233" t="s">
        <v>329</v>
      </c>
      <c r="P1741" s="447" t="str">
        <f>IFERROR(VLOOKUP(F1741,#REF!,12,FALSE),"")</f>
        <v/>
      </c>
      <c r="Q1741" s="1234" t="s">
        <v>8</v>
      </c>
      <c r="R1741" s="1235" t="str">
        <f>IFERROR(VLOOKUP(F1741,#REF!,14,FALSE),"")</f>
        <v/>
      </c>
      <c r="S1741" s="1236">
        <f t="shared" si="253"/>
        <v>1.5</v>
      </c>
      <c r="U1741" s="1728"/>
      <c r="V1741" s="67">
        <f t="shared" si="257"/>
        <v>0</v>
      </c>
      <c r="W1741" s="1768"/>
      <c r="X1741" s="67"/>
    </row>
    <row r="1742" spans="2:24" ht="16" thickBot="1" x14ac:dyDescent="0.25">
      <c r="B1742" s="1661">
        <f t="shared" ref="B1742" si="264">B1735+1</f>
        <v>39</v>
      </c>
      <c r="C1742" s="1199">
        <v>44830</v>
      </c>
      <c r="D1742" s="1108"/>
      <c r="E1742" s="1109"/>
      <c r="F1742" s="1551"/>
      <c r="G1742" s="1200"/>
      <c r="H1742" s="1201" t="str">
        <f>IFERROR(VLOOKUP(F1742,#REF!,10,FALSE),"")</f>
        <v/>
      </c>
      <c r="I1742" s="1202" t="str">
        <f t="shared" si="241"/>
        <v/>
      </c>
      <c r="J1742" s="1203"/>
      <c r="K1742" s="1741"/>
      <c r="L1742" s="1577"/>
      <c r="M1742" s="1374"/>
      <c r="N1742" s="1111" t="str">
        <f t="shared" si="252"/>
        <v/>
      </c>
      <c r="O1742" s="1204"/>
      <c r="P1742" s="1113" t="str">
        <f>IFERROR(VLOOKUP(F1742,#REF!,12,FALSE),"")</f>
        <v/>
      </c>
      <c r="Q1742" s="1205" t="s">
        <v>8</v>
      </c>
      <c r="R1742" s="1206" t="str">
        <f>IFERROR(VLOOKUP(F1742,#REF!,14,FALSE),"")</f>
        <v/>
      </c>
      <c r="S1742" s="1207" t="str">
        <f t="shared" si="253"/>
        <v/>
      </c>
      <c r="U1742" s="1728"/>
      <c r="V1742" s="1108">
        <f t="shared" si="257"/>
        <v>0</v>
      </c>
      <c r="W1742" s="1766"/>
      <c r="X1742" s="1108"/>
    </row>
    <row r="1743" spans="2:24" x14ac:dyDescent="0.2">
      <c r="B1743" s="1666" t="s">
        <v>142</v>
      </c>
      <c r="C1743" s="1208">
        <v>44831</v>
      </c>
      <c r="D1743" s="864">
        <v>131</v>
      </c>
      <c r="E1743" s="865" t="s">
        <v>293</v>
      </c>
      <c r="F1743" s="1552" t="s">
        <v>322</v>
      </c>
      <c r="G1743" s="1209">
        <v>2.3495370370370371E-2</v>
      </c>
      <c r="H1743" s="1210">
        <v>6.26</v>
      </c>
      <c r="I1743" s="1211">
        <f t="shared" si="241"/>
        <v>3.7532540527748198E-3</v>
      </c>
      <c r="J1743" s="1212">
        <v>140</v>
      </c>
      <c r="K1743" s="1741"/>
      <c r="L1743" s="1578">
        <v>226</v>
      </c>
      <c r="M1743" s="1602">
        <v>19</v>
      </c>
      <c r="N1743" s="1171">
        <f t="shared" si="252"/>
        <v>1.0938438796433172</v>
      </c>
      <c r="O1743" s="1213" t="s">
        <v>329</v>
      </c>
      <c r="P1743" s="1173" t="str">
        <f>IFERROR(VLOOKUP(F1743,#REF!,12,FALSE),"")</f>
        <v/>
      </c>
      <c r="Q1743" s="1229" t="s">
        <v>8</v>
      </c>
      <c r="R1743" s="1324" t="str">
        <f>IFERROR(VLOOKUP(F1743,#REF!,14,FALSE),"")</f>
        <v/>
      </c>
      <c r="S1743" s="1217">
        <f t="shared" si="253"/>
        <v>1.6142857142857143</v>
      </c>
      <c r="U1743" s="1728"/>
      <c r="V1743" s="864">
        <f t="shared" si="257"/>
        <v>0</v>
      </c>
      <c r="W1743" s="1767"/>
      <c r="X1743" s="864"/>
    </row>
    <row r="1744" spans="2:24" ht="16" thickBot="1" x14ac:dyDescent="0.25">
      <c r="B1744" s="1654">
        <f t="shared" ref="B1744" si="265">SUM(H1742:H1748)</f>
        <v>20.560000000000002</v>
      </c>
      <c r="C1744" s="1208">
        <v>44832</v>
      </c>
      <c r="D1744" s="864"/>
      <c r="E1744" s="865"/>
      <c r="F1744" s="1552"/>
      <c r="G1744" s="1209"/>
      <c r="H1744" s="1210" t="str">
        <f>IFERROR(VLOOKUP(F1744,#REF!,10,FALSE),"")</f>
        <v/>
      </c>
      <c r="I1744" s="1211" t="str">
        <f t="shared" si="241"/>
        <v/>
      </c>
      <c r="J1744" s="1212"/>
      <c r="K1744" s="1741"/>
      <c r="L1744" s="1578"/>
      <c r="M1744" s="1602"/>
      <c r="N1744" s="1171" t="str">
        <f t="shared" si="252"/>
        <v/>
      </c>
      <c r="O1744" s="1213"/>
      <c r="P1744" s="1173" t="str">
        <f>IFERROR(VLOOKUP(F1744,#REF!,12,FALSE),"")</f>
        <v/>
      </c>
      <c r="Q1744" s="1229" t="s">
        <v>8</v>
      </c>
      <c r="R1744" s="1324" t="str">
        <f>IFERROR(VLOOKUP(F1744,#REF!,14,FALSE),"")</f>
        <v/>
      </c>
      <c r="S1744" s="1217" t="str">
        <f t="shared" si="253"/>
        <v/>
      </c>
      <c r="U1744" s="1728"/>
      <c r="V1744" s="864">
        <f t="shared" si="257"/>
        <v>0</v>
      </c>
      <c r="W1744" s="1767"/>
      <c r="X1744" s="864"/>
    </row>
    <row r="1745" spans="2:24" x14ac:dyDescent="0.2">
      <c r="B1745" s="1667" t="s">
        <v>144</v>
      </c>
      <c r="C1745" s="1208">
        <v>44833</v>
      </c>
      <c r="D1745" s="864"/>
      <c r="E1745" s="865"/>
      <c r="F1745" s="1552"/>
      <c r="G1745" s="1209"/>
      <c r="H1745" s="1210" t="str">
        <f>IFERROR(VLOOKUP(F1745,#REF!,10,FALSE),"")</f>
        <v/>
      </c>
      <c r="I1745" s="1211" t="str">
        <f t="shared" si="241"/>
        <v/>
      </c>
      <c r="J1745" s="1212"/>
      <c r="K1745" s="1741"/>
      <c r="L1745" s="1578"/>
      <c r="M1745" s="1602"/>
      <c r="N1745" s="1171" t="str">
        <f t="shared" si="252"/>
        <v/>
      </c>
      <c r="O1745" s="1213"/>
      <c r="P1745" s="1173" t="str">
        <f>IFERROR(VLOOKUP(F1745,#REF!,12,FALSE),"")</f>
        <v/>
      </c>
      <c r="Q1745" s="1229" t="s">
        <v>8</v>
      </c>
      <c r="R1745" s="1324" t="str">
        <f>IFERROR(VLOOKUP(F1745,#REF!,14,FALSE),"")</f>
        <v/>
      </c>
      <c r="S1745" s="1217" t="str">
        <f t="shared" si="253"/>
        <v/>
      </c>
      <c r="U1745" s="1728"/>
      <c r="V1745" s="864">
        <f t="shared" si="257"/>
        <v>0</v>
      </c>
      <c r="W1745" s="1767"/>
      <c r="X1745" s="864"/>
    </row>
    <row r="1746" spans="2:24" ht="16" thickBot="1" x14ac:dyDescent="0.25">
      <c r="B1746" s="1668" t="e">
        <f>SUM(#REF!)</f>
        <v>#REF!</v>
      </c>
      <c r="C1746" s="1347">
        <v>44834</v>
      </c>
      <c r="D1746" s="1348"/>
      <c r="E1746" s="1349"/>
      <c r="F1746" s="1552"/>
      <c r="G1746" s="1350"/>
      <c r="H1746" s="1351" t="str">
        <f>IFERROR(VLOOKUP(F1746,#REF!,10,FALSE),"")</f>
        <v/>
      </c>
      <c r="I1746" s="1352" t="str">
        <f t="shared" ref="I1746:I1809" si="266">IFERROR(G1746/H1746,"")</f>
        <v/>
      </c>
      <c r="J1746" s="1353"/>
      <c r="K1746" s="1741"/>
      <c r="L1746" s="1578"/>
      <c r="M1746" s="1602"/>
      <c r="N1746" s="1354" t="str">
        <f t="shared" si="252"/>
        <v/>
      </c>
      <c r="O1746" s="1355"/>
      <c r="P1746" s="1356" t="str">
        <f>IFERROR(VLOOKUP(F1746,#REF!,12,FALSE),"")</f>
        <v/>
      </c>
      <c r="Q1746" s="1357" t="s">
        <v>8</v>
      </c>
      <c r="R1746" s="1358" t="str">
        <f>IFERROR(VLOOKUP(F1746,#REF!,14,FALSE),"")</f>
        <v/>
      </c>
      <c r="S1746" s="1359" t="str">
        <f t="shared" si="253"/>
        <v/>
      </c>
      <c r="U1746" s="1728"/>
      <c r="V1746" s="1348">
        <f t="shared" si="257"/>
        <v>0</v>
      </c>
      <c r="W1746" s="1767"/>
      <c r="X1746" s="1348"/>
    </row>
    <row r="1747" spans="2:24" x14ac:dyDescent="0.2">
      <c r="B1747" s="1669" t="s">
        <v>256</v>
      </c>
      <c r="C1747" s="1237">
        <v>44835</v>
      </c>
      <c r="D1747" s="70">
        <v>132</v>
      </c>
      <c r="E1747" s="71" t="s">
        <v>293</v>
      </c>
      <c r="F1747" s="1638" t="s">
        <v>309</v>
      </c>
      <c r="G1747" s="1238">
        <v>5.6643518518518517E-2</v>
      </c>
      <c r="H1747" s="1239">
        <v>14.3</v>
      </c>
      <c r="I1747" s="1240">
        <f t="shared" si="266"/>
        <v>3.9610852110852105E-3</v>
      </c>
      <c r="J1747" s="265">
        <v>138</v>
      </c>
      <c r="K1747" s="1741"/>
      <c r="L1747" s="1581">
        <v>211</v>
      </c>
      <c r="M1747" s="265">
        <v>55</v>
      </c>
      <c r="N1747" s="77">
        <f t="shared" si="252"/>
        <v>1.077793549733848</v>
      </c>
      <c r="O1747" s="1241" t="s">
        <v>327</v>
      </c>
      <c r="P1747" s="79" t="str">
        <f>IFERROR(VLOOKUP(F1747,#REF!,12,FALSE),"")</f>
        <v/>
      </c>
      <c r="Q1747" s="1242" t="s">
        <v>8</v>
      </c>
      <c r="R1747" s="1243" t="str">
        <f>IFERROR(VLOOKUP(F1747,#REF!,14,FALSE),"")</f>
        <v/>
      </c>
      <c r="S1747" s="1244">
        <f t="shared" si="253"/>
        <v>1.5289855072463767</v>
      </c>
      <c r="U1747" s="1728"/>
      <c r="V1747" s="70">
        <f t="shared" si="257"/>
        <v>0</v>
      </c>
      <c r="W1747" s="1767"/>
      <c r="X1747" s="70"/>
    </row>
    <row r="1748" spans="2:24" ht="16" thickBot="1" x14ac:dyDescent="0.25">
      <c r="B1748" s="1670" t="e">
        <f>AVERAGE(#REF!)</f>
        <v>#REF!</v>
      </c>
      <c r="C1748" s="544">
        <v>44836</v>
      </c>
      <c r="D1748" s="67"/>
      <c r="E1748" s="208"/>
      <c r="F1748" s="1553"/>
      <c r="G1748" s="1230"/>
      <c r="H1748" s="1231" t="str">
        <f>IFERROR(VLOOKUP(F1748,#REF!,10,FALSE),"")</f>
        <v/>
      </c>
      <c r="I1748" s="1232" t="str">
        <f t="shared" si="266"/>
        <v/>
      </c>
      <c r="J1748" s="256"/>
      <c r="K1748" s="1741"/>
      <c r="L1748" s="1580"/>
      <c r="M1748" s="1561"/>
      <c r="N1748" s="172" t="str">
        <f t="shared" si="252"/>
        <v/>
      </c>
      <c r="O1748" s="1233"/>
      <c r="P1748" s="447" t="str">
        <f>IFERROR(VLOOKUP(F1748,#REF!,12,FALSE),"")</f>
        <v/>
      </c>
      <c r="Q1748" s="1234" t="s">
        <v>8</v>
      </c>
      <c r="R1748" s="1235" t="str">
        <f>IFERROR(VLOOKUP(F1748,#REF!,14,FALSE),"")</f>
        <v/>
      </c>
      <c r="S1748" s="1236" t="str">
        <f t="shared" si="253"/>
        <v/>
      </c>
      <c r="U1748" s="1728"/>
      <c r="V1748" s="67">
        <f t="shared" si="257"/>
        <v>0</v>
      </c>
      <c r="W1748" s="1768"/>
      <c r="X1748" s="67"/>
    </row>
    <row r="1749" spans="2:24" ht="16" thickBot="1" x14ac:dyDescent="0.25">
      <c r="B1749" s="1661">
        <f t="shared" ref="B1749" si="267">B1742+1</f>
        <v>40</v>
      </c>
      <c r="C1749" s="1199">
        <v>44837</v>
      </c>
      <c r="D1749" s="1108"/>
      <c r="E1749" s="1109"/>
      <c r="F1749" s="1551"/>
      <c r="G1749" s="1200"/>
      <c r="H1749" s="1201" t="str">
        <f>IFERROR(VLOOKUP(F1749,#REF!,10,FALSE),"")</f>
        <v/>
      </c>
      <c r="I1749" s="1202" t="str">
        <f t="shared" si="266"/>
        <v/>
      </c>
      <c r="J1749" s="1203"/>
      <c r="K1749" s="1741"/>
      <c r="L1749" s="1577"/>
      <c r="M1749" s="1374"/>
      <c r="N1749" s="1111" t="str">
        <f t="shared" si="252"/>
        <v/>
      </c>
      <c r="O1749" s="1204"/>
      <c r="P1749" s="1113" t="str">
        <f>IFERROR(VLOOKUP(F1749,#REF!,12,FALSE),"")</f>
        <v/>
      </c>
      <c r="Q1749" s="1205" t="s">
        <v>8</v>
      </c>
      <c r="R1749" s="1206" t="str">
        <f>IFERROR(VLOOKUP(F1749,#REF!,14,FALSE),"")</f>
        <v/>
      </c>
      <c r="S1749" s="1207" t="str">
        <f t="shared" si="253"/>
        <v/>
      </c>
      <c r="U1749" s="1728"/>
      <c r="V1749" s="1108">
        <f t="shared" si="257"/>
        <v>0</v>
      </c>
      <c r="W1749" s="1766"/>
      <c r="X1749" s="1108"/>
    </row>
    <row r="1750" spans="2:24" x14ac:dyDescent="0.2">
      <c r="B1750" s="1666" t="s">
        <v>142</v>
      </c>
      <c r="C1750" s="1208">
        <v>44838</v>
      </c>
      <c r="D1750" s="864"/>
      <c r="E1750" s="865"/>
      <c r="F1750" s="1552"/>
      <c r="G1750" s="1209"/>
      <c r="H1750" s="1210" t="str">
        <f>IFERROR(VLOOKUP(F1750,#REF!,10,FALSE),"")</f>
        <v/>
      </c>
      <c r="I1750" s="1211" t="str">
        <f t="shared" si="266"/>
        <v/>
      </c>
      <c r="J1750" s="1212"/>
      <c r="K1750" s="1741"/>
      <c r="L1750" s="1578"/>
      <c r="M1750" s="1602"/>
      <c r="N1750" s="1171" t="str">
        <f t="shared" si="252"/>
        <v/>
      </c>
      <c r="O1750" s="1213"/>
      <c r="P1750" s="1173" t="str">
        <f>IFERROR(VLOOKUP(F1750,#REF!,12,FALSE),"")</f>
        <v/>
      </c>
      <c r="Q1750" s="1229" t="s">
        <v>8</v>
      </c>
      <c r="R1750" s="1324" t="str">
        <f>IFERROR(VLOOKUP(F1750,#REF!,14,FALSE),"")</f>
        <v/>
      </c>
      <c r="S1750" s="1217" t="str">
        <f t="shared" si="253"/>
        <v/>
      </c>
      <c r="U1750" s="1728"/>
      <c r="V1750" s="864">
        <f t="shared" si="257"/>
        <v>0</v>
      </c>
      <c r="W1750" s="1767"/>
      <c r="X1750" s="864"/>
    </row>
    <row r="1751" spans="2:24" ht="16" thickBot="1" x14ac:dyDescent="0.25">
      <c r="B1751" s="1654">
        <f t="shared" ref="B1751" si="268">SUM(H1749:H1755)</f>
        <v>17.649999999999999</v>
      </c>
      <c r="C1751" s="1208">
        <v>44839</v>
      </c>
      <c r="D1751" s="864">
        <v>133</v>
      </c>
      <c r="E1751" s="865" t="s">
        <v>293</v>
      </c>
      <c r="F1751" s="1552" t="s">
        <v>322</v>
      </c>
      <c r="G1751" s="1209">
        <v>2.883101851851852E-2</v>
      </c>
      <c r="H1751" s="1210">
        <v>7.55</v>
      </c>
      <c r="I1751" s="1211">
        <f t="shared" si="266"/>
        <v>3.8186779494726519E-3</v>
      </c>
      <c r="J1751" s="1212">
        <v>137</v>
      </c>
      <c r="K1751" s="1741"/>
      <c r="L1751" s="1578">
        <v>225</v>
      </c>
      <c r="M1751" s="1602">
        <v>23</v>
      </c>
      <c r="N1751" s="1171">
        <f t="shared" si="252"/>
        <v>1.1079865572798262</v>
      </c>
      <c r="O1751" s="1213" t="s">
        <v>329</v>
      </c>
      <c r="P1751" s="1173" t="str">
        <f>IFERROR(VLOOKUP(F1751,#REF!,12,FALSE),"")</f>
        <v/>
      </c>
      <c r="Q1751" s="1229" t="s">
        <v>8</v>
      </c>
      <c r="R1751" s="1324" t="str">
        <f>IFERROR(VLOOKUP(F1751,#REF!,14,FALSE),"")</f>
        <v/>
      </c>
      <c r="S1751" s="1217">
        <f t="shared" si="253"/>
        <v>1.6423357664233578</v>
      </c>
      <c r="U1751" s="1728"/>
      <c r="V1751" s="864">
        <f t="shared" si="257"/>
        <v>0</v>
      </c>
      <c r="W1751" s="1767"/>
      <c r="X1751" s="864"/>
    </row>
    <row r="1752" spans="2:24" x14ac:dyDescent="0.2">
      <c r="B1752" s="1667" t="s">
        <v>144</v>
      </c>
      <c r="C1752" s="1208">
        <v>44840</v>
      </c>
      <c r="D1752" s="864"/>
      <c r="E1752" s="865"/>
      <c r="F1752" s="1552"/>
      <c r="G1752" s="1209"/>
      <c r="H1752" s="1210" t="str">
        <f>IFERROR(VLOOKUP(F1752,#REF!,10,FALSE),"")</f>
        <v/>
      </c>
      <c r="I1752" s="1211" t="str">
        <f t="shared" si="266"/>
        <v/>
      </c>
      <c r="J1752" s="1212"/>
      <c r="K1752" s="1741"/>
      <c r="L1752" s="1578"/>
      <c r="M1752" s="1602"/>
      <c r="N1752" s="1171" t="str">
        <f t="shared" si="252"/>
        <v/>
      </c>
      <c r="O1752" s="1213"/>
      <c r="P1752" s="1173" t="str">
        <f>IFERROR(VLOOKUP(F1752,#REF!,12,FALSE),"")</f>
        <v/>
      </c>
      <c r="Q1752" s="1229" t="s">
        <v>8</v>
      </c>
      <c r="R1752" s="1324" t="str">
        <f>IFERROR(VLOOKUP(F1752,#REF!,14,FALSE),"")</f>
        <v/>
      </c>
      <c r="S1752" s="1217" t="str">
        <f t="shared" si="253"/>
        <v/>
      </c>
      <c r="U1752" s="1728"/>
      <c r="V1752" s="864">
        <f t="shared" si="257"/>
        <v>0</v>
      </c>
      <c r="W1752" s="1767"/>
      <c r="X1752" s="864"/>
    </row>
    <row r="1753" spans="2:24" ht="16" thickBot="1" x14ac:dyDescent="0.25">
      <c r="B1753" s="1668" t="e">
        <f>SUM(#REF!)</f>
        <v>#REF!</v>
      </c>
      <c r="C1753" s="1347">
        <v>44841</v>
      </c>
      <c r="D1753" s="1348"/>
      <c r="E1753" s="1349"/>
      <c r="F1753" s="1552"/>
      <c r="G1753" s="1350"/>
      <c r="H1753" s="1351" t="str">
        <f>IFERROR(VLOOKUP(F1753,#REF!,10,FALSE),"")</f>
        <v/>
      </c>
      <c r="I1753" s="1352" t="str">
        <f t="shared" si="266"/>
        <v/>
      </c>
      <c r="J1753" s="1353"/>
      <c r="K1753" s="1741"/>
      <c r="L1753" s="1578"/>
      <c r="M1753" s="1602"/>
      <c r="N1753" s="1354" t="str">
        <f t="shared" si="252"/>
        <v/>
      </c>
      <c r="O1753" s="1355"/>
      <c r="P1753" s="1356" t="str">
        <f>IFERROR(VLOOKUP(F1753,#REF!,12,FALSE),"")</f>
        <v/>
      </c>
      <c r="Q1753" s="1357" t="s">
        <v>8</v>
      </c>
      <c r="R1753" s="1358" t="str">
        <f>IFERROR(VLOOKUP(F1753,#REF!,14,FALSE),"")</f>
        <v/>
      </c>
      <c r="S1753" s="1359" t="str">
        <f t="shared" si="253"/>
        <v/>
      </c>
      <c r="U1753" s="1728"/>
      <c r="V1753" s="1348">
        <f t="shared" si="257"/>
        <v>0</v>
      </c>
      <c r="W1753" s="1767"/>
      <c r="X1753" s="1348"/>
    </row>
    <row r="1754" spans="2:24" x14ac:dyDescent="0.2">
      <c r="B1754" s="1669" t="s">
        <v>256</v>
      </c>
      <c r="C1754" s="1237">
        <v>44842</v>
      </c>
      <c r="D1754" s="70"/>
      <c r="E1754" s="71"/>
      <c r="F1754" s="1552"/>
      <c r="G1754" s="1238"/>
      <c r="H1754" s="1239" t="str">
        <f>IFERROR(VLOOKUP(F1754,#REF!,10,FALSE),"")</f>
        <v/>
      </c>
      <c r="I1754" s="1240" t="str">
        <f t="shared" si="266"/>
        <v/>
      </c>
      <c r="J1754" s="265"/>
      <c r="K1754" s="1741"/>
      <c r="L1754" s="1581"/>
      <c r="M1754" s="265"/>
      <c r="N1754" s="77" t="str">
        <f t="shared" si="252"/>
        <v/>
      </c>
      <c r="O1754" s="1241"/>
      <c r="P1754" s="79" t="str">
        <f>IFERROR(VLOOKUP(F1754,#REF!,12,FALSE),"")</f>
        <v/>
      </c>
      <c r="Q1754" s="1242" t="s">
        <v>8</v>
      </c>
      <c r="R1754" s="1243" t="str">
        <f>IFERROR(VLOOKUP(F1754,#REF!,14,FALSE),"")</f>
        <v/>
      </c>
      <c r="S1754" s="1244" t="str">
        <f t="shared" si="253"/>
        <v/>
      </c>
      <c r="U1754" s="1728"/>
      <c r="V1754" s="70">
        <f t="shared" si="257"/>
        <v>0</v>
      </c>
      <c r="W1754" s="1767"/>
      <c r="X1754" s="70"/>
    </row>
    <row r="1755" spans="2:24" ht="16" thickBot="1" x14ac:dyDescent="0.25">
      <c r="B1755" s="1670" t="e">
        <f>AVERAGE(#REF!)</f>
        <v>#REF!</v>
      </c>
      <c r="C1755" s="544">
        <v>44843</v>
      </c>
      <c r="D1755" s="67">
        <v>134</v>
      </c>
      <c r="E1755" s="208" t="s">
        <v>293</v>
      </c>
      <c r="F1755" s="1553" t="s">
        <v>279</v>
      </c>
      <c r="G1755" s="1230">
        <v>4.144675925925926E-2</v>
      </c>
      <c r="H1755" s="1231">
        <v>10.1</v>
      </c>
      <c r="I1755" s="1232">
        <f t="shared" si="266"/>
        <v>4.1036395306197288E-3</v>
      </c>
      <c r="J1755" s="256">
        <v>145</v>
      </c>
      <c r="K1755" s="1741"/>
      <c r="L1755" s="1580">
        <v>206</v>
      </c>
      <c r="M1755" s="1561">
        <v>30</v>
      </c>
      <c r="N1755" s="172">
        <f t="shared" si="252"/>
        <v>1.0901226540564506</v>
      </c>
      <c r="O1755" s="1233" t="s">
        <v>327</v>
      </c>
      <c r="P1755" s="447" t="str">
        <f>IFERROR(VLOOKUP(F1755,#REF!,12,FALSE),"")</f>
        <v/>
      </c>
      <c r="Q1755" s="1234" t="s">
        <v>8</v>
      </c>
      <c r="R1755" s="1235" t="str">
        <f>IFERROR(VLOOKUP(F1755,#REF!,14,FALSE),"")</f>
        <v/>
      </c>
      <c r="S1755" s="1236">
        <f t="shared" si="253"/>
        <v>1.4206896551724137</v>
      </c>
      <c r="U1755" s="1728"/>
      <c r="V1755" s="67">
        <f t="shared" si="257"/>
        <v>0</v>
      </c>
      <c r="W1755" s="1768"/>
      <c r="X1755" s="67"/>
    </row>
    <row r="1756" spans="2:24" ht="16" thickBot="1" x14ac:dyDescent="0.25">
      <c r="B1756" s="1661">
        <f t="shared" ref="B1756" si="269">B1749+1</f>
        <v>41</v>
      </c>
      <c r="C1756" s="1199">
        <v>44844</v>
      </c>
      <c r="D1756" s="1108"/>
      <c r="E1756" s="1109"/>
      <c r="F1756" s="1551"/>
      <c r="G1756" s="1200"/>
      <c r="H1756" s="1201" t="str">
        <f>IFERROR(VLOOKUP(F1756,#REF!,10,FALSE),"")</f>
        <v/>
      </c>
      <c r="I1756" s="1202" t="str">
        <f t="shared" si="266"/>
        <v/>
      </c>
      <c r="J1756" s="1203"/>
      <c r="K1756" s="1741"/>
      <c r="L1756" s="1577"/>
      <c r="M1756" s="1374"/>
      <c r="N1756" s="1111" t="str">
        <f t="shared" si="252"/>
        <v/>
      </c>
      <c r="O1756" s="1204"/>
      <c r="P1756" s="1113" t="str">
        <f>IFERROR(VLOOKUP(F1756,#REF!,12,FALSE),"")</f>
        <v/>
      </c>
      <c r="Q1756" s="1205" t="s">
        <v>8</v>
      </c>
      <c r="R1756" s="1206" t="str">
        <f>IFERROR(VLOOKUP(F1756,#REF!,14,FALSE),"")</f>
        <v/>
      </c>
      <c r="S1756" s="1207" t="str">
        <f t="shared" si="253"/>
        <v/>
      </c>
      <c r="U1756" s="1728"/>
      <c r="V1756" s="1108">
        <f t="shared" si="257"/>
        <v>0</v>
      </c>
      <c r="W1756" s="1766"/>
      <c r="X1756" s="1108"/>
    </row>
    <row r="1757" spans="2:24" x14ac:dyDescent="0.2">
      <c r="B1757" s="1666" t="s">
        <v>142</v>
      </c>
      <c r="C1757" s="1208">
        <v>44845</v>
      </c>
      <c r="D1757" s="864"/>
      <c r="E1757" s="865"/>
      <c r="F1757" s="1552"/>
      <c r="G1757" s="1209"/>
      <c r="H1757" s="1210" t="str">
        <f>IFERROR(VLOOKUP(F1757,#REF!,10,FALSE),"")</f>
        <v/>
      </c>
      <c r="I1757" s="1211" t="str">
        <f t="shared" si="266"/>
        <v/>
      </c>
      <c r="J1757" s="1212"/>
      <c r="K1757" s="1741"/>
      <c r="L1757" s="1578"/>
      <c r="M1757" s="1602"/>
      <c r="N1757" s="1171" t="str">
        <f t="shared" si="252"/>
        <v/>
      </c>
      <c r="O1757" s="1213"/>
      <c r="P1757" s="1173" t="str">
        <f>IFERROR(VLOOKUP(F1757,#REF!,12,FALSE),"")</f>
        <v/>
      </c>
      <c r="Q1757" s="1229" t="s">
        <v>8</v>
      </c>
      <c r="R1757" s="1324" t="str">
        <f>IFERROR(VLOOKUP(F1757,#REF!,14,FALSE),"")</f>
        <v/>
      </c>
      <c r="S1757" s="1217" t="str">
        <f t="shared" si="253"/>
        <v/>
      </c>
      <c r="U1757" s="1728"/>
      <c r="V1757" s="864">
        <f t="shared" si="257"/>
        <v>0</v>
      </c>
      <c r="W1757" s="1767"/>
      <c r="X1757" s="864"/>
    </row>
    <row r="1758" spans="2:24" ht="16" thickBot="1" x14ac:dyDescent="0.25">
      <c r="B1758" s="1654">
        <f t="shared" ref="B1758" si="270">SUM(H1756:H1762)</f>
        <v>0</v>
      </c>
      <c r="C1758" s="1208">
        <v>44846</v>
      </c>
      <c r="D1758" s="864"/>
      <c r="E1758" s="865"/>
      <c r="F1758" s="1552"/>
      <c r="G1758" s="1209"/>
      <c r="H1758" s="1210" t="str">
        <f>IFERROR(VLOOKUP(F1758,#REF!,10,FALSE),"")</f>
        <v/>
      </c>
      <c r="I1758" s="1211" t="str">
        <f t="shared" si="266"/>
        <v/>
      </c>
      <c r="J1758" s="1212"/>
      <c r="K1758" s="1741"/>
      <c r="L1758" s="1578"/>
      <c r="M1758" s="1602"/>
      <c r="N1758" s="1171" t="str">
        <f t="shared" si="252"/>
        <v/>
      </c>
      <c r="O1758" s="1213"/>
      <c r="P1758" s="1173" t="str">
        <f>IFERROR(VLOOKUP(F1758,#REF!,12,FALSE),"")</f>
        <v/>
      </c>
      <c r="Q1758" s="1229" t="s">
        <v>8</v>
      </c>
      <c r="R1758" s="1324" t="str">
        <f>IFERROR(VLOOKUP(F1758,#REF!,14,FALSE),"")</f>
        <v/>
      </c>
      <c r="S1758" s="1217" t="str">
        <f t="shared" si="253"/>
        <v/>
      </c>
      <c r="U1758" s="1728"/>
      <c r="V1758" s="864">
        <f t="shared" si="257"/>
        <v>0</v>
      </c>
      <c r="W1758" s="1767"/>
      <c r="X1758" s="864"/>
    </row>
    <row r="1759" spans="2:24" x14ac:dyDescent="0.2">
      <c r="B1759" s="1667" t="s">
        <v>144</v>
      </c>
      <c r="C1759" s="1208">
        <v>44847</v>
      </c>
      <c r="D1759" s="864"/>
      <c r="E1759" s="865"/>
      <c r="F1759" s="1552"/>
      <c r="G1759" s="1209"/>
      <c r="H1759" s="1210" t="str">
        <f>IFERROR(VLOOKUP(F1759,#REF!,10,FALSE),"")</f>
        <v/>
      </c>
      <c r="I1759" s="1211" t="str">
        <f t="shared" si="266"/>
        <v/>
      </c>
      <c r="J1759" s="1212"/>
      <c r="K1759" s="1741"/>
      <c r="L1759" s="1578"/>
      <c r="M1759" s="1602"/>
      <c r="N1759" s="1171" t="str">
        <f t="shared" si="252"/>
        <v/>
      </c>
      <c r="O1759" s="1213"/>
      <c r="P1759" s="1173" t="str">
        <f>IFERROR(VLOOKUP(F1759,#REF!,12,FALSE),"")</f>
        <v/>
      </c>
      <c r="Q1759" s="1229" t="s">
        <v>8</v>
      </c>
      <c r="R1759" s="1324" t="str">
        <f>IFERROR(VLOOKUP(F1759,#REF!,14,FALSE),"")</f>
        <v/>
      </c>
      <c r="S1759" s="1217" t="str">
        <f t="shared" si="253"/>
        <v/>
      </c>
      <c r="U1759" s="1728"/>
      <c r="V1759" s="864">
        <f t="shared" si="257"/>
        <v>0</v>
      </c>
      <c r="W1759" s="1767"/>
      <c r="X1759" s="864"/>
    </row>
    <row r="1760" spans="2:24" ht="16" thickBot="1" x14ac:dyDescent="0.25">
      <c r="B1760" s="1668" t="e">
        <f>SUM(#REF!)</f>
        <v>#REF!</v>
      </c>
      <c r="C1760" s="1347">
        <v>44848</v>
      </c>
      <c r="D1760" s="1348"/>
      <c r="E1760" s="1349"/>
      <c r="F1760" s="1552"/>
      <c r="G1760" s="1350"/>
      <c r="H1760" s="1351" t="str">
        <f>IFERROR(VLOOKUP(F1760,#REF!,10,FALSE),"")</f>
        <v/>
      </c>
      <c r="I1760" s="1352" t="str">
        <f t="shared" si="266"/>
        <v/>
      </c>
      <c r="J1760" s="1353"/>
      <c r="K1760" s="1741"/>
      <c r="L1760" s="1578"/>
      <c r="M1760" s="1602"/>
      <c r="N1760" s="1354" t="str">
        <f t="shared" si="252"/>
        <v/>
      </c>
      <c r="O1760" s="1355"/>
      <c r="P1760" s="1356" t="str">
        <f>IFERROR(VLOOKUP(F1760,#REF!,12,FALSE),"")</f>
        <v/>
      </c>
      <c r="Q1760" s="1357" t="s">
        <v>8</v>
      </c>
      <c r="R1760" s="1358" t="str">
        <f>IFERROR(VLOOKUP(F1760,#REF!,14,FALSE),"")</f>
        <v/>
      </c>
      <c r="S1760" s="1359" t="str">
        <f t="shared" si="253"/>
        <v/>
      </c>
      <c r="U1760" s="1728"/>
      <c r="V1760" s="1348">
        <f t="shared" si="257"/>
        <v>0</v>
      </c>
      <c r="W1760" s="1767"/>
      <c r="X1760" s="1348"/>
    </row>
    <row r="1761" spans="2:24" x14ac:dyDescent="0.2">
      <c r="B1761" s="1669" t="s">
        <v>256</v>
      </c>
      <c r="C1761" s="1237">
        <v>44849</v>
      </c>
      <c r="D1761" s="70"/>
      <c r="E1761" s="71"/>
      <c r="F1761" s="1552"/>
      <c r="G1761" s="1238"/>
      <c r="H1761" s="1239" t="str">
        <f>IFERROR(VLOOKUP(F1761,#REF!,10,FALSE),"")</f>
        <v/>
      </c>
      <c r="I1761" s="1240" t="str">
        <f t="shared" si="266"/>
        <v/>
      </c>
      <c r="J1761" s="265"/>
      <c r="K1761" s="1741"/>
      <c r="L1761" s="1581"/>
      <c r="M1761" s="265"/>
      <c r="N1761" s="77" t="str">
        <f t="shared" si="252"/>
        <v/>
      </c>
      <c r="O1761" s="1241"/>
      <c r="P1761" s="79" t="str">
        <f>IFERROR(VLOOKUP(F1761,#REF!,12,FALSE),"")</f>
        <v/>
      </c>
      <c r="Q1761" s="1242" t="s">
        <v>8</v>
      </c>
      <c r="R1761" s="1243" t="str">
        <f>IFERROR(VLOOKUP(F1761,#REF!,14,FALSE),"")</f>
        <v/>
      </c>
      <c r="S1761" s="1244" t="str">
        <f t="shared" si="253"/>
        <v/>
      </c>
      <c r="U1761" s="1728"/>
      <c r="V1761" s="70">
        <f t="shared" si="257"/>
        <v>0</v>
      </c>
      <c r="W1761" s="1767"/>
      <c r="X1761" s="70"/>
    </row>
    <row r="1762" spans="2:24" ht="16" thickBot="1" x14ac:dyDescent="0.25">
      <c r="B1762" s="1670" t="e">
        <f>AVERAGE(#REF!)</f>
        <v>#REF!</v>
      </c>
      <c r="C1762" s="544">
        <v>44850</v>
      </c>
      <c r="D1762" s="67"/>
      <c r="E1762" s="208"/>
      <c r="F1762" s="1553"/>
      <c r="G1762" s="1230"/>
      <c r="H1762" s="1231" t="str">
        <f>IFERROR(VLOOKUP(F1762,#REF!,10,FALSE),"")</f>
        <v/>
      </c>
      <c r="I1762" s="1232" t="str">
        <f t="shared" si="266"/>
        <v/>
      </c>
      <c r="J1762" s="256"/>
      <c r="K1762" s="1741"/>
      <c r="L1762" s="1580"/>
      <c r="M1762" s="1561"/>
      <c r="N1762" s="172" t="str">
        <f t="shared" si="252"/>
        <v/>
      </c>
      <c r="O1762" s="1233"/>
      <c r="P1762" s="447" t="str">
        <f>IFERROR(VLOOKUP(F1762,#REF!,12,FALSE),"")</f>
        <v/>
      </c>
      <c r="Q1762" s="1234" t="s">
        <v>8</v>
      </c>
      <c r="R1762" s="1235" t="str">
        <f>IFERROR(VLOOKUP(F1762,#REF!,14,FALSE),"")</f>
        <v/>
      </c>
      <c r="S1762" s="1236" t="str">
        <f t="shared" si="253"/>
        <v/>
      </c>
      <c r="U1762" s="1728"/>
      <c r="V1762" s="67">
        <f t="shared" si="257"/>
        <v>0</v>
      </c>
      <c r="W1762" s="1768"/>
      <c r="X1762" s="67"/>
    </row>
    <row r="1763" spans="2:24" ht="16" thickBot="1" x14ac:dyDescent="0.25">
      <c r="B1763" s="1661">
        <f t="shared" ref="B1763" si="271">B1756+1</f>
        <v>42</v>
      </c>
      <c r="C1763" s="1199">
        <v>44851</v>
      </c>
      <c r="D1763" s="1108"/>
      <c r="E1763" s="1109"/>
      <c r="F1763" s="1551"/>
      <c r="G1763" s="1200"/>
      <c r="H1763" s="1201" t="str">
        <f>IFERROR(VLOOKUP(F1763,#REF!,10,FALSE),"")</f>
        <v/>
      </c>
      <c r="I1763" s="1202" t="str">
        <f t="shared" si="266"/>
        <v/>
      </c>
      <c r="J1763" s="1203"/>
      <c r="K1763" s="1741"/>
      <c r="L1763" s="1577"/>
      <c r="M1763" s="1374"/>
      <c r="N1763" s="1111" t="str">
        <f t="shared" si="252"/>
        <v/>
      </c>
      <c r="O1763" s="1204"/>
      <c r="P1763" s="1113" t="str">
        <f>IFERROR(VLOOKUP(F1763,#REF!,12,FALSE),"")</f>
        <v/>
      </c>
      <c r="Q1763" s="1205" t="s">
        <v>8</v>
      </c>
      <c r="R1763" s="1206" t="str">
        <f>IFERROR(VLOOKUP(F1763,#REF!,14,FALSE),"")</f>
        <v/>
      </c>
      <c r="S1763" s="1207" t="str">
        <f t="shared" si="253"/>
        <v/>
      </c>
      <c r="U1763" s="1728"/>
      <c r="V1763" s="1108">
        <f t="shared" si="257"/>
        <v>0</v>
      </c>
      <c r="W1763" s="1766"/>
      <c r="X1763" s="1108"/>
    </row>
    <row r="1764" spans="2:24" x14ac:dyDescent="0.2">
      <c r="B1764" s="1666" t="s">
        <v>142</v>
      </c>
      <c r="C1764" s="1208">
        <v>44852</v>
      </c>
      <c r="D1764" s="864"/>
      <c r="E1764" s="865"/>
      <c r="F1764" s="1552"/>
      <c r="G1764" s="1209"/>
      <c r="H1764" s="1210" t="str">
        <f>IFERROR(VLOOKUP(F1764,#REF!,10,FALSE),"")</f>
        <v/>
      </c>
      <c r="I1764" s="1211" t="str">
        <f t="shared" si="266"/>
        <v/>
      </c>
      <c r="J1764" s="1212"/>
      <c r="K1764" s="1741"/>
      <c r="L1764" s="1578"/>
      <c r="M1764" s="1602"/>
      <c r="N1764" s="1171" t="str">
        <f t="shared" si="252"/>
        <v/>
      </c>
      <c r="O1764" s="1213"/>
      <c r="P1764" s="1173" t="str">
        <f>IFERROR(VLOOKUP(F1764,#REF!,12,FALSE),"")</f>
        <v/>
      </c>
      <c r="Q1764" s="1229" t="s">
        <v>8</v>
      </c>
      <c r="R1764" s="1324" t="str">
        <f>IFERROR(VLOOKUP(F1764,#REF!,14,FALSE),"")</f>
        <v/>
      </c>
      <c r="S1764" s="1217" t="str">
        <f t="shared" si="253"/>
        <v/>
      </c>
      <c r="U1764" s="1728"/>
      <c r="V1764" s="864">
        <f t="shared" si="257"/>
        <v>0</v>
      </c>
      <c r="W1764" s="1767"/>
      <c r="X1764" s="864"/>
    </row>
    <row r="1765" spans="2:24" ht="16" thickBot="1" x14ac:dyDescent="0.25">
      <c r="B1765" s="1654">
        <f t="shared" ref="B1765" si="272">SUM(H1763:H1769)</f>
        <v>0</v>
      </c>
      <c r="C1765" s="1208">
        <v>44853</v>
      </c>
      <c r="D1765" s="864"/>
      <c r="E1765" s="865"/>
      <c r="F1765" s="1552"/>
      <c r="G1765" s="1209"/>
      <c r="H1765" s="1210" t="str">
        <f>IFERROR(VLOOKUP(F1765,#REF!,10,FALSE),"")</f>
        <v/>
      </c>
      <c r="I1765" s="1211" t="str">
        <f t="shared" si="266"/>
        <v/>
      </c>
      <c r="J1765" s="1212"/>
      <c r="K1765" s="1741"/>
      <c r="L1765" s="1578"/>
      <c r="M1765" s="1602"/>
      <c r="N1765" s="1171" t="str">
        <f t="shared" si="252"/>
        <v/>
      </c>
      <c r="O1765" s="1213"/>
      <c r="P1765" s="1173" t="str">
        <f>IFERROR(VLOOKUP(F1765,#REF!,12,FALSE),"")</f>
        <v/>
      </c>
      <c r="Q1765" s="1229" t="s">
        <v>8</v>
      </c>
      <c r="R1765" s="1324" t="str">
        <f>IFERROR(VLOOKUP(F1765,#REF!,14,FALSE),"")</f>
        <v/>
      </c>
      <c r="S1765" s="1217" t="str">
        <f t="shared" si="253"/>
        <v/>
      </c>
      <c r="U1765" s="1728"/>
      <c r="V1765" s="864">
        <f t="shared" si="257"/>
        <v>0</v>
      </c>
      <c r="W1765" s="1767"/>
      <c r="X1765" s="864"/>
    </row>
    <row r="1766" spans="2:24" x14ac:dyDescent="0.2">
      <c r="B1766" s="1667" t="s">
        <v>144</v>
      </c>
      <c r="C1766" s="1208">
        <v>44854</v>
      </c>
      <c r="D1766" s="864"/>
      <c r="E1766" s="865"/>
      <c r="F1766" s="1552"/>
      <c r="G1766" s="1209"/>
      <c r="H1766" s="1210" t="str">
        <f>IFERROR(VLOOKUP(F1766,#REF!,10,FALSE),"")</f>
        <v/>
      </c>
      <c r="I1766" s="1211" t="str">
        <f t="shared" si="266"/>
        <v/>
      </c>
      <c r="J1766" s="1212"/>
      <c r="K1766" s="1741"/>
      <c r="L1766" s="1578"/>
      <c r="M1766" s="1602"/>
      <c r="N1766" s="1171" t="str">
        <f t="shared" si="252"/>
        <v/>
      </c>
      <c r="O1766" s="1213"/>
      <c r="P1766" s="1173" t="str">
        <f>IFERROR(VLOOKUP(F1766,#REF!,12,FALSE),"")</f>
        <v/>
      </c>
      <c r="Q1766" s="1229" t="s">
        <v>8</v>
      </c>
      <c r="R1766" s="1324" t="str">
        <f>IFERROR(VLOOKUP(F1766,#REF!,14,FALSE),"")</f>
        <v/>
      </c>
      <c r="S1766" s="1217" t="str">
        <f t="shared" si="253"/>
        <v/>
      </c>
      <c r="U1766" s="1728"/>
      <c r="V1766" s="864">
        <f t="shared" si="257"/>
        <v>0</v>
      </c>
      <c r="W1766" s="1767"/>
      <c r="X1766" s="864"/>
    </row>
    <row r="1767" spans="2:24" ht="16" thickBot="1" x14ac:dyDescent="0.25">
      <c r="B1767" s="1668" t="e">
        <f>SUM(#REF!)</f>
        <v>#REF!</v>
      </c>
      <c r="C1767" s="1347">
        <v>44855</v>
      </c>
      <c r="D1767" s="1348"/>
      <c r="E1767" s="1349"/>
      <c r="F1767" s="1552"/>
      <c r="G1767" s="1350"/>
      <c r="H1767" s="1351" t="str">
        <f>IFERROR(VLOOKUP(F1767,#REF!,10,FALSE),"")</f>
        <v/>
      </c>
      <c r="I1767" s="1352" t="str">
        <f t="shared" si="266"/>
        <v/>
      </c>
      <c r="J1767" s="1353"/>
      <c r="K1767" s="1741"/>
      <c r="L1767" s="1578"/>
      <c r="M1767" s="1602"/>
      <c r="N1767" s="1354" t="str">
        <f t="shared" si="252"/>
        <v/>
      </c>
      <c r="O1767" s="1355"/>
      <c r="P1767" s="1356" t="str">
        <f>IFERROR(VLOOKUP(F1767,#REF!,12,FALSE),"")</f>
        <v/>
      </c>
      <c r="Q1767" s="1357" t="s">
        <v>8</v>
      </c>
      <c r="R1767" s="1358" t="str">
        <f>IFERROR(VLOOKUP(F1767,#REF!,14,FALSE),"")</f>
        <v/>
      </c>
      <c r="S1767" s="1359" t="str">
        <f t="shared" si="253"/>
        <v/>
      </c>
      <c r="U1767" s="1728"/>
      <c r="V1767" s="1348">
        <f t="shared" si="257"/>
        <v>0</v>
      </c>
      <c r="W1767" s="1767"/>
      <c r="X1767" s="1348"/>
    </row>
    <row r="1768" spans="2:24" x14ac:dyDescent="0.2">
      <c r="B1768" s="1669" t="s">
        <v>256</v>
      </c>
      <c r="C1768" s="1237">
        <v>44856</v>
      </c>
      <c r="D1768" s="70"/>
      <c r="E1768" s="71"/>
      <c r="F1768" s="1552"/>
      <c r="G1768" s="1238"/>
      <c r="H1768" s="1239" t="str">
        <f>IFERROR(VLOOKUP(F1768,#REF!,10,FALSE),"")</f>
        <v/>
      </c>
      <c r="I1768" s="1240" t="str">
        <f t="shared" si="266"/>
        <v/>
      </c>
      <c r="J1768" s="265"/>
      <c r="K1768" s="1741"/>
      <c r="L1768" s="1581"/>
      <c r="M1768" s="265"/>
      <c r="N1768" s="77" t="str">
        <f t="shared" si="252"/>
        <v/>
      </c>
      <c r="O1768" s="1241"/>
      <c r="P1768" s="79" t="str">
        <f>IFERROR(VLOOKUP(F1768,#REF!,12,FALSE),"")</f>
        <v/>
      </c>
      <c r="Q1768" s="1242" t="s">
        <v>8</v>
      </c>
      <c r="R1768" s="1243" t="str">
        <f>IFERROR(VLOOKUP(F1768,#REF!,14,FALSE),"")</f>
        <v/>
      </c>
      <c r="S1768" s="1244" t="str">
        <f t="shared" si="253"/>
        <v/>
      </c>
      <c r="U1768" s="1728"/>
      <c r="V1768" s="70">
        <f t="shared" si="257"/>
        <v>0</v>
      </c>
      <c r="W1768" s="1767"/>
      <c r="X1768" s="70"/>
    </row>
    <row r="1769" spans="2:24" ht="16" thickBot="1" x14ac:dyDescent="0.25">
      <c r="B1769" s="1709" t="e">
        <f>AVERAGE(#REF!)</f>
        <v>#REF!</v>
      </c>
      <c r="C1769" s="544">
        <v>44857</v>
      </c>
      <c r="D1769" s="67"/>
      <c r="E1769" s="208"/>
      <c r="F1769" s="1553"/>
      <c r="G1769" s="1230"/>
      <c r="H1769" s="1231" t="str">
        <f>IFERROR(VLOOKUP(F1769,#REF!,10,FALSE),"")</f>
        <v/>
      </c>
      <c r="I1769" s="1232" t="str">
        <f t="shared" si="266"/>
        <v/>
      </c>
      <c r="J1769" s="256"/>
      <c r="K1769" s="1741"/>
      <c r="L1769" s="1580"/>
      <c r="M1769" s="1561"/>
      <c r="N1769" s="172" t="str">
        <f t="shared" si="252"/>
        <v/>
      </c>
      <c r="O1769" s="1233"/>
      <c r="P1769" s="447" t="str">
        <f>IFERROR(VLOOKUP(F1769,#REF!,12,FALSE),"")</f>
        <v/>
      </c>
      <c r="Q1769" s="1234" t="s">
        <v>8</v>
      </c>
      <c r="R1769" s="1235" t="str">
        <f>IFERROR(VLOOKUP(F1769,#REF!,14,FALSE),"")</f>
        <v/>
      </c>
      <c r="S1769" s="1236" t="str">
        <f t="shared" si="253"/>
        <v/>
      </c>
      <c r="U1769" s="1728"/>
      <c r="V1769" s="67">
        <f t="shared" si="257"/>
        <v>0</v>
      </c>
      <c r="W1769" s="1768"/>
      <c r="X1769" s="67"/>
    </row>
    <row r="1770" spans="2:24" ht="16" thickBot="1" x14ac:dyDescent="0.25">
      <c r="B1770" s="1661">
        <f t="shared" ref="B1770" si="273">B1763+1</f>
        <v>43</v>
      </c>
      <c r="C1770" s="1199">
        <v>44858</v>
      </c>
      <c r="D1770" s="1108"/>
      <c r="E1770" s="1109"/>
      <c r="F1770" s="1551"/>
      <c r="G1770" s="1200"/>
      <c r="H1770" s="1201" t="str">
        <f>IFERROR(VLOOKUP(F1770,#REF!,10,FALSE),"")</f>
        <v/>
      </c>
      <c r="I1770" s="1202" t="str">
        <f t="shared" si="266"/>
        <v/>
      </c>
      <c r="J1770" s="1203"/>
      <c r="K1770" s="1741"/>
      <c r="L1770" s="1577"/>
      <c r="M1770" s="1374"/>
      <c r="N1770" s="1111" t="str">
        <f t="shared" si="252"/>
        <v/>
      </c>
      <c r="O1770" s="1204"/>
      <c r="P1770" s="1113" t="str">
        <f>IFERROR(VLOOKUP(F1770,#REF!,12,FALSE),"")</f>
        <v/>
      </c>
      <c r="Q1770" s="1205" t="s">
        <v>8</v>
      </c>
      <c r="R1770" s="1206" t="str">
        <f>IFERROR(VLOOKUP(F1770,#REF!,14,FALSE),"")</f>
        <v/>
      </c>
      <c r="S1770" s="1207" t="str">
        <f t="shared" si="253"/>
        <v/>
      </c>
      <c r="U1770" s="1728"/>
      <c r="V1770" s="1108">
        <f t="shared" si="257"/>
        <v>0</v>
      </c>
      <c r="W1770" s="1766"/>
      <c r="X1770" s="1108"/>
    </row>
    <row r="1771" spans="2:24" x14ac:dyDescent="0.2">
      <c r="B1771" s="1666" t="s">
        <v>142</v>
      </c>
      <c r="C1771" s="1208">
        <v>44859</v>
      </c>
      <c r="D1771" s="864"/>
      <c r="E1771" s="865"/>
      <c r="F1771" s="1552"/>
      <c r="G1771" s="1209"/>
      <c r="H1771" s="1210" t="str">
        <f>IFERROR(VLOOKUP(F1771,#REF!,10,FALSE),"")</f>
        <v/>
      </c>
      <c r="I1771" s="1211" t="str">
        <f t="shared" si="266"/>
        <v/>
      </c>
      <c r="J1771" s="1212"/>
      <c r="K1771" s="1741"/>
      <c r="L1771" s="1578"/>
      <c r="M1771" s="1602"/>
      <c r="N1771" s="1171" t="str">
        <f t="shared" si="252"/>
        <v/>
      </c>
      <c r="O1771" s="1213"/>
      <c r="P1771" s="1173" t="str">
        <f>IFERROR(VLOOKUP(F1771,#REF!,12,FALSE),"")</f>
        <v/>
      </c>
      <c r="Q1771" s="1229" t="s">
        <v>8</v>
      </c>
      <c r="R1771" s="1324" t="str">
        <f>IFERROR(VLOOKUP(F1771,#REF!,14,FALSE),"")</f>
        <v/>
      </c>
      <c r="S1771" s="1217" t="str">
        <f t="shared" si="253"/>
        <v/>
      </c>
      <c r="U1771" s="1728"/>
      <c r="V1771" s="864">
        <f t="shared" si="257"/>
        <v>0</v>
      </c>
      <c r="W1771" s="1767"/>
      <c r="X1771" s="864"/>
    </row>
    <row r="1772" spans="2:24" ht="16" thickBot="1" x14ac:dyDescent="0.25">
      <c r="B1772" s="1654">
        <f t="shared" ref="B1772" si="274">SUM(H1770:H1776)</f>
        <v>0</v>
      </c>
      <c r="C1772" s="1208">
        <v>44860</v>
      </c>
      <c r="D1772" s="864"/>
      <c r="E1772" s="865"/>
      <c r="F1772" s="1552"/>
      <c r="G1772" s="1209"/>
      <c r="H1772" s="1210" t="str">
        <f>IFERROR(VLOOKUP(F1772,#REF!,10,FALSE),"")</f>
        <v/>
      </c>
      <c r="I1772" s="1211" t="str">
        <f t="shared" si="266"/>
        <v/>
      </c>
      <c r="J1772" s="1212"/>
      <c r="K1772" s="1741"/>
      <c r="L1772" s="1578"/>
      <c r="M1772" s="1602"/>
      <c r="N1772" s="1171" t="str">
        <f t="shared" si="252"/>
        <v/>
      </c>
      <c r="O1772" s="1213"/>
      <c r="P1772" s="1173" t="str">
        <f>IFERROR(VLOOKUP(F1772,#REF!,12,FALSE),"")</f>
        <v/>
      </c>
      <c r="Q1772" s="1229" t="s">
        <v>8</v>
      </c>
      <c r="R1772" s="1324" t="str">
        <f>IFERROR(VLOOKUP(F1772,#REF!,14,FALSE),"")</f>
        <v/>
      </c>
      <c r="S1772" s="1217" t="str">
        <f t="shared" si="253"/>
        <v/>
      </c>
      <c r="U1772" s="1728"/>
      <c r="V1772" s="864">
        <f t="shared" si="257"/>
        <v>0</v>
      </c>
      <c r="W1772" s="1767"/>
      <c r="X1772" s="864"/>
    </row>
    <row r="1773" spans="2:24" x14ac:dyDescent="0.2">
      <c r="B1773" s="1667" t="s">
        <v>144</v>
      </c>
      <c r="C1773" s="1208">
        <v>44861</v>
      </c>
      <c r="D1773" s="864"/>
      <c r="E1773" s="865"/>
      <c r="F1773" s="1552"/>
      <c r="G1773" s="1209"/>
      <c r="H1773" s="1210" t="str">
        <f>IFERROR(VLOOKUP(F1773,#REF!,10,FALSE),"")</f>
        <v/>
      </c>
      <c r="I1773" s="1211" t="str">
        <f t="shared" si="266"/>
        <v/>
      </c>
      <c r="J1773" s="1212"/>
      <c r="K1773" s="1741"/>
      <c r="L1773" s="1578"/>
      <c r="M1773" s="1602"/>
      <c r="N1773" s="1171" t="str">
        <f t="shared" si="252"/>
        <v/>
      </c>
      <c r="O1773" s="1213"/>
      <c r="P1773" s="1173" t="str">
        <f>IFERROR(VLOOKUP(F1773,#REF!,12,FALSE),"")</f>
        <v/>
      </c>
      <c r="Q1773" s="1229" t="s">
        <v>8</v>
      </c>
      <c r="R1773" s="1324" t="str">
        <f>IFERROR(VLOOKUP(F1773,#REF!,14,FALSE),"")</f>
        <v/>
      </c>
      <c r="S1773" s="1217" t="str">
        <f t="shared" si="253"/>
        <v/>
      </c>
      <c r="U1773" s="1728"/>
      <c r="V1773" s="864">
        <f t="shared" si="257"/>
        <v>0</v>
      </c>
      <c r="W1773" s="1767"/>
      <c r="X1773" s="864"/>
    </row>
    <row r="1774" spans="2:24" ht="16" thickBot="1" x14ac:dyDescent="0.25">
      <c r="B1774" s="1668" t="e">
        <f>SUM(#REF!)</f>
        <v>#REF!</v>
      </c>
      <c r="C1774" s="1347">
        <v>44862</v>
      </c>
      <c r="D1774" s="1348"/>
      <c r="E1774" s="1349"/>
      <c r="F1774" s="1552"/>
      <c r="G1774" s="1350"/>
      <c r="H1774" s="1351" t="str">
        <f>IFERROR(VLOOKUP(F1774,#REF!,10,FALSE),"")</f>
        <v/>
      </c>
      <c r="I1774" s="1352" t="str">
        <f t="shared" si="266"/>
        <v/>
      </c>
      <c r="J1774" s="1353"/>
      <c r="K1774" s="1741"/>
      <c r="L1774" s="1578"/>
      <c r="M1774" s="1602"/>
      <c r="N1774" s="1354" t="str">
        <f t="shared" si="252"/>
        <v/>
      </c>
      <c r="O1774" s="1355"/>
      <c r="P1774" s="1356" t="str">
        <f>IFERROR(VLOOKUP(F1774,#REF!,12,FALSE),"")</f>
        <v/>
      </c>
      <c r="Q1774" s="1357" t="s">
        <v>8</v>
      </c>
      <c r="R1774" s="1358" t="str">
        <f>IFERROR(VLOOKUP(F1774,#REF!,14,FALSE),"")</f>
        <v/>
      </c>
      <c r="S1774" s="1359" t="str">
        <f t="shared" si="253"/>
        <v/>
      </c>
      <c r="U1774" s="1728"/>
      <c r="V1774" s="1348">
        <f t="shared" si="257"/>
        <v>0</v>
      </c>
      <c r="W1774" s="1767"/>
      <c r="X1774" s="1348"/>
    </row>
    <row r="1775" spans="2:24" x14ac:dyDescent="0.2">
      <c r="B1775" s="1669" t="s">
        <v>256</v>
      </c>
      <c r="C1775" s="1237">
        <v>44863</v>
      </c>
      <c r="D1775" s="70"/>
      <c r="E1775" s="71"/>
      <c r="F1775" s="1552"/>
      <c r="G1775" s="1238"/>
      <c r="H1775" s="1239" t="str">
        <f>IFERROR(VLOOKUP(F1775,#REF!,10,FALSE),"")</f>
        <v/>
      </c>
      <c r="I1775" s="1240" t="str">
        <f t="shared" si="266"/>
        <v/>
      </c>
      <c r="J1775" s="265"/>
      <c r="K1775" s="1741"/>
      <c r="L1775" s="1581"/>
      <c r="M1775" s="265"/>
      <c r="N1775" s="77" t="str">
        <f t="shared" si="252"/>
        <v/>
      </c>
      <c r="O1775" s="1241"/>
      <c r="P1775" s="79" t="str">
        <f>IFERROR(VLOOKUP(F1775,#REF!,12,FALSE),"")</f>
        <v/>
      </c>
      <c r="Q1775" s="1242" t="s">
        <v>8</v>
      </c>
      <c r="R1775" s="1243" t="str">
        <f>IFERROR(VLOOKUP(F1775,#REF!,14,FALSE),"")</f>
        <v/>
      </c>
      <c r="S1775" s="1244" t="str">
        <f t="shared" si="253"/>
        <v/>
      </c>
      <c r="U1775" s="1728"/>
      <c r="V1775" s="70">
        <f t="shared" si="257"/>
        <v>0</v>
      </c>
      <c r="W1775" s="1767"/>
      <c r="X1775" s="70"/>
    </row>
    <row r="1776" spans="2:24" ht="16" thickBot="1" x14ac:dyDescent="0.25">
      <c r="B1776" s="1710" t="e">
        <f>AVERAGE(#REF!)</f>
        <v>#REF!</v>
      </c>
      <c r="C1776" s="544">
        <v>44864</v>
      </c>
      <c r="D1776" s="67"/>
      <c r="E1776" s="208"/>
      <c r="F1776" s="1553"/>
      <c r="G1776" s="1230"/>
      <c r="H1776" s="1231" t="str">
        <f>IFERROR(VLOOKUP(F1776,#REF!,10,FALSE),"")</f>
        <v/>
      </c>
      <c r="I1776" s="1232" t="str">
        <f t="shared" si="266"/>
        <v/>
      </c>
      <c r="J1776" s="256"/>
      <c r="K1776" s="1741"/>
      <c r="L1776" s="1580"/>
      <c r="M1776" s="1561"/>
      <c r="N1776" s="172" t="str">
        <f t="shared" si="252"/>
        <v/>
      </c>
      <c r="O1776" s="1233"/>
      <c r="P1776" s="447" t="str">
        <f>IFERROR(VLOOKUP(F1776,#REF!,12,FALSE),"")</f>
        <v/>
      </c>
      <c r="Q1776" s="1234" t="s">
        <v>8</v>
      </c>
      <c r="R1776" s="1235" t="str">
        <f>IFERROR(VLOOKUP(F1776,#REF!,14,FALSE),"")</f>
        <v/>
      </c>
      <c r="S1776" s="1236" t="str">
        <f t="shared" si="253"/>
        <v/>
      </c>
      <c r="U1776" s="1728"/>
      <c r="V1776" s="67">
        <f t="shared" si="257"/>
        <v>0</v>
      </c>
      <c r="W1776" s="1768"/>
      <c r="X1776" s="67"/>
    </row>
    <row r="1777" spans="2:24" ht="16" thickBot="1" x14ac:dyDescent="0.25">
      <c r="B1777" s="1661">
        <f t="shared" ref="B1777" si="275">B1770+1</f>
        <v>44</v>
      </c>
      <c r="C1777" s="1199">
        <v>44865</v>
      </c>
      <c r="D1777" s="1108"/>
      <c r="E1777" s="1109"/>
      <c r="F1777" s="1551"/>
      <c r="G1777" s="1200"/>
      <c r="H1777" s="1201" t="str">
        <f>IFERROR(VLOOKUP(F1777,#REF!,10,FALSE),"")</f>
        <v/>
      </c>
      <c r="I1777" s="1202" t="str">
        <f t="shared" si="266"/>
        <v/>
      </c>
      <c r="J1777" s="1203"/>
      <c r="K1777" s="1741"/>
      <c r="L1777" s="1577"/>
      <c r="M1777" s="1374"/>
      <c r="N1777" s="1111" t="str">
        <f t="shared" ref="N1777:N1840" si="276">IFERROR((L1777/67)/(1/(I1777*24)/3.6),"")</f>
        <v/>
      </c>
      <c r="O1777" s="1204"/>
      <c r="P1777" s="1113" t="str">
        <f>IFERROR(VLOOKUP(F1777,#REF!,12,FALSE),"")</f>
        <v/>
      </c>
      <c r="Q1777" s="1205" t="s">
        <v>8</v>
      </c>
      <c r="R1777" s="1206" t="str">
        <f>IFERROR(VLOOKUP(F1777,#REF!,14,FALSE),"")</f>
        <v/>
      </c>
      <c r="S1777" s="1207" t="str">
        <f t="shared" ref="S1777:S1840" si="277">IFERROR(L1777/J1777,"")</f>
        <v/>
      </c>
      <c r="U1777" s="1728"/>
      <c r="V1777" s="1108">
        <f t="shared" si="257"/>
        <v>0</v>
      </c>
      <c r="W1777" s="1766"/>
      <c r="X1777" s="1108"/>
    </row>
    <row r="1778" spans="2:24" x14ac:dyDescent="0.2">
      <c r="B1778" s="1666" t="s">
        <v>142</v>
      </c>
      <c r="C1778" s="1208">
        <v>44866</v>
      </c>
      <c r="D1778" s="864"/>
      <c r="E1778" s="865"/>
      <c r="F1778" s="1552"/>
      <c r="G1778" s="1209"/>
      <c r="H1778" s="1210" t="str">
        <f>IFERROR(VLOOKUP(F1778,#REF!,10,FALSE),"")</f>
        <v/>
      </c>
      <c r="I1778" s="1211" t="str">
        <f t="shared" si="266"/>
        <v/>
      </c>
      <c r="J1778" s="1212"/>
      <c r="K1778" s="1741"/>
      <c r="L1778" s="1578"/>
      <c r="M1778" s="1602"/>
      <c r="N1778" s="1171" t="str">
        <f t="shared" si="276"/>
        <v/>
      </c>
      <c r="O1778" s="1213"/>
      <c r="P1778" s="1173" t="str">
        <f>IFERROR(VLOOKUP(F1778,#REF!,12,FALSE),"")</f>
        <v/>
      </c>
      <c r="Q1778" s="1229" t="s">
        <v>8</v>
      </c>
      <c r="R1778" s="1324" t="str">
        <f>IFERROR(VLOOKUP(F1778,#REF!,14,FALSE),"")</f>
        <v/>
      </c>
      <c r="S1778" s="1217" t="str">
        <f t="shared" si="277"/>
        <v/>
      </c>
      <c r="U1778" s="1728"/>
      <c r="V1778" s="864">
        <f t="shared" si="257"/>
        <v>0</v>
      </c>
      <c r="W1778" s="1767"/>
      <c r="X1778" s="864"/>
    </row>
    <row r="1779" spans="2:24" ht="16" thickBot="1" x14ac:dyDescent="0.25">
      <c r="B1779" s="1654">
        <f t="shared" ref="B1779" si="278">SUM(H1777:H1783)</f>
        <v>0</v>
      </c>
      <c r="C1779" s="1208">
        <v>44867</v>
      </c>
      <c r="D1779" s="864"/>
      <c r="E1779" s="865"/>
      <c r="F1779" s="1552"/>
      <c r="G1779" s="1209"/>
      <c r="H1779" s="1210" t="str">
        <f>IFERROR(VLOOKUP(F1779,#REF!,10,FALSE),"")</f>
        <v/>
      </c>
      <c r="I1779" s="1211" t="str">
        <f t="shared" si="266"/>
        <v/>
      </c>
      <c r="J1779" s="1212"/>
      <c r="K1779" s="1741"/>
      <c r="L1779" s="1578"/>
      <c r="M1779" s="1602"/>
      <c r="N1779" s="1171" t="str">
        <f t="shared" si="276"/>
        <v/>
      </c>
      <c r="O1779" s="1213"/>
      <c r="P1779" s="1173" t="str">
        <f>IFERROR(VLOOKUP(F1779,#REF!,12,FALSE),"")</f>
        <v/>
      </c>
      <c r="Q1779" s="1229" t="s">
        <v>8</v>
      </c>
      <c r="R1779" s="1324" t="str">
        <f>IFERROR(VLOOKUP(F1779,#REF!,14,FALSE),"")</f>
        <v/>
      </c>
      <c r="S1779" s="1217" t="str">
        <f t="shared" si="277"/>
        <v/>
      </c>
      <c r="U1779" s="1728"/>
      <c r="V1779" s="864">
        <f t="shared" si="257"/>
        <v>0</v>
      </c>
      <c r="W1779" s="1767"/>
      <c r="X1779" s="864"/>
    </row>
    <row r="1780" spans="2:24" x14ac:dyDescent="0.2">
      <c r="B1780" s="1667" t="s">
        <v>144</v>
      </c>
      <c r="C1780" s="1208">
        <v>44868</v>
      </c>
      <c r="D1780" s="864"/>
      <c r="E1780" s="865"/>
      <c r="F1780" s="1552"/>
      <c r="G1780" s="1209"/>
      <c r="H1780" s="1210" t="str">
        <f>IFERROR(VLOOKUP(F1780,#REF!,10,FALSE),"")</f>
        <v/>
      </c>
      <c r="I1780" s="1211" t="str">
        <f t="shared" si="266"/>
        <v/>
      </c>
      <c r="J1780" s="1212"/>
      <c r="K1780" s="1741"/>
      <c r="L1780" s="1578"/>
      <c r="M1780" s="1602"/>
      <c r="N1780" s="1171" t="str">
        <f t="shared" si="276"/>
        <v/>
      </c>
      <c r="O1780" s="1213"/>
      <c r="P1780" s="1173" t="str">
        <f>IFERROR(VLOOKUP(F1780,#REF!,12,FALSE),"")</f>
        <v/>
      </c>
      <c r="Q1780" s="1229" t="s">
        <v>8</v>
      </c>
      <c r="R1780" s="1324" t="str">
        <f>IFERROR(VLOOKUP(F1780,#REF!,14,FALSE),"")</f>
        <v/>
      </c>
      <c r="S1780" s="1217" t="str">
        <f t="shared" si="277"/>
        <v/>
      </c>
      <c r="U1780" s="1728"/>
      <c r="V1780" s="864">
        <f t="shared" si="257"/>
        <v>0</v>
      </c>
      <c r="W1780" s="1767"/>
      <c r="X1780" s="864"/>
    </row>
    <row r="1781" spans="2:24" ht="16" thickBot="1" x14ac:dyDescent="0.25">
      <c r="B1781" s="1668" t="e">
        <f>SUM(#REF!)</f>
        <v>#REF!</v>
      </c>
      <c r="C1781" s="1347">
        <v>44869</v>
      </c>
      <c r="D1781" s="1348"/>
      <c r="E1781" s="1349"/>
      <c r="F1781" s="1552"/>
      <c r="G1781" s="1350"/>
      <c r="H1781" s="1351" t="str">
        <f>IFERROR(VLOOKUP(F1781,#REF!,10,FALSE),"")</f>
        <v/>
      </c>
      <c r="I1781" s="1352" t="str">
        <f t="shared" si="266"/>
        <v/>
      </c>
      <c r="J1781" s="1353"/>
      <c r="K1781" s="1741"/>
      <c r="L1781" s="1578"/>
      <c r="M1781" s="1602"/>
      <c r="N1781" s="1354" t="str">
        <f t="shared" si="276"/>
        <v/>
      </c>
      <c r="O1781" s="1355"/>
      <c r="P1781" s="1356" t="str">
        <f>IFERROR(VLOOKUP(F1781,#REF!,12,FALSE),"")</f>
        <v/>
      </c>
      <c r="Q1781" s="1357" t="s">
        <v>8</v>
      </c>
      <c r="R1781" s="1358" t="str">
        <f>IFERROR(VLOOKUP(F1781,#REF!,14,FALSE),"")</f>
        <v/>
      </c>
      <c r="S1781" s="1359" t="str">
        <f t="shared" si="277"/>
        <v/>
      </c>
      <c r="U1781" s="1728"/>
      <c r="V1781" s="1348">
        <f t="shared" si="257"/>
        <v>0</v>
      </c>
      <c r="W1781" s="1767"/>
      <c r="X1781" s="1348"/>
    </row>
    <row r="1782" spans="2:24" x14ac:dyDescent="0.2">
      <c r="B1782" s="1669" t="s">
        <v>256</v>
      </c>
      <c r="C1782" s="1237">
        <v>44870</v>
      </c>
      <c r="D1782" s="70"/>
      <c r="E1782" s="71"/>
      <c r="F1782" s="1552"/>
      <c r="G1782" s="1238"/>
      <c r="H1782" s="1239" t="str">
        <f>IFERROR(VLOOKUP(F1782,#REF!,10,FALSE),"")</f>
        <v/>
      </c>
      <c r="I1782" s="1240" t="str">
        <f t="shared" si="266"/>
        <v/>
      </c>
      <c r="J1782" s="265"/>
      <c r="K1782" s="1741"/>
      <c r="L1782" s="1581"/>
      <c r="M1782" s="265"/>
      <c r="N1782" s="77" t="str">
        <f t="shared" si="276"/>
        <v/>
      </c>
      <c r="O1782" s="1241"/>
      <c r="P1782" s="79" t="str">
        <f>IFERROR(VLOOKUP(F1782,#REF!,12,FALSE),"")</f>
        <v/>
      </c>
      <c r="Q1782" s="1242" t="s">
        <v>8</v>
      </c>
      <c r="R1782" s="1243" t="str">
        <f>IFERROR(VLOOKUP(F1782,#REF!,14,FALSE),"")</f>
        <v/>
      </c>
      <c r="S1782" s="1244" t="str">
        <f t="shared" si="277"/>
        <v/>
      </c>
      <c r="U1782" s="1728"/>
      <c r="V1782" s="70">
        <f t="shared" si="257"/>
        <v>0</v>
      </c>
      <c r="W1782" s="1767"/>
      <c r="X1782" s="70"/>
    </row>
    <row r="1783" spans="2:24" ht="16" thickBot="1" x14ac:dyDescent="0.25">
      <c r="B1783" s="1710" t="e">
        <f>AVERAGE(#REF!)</f>
        <v>#REF!</v>
      </c>
      <c r="C1783" s="544">
        <v>44871</v>
      </c>
      <c r="D1783" s="67"/>
      <c r="E1783" s="208"/>
      <c r="F1783" s="1553"/>
      <c r="G1783" s="1230"/>
      <c r="H1783" s="1231" t="str">
        <f>IFERROR(VLOOKUP(F1783,#REF!,10,FALSE),"")</f>
        <v/>
      </c>
      <c r="I1783" s="1232" t="str">
        <f t="shared" si="266"/>
        <v/>
      </c>
      <c r="J1783" s="256"/>
      <c r="K1783" s="1741"/>
      <c r="L1783" s="1580"/>
      <c r="M1783" s="1561"/>
      <c r="N1783" s="172" t="str">
        <f t="shared" si="276"/>
        <v/>
      </c>
      <c r="O1783" s="1233"/>
      <c r="P1783" s="447" t="str">
        <f>IFERROR(VLOOKUP(F1783,#REF!,12,FALSE),"")</f>
        <v/>
      </c>
      <c r="Q1783" s="1234" t="s">
        <v>8</v>
      </c>
      <c r="R1783" s="1235" t="str">
        <f>IFERROR(VLOOKUP(F1783,#REF!,14,FALSE),"")</f>
        <v/>
      </c>
      <c r="S1783" s="1236" t="str">
        <f t="shared" si="277"/>
        <v/>
      </c>
      <c r="U1783" s="1728"/>
      <c r="V1783" s="67">
        <f t="shared" si="257"/>
        <v>0</v>
      </c>
      <c r="W1783" s="1768"/>
      <c r="X1783" s="67"/>
    </row>
    <row r="1784" spans="2:24" ht="16" thickBot="1" x14ac:dyDescent="0.25">
      <c r="B1784" s="1661">
        <f t="shared" ref="B1784" si="279">B1777+1</f>
        <v>45</v>
      </c>
      <c r="C1784" s="1199">
        <v>44872</v>
      </c>
      <c r="D1784" s="1108"/>
      <c r="E1784" s="1109"/>
      <c r="F1784" s="1549"/>
      <c r="G1784" s="1200"/>
      <c r="H1784" s="1201" t="str">
        <f>IFERROR(VLOOKUP(F1784,#REF!,10,FALSE),"")</f>
        <v/>
      </c>
      <c r="I1784" s="1202" t="str">
        <f t="shared" si="266"/>
        <v/>
      </c>
      <c r="J1784" s="1203"/>
      <c r="K1784" s="1741"/>
      <c r="L1784" s="1577"/>
      <c r="M1784" s="1374"/>
      <c r="N1784" s="1111" t="str">
        <f t="shared" si="276"/>
        <v/>
      </c>
      <c r="O1784" s="1204"/>
      <c r="P1784" s="1113" t="str">
        <f>IFERROR(VLOOKUP(F1784,#REF!,12,FALSE),"")</f>
        <v/>
      </c>
      <c r="Q1784" s="1205" t="s">
        <v>8</v>
      </c>
      <c r="R1784" s="1206" t="str">
        <f>IFERROR(VLOOKUP(F1784,#REF!,14,FALSE),"")</f>
        <v/>
      </c>
      <c r="S1784" s="1207" t="str">
        <f t="shared" si="277"/>
        <v/>
      </c>
      <c r="U1784" s="1728"/>
      <c r="V1784" s="1108">
        <f t="shared" si="257"/>
        <v>0</v>
      </c>
      <c r="W1784" s="1766"/>
      <c r="X1784" s="1108"/>
    </row>
    <row r="1785" spans="2:24" x14ac:dyDescent="0.2">
      <c r="B1785" s="1666" t="s">
        <v>142</v>
      </c>
      <c r="C1785" s="1208">
        <v>44873</v>
      </c>
      <c r="D1785" s="864">
        <v>135</v>
      </c>
      <c r="E1785" s="865" t="s">
        <v>293</v>
      </c>
      <c r="F1785" s="1616" t="s">
        <v>322</v>
      </c>
      <c r="G1785" s="1209">
        <v>2.238425925925926E-2</v>
      </c>
      <c r="H1785" s="1210">
        <v>5.37</v>
      </c>
      <c r="I1785" s="1211">
        <f t="shared" si="266"/>
        <v>4.1683909235119667E-3</v>
      </c>
      <c r="J1785" s="1212">
        <v>143</v>
      </c>
      <c r="K1785" s="1741"/>
      <c r="L1785" s="1578">
        <v>205</v>
      </c>
      <c r="M1785" s="1602">
        <v>18</v>
      </c>
      <c r="N1785" s="1171">
        <f t="shared" si="276"/>
        <v>1.1019483587648353</v>
      </c>
      <c r="O1785" s="1213" t="s">
        <v>329</v>
      </c>
      <c r="P1785" s="1173" t="str">
        <f>IFERROR(VLOOKUP(F1785,#REF!,12,FALSE),"")</f>
        <v/>
      </c>
      <c r="Q1785" s="1229" t="s">
        <v>8</v>
      </c>
      <c r="R1785" s="1324" t="str">
        <f>IFERROR(VLOOKUP(F1785,#REF!,14,FALSE),"")</f>
        <v/>
      </c>
      <c r="S1785" s="1217">
        <f t="shared" si="277"/>
        <v>1.4335664335664335</v>
      </c>
      <c r="U1785" s="1728"/>
      <c r="V1785" s="864">
        <f t="shared" si="257"/>
        <v>0</v>
      </c>
      <c r="W1785" s="1767"/>
      <c r="X1785" s="864"/>
    </row>
    <row r="1786" spans="2:24" ht="16" thickBot="1" x14ac:dyDescent="0.25">
      <c r="B1786" s="1654">
        <f t="shared" ref="B1786" si="280">SUM(H1784:H1790)</f>
        <v>16.850000000000001</v>
      </c>
      <c r="C1786" s="1208">
        <v>44874</v>
      </c>
      <c r="D1786" s="864"/>
      <c r="E1786" s="865"/>
      <c r="F1786" s="1616"/>
      <c r="G1786" s="1209"/>
      <c r="H1786" s="1210" t="str">
        <f>IFERROR(VLOOKUP(F1786,#REF!,10,FALSE),"")</f>
        <v/>
      </c>
      <c r="I1786" s="1211" t="str">
        <f t="shared" si="266"/>
        <v/>
      </c>
      <c r="J1786" s="1212"/>
      <c r="K1786" s="1741"/>
      <c r="L1786" s="1578"/>
      <c r="M1786" s="1602"/>
      <c r="N1786" s="1171" t="str">
        <f t="shared" si="276"/>
        <v/>
      </c>
      <c r="O1786" s="1213"/>
      <c r="P1786" s="1173" t="str">
        <f>IFERROR(VLOOKUP(F1786,#REF!,12,FALSE),"")</f>
        <v/>
      </c>
      <c r="Q1786" s="1229" t="s">
        <v>8</v>
      </c>
      <c r="R1786" s="1324" t="str">
        <f>IFERROR(VLOOKUP(F1786,#REF!,14,FALSE),"")</f>
        <v/>
      </c>
      <c r="S1786" s="1217" t="str">
        <f t="shared" si="277"/>
        <v/>
      </c>
      <c r="U1786" s="1728"/>
      <c r="V1786" s="864">
        <f t="shared" ref="V1786:V1849" si="281">U1785-T1785</f>
        <v>0</v>
      </c>
      <c r="W1786" s="1767"/>
      <c r="X1786" s="864"/>
    </row>
    <row r="1787" spans="2:24" x14ac:dyDescent="0.2">
      <c r="B1787" s="1667" t="s">
        <v>144</v>
      </c>
      <c r="C1787" s="1208">
        <v>44875</v>
      </c>
      <c r="D1787" s="864">
        <v>136</v>
      </c>
      <c r="E1787" s="865" t="s">
        <v>293</v>
      </c>
      <c r="F1787" s="1616" t="s">
        <v>322</v>
      </c>
      <c r="G1787" s="1209">
        <v>2.4826388888888887E-2</v>
      </c>
      <c r="H1787" s="1210">
        <v>5.98</v>
      </c>
      <c r="I1787" s="1211">
        <f t="shared" si="266"/>
        <v>4.1515700483091781E-3</v>
      </c>
      <c r="J1787" s="1212">
        <v>141</v>
      </c>
      <c r="K1787" s="1741"/>
      <c r="L1787" s="1578">
        <v>202</v>
      </c>
      <c r="M1787" s="1602">
        <v>10</v>
      </c>
      <c r="N1787" s="1171">
        <f t="shared" si="276"/>
        <v>1.0814406229720959</v>
      </c>
      <c r="O1787" s="1213" t="s">
        <v>329</v>
      </c>
      <c r="P1787" s="1173" t="str">
        <f>IFERROR(VLOOKUP(F1787,#REF!,12,FALSE),"")</f>
        <v/>
      </c>
      <c r="Q1787" s="1229" t="s">
        <v>8</v>
      </c>
      <c r="R1787" s="1324" t="str">
        <f>IFERROR(VLOOKUP(F1787,#REF!,14,FALSE),"")</f>
        <v/>
      </c>
      <c r="S1787" s="1217">
        <f t="shared" si="277"/>
        <v>1.4326241134751774</v>
      </c>
      <c r="U1787" s="1728"/>
      <c r="V1787" s="864">
        <f t="shared" si="281"/>
        <v>0</v>
      </c>
      <c r="W1787" s="1767"/>
      <c r="X1787" s="864"/>
    </row>
    <row r="1788" spans="2:24" ht="16" thickBot="1" x14ac:dyDescent="0.25">
      <c r="B1788" s="1668" t="e">
        <f>SUM(#REF!)</f>
        <v>#REF!</v>
      </c>
      <c r="C1788" s="1347">
        <v>44876</v>
      </c>
      <c r="D1788" s="1348"/>
      <c r="E1788" s="1349"/>
      <c r="F1788" s="1616"/>
      <c r="G1788" s="1350"/>
      <c r="H1788" s="1351" t="str">
        <f>IFERROR(VLOOKUP(F1788,#REF!,10,FALSE),"")</f>
        <v/>
      </c>
      <c r="I1788" s="1352" t="str">
        <f t="shared" si="266"/>
        <v/>
      </c>
      <c r="J1788" s="1353"/>
      <c r="K1788" s="1741"/>
      <c r="L1788" s="1578"/>
      <c r="M1788" s="1602"/>
      <c r="N1788" s="1354" t="str">
        <f t="shared" si="276"/>
        <v/>
      </c>
      <c r="O1788" s="1355"/>
      <c r="P1788" s="1356" t="str">
        <f>IFERROR(VLOOKUP(F1788,#REF!,12,FALSE),"")</f>
        <v/>
      </c>
      <c r="Q1788" s="1357" t="s">
        <v>8</v>
      </c>
      <c r="R1788" s="1358" t="str">
        <f>IFERROR(VLOOKUP(F1788,#REF!,14,FALSE),"")</f>
        <v/>
      </c>
      <c r="S1788" s="1359" t="str">
        <f t="shared" si="277"/>
        <v/>
      </c>
      <c r="U1788" s="1728"/>
      <c r="V1788" s="1348">
        <f t="shared" si="281"/>
        <v>0</v>
      </c>
      <c r="W1788" s="1767"/>
      <c r="X1788" s="1348"/>
    </row>
    <row r="1789" spans="2:24" x14ac:dyDescent="0.2">
      <c r="B1789" s="1669" t="s">
        <v>256</v>
      </c>
      <c r="C1789" s="1237">
        <v>44877</v>
      </c>
      <c r="D1789" s="70"/>
      <c r="E1789" s="71"/>
      <c r="F1789" s="1616"/>
      <c r="G1789" s="1238"/>
      <c r="H1789" s="1239" t="str">
        <f>IFERROR(VLOOKUP(F1789,#REF!,10,FALSE),"")</f>
        <v/>
      </c>
      <c r="I1789" s="1240" t="str">
        <f t="shared" si="266"/>
        <v/>
      </c>
      <c r="J1789" s="265"/>
      <c r="K1789" s="1741"/>
      <c r="L1789" s="1581"/>
      <c r="M1789" s="265"/>
      <c r="N1789" s="77" t="str">
        <f t="shared" si="276"/>
        <v/>
      </c>
      <c r="O1789" s="1241"/>
      <c r="P1789" s="79" t="str">
        <f>IFERROR(VLOOKUP(F1789,#REF!,12,FALSE),"")</f>
        <v/>
      </c>
      <c r="Q1789" s="1242" t="s">
        <v>8</v>
      </c>
      <c r="R1789" s="1243" t="str">
        <f>IFERROR(VLOOKUP(F1789,#REF!,14,FALSE),"")</f>
        <v/>
      </c>
      <c r="S1789" s="1244" t="str">
        <f t="shared" si="277"/>
        <v/>
      </c>
      <c r="U1789" s="1728"/>
      <c r="V1789" s="70">
        <f t="shared" si="281"/>
        <v>0</v>
      </c>
      <c r="W1789" s="1767"/>
      <c r="X1789" s="70"/>
    </row>
    <row r="1790" spans="2:24" ht="16" thickBot="1" x14ac:dyDescent="0.25">
      <c r="B1790" s="1710" t="e">
        <f>AVERAGE(#REF!)</f>
        <v>#REF!</v>
      </c>
      <c r="C1790" s="544">
        <v>44878</v>
      </c>
      <c r="D1790" s="67">
        <v>137</v>
      </c>
      <c r="E1790" s="208" t="s">
        <v>293</v>
      </c>
      <c r="F1790" s="1617" t="s">
        <v>322</v>
      </c>
      <c r="G1790" s="1230">
        <v>2.1990740740740741E-2</v>
      </c>
      <c r="H1790" s="1231">
        <v>5.5</v>
      </c>
      <c r="I1790" s="1232">
        <f t="shared" si="266"/>
        <v>3.9983164983164983E-3</v>
      </c>
      <c r="J1790" s="256">
        <v>145</v>
      </c>
      <c r="K1790" s="1741"/>
      <c r="L1790" s="1580">
        <v>213</v>
      </c>
      <c r="M1790" s="1561">
        <v>17</v>
      </c>
      <c r="N1790" s="172">
        <f t="shared" si="276"/>
        <v>1.0982360922659431</v>
      </c>
      <c r="O1790" s="1233" t="s">
        <v>329</v>
      </c>
      <c r="P1790" s="447" t="str">
        <f>IFERROR(VLOOKUP(F1790,#REF!,12,FALSE),"")</f>
        <v/>
      </c>
      <c r="Q1790" s="1234" t="s">
        <v>8</v>
      </c>
      <c r="R1790" s="1235" t="str">
        <f>IFERROR(VLOOKUP(F1790,#REF!,14,FALSE),"")</f>
        <v/>
      </c>
      <c r="S1790" s="1236">
        <f t="shared" si="277"/>
        <v>1.4689655172413794</v>
      </c>
      <c r="U1790" s="1728"/>
      <c r="V1790" s="67">
        <f t="shared" si="281"/>
        <v>0</v>
      </c>
      <c r="W1790" s="1768"/>
      <c r="X1790" s="67"/>
    </row>
    <row r="1791" spans="2:24" ht="16" thickBot="1" x14ac:dyDescent="0.25">
      <c r="B1791" s="1661">
        <f t="shared" ref="B1791" si="282">B1784+1</f>
        <v>46</v>
      </c>
      <c r="C1791" s="1199">
        <v>44879</v>
      </c>
      <c r="D1791" s="1108"/>
      <c r="E1791" s="1109"/>
      <c r="F1791" s="1618"/>
      <c r="G1791" s="1200"/>
      <c r="H1791" s="1201" t="str">
        <f>IFERROR(VLOOKUP(F1791,#REF!,10,FALSE),"")</f>
        <v/>
      </c>
      <c r="I1791" s="1202" t="str">
        <f t="shared" si="266"/>
        <v/>
      </c>
      <c r="J1791" s="1203"/>
      <c r="K1791" s="1741"/>
      <c r="L1791" s="1577"/>
      <c r="M1791" s="1374"/>
      <c r="N1791" s="1111" t="str">
        <f t="shared" si="276"/>
        <v/>
      </c>
      <c r="O1791" s="1204"/>
      <c r="P1791" s="1113" t="str">
        <f>IFERROR(VLOOKUP(F1791,#REF!,12,FALSE),"")</f>
        <v/>
      </c>
      <c r="Q1791" s="1205" t="s">
        <v>8</v>
      </c>
      <c r="R1791" s="1206" t="str">
        <f>IFERROR(VLOOKUP(F1791,#REF!,14,FALSE),"")</f>
        <v/>
      </c>
      <c r="S1791" s="1207" t="str">
        <f t="shared" si="277"/>
        <v/>
      </c>
      <c r="U1791" s="1728"/>
      <c r="V1791" s="1108">
        <f t="shared" si="281"/>
        <v>0</v>
      </c>
      <c r="W1791" s="1766"/>
      <c r="X1791" s="1108"/>
    </row>
    <row r="1792" spans="2:24" x14ac:dyDescent="0.2">
      <c r="B1792" s="1666" t="s">
        <v>142</v>
      </c>
      <c r="C1792" s="1208">
        <v>44880</v>
      </c>
      <c r="D1792" s="864"/>
      <c r="E1792" s="865"/>
      <c r="F1792" s="1616"/>
      <c r="G1792" s="1209"/>
      <c r="H1792" s="1210" t="str">
        <f>IFERROR(VLOOKUP(F1792,#REF!,10,FALSE),"")</f>
        <v/>
      </c>
      <c r="I1792" s="1211" t="str">
        <f t="shared" si="266"/>
        <v/>
      </c>
      <c r="J1792" s="1212"/>
      <c r="K1792" s="1741"/>
      <c r="L1792" s="1578"/>
      <c r="M1792" s="1602"/>
      <c r="N1792" s="1171" t="str">
        <f t="shared" si="276"/>
        <v/>
      </c>
      <c r="O1792" s="1213"/>
      <c r="P1792" s="1173" t="str">
        <f>IFERROR(VLOOKUP(F1792,#REF!,12,FALSE),"")</f>
        <v/>
      </c>
      <c r="Q1792" s="1229" t="s">
        <v>8</v>
      </c>
      <c r="R1792" s="1324" t="str">
        <f>IFERROR(VLOOKUP(F1792,#REF!,14,FALSE),"")</f>
        <v/>
      </c>
      <c r="S1792" s="1217" t="str">
        <f t="shared" si="277"/>
        <v/>
      </c>
      <c r="U1792" s="1728"/>
      <c r="V1792" s="864">
        <f t="shared" si="281"/>
        <v>0</v>
      </c>
      <c r="W1792" s="1767"/>
      <c r="X1792" s="864"/>
    </row>
    <row r="1793" spans="2:24" ht="16" thickBot="1" x14ac:dyDescent="0.25">
      <c r="B1793" s="1654">
        <f t="shared" ref="B1793" si="283">SUM(H1791:H1797)</f>
        <v>19.82</v>
      </c>
      <c r="C1793" s="1208">
        <v>44881</v>
      </c>
      <c r="D1793" s="864">
        <v>138</v>
      </c>
      <c r="E1793" s="865" t="s">
        <v>293</v>
      </c>
      <c r="F1793" s="1616" t="s">
        <v>267</v>
      </c>
      <c r="G1793" s="1209">
        <v>2.4999999999999998E-2</v>
      </c>
      <c r="H1793" s="1210">
        <v>6.23</v>
      </c>
      <c r="I1793" s="1211">
        <f t="shared" si="266"/>
        <v>4.0128410914927765E-3</v>
      </c>
      <c r="J1793" s="1212">
        <v>145</v>
      </c>
      <c r="K1793" s="1741"/>
      <c r="L1793" s="1578">
        <v>212</v>
      </c>
      <c r="M1793" s="1602">
        <v>22</v>
      </c>
      <c r="N1793" s="1171">
        <f t="shared" si="276"/>
        <v>1.0970508612635057</v>
      </c>
      <c r="O1793" s="1213" t="s">
        <v>329</v>
      </c>
      <c r="P1793" s="1173" t="str">
        <f>IFERROR(VLOOKUP(F1793,#REF!,12,FALSE),"")</f>
        <v/>
      </c>
      <c r="Q1793" s="1229" t="s">
        <v>8</v>
      </c>
      <c r="R1793" s="1324" t="str">
        <f>IFERROR(VLOOKUP(F1793,#REF!,14,FALSE),"")</f>
        <v/>
      </c>
      <c r="S1793" s="1217">
        <f t="shared" si="277"/>
        <v>1.4620689655172414</v>
      </c>
      <c r="U1793" s="1728"/>
      <c r="V1793" s="864">
        <f t="shared" si="281"/>
        <v>0</v>
      </c>
      <c r="W1793" s="1767"/>
      <c r="X1793" s="864"/>
    </row>
    <row r="1794" spans="2:24" x14ac:dyDescent="0.2">
      <c r="B1794" s="1667" t="s">
        <v>144</v>
      </c>
      <c r="C1794" s="1208">
        <v>44882</v>
      </c>
      <c r="D1794" s="864"/>
      <c r="E1794" s="865"/>
      <c r="F1794" s="1616"/>
      <c r="G1794" s="1209"/>
      <c r="H1794" s="1210" t="str">
        <f>IFERROR(VLOOKUP(F1794,#REF!,10,FALSE),"")</f>
        <v/>
      </c>
      <c r="I1794" s="1211" t="str">
        <f t="shared" si="266"/>
        <v/>
      </c>
      <c r="J1794" s="1212"/>
      <c r="K1794" s="1741"/>
      <c r="L1794" s="1578"/>
      <c r="M1794" s="1602"/>
      <c r="N1794" s="1171" t="str">
        <f t="shared" si="276"/>
        <v/>
      </c>
      <c r="O1794" s="1213"/>
      <c r="P1794" s="1173" t="str">
        <f>IFERROR(VLOOKUP(F1794,#REF!,12,FALSE),"")</f>
        <v/>
      </c>
      <c r="Q1794" s="1229" t="s">
        <v>8</v>
      </c>
      <c r="R1794" s="1324" t="str">
        <f>IFERROR(VLOOKUP(F1794,#REF!,14,FALSE),"")</f>
        <v/>
      </c>
      <c r="S1794" s="1217" t="str">
        <f t="shared" si="277"/>
        <v/>
      </c>
      <c r="U1794" s="1728"/>
      <c r="V1794" s="864">
        <f t="shared" si="281"/>
        <v>0</v>
      </c>
      <c r="W1794" s="1767"/>
      <c r="X1794" s="864"/>
    </row>
    <row r="1795" spans="2:24" ht="16" thickBot="1" x14ac:dyDescent="0.25">
      <c r="B1795" s="1668" t="e">
        <f>SUM(#REF!)</f>
        <v>#REF!</v>
      </c>
      <c r="C1795" s="1347">
        <v>44883</v>
      </c>
      <c r="D1795" s="1348">
        <v>139</v>
      </c>
      <c r="E1795" s="1349" t="s">
        <v>293</v>
      </c>
      <c r="F1795" s="1616" t="s">
        <v>267</v>
      </c>
      <c r="G1795" s="1350">
        <v>2.6122685185185183E-2</v>
      </c>
      <c r="H1795" s="1351">
        <v>6.67</v>
      </c>
      <c r="I1795" s="1352">
        <f t="shared" si="266"/>
        <v>3.9164445555000277E-3</v>
      </c>
      <c r="J1795" s="1353">
        <v>143</v>
      </c>
      <c r="K1795" s="1741"/>
      <c r="L1795" s="1578">
        <v>217</v>
      </c>
      <c r="M1795" s="1602">
        <v>18</v>
      </c>
      <c r="N1795" s="1354">
        <f t="shared" si="276"/>
        <v>1.0959497863008794</v>
      </c>
      <c r="O1795" s="1355" t="s">
        <v>329</v>
      </c>
      <c r="P1795" s="1356" t="str">
        <f>IFERROR(VLOOKUP(F1795,#REF!,12,FALSE),"")</f>
        <v/>
      </c>
      <c r="Q1795" s="1357" t="s">
        <v>8</v>
      </c>
      <c r="R1795" s="1358" t="str">
        <f>IFERROR(VLOOKUP(F1795,#REF!,14,FALSE),"")</f>
        <v/>
      </c>
      <c r="S1795" s="1359">
        <f t="shared" si="277"/>
        <v>1.5174825174825175</v>
      </c>
      <c r="U1795" s="1728"/>
      <c r="V1795" s="1348">
        <f t="shared" si="281"/>
        <v>0</v>
      </c>
      <c r="W1795" s="1767"/>
      <c r="X1795" s="1348"/>
    </row>
    <row r="1796" spans="2:24" x14ac:dyDescent="0.2">
      <c r="B1796" s="1669" t="s">
        <v>256</v>
      </c>
      <c r="C1796" s="1237">
        <v>44884</v>
      </c>
      <c r="D1796" s="70"/>
      <c r="E1796" s="71"/>
      <c r="F1796" s="1616"/>
      <c r="G1796" s="1238"/>
      <c r="H1796" s="1239" t="str">
        <f>IFERROR(VLOOKUP(F1796,#REF!,10,FALSE),"")</f>
        <v/>
      </c>
      <c r="I1796" s="1240" t="str">
        <f t="shared" si="266"/>
        <v/>
      </c>
      <c r="J1796" s="265"/>
      <c r="K1796" s="1741"/>
      <c r="L1796" s="1581"/>
      <c r="M1796" s="265"/>
      <c r="N1796" s="77" t="str">
        <f t="shared" si="276"/>
        <v/>
      </c>
      <c r="O1796" s="1241"/>
      <c r="P1796" s="79" t="str">
        <f>IFERROR(VLOOKUP(F1796,#REF!,12,FALSE),"")</f>
        <v/>
      </c>
      <c r="Q1796" s="1242" t="s">
        <v>8</v>
      </c>
      <c r="R1796" s="1243" t="str">
        <f>IFERROR(VLOOKUP(F1796,#REF!,14,FALSE),"")</f>
        <v/>
      </c>
      <c r="S1796" s="1244" t="str">
        <f t="shared" si="277"/>
        <v/>
      </c>
      <c r="U1796" s="1728"/>
      <c r="V1796" s="70">
        <f t="shared" si="281"/>
        <v>0</v>
      </c>
      <c r="W1796" s="1767"/>
      <c r="X1796" s="70"/>
    </row>
    <row r="1797" spans="2:24" ht="16" thickBot="1" x14ac:dyDescent="0.25">
      <c r="B1797" s="1710" t="e">
        <f>AVERAGE(#REF!)</f>
        <v>#REF!</v>
      </c>
      <c r="C1797" s="544">
        <v>44885</v>
      </c>
      <c r="D1797" s="67">
        <v>140</v>
      </c>
      <c r="E1797" s="208" t="s">
        <v>293</v>
      </c>
      <c r="F1797" s="1553" t="s">
        <v>267</v>
      </c>
      <c r="G1797" s="1230">
        <v>2.6932870370370371E-2</v>
      </c>
      <c r="H1797" s="1231">
        <v>6.92</v>
      </c>
      <c r="I1797" s="1232">
        <f t="shared" si="266"/>
        <v>3.8920332905159494E-3</v>
      </c>
      <c r="J1797" s="256">
        <v>138</v>
      </c>
      <c r="K1797" s="1741"/>
      <c r="L1797" s="1580">
        <v>217</v>
      </c>
      <c r="M1797" s="1561">
        <v>24</v>
      </c>
      <c r="N1797" s="172">
        <f t="shared" si="276"/>
        <v>1.0891187127944093</v>
      </c>
      <c r="O1797" s="1233" t="s">
        <v>329</v>
      </c>
      <c r="P1797" s="447" t="str">
        <f>IFERROR(VLOOKUP(F1797,#REF!,12,FALSE),"")</f>
        <v/>
      </c>
      <c r="Q1797" s="1234" t="s">
        <v>8</v>
      </c>
      <c r="R1797" s="1235" t="str">
        <f>IFERROR(VLOOKUP(F1797,#REF!,14,FALSE),"")</f>
        <v/>
      </c>
      <c r="S1797" s="1236">
        <f t="shared" si="277"/>
        <v>1.5724637681159421</v>
      </c>
      <c r="U1797" s="1728"/>
      <c r="V1797" s="67">
        <f t="shared" si="281"/>
        <v>0</v>
      </c>
      <c r="W1797" s="1768"/>
      <c r="X1797" s="67"/>
    </row>
    <row r="1798" spans="2:24" ht="16" thickBot="1" x14ac:dyDescent="0.25">
      <c r="B1798" s="1661">
        <f t="shared" ref="B1798" si="284">B1791+1</f>
        <v>47</v>
      </c>
      <c r="C1798" s="1199">
        <v>44886</v>
      </c>
      <c r="D1798" s="1108"/>
      <c r="E1798" s="1109"/>
      <c r="F1798" s="1551"/>
      <c r="G1798" s="1200"/>
      <c r="H1798" s="1201" t="str">
        <f>IFERROR(VLOOKUP(F1798,#REF!,10,FALSE),"")</f>
        <v/>
      </c>
      <c r="I1798" s="1202" t="str">
        <f t="shared" si="266"/>
        <v/>
      </c>
      <c r="J1798" s="1203"/>
      <c r="K1798" s="1741"/>
      <c r="L1798" s="1577"/>
      <c r="M1798" s="1374"/>
      <c r="N1798" s="1111" t="str">
        <f t="shared" si="276"/>
        <v/>
      </c>
      <c r="O1798" s="1204"/>
      <c r="P1798" s="1113" t="str">
        <f>IFERROR(VLOOKUP(F1798,#REF!,12,FALSE),"")</f>
        <v/>
      </c>
      <c r="Q1798" s="1205" t="s">
        <v>8</v>
      </c>
      <c r="R1798" s="1206" t="str">
        <f>IFERROR(VLOOKUP(F1798,#REF!,14,FALSE),"")</f>
        <v/>
      </c>
      <c r="S1798" s="1207" t="str">
        <f t="shared" si="277"/>
        <v/>
      </c>
      <c r="U1798" s="1728"/>
      <c r="V1798" s="1108">
        <f t="shared" si="281"/>
        <v>0</v>
      </c>
      <c r="W1798" s="1766"/>
      <c r="X1798" s="1108"/>
    </row>
    <row r="1799" spans="2:24" x14ac:dyDescent="0.2">
      <c r="B1799" s="1666" t="s">
        <v>142</v>
      </c>
      <c r="C1799" s="1208">
        <v>44887</v>
      </c>
      <c r="D1799" s="864">
        <v>141</v>
      </c>
      <c r="E1799" s="865" t="s">
        <v>293</v>
      </c>
      <c r="F1799" s="1552" t="s">
        <v>267</v>
      </c>
      <c r="G1799" s="1209">
        <v>2.8020833333333332E-2</v>
      </c>
      <c r="H1799" s="1210">
        <v>7.27</v>
      </c>
      <c r="I1799" s="1211">
        <f t="shared" si="266"/>
        <v>3.8543099495644199E-3</v>
      </c>
      <c r="J1799" s="1212">
        <v>144</v>
      </c>
      <c r="K1799" s="1741"/>
      <c r="L1799" s="1578">
        <v>217</v>
      </c>
      <c r="M1799" s="1602">
        <v>14</v>
      </c>
      <c r="N1799" s="1171">
        <f t="shared" si="276"/>
        <v>1.0785624833193044</v>
      </c>
      <c r="O1799" s="1213" t="s">
        <v>327</v>
      </c>
      <c r="P1799" s="1173" t="str">
        <f>IFERROR(VLOOKUP(F1799,#REF!,12,FALSE),"")</f>
        <v/>
      </c>
      <c r="Q1799" s="1229" t="s">
        <v>8</v>
      </c>
      <c r="R1799" s="1324" t="str">
        <f>IFERROR(VLOOKUP(F1799,#REF!,14,FALSE),"")</f>
        <v/>
      </c>
      <c r="S1799" s="1217">
        <f t="shared" si="277"/>
        <v>1.5069444444444444</v>
      </c>
      <c r="U1799" s="1728"/>
      <c r="V1799" s="864">
        <f t="shared" si="281"/>
        <v>0</v>
      </c>
      <c r="W1799" s="1767"/>
      <c r="X1799" s="864"/>
    </row>
    <row r="1800" spans="2:24" ht="16" thickBot="1" x14ac:dyDescent="0.25">
      <c r="B1800" s="1654">
        <f t="shared" ref="B1800" si="285">SUM(H1798:H1804)</f>
        <v>22.869999999999997</v>
      </c>
      <c r="C1800" s="1208">
        <v>44888</v>
      </c>
      <c r="D1800" s="864"/>
      <c r="E1800" s="865"/>
      <c r="F1800" s="1552"/>
      <c r="G1800" s="1209"/>
      <c r="H1800" s="1210" t="str">
        <f>IFERROR(VLOOKUP(F1800,#REF!,10,FALSE),"")</f>
        <v/>
      </c>
      <c r="I1800" s="1211" t="str">
        <f t="shared" si="266"/>
        <v/>
      </c>
      <c r="J1800" s="1212"/>
      <c r="K1800" s="1741"/>
      <c r="L1800" s="1578"/>
      <c r="M1800" s="1602"/>
      <c r="N1800" s="1171" t="str">
        <f t="shared" si="276"/>
        <v/>
      </c>
      <c r="O1800" s="1213"/>
      <c r="P1800" s="1173" t="str">
        <f>IFERROR(VLOOKUP(F1800,#REF!,12,FALSE),"")</f>
        <v/>
      </c>
      <c r="Q1800" s="1229" t="s">
        <v>8</v>
      </c>
      <c r="R1800" s="1324" t="str">
        <f>IFERROR(VLOOKUP(F1800,#REF!,14,FALSE),"")</f>
        <v/>
      </c>
      <c r="S1800" s="1217" t="str">
        <f t="shared" si="277"/>
        <v/>
      </c>
      <c r="U1800" s="1728"/>
      <c r="V1800" s="864">
        <f t="shared" si="281"/>
        <v>0</v>
      </c>
      <c r="W1800" s="1767"/>
      <c r="X1800" s="864"/>
    </row>
    <row r="1801" spans="2:24" x14ac:dyDescent="0.2">
      <c r="B1801" s="1667" t="s">
        <v>144</v>
      </c>
      <c r="C1801" s="1208">
        <v>44889</v>
      </c>
      <c r="D1801" s="864">
        <v>142</v>
      </c>
      <c r="E1801" s="865" t="s">
        <v>293</v>
      </c>
      <c r="F1801" s="1552" t="s">
        <v>267</v>
      </c>
      <c r="G1801" s="1209">
        <v>2.7534722222222221E-2</v>
      </c>
      <c r="H1801" s="1210">
        <v>7.17</v>
      </c>
      <c r="I1801" s="1211">
        <f t="shared" si="266"/>
        <v>3.8402680923601425E-3</v>
      </c>
      <c r="J1801" s="1212">
        <v>143</v>
      </c>
      <c r="K1801" s="1741"/>
      <c r="L1801" s="1578">
        <v>220</v>
      </c>
      <c r="M1801" s="1602">
        <v>13</v>
      </c>
      <c r="N1801" s="1171">
        <f t="shared" si="276"/>
        <v>1.0894897895459938</v>
      </c>
      <c r="O1801" s="1213" t="s">
        <v>329</v>
      </c>
      <c r="P1801" s="1173" t="str">
        <f>IFERROR(VLOOKUP(F1801,#REF!,12,FALSE),"")</f>
        <v/>
      </c>
      <c r="Q1801" s="1229" t="s">
        <v>8</v>
      </c>
      <c r="R1801" s="1324" t="str">
        <f>IFERROR(VLOOKUP(F1801,#REF!,14,FALSE),"")</f>
        <v/>
      </c>
      <c r="S1801" s="1217">
        <f t="shared" si="277"/>
        <v>1.5384615384615385</v>
      </c>
      <c r="U1801" s="1728"/>
      <c r="V1801" s="864">
        <f t="shared" si="281"/>
        <v>0</v>
      </c>
      <c r="W1801" s="1767"/>
      <c r="X1801" s="864"/>
    </row>
    <row r="1802" spans="2:24" ht="16" thickBot="1" x14ac:dyDescent="0.25">
      <c r="B1802" s="1668" t="e">
        <f>SUM(#REF!)</f>
        <v>#REF!</v>
      </c>
      <c r="C1802" s="1347">
        <v>44890</v>
      </c>
      <c r="D1802" s="1348"/>
      <c r="E1802" s="1349"/>
      <c r="F1802" s="1552"/>
      <c r="G1802" s="1350"/>
      <c r="H1802" s="1351" t="str">
        <f>IFERROR(VLOOKUP(F1802,#REF!,10,FALSE),"")</f>
        <v/>
      </c>
      <c r="I1802" s="1352" t="str">
        <f t="shared" si="266"/>
        <v/>
      </c>
      <c r="J1802" s="1353"/>
      <c r="K1802" s="1741"/>
      <c r="L1802" s="1578"/>
      <c r="M1802" s="1602"/>
      <c r="N1802" s="1354" t="str">
        <f t="shared" si="276"/>
        <v/>
      </c>
      <c r="O1802" s="1355"/>
      <c r="P1802" s="1356" t="str">
        <f>IFERROR(VLOOKUP(F1802,#REF!,12,FALSE),"")</f>
        <v/>
      </c>
      <c r="Q1802" s="1357" t="s">
        <v>8</v>
      </c>
      <c r="R1802" s="1358" t="str">
        <f>IFERROR(VLOOKUP(F1802,#REF!,14,FALSE),"")</f>
        <v/>
      </c>
      <c r="S1802" s="1359" t="str">
        <f t="shared" si="277"/>
        <v/>
      </c>
      <c r="U1802" s="1728"/>
      <c r="V1802" s="1348">
        <f t="shared" si="281"/>
        <v>0</v>
      </c>
      <c r="W1802" s="1767"/>
      <c r="X1802" s="1348"/>
    </row>
    <row r="1803" spans="2:24" x14ac:dyDescent="0.2">
      <c r="B1803" s="1669" t="s">
        <v>256</v>
      </c>
      <c r="C1803" s="1237">
        <v>44891</v>
      </c>
      <c r="D1803" s="70">
        <v>143</v>
      </c>
      <c r="E1803" s="71" t="s">
        <v>292</v>
      </c>
      <c r="F1803" s="1552" t="s">
        <v>268</v>
      </c>
      <c r="G1803" s="1238">
        <v>3.3923611111111113E-2</v>
      </c>
      <c r="H1803" s="1239">
        <v>8.43</v>
      </c>
      <c r="I1803" s="1240">
        <f t="shared" si="266"/>
        <v>4.0241531567154348E-3</v>
      </c>
      <c r="J1803" s="265">
        <v>145</v>
      </c>
      <c r="K1803" s="1741"/>
      <c r="L1803" s="1581">
        <v>208</v>
      </c>
      <c r="M1803" s="265">
        <v>18</v>
      </c>
      <c r="N1803" s="77">
        <f t="shared" si="276"/>
        <v>1.0793859882084245</v>
      </c>
      <c r="O1803" s="1241" t="s">
        <v>329</v>
      </c>
      <c r="P1803" s="79" t="str">
        <f>IFERROR(VLOOKUP(F1803,#REF!,12,FALSE),"")</f>
        <v/>
      </c>
      <c r="Q1803" s="1242" t="s">
        <v>8</v>
      </c>
      <c r="R1803" s="1243" t="str">
        <f>IFERROR(VLOOKUP(F1803,#REF!,14,FALSE),"")</f>
        <v/>
      </c>
      <c r="S1803" s="1244">
        <f t="shared" si="277"/>
        <v>1.4344827586206896</v>
      </c>
      <c r="U1803" s="1728"/>
      <c r="V1803" s="70">
        <f t="shared" si="281"/>
        <v>0</v>
      </c>
      <c r="W1803" s="1767"/>
      <c r="X1803" s="70"/>
    </row>
    <row r="1804" spans="2:24" ht="16" thickBot="1" x14ac:dyDescent="0.25">
      <c r="B1804" s="1710" t="e">
        <f>AVERAGE(#REF!)</f>
        <v>#REF!</v>
      </c>
      <c r="C1804" s="544">
        <v>44892</v>
      </c>
      <c r="D1804" s="67"/>
      <c r="E1804" s="208"/>
      <c r="F1804" s="1553"/>
      <c r="G1804" s="1230"/>
      <c r="H1804" s="1231" t="str">
        <f>IFERROR(VLOOKUP(F1804,#REF!,10,FALSE),"")</f>
        <v/>
      </c>
      <c r="I1804" s="1232" t="str">
        <f t="shared" si="266"/>
        <v/>
      </c>
      <c r="J1804" s="256"/>
      <c r="K1804" s="1741"/>
      <c r="L1804" s="1580"/>
      <c r="M1804" s="1561"/>
      <c r="N1804" s="172" t="str">
        <f t="shared" si="276"/>
        <v/>
      </c>
      <c r="O1804" s="1233"/>
      <c r="P1804" s="447" t="str">
        <f>IFERROR(VLOOKUP(F1804,#REF!,12,FALSE),"")</f>
        <v/>
      </c>
      <c r="Q1804" s="1234" t="s">
        <v>8</v>
      </c>
      <c r="R1804" s="1235" t="str">
        <f>IFERROR(VLOOKUP(F1804,#REF!,14,FALSE),"")</f>
        <v/>
      </c>
      <c r="S1804" s="1236" t="str">
        <f t="shared" si="277"/>
        <v/>
      </c>
      <c r="U1804" s="1728"/>
      <c r="V1804" s="67">
        <f t="shared" si="281"/>
        <v>0</v>
      </c>
      <c r="W1804" s="1768"/>
      <c r="X1804" s="67"/>
    </row>
    <row r="1805" spans="2:24" ht="16" thickBot="1" x14ac:dyDescent="0.25">
      <c r="B1805" s="1661">
        <f t="shared" ref="B1805" si="286">B1798+1</f>
        <v>48</v>
      </c>
      <c r="C1805" s="1199">
        <v>44893</v>
      </c>
      <c r="D1805" s="1108"/>
      <c r="E1805" s="1109"/>
      <c r="F1805" s="1551"/>
      <c r="G1805" s="1200"/>
      <c r="H1805" s="1201" t="str">
        <f>IFERROR(VLOOKUP(F1805,#REF!,10,FALSE),"")</f>
        <v/>
      </c>
      <c r="I1805" s="1202" t="str">
        <f t="shared" si="266"/>
        <v/>
      </c>
      <c r="J1805" s="1203"/>
      <c r="K1805" s="1741"/>
      <c r="L1805" s="1577"/>
      <c r="M1805" s="1374"/>
      <c r="N1805" s="1111" t="str">
        <f t="shared" si="276"/>
        <v/>
      </c>
      <c r="O1805" s="1204"/>
      <c r="P1805" s="1113" t="str">
        <f>IFERROR(VLOOKUP(F1805,#REF!,12,FALSE),"")</f>
        <v/>
      </c>
      <c r="Q1805" s="1205" t="s">
        <v>8</v>
      </c>
      <c r="R1805" s="1206" t="str">
        <f>IFERROR(VLOOKUP(F1805,#REF!,14,FALSE),"")</f>
        <v/>
      </c>
      <c r="S1805" s="1207" t="str">
        <f t="shared" si="277"/>
        <v/>
      </c>
      <c r="U1805" s="1728"/>
      <c r="V1805" s="1108">
        <f t="shared" si="281"/>
        <v>0</v>
      </c>
      <c r="W1805" s="1766"/>
      <c r="X1805" s="1108"/>
    </row>
    <row r="1806" spans="2:24" x14ac:dyDescent="0.2">
      <c r="B1806" s="1666" t="s">
        <v>142</v>
      </c>
      <c r="C1806" s="1208">
        <v>44894</v>
      </c>
      <c r="D1806" s="864">
        <v>144</v>
      </c>
      <c r="E1806" s="865" t="s">
        <v>293</v>
      </c>
      <c r="F1806" s="1552" t="s">
        <v>267</v>
      </c>
      <c r="G1806" s="1209">
        <v>2.56712962962963E-2</v>
      </c>
      <c r="H1806" s="1210">
        <v>6.54</v>
      </c>
      <c r="I1806" s="1211">
        <f t="shared" si="266"/>
        <v>3.9252746630422473E-3</v>
      </c>
      <c r="J1806" s="1212">
        <v>136</v>
      </c>
      <c r="K1806" s="1741"/>
      <c r="L1806" s="1578">
        <v>214</v>
      </c>
      <c r="M1806" s="1602">
        <v>19</v>
      </c>
      <c r="N1806" s="1171">
        <f t="shared" si="276"/>
        <v>1.0832352001460588</v>
      </c>
      <c r="O1806" s="1213" t="s">
        <v>328</v>
      </c>
      <c r="P1806" s="1173" t="str">
        <f>IFERROR(VLOOKUP(F1806,#REF!,12,FALSE),"")</f>
        <v/>
      </c>
      <c r="Q1806" s="1229" t="s">
        <v>8</v>
      </c>
      <c r="R1806" s="1324" t="str">
        <f>IFERROR(VLOOKUP(F1806,#REF!,14,FALSE),"")</f>
        <v/>
      </c>
      <c r="S1806" s="1217">
        <f t="shared" si="277"/>
        <v>1.5735294117647058</v>
      </c>
      <c r="U1806" s="1728"/>
      <c r="V1806" s="864">
        <f t="shared" si="281"/>
        <v>0</v>
      </c>
      <c r="W1806" s="1767"/>
      <c r="X1806" s="864"/>
    </row>
    <row r="1807" spans="2:24" ht="16" thickBot="1" x14ac:dyDescent="0.25">
      <c r="B1807" s="1654">
        <f t="shared" ref="B1807" si="287">SUM(H1805:H1811)</f>
        <v>12.780000000000001</v>
      </c>
      <c r="C1807" s="1208">
        <v>44895</v>
      </c>
      <c r="D1807" s="864"/>
      <c r="E1807" s="865"/>
      <c r="F1807" s="1552"/>
      <c r="G1807" s="1209"/>
      <c r="H1807" s="1210" t="str">
        <f>IFERROR(VLOOKUP(F1807,#REF!,10,FALSE),"")</f>
        <v/>
      </c>
      <c r="I1807" s="1211" t="str">
        <f t="shared" si="266"/>
        <v/>
      </c>
      <c r="J1807" s="1212"/>
      <c r="K1807" s="1741"/>
      <c r="L1807" s="1578"/>
      <c r="M1807" s="1602"/>
      <c r="N1807" s="1171" t="str">
        <f t="shared" si="276"/>
        <v/>
      </c>
      <c r="O1807" s="1213"/>
      <c r="P1807" s="1173" t="str">
        <f>IFERROR(VLOOKUP(F1807,#REF!,12,FALSE),"")</f>
        <v/>
      </c>
      <c r="Q1807" s="1229" t="s">
        <v>8</v>
      </c>
      <c r="R1807" s="1324" t="str">
        <f>IFERROR(VLOOKUP(F1807,#REF!,14,FALSE),"")</f>
        <v/>
      </c>
      <c r="S1807" s="1217" t="str">
        <f t="shared" si="277"/>
        <v/>
      </c>
      <c r="U1807" s="1728"/>
      <c r="V1807" s="864">
        <f t="shared" si="281"/>
        <v>0</v>
      </c>
      <c r="W1807" s="1767"/>
      <c r="X1807" s="864"/>
    </row>
    <row r="1808" spans="2:24" x14ac:dyDescent="0.2">
      <c r="B1808" s="1667" t="s">
        <v>144</v>
      </c>
      <c r="C1808" s="1208">
        <v>44896</v>
      </c>
      <c r="D1808" s="864">
        <v>145</v>
      </c>
      <c r="E1808" s="865" t="s">
        <v>293</v>
      </c>
      <c r="F1808" s="1552" t="s">
        <v>267</v>
      </c>
      <c r="G1808" s="1209">
        <v>2.4756944444444443E-2</v>
      </c>
      <c r="H1808" s="1210">
        <v>6.24</v>
      </c>
      <c r="I1808" s="1211">
        <f t="shared" si="266"/>
        <v>3.9674590455840448E-3</v>
      </c>
      <c r="J1808" s="1212">
        <v>150</v>
      </c>
      <c r="K1808" s="1741"/>
      <c r="L1808" s="1578">
        <v>214</v>
      </c>
      <c r="M1808" s="1602">
        <v>20</v>
      </c>
      <c r="N1808" s="1171">
        <f t="shared" si="276"/>
        <v>1.0948765786452352</v>
      </c>
      <c r="O1808" s="1213" t="s">
        <v>329</v>
      </c>
      <c r="P1808" s="1173" t="str">
        <f>IFERROR(VLOOKUP(F1808,#REF!,12,FALSE),"")</f>
        <v/>
      </c>
      <c r="Q1808" s="1229" t="s">
        <v>8</v>
      </c>
      <c r="R1808" s="1324" t="str">
        <f>IFERROR(VLOOKUP(F1808,#REF!,14,FALSE),"")</f>
        <v/>
      </c>
      <c r="S1808" s="1217">
        <f t="shared" si="277"/>
        <v>1.4266666666666667</v>
      </c>
      <c r="U1808" s="1728"/>
      <c r="V1808" s="864">
        <f t="shared" si="281"/>
        <v>0</v>
      </c>
      <c r="W1808" s="1767"/>
      <c r="X1808" s="864"/>
    </row>
    <row r="1809" spans="2:24" ht="16" thickBot="1" x14ac:dyDescent="0.25">
      <c r="B1809" s="1668" t="e">
        <f>SUM(#REF!)</f>
        <v>#REF!</v>
      </c>
      <c r="C1809" s="1347">
        <v>44897</v>
      </c>
      <c r="D1809" s="1348"/>
      <c r="E1809" s="1349"/>
      <c r="F1809" s="1552"/>
      <c r="G1809" s="1350"/>
      <c r="H1809" s="1351" t="str">
        <f>IFERROR(VLOOKUP(F1809,#REF!,10,FALSE),"")</f>
        <v/>
      </c>
      <c r="I1809" s="1352" t="str">
        <f t="shared" si="266"/>
        <v/>
      </c>
      <c r="J1809" s="1353"/>
      <c r="K1809" s="1741"/>
      <c r="L1809" s="1578"/>
      <c r="M1809" s="1602"/>
      <c r="N1809" s="1354" t="str">
        <f t="shared" si="276"/>
        <v/>
      </c>
      <c r="O1809" s="1355"/>
      <c r="P1809" s="1356" t="str">
        <f>IFERROR(VLOOKUP(F1809,#REF!,12,FALSE),"")</f>
        <v/>
      </c>
      <c r="Q1809" s="1357" t="s">
        <v>8</v>
      </c>
      <c r="R1809" s="1358" t="str">
        <f>IFERROR(VLOOKUP(F1809,#REF!,14,FALSE),"")</f>
        <v/>
      </c>
      <c r="S1809" s="1359" t="str">
        <f t="shared" si="277"/>
        <v/>
      </c>
      <c r="U1809" s="1728"/>
      <c r="V1809" s="1348">
        <f t="shared" si="281"/>
        <v>0</v>
      </c>
      <c r="W1809" s="1767"/>
      <c r="X1809" s="1348"/>
    </row>
    <row r="1810" spans="2:24" x14ac:dyDescent="0.2">
      <c r="B1810" s="1669" t="s">
        <v>256</v>
      </c>
      <c r="C1810" s="1237">
        <v>44898</v>
      </c>
      <c r="D1810" s="70"/>
      <c r="E1810" s="71"/>
      <c r="F1810" s="1552"/>
      <c r="G1810" s="1238"/>
      <c r="H1810" s="1239" t="str">
        <f>IFERROR(VLOOKUP(F1810,#REF!,10,FALSE),"")</f>
        <v/>
      </c>
      <c r="I1810" s="1240" t="str">
        <f t="shared" ref="I1810:I1839" si="288">IFERROR(G1810/H1810,"")</f>
        <v/>
      </c>
      <c r="J1810" s="265"/>
      <c r="K1810" s="1741"/>
      <c r="L1810" s="1581"/>
      <c r="M1810" s="265"/>
      <c r="N1810" s="77" t="str">
        <f t="shared" si="276"/>
        <v/>
      </c>
      <c r="O1810" s="1241"/>
      <c r="P1810" s="79" t="str">
        <f>IFERROR(VLOOKUP(F1810,#REF!,12,FALSE),"")</f>
        <v/>
      </c>
      <c r="Q1810" s="1242" t="s">
        <v>8</v>
      </c>
      <c r="R1810" s="1243" t="str">
        <f>IFERROR(VLOOKUP(F1810,#REF!,14,FALSE),"")</f>
        <v/>
      </c>
      <c r="S1810" s="1244" t="str">
        <f t="shared" si="277"/>
        <v/>
      </c>
      <c r="U1810" s="1728"/>
      <c r="V1810" s="70">
        <f t="shared" si="281"/>
        <v>0</v>
      </c>
      <c r="W1810" s="1767"/>
      <c r="X1810" s="70"/>
    </row>
    <row r="1811" spans="2:24" ht="16" thickBot="1" x14ac:dyDescent="0.25">
      <c r="B1811" s="1710" t="e">
        <f>AVERAGE(#REF!)</f>
        <v>#REF!</v>
      </c>
      <c r="C1811" s="544">
        <v>44899</v>
      </c>
      <c r="D1811" s="67"/>
      <c r="E1811" s="208"/>
      <c r="F1811" s="1553"/>
      <c r="G1811" s="1230"/>
      <c r="H1811" s="1231" t="str">
        <f>IFERROR(VLOOKUP(F1811,#REF!,10,FALSE),"")</f>
        <v/>
      </c>
      <c r="I1811" s="1232" t="str">
        <f t="shared" si="288"/>
        <v/>
      </c>
      <c r="J1811" s="256"/>
      <c r="K1811" s="1741"/>
      <c r="L1811" s="1580"/>
      <c r="M1811" s="1561"/>
      <c r="N1811" s="172" t="str">
        <f t="shared" si="276"/>
        <v/>
      </c>
      <c r="O1811" s="1233"/>
      <c r="P1811" s="447" t="str">
        <f>IFERROR(VLOOKUP(F1811,#REF!,12,FALSE),"")</f>
        <v/>
      </c>
      <c r="Q1811" s="1234" t="s">
        <v>8</v>
      </c>
      <c r="R1811" s="1235" t="str">
        <f>IFERROR(VLOOKUP(F1811,#REF!,14,FALSE),"")</f>
        <v/>
      </c>
      <c r="S1811" s="1236" t="str">
        <f t="shared" si="277"/>
        <v/>
      </c>
      <c r="U1811" s="1728"/>
      <c r="V1811" s="67">
        <f t="shared" si="281"/>
        <v>0</v>
      </c>
      <c r="W1811" s="1768"/>
      <c r="X1811" s="67"/>
    </row>
    <row r="1812" spans="2:24" ht="16" thickBot="1" x14ac:dyDescent="0.25">
      <c r="B1812" s="1661">
        <f t="shared" ref="B1812" si="289">B1805+1</f>
        <v>49</v>
      </c>
      <c r="C1812" s="1199">
        <v>44900</v>
      </c>
      <c r="D1812" s="1108"/>
      <c r="E1812" s="1109"/>
      <c r="F1812" s="1551"/>
      <c r="G1812" s="1200"/>
      <c r="H1812" s="1201" t="str">
        <f>IFERROR(VLOOKUP(F1812,#REF!,10,FALSE),"")</f>
        <v/>
      </c>
      <c r="I1812" s="1202" t="str">
        <f t="shared" si="288"/>
        <v/>
      </c>
      <c r="J1812" s="1203"/>
      <c r="K1812" s="1741"/>
      <c r="L1812" s="1577"/>
      <c r="M1812" s="1374"/>
      <c r="N1812" s="1111" t="str">
        <f t="shared" si="276"/>
        <v/>
      </c>
      <c r="O1812" s="1204"/>
      <c r="P1812" s="1113" t="str">
        <f>IFERROR(VLOOKUP(F1812,#REF!,12,FALSE),"")</f>
        <v/>
      </c>
      <c r="Q1812" s="1205" t="s">
        <v>8</v>
      </c>
      <c r="R1812" s="1206" t="str">
        <f>IFERROR(VLOOKUP(F1812,#REF!,14,FALSE),"")</f>
        <v/>
      </c>
      <c r="S1812" s="1207" t="str">
        <f t="shared" si="277"/>
        <v/>
      </c>
      <c r="U1812" s="1728"/>
      <c r="V1812" s="1108">
        <f t="shared" si="281"/>
        <v>0</v>
      </c>
      <c r="W1812" s="1766"/>
      <c r="X1812" s="1108"/>
    </row>
    <row r="1813" spans="2:24" x14ac:dyDescent="0.2">
      <c r="B1813" s="1666" t="s">
        <v>142</v>
      </c>
      <c r="C1813" s="1208">
        <v>44901</v>
      </c>
      <c r="D1813" s="864"/>
      <c r="E1813" s="865"/>
      <c r="F1813" s="1552"/>
      <c r="G1813" s="1209"/>
      <c r="H1813" s="1210" t="str">
        <f>IFERROR(VLOOKUP(F1813,#REF!,10,FALSE),"")</f>
        <v/>
      </c>
      <c r="I1813" s="1211" t="str">
        <f t="shared" si="288"/>
        <v/>
      </c>
      <c r="J1813" s="1212"/>
      <c r="K1813" s="1741"/>
      <c r="L1813" s="1578"/>
      <c r="M1813" s="1602"/>
      <c r="N1813" s="1171" t="str">
        <f t="shared" si="276"/>
        <v/>
      </c>
      <c r="O1813" s="1213"/>
      <c r="P1813" s="1173" t="str">
        <f>IFERROR(VLOOKUP(F1813,#REF!,12,FALSE),"")</f>
        <v/>
      </c>
      <c r="Q1813" s="1229" t="s">
        <v>8</v>
      </c>
      <c r="R1813" s="1324" t="str">
        <f>IFERROR(VLOOKUP(F1813,#REF!,14,FALSE),"")</f>
        <v/>
      </c>
      <c r="S1813" s="1217" t="str">
        <f t="shared" si="277"/>
        <v/>
      </c>
      <c r="U1813" s="1728"/>
      <c r="V1813" s="864">
        <f t="shared" si="281"/>
        <v>0</v>
      </c>
      <c r="W1813" s="1767"/>
      <c r="X1813" s="864"/>
    </row>
    <row r="1814" spans="2:24" ht="16" thickBot="1" x14ac:dyDescent="0.25">
      <c r="B1814" s="1654">
        <f t="shared" ref="B1814" si="290">SUM(H1812:H1818)</f>
        <v>14.33</v>
      </c>
      <c r="C1814" s="1208">
        <v>44902</v>
      </c>
      <c r="D1814" s="864">
        <v>146</v>
      </c>
      <c r="E1814" s="865" t="s">
        <v>293</v>
      </c>
      <c r="F1814" s="1552" t="s">
        <v>268</v>
      </c>
      <c r="G1814" s="1209">
        <v>3.5300925925925923E-2</v>
      </c>
      <c r="H1814" s="1210">
        <v>8.74</v>
      </c>
      <c r="I1814" s="1211">
        <f t="shared" si="288"/>
        <v>4.0390075430121195E-3</v>
      </c>
      <c r="J1814" s="1212">
        <v>140</v>
      </c>
      <c r="K1814" s="1741"/>
      <c r="L1814" s="1578">
        <v>209</v>
      </c>
      <c r="M1814" s="1602">
        <v>28</v>
      </c>
      <c r="N1814" s="1171">
        <f t="shared" si="276"/>
        <v>1.0885788449059055</v>
      </c>
      <c r="O1814" s="1213" t="s">
        <v>329</v>
      </c>
      <c r="P1814" s="1173" t="str">
        <f>IFERROR(VLOOKUP(F1814,#REF!,12,FALSE),"")</f>
        <v/>
      </c>
      <c r="Q1814" s="1229" t="s">
        <v>8</v>
      </c>
      <c r="R1814" s="1324" t="str">
        <f>IFERROR(VLOOKUP(F1814,#REF!,14,FALSE),"")</f>
        <v/>
      </c>
      <c r="S1814" s="1217">
        <f t="shared" si="277"/>
        <v>1.4928571428571429</v>
      </c>
      <c r="U1814" s="1728"/>
      <c r="V1814" s="864">
        <f t="shared" si="281"/>
        <v>0</v>
      </c>
      <c r="W1814" s="1767"/>
      <c r="X1814" s="864"/>
    </row>
    <row r="1815" spans="2:24" x14ac:dyDescent="0.2">
      <c r="B1815" s="1667" t="s">
        <v>144</v>
      </c>
      <c r="C1815" s="1208">
        <v>44903</v>
      </c>
      <c r="D1815" s="864"/>
      <c r="E1815" s="865"/>
      <c r="F1815" s="1552"/>
      <c r="G1815" s="1209"/>
      <c r="H1815" s="1210" t="str">
        <f>IFERROR(VLOOKUP(F1815,#REF!,10,FALSE),"")</f>
        <v/>
      </c>
      <c r="I1815" s="1211" t="str">
        <f t="shared" si="288"/>
        <v/>
      </c>
      <c r="J1815" s="1212"/>
      <c r="K1815" s="1741"/>
      <c r="L1815" s="1578"/>
      <c r="M1815" s="1602"/>
      <c r="N1815" s="1171" t="str">
        <f t="shared" si="276"/>
        <v/>
      </c>
      <c r="O1815" s="1213"/>
      <c r="P1815" s="1173" t="str">
        <f>IFERROR(VLOOKUP(F1815,#REF!,12,FALSE),"")</f>
        <v/>
      </c>
      <c r="Q1815" s="1229" t="s">
        <v>8</v>
      </c>
      <c r="R1815" s="1324" t="str">
        <f>IFERROR(VLOOKUP(F1815,#REF!,14,FALSE),"")</f>
        <v/>
      </c>
      <c r="S1815" s="1217" t="str">
        <f t="shared" si="277"/>
        <v/>
      </c>
      <c r="U1815" s="1728"/>
      <c r="V1815" s="864">
        <f t="shared" si="281"/>
        <v>0</v>
      </c>
      <c r="W1815" s="1767"/>
      <c r="X1815" s="864"/>
    </row>
    <row r="1816" spans="2:24" ht="16" thickBot="1" x14ac:dyDescent="0.25">
      <c r="B1816" s="1668" t="e">
        <f>SUM(#REF!)</f>
        <v>#REF!</v>
      </c>
      <c r="C1816" s="1347">
        <v>44904</v>
      </c>
      <c r="D1816" s="1348"/>
      <c r="E1816" s="1349"/>
      <c r="F1816" s="1552"/>
      <c r="G1816" s="1350"/>
      <c r="H1816" s="1351" t="str">
        <f>IFERROR(VLOOKUP(F1816,#REF!,10,FALSE),"")</f>
        <v/>
      </c>
      <c r="I1816" s="1352" t="str">
        <f t="shared" si="288"/>
        <v/>
      </c>
      <c r="J1816" s="1353"/>
      <c r="K1816" s="1741"/>
      <c r="L1816" s="1578"/>
      <c r="M1816" s="1602"/>
      <c r="N1816" s="1354" t="str">
        <f t="shared" si="276"/>
        <v/>
      </c>
      <c r="O1816" s="1355"/>
      <c r="P1816" s="1356" t="str">
        <f>IFERROR(VLOOKUP(F1816,#REF!,12,FALSE),"")</f>
        <v/>
      </c>
      <c r="Q1816" s="1357" t="s">
        <v>8</v>
      </c>
      <c r="R1816" s="1358" t="str">
        <f>IFERROR(VLOOKUP(F1816,#REF!,14,FALSE),"")</f>
        <v/>
      </c>
      <c r="S1816" s="1359" t="str">
        <f t="shared" si="277"/>
        <v/>
      </c>
      <c r="U1816" s="1728"/>
      <c r="V1816" s="1348">
        <f t="shared" si="281"/>
        <v>0</v>
      </c>
      <c r="W1816" s="1767"/>
      <c r="X1816" s="1348"/>
    </row>
    <row r="1817" spans="2:24" x14ac:dyDescent="0.2">
      <c r="B1817" s="1669" t="s">
        <v>256</v>
      </c>
      <c r="C1817" s="1237">
        <v>44905</v>
      </c>
      <c r="D1817" s="70"/>
      <c r="E1817" s="71"/>
      <c r="F1817" s="1552"/>
      <c r="G1817" s="1238"/>
      <c r="H1817" s="1239" t="str">
        <f>IFERROR(VLOOKUP(F1817,#REF!,10,FALSE),"")</f>
        <v/>
      </c>
      <c r="I1817" s="1240" t="str">
        <f t="shared" si="288"/>
        <v/>
      </c>
      <c r="J1817" s="265"/>
      <c r="K1817" s="1741"/>
      <c r="L1817" s="1581"/>
      <c r="M1817" s="265"/>
      <c r="N1817" s="77" t="str">
        <f t="shared" si="276"/>
        <v/>
      </c>
      <c r="O1817" s="1241"/>
      <c r="P1817" s="79" t="str">
        <f>IFERROR(VLOOKUP(F1817,#REF!,12,FALSE),"")</f>
        <v/>
      </c>
      <c r="Q1817" s="1242" t="s">
        <v>8</v>
      </c>
      <c r="R1817" s="1243" t="str">
        <f>IFERROR(VLOOKUP(F1817,#REF!,14,FALSE),"")</f>
        <v/>
      </c>
      <c r="S1817" s="1244" t="str">
        <f t="shared" si="277"/>
        <v/>
      </c>
      <c r="U1817" s="1728"/>
      <c r="V1817" s="70">
        <f t="shared" si="281"/>
        <v>0</v>
      </c>
      <c r="W1817" s="1767"/>
      <c r="X1817" s="70"/>
    </row>
    <row r="1818" spans="2:24" ht="16" thickBot="1" x14ac:dyDescent="0.25">
      <c r="B1818" s="1710" t="e">
        <f>AVERAGE(#REF!)</f>
        <v>#REF!</v>
      </c>
      <c r="C1818" s="544">
        <v>44906</v>
      </c>
      <c r="D1818" s="67">
        <v>147</v>
      </c>
      <c r="E1818" s="208" t="s">
        <v>293</v>
      </c>
      <c r="F1818" s="1553" t="s">
        <v>267</v>
      </c>
      <c r="G1818" s="1230">
        <v>2.2546296296296297E-2</v>
      </c>
      <c r="H1818" s="1231">
        <v>5.59</v>
      </c>
      <c r="I1818" s="1232">
        <f t="shared" si="288"/>
        <v>4.0333267077453123E-3</v>
      </c>
      <c r="J1818" s="256">
        <v>139</v>
      </c>
      <c r="K1818" s="1741"/>
      <c r="L1818" s="1580">
        <v>207</v>
      </c>
      <c r="M1818" s="1561">
        <v>12</v>
      </c>
      <c r="N1818" s="172">
        <f t="shared" si="276"/>
        <v>1.0766453955624382</v>
      </c>
      <c r="O1818" s="1233" t="s">
        <v>329</v>
      </c>
      <c r="P1818" s="447" t="str">
        <f>IFERROR(VLOOKUP(F1818,#REF!,12,FALSE),"")</f>
        <v/>
      </c>
      <c r="Q1818" s="1234" t="s">
        <v>8</v>
      </c>
      <c r="R1818" s="1235" t="str">
        <f>IFERROR(VLOOKUP(F1818,#REF!,14,FALSE),"")</f>
        <v/>
      </c>
      <c r="S1818" s="1236">
        <f t="shared" si="277"/>
        <v>1.4892086330935252</v>
      </c>
      <c r="U1818" s="1728"/>
      <c r="V1818" s="67">
        <f t="shared" si="281"/>
        <v>0</v>
      </c>
      <c r="W1818" s="1768"/>
      <c r="X1818" s="67"/>
    </row>
    <row r="1819" spans="2:24" ht="16" thickBot="1" x14ac:dyDescent="0.25">
      <c r="B1819" s="1661">
        <f t="shared" ref="B1819" si="291">B1812+1</f>
        <v>50</v>
      </c>
      <c r="C1819" s="1199">
        <v>44907</v>
      </c>
      <c r="D1819" s="1108"/>
      <c r="E1819" s="1109"/>
      <c r="F1819" s="1536"/>
      <c r="G1819" s="1200"/>
      <c r="H1819" s="1201" t="str">
        <f>IFERROR(VLOOKUP(F1819,#REF!,10,FALSE),"")</f>
        <v/>
      </c>
      <c r="I1819" s="1202" t="str">
        <f t="shared" si="288"/>
        <v/>
      </c>
      <c r="J1819" s="1203"/>
      <c r="K1819" s="1741"/>
      <c r="L1819" s="1577"/>
      <c r="M1819" s="1374"/>
      <c r="N1819" s="1111" t="str">
        <f t="shared" si="276"/>
        <v/>
      </c>
      <c r="O1819" s="1204"/>
      <c r="P1819" s="1113" t="str">
        <f>IFERROR(VLOOKUP(F1819,#REF!,12,FALSE),"")</f>
        <v/>
      </c>
      <c r="Q1819" s="1205" t="s">
        <v>8</v>
      </c>
      <c r="R1819" s="1206" t="str">
        <f>IFERROR(VLOOKUP(F1819,#REF!,14,FALSE),"")</f>
        <v/>
      </c>
      <c r="S1819" s="1207" t="str">
        <f t="shared" si="277"/>
        <v/>
      </c>
      <c r="U1819" s="1728"/>
      <c r="V1819" s="1108">
        <f t="shared" si="281"/>
        <v>0</v>
      </c>
      <c r="W1819" s="1766"/>
      <c r="X1819" s="1108"/>
    </row>
    <row r="1820" spans="2:24" x14ac:dyDescent="0.2">
      <c r="B1820" s="1666" t="s">
        <v>142</v>
      </c>
      <c r="C1820" s="1208">
        <v>44908</v>
      </c>
      <c r="D1820" s="864"/>
      <c r="E1820" s="865"/>
      <c r="F1820" s="1534"/>
      <c r="G1820" s="1209"/>
      <c r="H1820" s="1210" t="str">
        <f>IFERROR(VLOOKUP(F1820,#REF!,10,FALSE),"")</f>
        <v/>
      </c>
      <c r="I1820" s="1211" t="str">
        <f t="shared" si="288"/>
        <v/>
      </c>
      <c r="J1820" s="1212"/>
      <c r="K1820" s="1741"/>
      <c r="L1820" s="1578"/>
      <c r="M1820" s="1602"/>
      <c r="N1820" s="1171" t="str">
        <f t="shared" si="276"/>
        <v/>
      </c>
      <c r="O1820" s="1213"/>
      <c r="P1820" s="1173" t="str">
        <f>IFERROR(VLOOKUP(F1820,#REF!,12,FALSE),"")</f>
        <v/>
      </c>
      <c r="Q1820" s="1229" t="s">
        <v>8</v>
      </c>
      <c r="R1820" s="1324" t="str">
        <f>IFERROR(VLOOKUP(F1820,#REF!,14,FALSE),"")</f>
        <v/>
      </c>
      <c r="S1820" s="1217" t="str">
        <f t="shared" si="277"/>
        <v/>
      </c>
      <c r="U1820" s="1728"/>
      <c r="V1820" s="864">
        <f t="shared" si="281"/>
        <v>0</v>
      </c>
      <c r="W1820" s="1767"/>
      <c r="X1820" s="864"/>
    </row>
    <row r="1821" spans="2:24" ht="16" thickBot="1" x14ac:dyDescent="0.25">
      <c r="B1821" s="1654">
        <f t="shared" ref="B1821" si="292">SUM(H1819:H1825)</f>
        <v>0</v>
      </c>
      <c r="C1821" s="1208">
        <v>44909</v>
      </c>
      <c r="D1821" s="864"/>
      <c r="E1821" s="865"/>
      <c r="F1821" s="1534"/>
      <c r="G1821" s="1209"/>
      <c r="H1821" s="1210" t="str">
        <f>IFERROR(VLOOKUP(F1821,#REF!,10,FALSE),"")</f>
        <v/>
      </c>
      <c r="I1821" s="1211" t="str">
        <f t="shared" si="288"/>
        <v/>
      </c>
      <c r="J1821" s="1212"/>
      <c r="K1821" s="1741"/>
      <c r="L1821" s="1578"/>
      <c r="M1821" s="1602"/>
      <c r="N1821" s="1171" t="str">
        <f t="shared" si="276"/>
        <v/>
      </c>
      <c r="O1821" s="1213"/>
      <c r="P1821" s="1173" t="str">
        <f>IFERROR(VLOOKUP(F1821,#REF!,12,FALSE),"")</f>
        <v/>
      </c>
      <c r="Q1821" s="1229" t="s">
        <v>8</v>
      </c>
      <c r="R1821" s="1324" t="str">
        <f>IFERROR(VLOOKUP(F1821,#REF!,14,FALSE),"")</f>
        <v/>
      </c>
      <c r="S1821" s="1217" t="str">
        <f t="shared" si="277"/>
        <v/>
      </c>
      <c r="U1821" s="1728"/>
      <c r="V1821" s="864">
        <f t="shared" si="281"/>
        <v>0</v>
      </c>
      <c r="W1821" s="1767"/>
      <c r="X1821" s="864"/>
    </row>
    <row r="1822" spans="2:24" x14ac:dyDescent="0.2">
      <c r="B1822" s="1667" t="s">
        <v>144</v>
      </c>
      <c r="C1822" s="1208">
        <v>44910</v>
      </c>
      <c r="D1822" s="864"/>
      <c r="E1822" s="865"/>
      <c r="F1822" s="1534"/>
      <c r="G1822" s="1209"/>
      <c r="H1822" s="1210" t="str">
        <f>IFERROR(VLOOKUP(F1822,#REF!,10,FALSE),"")</f>
        <v/>
      </c>
      <c r="I1822" s="1211" t="str">
        <f t="shared" si="288"/>
        <v/>
      </c>
      <c r="J1822" s="1212"/>
      <c r="K1822" s="1741"/>
      <c r="L1822" s="1578"/>
      <c r="M1822" s="1602"/>
      <c r="N1822" s="1171" t="str">
        <f t="shared" si="276"/>
        <v/>
      </c>
      <c r="O1822" s="1213"/>
      <c r="P1822" s="1173" t="str">
        <f>IFERROR(VLOOKUP(F1822,#REF!,12,FALSE),"")</f>
        <v/>
      </c>
      <c r="Q1822" s="1229" t="s">
        <v>8</v>
      </c>
      <c r="R1822" s="1324" t="str">
        <f>IFERROR(VLOOKUP(F1822,#REF!,14,FALSE),"")</f>
        <v/>
      </c>
      <c r="S1822" s="1217" t="str">
        <f t="shared" si="277"/>
        <v/>
      </c>
      <c r="U1822" s="1728"/>
      <c r="V1822" s="864">
        <f t="shared" si="281"/>
        <v>0</v>
      </c>
      <c r="W1822" s="1767"/>
      <c r="X1822" s="864"/>
    </row>
    <row r="1823" spans="2:24" ht="16" thickBot="1" x14ac:dyDescent="0.25">
      <c r="B1823" s="1668" t="e">
        <f>SUM(#REF!)</f>
        <v>#REF!</v>
      </c>
      <c r="C1823" s="1347">
        <v>44911</v>
      </c>
      <c r="D1823" s="1348"/>
      <c r="E1823" s="1349"/>
      <c r="F1823" s="1550"/>
      <c r="G1823" s="1350"/>
      <c r="H1823" s="1351" t="str">
        <f>IFERROR(VLOOKUP(F1823,#REF!,10,FALSE),"")</f>
        <v/>
      </c>
      <c r="I1823" s="1352" t="str">
        <f t="shared" si="288"/>
        <v/>
      </c>
      <c r="J1823" s="1353"/>
      <c r="K1823" s="1741"/>
      <c r="L1823" s="1578"/>
      <c r="M1823" s="1602"/>
      <c r="N1823" s="1354" t="str">
        <f t="shared" si="276"/>
        <v/>
      </c>
      <c r="O1823" s="1355"/>
      <c r="P1823" s="1356" t="str">
        <f>IFERROR(VLOOKUP(F1823,#REF!,12,FALSE),"")</f>
        <v/>
      </c>
      <c r="Q1823" s="1357" t="s">
        <v>8</v>
      </c>
      <c r="R1823" s="1358" t="str">
        <f>IFERROR(VLOOKUP(F1823,#REF!,14,FALSE),"")</f>
        <v/>
      </c>
      <c r="S1823" s="1359" t="str">
        <f t="shared" si="277"/>
        <v/>
      </c>
      <c r="U1823" s="1728"/>
      <c r="V1823" s="1348">
        <f t="shared" si="281"/>
        <v>0</v>
      </c>
      <c r="W1823" s="1767"/>
      <c r="X1823" s="1348"/>
    </row>
    <row r="1824" spans="2:24" x14ac:dyDescent="0.2">
      <c r="B1824" s="1669" t="s">
        <v>256</v>
      </c>
      <c r="C1824" s="1237">
        <v>44912</v>
      </c>
      <c r="D1824" s="70"/>
      <c r="E1824" s="71"/>
      <c r="F1824" s="1549"/>
      <c r="G1824" s="1238"/>
      <c r="H1824" s="1239" t="str">
        <f>IFERROR(VLOOKUP(F1824,#REF!,10,FALSE),"")</f>
        <v/>
      </c>
      <c r="I1824" s="1240" t="str">
        <f t="shared" si="288"/>
        <v/>
      </c>
      <c r="J1824" s="265"/>
      <c r="K1824" s="1741"/>
      <c r="L1824" s="1581"/>
      <c r="M1824" s="265"/>
      <c r="N1824" s="77" t="str">
        <f t="shared" si="276"/>
        <v/>
      </c>
      <c r="O1824" s="1241"/>
      <c r="P1824" s="79" t="str">
        <f>IFERROR(VLOOKUP(F1824,#REF!,12,FALSE),"")</f>
        <v/>
      </c>
      <c r="Q1824" s="1242" t="s">
        <v>8</v>
      </c>
      <c r="R1824" s="1243" t="str">
        <f>IFERROR(VLOOKUP(F1824,#REF!,14,FALSE),"")</f>
        <v/>
      </c>
      <c r="S1824" s="1244" t="str">
        <f t="shared" si="277"/>
        <v/>
      </c>
      <c r="U1824" s="1728"/>
      <c r="V1824" s="70">
        <f t="shared" si="281"/>
        <v>0</v>
      </c>
      <c r="W1824" s="1767"/>
      <c r="X1824" s="70"/>
    </row>
    <row r="1825" spans="1:24" ht="16" thickBot="1" x14ac:dyDescent="0.25">
      <c r="B1825" s="1670" t="e">
        <f>AVERAGE(#REF!)</f>
        <v>#REF!</v>
      </c>
      <c r="C1825" s="544">
        <v>44913</v>
      </c>
      <c r="D1825" s="67"/>
      <c r="E1825" s="208"/>
      <c r="F1825" s="1538"/>
      <c r="G1825" s="1230"/>
      <c r="H1825" s="1231" t="str">
        <f>IFERROR(VLOOKUP(F1825,#REF!,10,FALSE),"")</f>
        <v/>
      </c>
      <c r="I1825" s="1232" t="str">
        <f t="shared" si="288"/>
        <v/>
      </c>
      <c r="J1825" s="256"/>
      <c r="K1825" s="1741"/>
      <c r="L1825" s="1580"/>
      <c r="M1825" s="1561"/>
      <c r="N1825" s="172" t="str">
        <f t="shared" si="276"/>
        <v/>
      </c>
      <c r="O1825" s="1233"/>
      <c r="P1825" s="447" t="str">
        <f>IFERROR(VLOOKUP(F1825,#REF!,12,FALSE),"")</f>
        <v/>
      </c>
      <c r="Q1825" s="1234" t="s">
        <v>8</v>
      </c>
      <c r="R1825" s="1235" t="str">
        <f>IFERROR(VLOOKUP(F1825,#REF!,14,FALSE),"")</f>
        <v/>
      </c>
      <c r="S1825" s="1236" t="str">
        <f t="shared" si="277"/>
        <v/>
      </c>
      <c r="U1825" s="1728"/>
      <c r="V1825" s="67">
        <f t="shared" si="281"/>
        <v>0</v>
      </c>
      <c r="W1825" s="1768"/>
      <c r="X1825" s="67"/>
    </row>
    <row r="1826" spans="1:24" ht="16" thickBot="1" x14ac:dyDescent="0.25">
      <c r="B1826" s="1661">
        <f t="shared" ref="B1826" si="293">B1819+1</f>
        <v>51</v>
      </c>
      <c r="C1826" s="1199">
        <v>44914</v>
      </c>
      <c r="D1826" s="1108">
        <v>148</v>
      </c>
      <c r="E1826" s="1109" t="s">
        <v>293</v>
      </c>
      <c r="F1826" s="1536" t="s">
        <v>267</v>
      </c>
      <c r="G1826" s="1200">
        <v>2.7534722222222221E-2</v>
      </c>
      <c r="H1826" s="1201">
        <v>6.71</v>
      </c>
      <c r="I1826" s="1202">
        <f t="shared" si="288"/>
        <v>4.1035353535353531E-3</v>
      </c>
      <c r="J1826" s="1203">
        <v>138</v>
      </c>
      <c r="K1826" s="1741"/>
      <c r="L1826" s="1577">
        <v>206</v>
      </c>
      <c r="M1826" s="1374">
        <v>15</v>
      </c>
      <c r="N1826" s="1111">
        <f t="shared" si="276"/>
        <v>1.0900949796472184</v>
      </c>
      <c r="O1826" s="1204" t="s">
        <v>327</v>
      </c>
      <c r="P1826" s="1113" t="str">
        <f>IFERROR(VLOOKUP(F1826,#REF!,12,FALSE),"")</f>
        <v/>
      </c>
      <c r="Q1826" s="1205" t="s">
        <v>8</v>
      </c>
      <c r="R1826" s="1206" t="str">
        <f>IFERROR(VLOOKUP(F1826,#REF!,14,FALSE),"")</f>
        <v/>
      </c>
      <c r="S1826" s="1207">
        <f t="shared" si="277"/>
        <v>1.4927536231884058</v>
      </c>
      <c r="U1826" s="1728"/>
      <c r="V1826" s="1108">
        <f t="shared" si="281"/>
        <v>0</v>
      </c>
      <c r="W1826" s="1766"/>
      <c r="X1826" s="1108"/>
    </row>
    <row r="1827" spans="1:24" x14ac:dyDescent="0.2">
      <c r="B1827" s="1666" t="s">
        <v>142</v>
      </c>
      <c r="C1827" s="1208">
        <v>44915</v>
      </c>
      <c r="D1827" s="864"/>
      <c r="E1827" s="865"/>
      <c r="F1827" s="1534"/>
      <c r="G1827" s="1209"/>
      <c r="H1827" s="1210" t="str">
        <f>IFERROR(VLOOKUP(F1827,#REF!,10,FALSE),"")</f>
        <v/>
      </c>
      <c r="I1827" s="1211" t="str">
        <f t="shared" si="288"/>
        <v/>
      </c>
      <c r="J1827" s="1212"/>
      <c r="K1827" s="1741"/>
      <c r="L1827" s="1578"/>
      <c r="M1827" s="1602"/>
      <c r="N1827" s="1171" t="str">
        <f t="shared" si="276"/>
        <v/>
      </c>
      <c r="O1827" s="1213"/>
      <c r="P1827" s="1173" t="str">
        <f>IFERROR(VLOOKUP(F1827,#REF!,12,FALSE),"")</f>
        <v/>
      </c>
      <c r="Q1827" s="1229" t="s">
        <v>8</v>
      </c>
      <c r="R1827" s="1324" t="str">
        <f>IFERROR(VLOOKUP(F1827,#REF!,14,FALSE),"")</f>
        <v/>
      </c>
      <c r="S1827" s="1217" t="str">
        <f t="shared" si="277"/>
        <v/>
      </c>
      <c r="U1827" s="1728"/>
      <c r="V1827" s="864">
        <f t="shared" si="281"/>
        <v>0</v>
      </c>
      <c r="W1827" s="1767"/>
      <c r="X1827" s="864"/>
    </row>
    <row r="1828" spans="1:24" ht="16" thickBot="1" x14ac:dyDescent="0.25">
      <c r="B1828" s="1654">
        <f t="shared" ref="B1828" si="294">SUM(H1826:H1832)</f>
        <v>25.86</v>
      </c>
      <c r="C1828" s="1208">
        <v>44916</v>
      </c>
      <c r="D1828" s="864">
        <v>149</v>
      </c>
      <c r="E1828" s="865" t="s">
        <v>293</v>
      </c>
      <c r="F1828" s="1534" t="s">
        <v>322</v>
      </c>
      <c r="G1828" s="1209">
        <v>3.3043981481481487E-2</v>
      </c>
      <c r="H1828" s="1210">
        <v>8.85</v>
      </c>
      <c r="I1828" s="1211">
        <f t="shared" si="288"/>
        <v>3.733783218246496E-3</v>
      </c>
      <c r="J1828" s="1212">
        <v>143</v>
      </c>
      <c r="K1828" s="1741"/>
      <c r="L1828" s="1578">
        <v>226</v>
      </c>
      <c r="M1828" s="1602">
        <v>29</v>
      </c>
      <c r="N1828" s="1171">
        <f t="shared" si="276"/>
        <v>1.0881693228771399</v>
      </c>
      <c r="O1828" s="1213" t="s">
        <v>327</v>
      </c>
      <c r="P1828" s="1173" t="str">
        <f>IFERROR(VLOOKUP(F1828,#REF!,12,FALSE),"")</f>
        <v/>
      </c>
      <c r="Q1828" s="1229" t="s">
        <v>8</v>
      </c>
      <c r="R1828" s="1324" t="str">
        <f>IFERROR(VLOOKUP(F1828,#REF!,14,FALSE),"")</f>
        <v/>
      </c>
      <c r="S1828" s="1217">
        <f t="shared" si="277"/>
        <v>1.5804195804195804</v>
      </c>
      <c r="U1828" s="1728"/>
      <c r="V1828" s="864">
        <f t="shared" si="281"/>
        <v>0</v>
      </c>
      <c r="W1828" s="1767"/>
      <c r="X1828" s="864"/>
    </row>
    <row r="1829" spans="1:24" x14ac:dyDescent="0.2">
      <c r="B1829" s="1667" t="s">
        <v>144</v>
      </c>
      <c r="C1829" s="1208">
        <v>44917</v>
      </c>
      <c r="D1829" s="864"/>
      <c r="E1829" s="865"/>
      <c r="F1829" s="1534"/>
      <c r="G1829" s="1209"/>
      <c r="H1829" s="1210" t="str">
        <f>IFERROR(VLOOKUP(F1829,#REF!,10,FALSE),"")</f>
        <v/>
      </c>
      <c r="I1829" s="1211" t="str">
        <f t="shared" si="288"/>
        <v/>
      </c>
      <c r="J1829" s="1212"/>
      <c r="K1829" s="1741"/>
      <c r="L1829" s="1578"/>
      <c r="M1829" s="1602"/>
      <c r="N1829" s="1171" t="str">
        <f t="shared" si="276"/>
        <v/>
      </c>
      <c r="O1829" s="1213"/>
      <c r="P1829" s="1173" t="str">
        <f>IFERROR(VLOOKUP(F1829,#REF!,12,FALSE),"")</f>
        <v/>
      </c>
      <c r="Q1829" s="1229" t="s">
        <v>8</v>
      </c>
      <c r="R1829" s="1324" t="str">
        <f>IFERROR(VLOOKUP(F1829,#REF!,14,FALSE),"")</f>
        <v/>
      </c>
      <c r="S1829" s="1217" t="str">
        <f t="shared" si="277"/>
        <v/>
      </c>
      <c r="U1829" s="1728"/>
      <c r="V1829" s="864">
        <f t="shared" si="281"/>
        <v>0</v>
      </c>
      <c r="W1829" s="1767"/>
      <c r="X1829" s="864"/>
    </row>
    <row r="1830" spans="1:24" ht="16" thickBot="1" x14ac:dyDescent="0.25">
      <c r="B1830" s="1668" t="e">
        <f>SUM(#REF!)</f>
        <v>#REF!</v>
      </c>
      <c r="C1830" s="1347">
        <v>44918</v>
      </c>
      <c r="D1830" s="1348"/>
      <c r="E1830" s="1349"/>
      <c r="F1830" s="1550"/>
      <c r="G1830" s="1350"/>
      <c r="H1830" s="1351" t="str">
        <f>IFERROR(VLOOKUP(F1830,#REF!,10,FALSE),"")</f>
        <v/>
      </c>
      <c r="I1830" s="1352" t="str">
        <f t="shared" si="288"/>
        <v/>
      </c>
      <c r="J1830" s="1353"/>
      <c r="K1830" s="1741"/>
      <c r="L1830" s="1578"/>
      <c r="M1830" s="1602"/>
      <c r="N1830" s="1354" t="str">
        <f t="shared" si="276"/>
        <v/>
      </c>
      <c r="O1830" s="1355"/>
      <c r="P1830" s="1356" t="str">
        <f>IFERROR(VLOOKUP(F1830,#REF!,12,FALSE),"")</f>
        <v/>
      </c>
      <c r="Q1830" s="1357" t="s">
        <v>8</v>
      </c>
      <c r="R1830" s="1358" t="str">
        <f>IFERROR(VLOOKUP(F1830,#REF!,14,FALSE),"")</f>
        <v/>
      </c>
      <c r="S1830" s="1359" t="str">
        <f t="shared" si="277"/>
        <v/>
      </c>
      <c r="U1830" s="1728"/>
      <c r="V1830" s="1348">
        <f t="shared" si="281"/>
        <v>0</v>
      </c>
      <c r="W1830" s="1767"/>
      <c r="X1830" s="1348"/>
    </row>
    <row r="1831" spans="1:24" x14ac:dyDescent="0.2">
      <c r="B1831" s="1669" t="s">
        <v>256</v>
      </c>
      <c r="C1831" s="1237">
        <v>44919</v>
      </c>
      <c r="D1831" s="70">
        <v>150</v>
      </c>
      <c r="E1831" s="71" t="s">
        <v>292</v>
      </c>
      <c r="F1831" s="1549" t="s">
        <v>279</v>
      </c>
      <c r="G1831" s="1238">
        <v>4.2048611111111113E-2</v>
      </c>
      <c r="H1831" s="1239">
        <v>10.3</v>
      </c>
      <c r="I1831" s="1240">
        <f t="shared" si="288"/>
        <v>4.0823894282632145E-3</v>
      </c>
      <c r="J1831" s="265">
        <v>137</v>
      </c>
      <c r="K1831" s="1741"/>
      <c r="L1831" s="1581">
        <v>203</v>
      </c>
      <c r="M1831" s="265">
        <v>38</v>
      </c>
      <c r="N1831" s="77">
        <f t="shared" si="276"/>
        <v>1.0686842486596144</v>
      </c>
      <c r="O1831" s="1241" t="s">
        <v>329</v>
      </c>
      <c r="P1831" s="79" t="str">
        <f>IFERROR(VLOOKUP(F1831,#REF!,12,FALSE),"")</f>
        <v/>
      </c>
      <c r="Q1831" s="1242" t="s">
        <v>8</v>
      </c>
      <c r="R1831" s="1243" t="str">
        <f>IFERROR(VLOOKUP(F1831,#REF!,14,FALSE),"")</f>
        <v/>
      </c>
      <c r="S1831" s="1244">
        <f t="shared" si="277"/>
        <v>1.4817518248175183</v>
      </c>
      <c r="U1831" s="1728"/>
      <c r="V1831" s="70">
        <f t="shared" si="281"/>
        <v>0</v>
      </c>
      <c r="W1831" s="1767"/>
      <c r="X1831" s="70"/>
    </row>
    <row r="1832" spans="1:24" ht="16" thickBot="1" x14ac:dyDescent="0.25">
      <c r="B1832" s="1670" t="e">
        <f>AVERAGE(#REF!)</f>
        <v>#REF!</v>
      </c>
      <c r="C1832" s="544">
        <v>44920</v>
      </c>
      <c r="D1832" s="67"/>
      <c r="E1832" s="208"/>
      <c r="F1832" s="1538"/>
      <c r="G1832" s="1230"/>
      <c r="H1832" s="1231" t="str">
        <f>IFERROR(VLOOKUP(F1832,#REF!,10,FALSE),"")</f>
        <v/>
      </c>
      <c r="I1832" s="1232" t="str">
        <f t="shared" si="288"/>
        <v/>
      </c>
      <c r="J1832" s="256"/>
      <c r="K1832" s="1741"/>
      <c r="L1832" s="1580"/>
      <c r="M1832" s="1561"/>
      <c r="N1832" s="172" t="str">
        <f t="shared" si="276"/>
        <v/>
      </c>
      <c r="O1832" s="1233"/>
      <c r="P1832" s="447" t="str">
        <f>IFERROR(VLOOKUP(F1832,#REF!,12,FALSE),"")</f>
        <v/>
      </c>
      <c r="Q1832" s="1234" t="s">
        <v>8</v>
      </c>
      <c r="R1832" s="1235" t="str">
        <f>IFERROR(VLOOKUP(F1832,#REF!,14,FALSE),"")</f>
        <v/>
      </c>
      <c r="S1832" s="1236" t="str">
        <f t="shared" si="277"/>
        <v/>
      </c>
      <c r="U1832" s="1728"/>
      <c r="V1832" s="67">
        <f t="shared" si="281"/>
        <v>0</v>
      </c>
      <c r="W1832" s="1768"/>
      <c r="X1832" s="67"/>
    </row>
    <row r="1833" spans="1:24" ht="16" thickBot="1" x14ac:dyDescent="0.25">
      <c r="B1833" s="1660">
        <v>52</v>
      </c>
      <c r="C1833" s="1368">
        <v>44921</v>
      </c>
      <c r="D1833" s="1369"/>
      <c r="E1833" s="1370"/>
      <c r="F1833" s="1536"/>
      <c r="G1833" s="1371"/>
      <c r="H1833" s="1372" t="str">
        <f>IFERROR(VLOOKUP(F1833,#REF!,10,FALSE),"")</f>
        <v/>
      </c>
      <c r="I1833" s="1373" t="str">
        <f t="shared" si="288"/>
        <v/>
      </c>
      <c r="J1833" s="1374"/>
      <c r="K1833" s="1741"/>
      <c r="L1833" s="1577"/>
      <c r="M1833" s="1374"/>
      <c r="N1833" s="1375" t="str">
        <f t="shared" si="276"/>
        <v/>
      </c>
      <c r="O1833" s="1376"/>
      <c r="P1833" s="795" t="str">
        <f>IFERROR(VLOOKUP(F1833,#REF!,12,FALSE),"")</f>
        <v/>
      </c>
      <c r="Q1833" s="32" t="s">
        <v>8</v>
      </c>
      <c r="R1833" s="1255" t="str">
        <f>IFERROR(VLOOKUP(F1833,#REF!,14,FALSE),"")</f>
        <v/>
      </c>
      <c r="S1833" s="1377" t="str">
        <f t="shared" si="277"/>
        <v/>
      </c>
      <c r="U1833" s="1728"/>
      <c r="V1833" s="1369">
        <f t="shared" si="281"/>
        <v>0</v>
      </c>
      <c r="W1833" s="1766"/>
      <c r="X1833" s="1369"/>
    </row>
    <row r="1834" spans="1:24" x14ac:dyDescent="0.2">
      <c r="B1834" s="1666" t="s">
        <v>142</v>
      </c>
      <c r="C1834" s="1378">
        <v>44922</v>
      </c>
      <c r="D1834" s="1379">
        <v>151</v>
      </c>
      <c r="E1834" s="1380" t="s">
        <v>292</v>
      </c>
      <c r="F1834" s="1534" t="s">
        <v>279</v>
      </c>
      <c r="G1834" s="1381">
        <v>4.8449074074074082E-2</v>
      </c>
      <c r="H1834" s="1382">
        <v>12.1</v>
      </c>
      <c r="I1834" s="1383">
        <f t="shared" si="288"/>
        <v>4.0040557086011641E-3</v>
      </c>
      <c r="J1834" s="1384">
        <v>145</v>
      </c>
      <c r="K1834" s="1741"/>
      <c r="L1834" s="1578">
        <v>209</v>
      </c>
      <c r="M1834" s="1602">
        <v>50</v>
      </c>
      <c r="N1834" s="1385">
        <f t="shared" si="276"/>
        <v>1.0791587516960657</v>
      </c>
      <c r="O1834" s="1386" t="s">
        <v>329</v>
      </c>
      <c r="P1834" s="1387" t="str">
        <f>IFERROR(VLOOKUP(F1834,#REF!,12,FALSE),"")</f>
        <v/>
      </c>
      <c r="Q1834" s="1388" t="s">
        <v>8</v>
      </c>
      <c r="R1834" s="1389" t="str">
        <f>IFERROR(VLOOKUP(F1834,#REF!,14,FALSE),"")</f>
        <v/>
      </c>
      <c r="S1834" s="1390">
        <f t="shared" si="277"/>
        <v>1.4413793103448276</v>
      </c>
      <c r="U1834" s="1728"/>
      <c r="V1834" s="1379">
        <f t="shared" si="281"/>
        <v>0</v>
      </c>
      <c r="W1834" s="1767"/>
      <c r="X1834" s="1379"/>
    </row>
    <row r="1835" spans="1:24" ht="16" thickBot="1" x14ac:dyDescent="0.25">
      <c r="B1835" s="1654">
        <f t="shared" ref="B1835" si="295">SUM(H1833:H1839)</f>
        <v>34.659999999999997</v>
      </c>
      <c r="C1835" s="1378">
        <v>44923</v>
      </c>
      <c r="D1835" s="1379"/>
      <c r="E1835" s="1380"/>
      <c r="F1835" s="1534"/>
      <c r="G1835" s="1381"/>
      <c r="H1835" s="1382" t="str">
        <f>IFERROR(VLOOKUP(F1835,#REF!,10,FALSE),"")</f>
        <v/>
      </c>
      <c r="I1835" s="1383" t="str">
        <f t="shared" si="288"/>
        <v/>
      </c>
      <c r="J1835" s="1384"/>
      <c r="K1835" s="1741"/>
      <c r="L1835" s="1578"/>
      <c r="M1835" s="1602"/>
      <c r="N1835" s="1385" t="str">
        <f t="shared" si="276"/>
        <v/>
      </c>
      <c r="O1835" s="1386"/>
      <c r="P1835" s="1387" t="str">
        <f>IFERROR(VLOOKUP(F1835,#REF!,12,FALSE),"")</f>
        <v/>
      </c>
      <c r="Q1835" s="1388" t="s">
        <v>8</v>
      </c>
      <c r="R1835" s="1389" t="str">
        <f>IFERROR(VLOOKUP(F1835,#REF!,14,FALSE),"")</f>
        <v/>
      </c>
      <c r="S1835" s="1390" t="str">
        <f t="shared" si="277"/>
        <v/>
      </c>
      <c r="U1835" s="1728"/>
      <c r="V1835" s="1379">
        <f t="shared" si="281"/>
        <v>0</v>
      </c>
      <c r="W1835" s="1767"/>
      <c r="X1835" s="1379"/>
    </row>
    <row r="1836" spans="1:24" x14ac:dyDescent="0.2">
      <c r="B1836" s="1673" t="s">
        <v>144</v>
      </c>
      <c r="C1836" s="1378">
        <v>44924</v>
      </c>
      <c r="D1836" s="1379">
        <v>152</v>
      </c>
      <c r="E1836" s="1380" t="s">
        <v>293</v>
      </c>
      <c r="F1836" s="1534" t="s">
        <v>279</v>
      </c>
      <c r="G1836" s="1381">
        <v>3.5636574074074077E-2</v>
      </c>
      <c r="H1836" s="1382">
        <v>9.36</v>
      </c>
      <c r="I1836" s="1383">
        <f t="shared" si="288"/>
        <v>3.8073262899651792E-3</v>
      </c>
      <c r="J1836" s="1384">
        <v>134</v>
      </c>
      <c r="K1836" s="1741"/>
      <c r="L1836" s="1578">
        <v>222</v>
      </c>
      <c r="M1836" s="1602">
        <v>32</v>
      </c>
      <c r="N1836" s="1385">
        <f t="shared" si="276"/>
        <v>1.0899636433218522</v>
      </c>
      <c r="O1836" s="1386" t="s">
        <v>327</v>
      </c>
      <c r="P1836" s="1387" t="str">
        <f>IFERROR(VLOOKUP(F1836,#REF!,12,FALSE),"")</f>
        <v/>
      </c>
      <c r="Q1836" s="1388" t="s">
        <v>8</v>
      </c>
      <c r="R1836" s="1389" t="str">
        <f>IFERROR(VLOOKUP(F1836,#REF!,14,FALSE),"")</f>
        <v/>
      </c>
      <c r="S1836" s="1390">
        <f t="shared" si="277"/>
        <v>1.6567164179104477</v>
      </c>
      <c r="U1836" s="1728"/>
      <c r="V1836" s="1379">
        <f t="shared" si="281"/>
        <v>0</v>
      </c>
      <c r="W1836" s="1767"/>
      <c r="X1836" s="1379"/>
    </row>
    <row r="1837" spans="1:24" ht="16" thickBot="1" x14ac:dyDescent="0.25">
      <c r="B1837" s="1668" t="e">
        <f>SUM(#REF!)</f>
        <v>#REF!</v>
      </c>
      <c r="C1837" s="1378">
        <v>44925</v>
      </c>
      <c r="D1837" s="1379"/>
      <c r="E1837" s="1380"/>
      <c r="F1837" s="1550"/>
      <c r="G1837" s="1381"/>
      <c r="H1837" s="1382" t="str">
        <f>IFERROR(VLOOKUP(F1837,#REF!,10,FALSE),"")</f>
        <v/>
      </c>
      <c r="I1837" s="1383" t="str">
        <f t="shared" si="288"/>
        <v/>
      </c>
      <c r="J1837" s="1384"/>
      <c r="K1837" s="1741"/>
      <c r="L1837" s="1578"/>
      <c r="M1837" s="1602"/>
      <c r="N1837" s="1385" t="str">
        <f t="shared" si="276"/>
        <v/>
      </c>
      <c r="O1837" s="1386"/>
      <c r="P1837" s="1387" t="str">
        <f>IFERROR(VLOOKUP(F1837,#REF!,12,FALSE),"")</f>
        <v/>
      </c>
      <c r="Q1837" s="1388" t="s">
        <v>8</v>
      </c>
      <c r="R1837" s="1389" t="str">
        <f>IFERROR(VLOOKUP(F1837,#REF!,14,FALSE),"")</f>
        <v/>
      </c>
      <c r="S1837" s="1390" t="str">
        <f t="shared" si="277"/>
        <v/>
      </c>
      <c r="U1837" s="1728"/>
      <c r="V1837" s="1379">
        <f t="shared" si="281"/>
        <v>0</v>
      </c>
      <c r="W1837" s="1767"/>
      <c r="X1837" s="1379"/>
    </row>
    <row r="1838" spans="1:24" ht="16" thickBot="1" x14ac:dyDescent="0.25">
      <c r="B1838" s="1674" t="s">
        <v>256</v>
      </c>
      <c r="C1838" s="1325">
        <v>44926</v>
      </c>
      <c r="D1838" s="798">
        <v>153</v>
      </c>
      <c r="E1838" s="799" t="s">
        <v>292</v>
      </c>
      <c r="F1838" s="1548" t="s">
        <v>321</v>
      </c>
      <c r="G1838" s="1326">
        <v>5.2060185185185182E-2</v>
      </c>
      <c r="H1838" s="1327">
        <v>13.2</v>
      </c>
      <c r="I1838" s="1328">
        <f t="shared" si="288"/>
        <v>3.9439534231200894E-3</v>
      </c>
      <c r="J1838" s="1329">
        <v>143</v>
      </c>
      <c r="K1838" s="1741"/>
      <c r="L1838" s="1582">
        <v>211</v>
      </c>
      <c r="M1838" s="1329">
        <v>47</v>
      </c>
      <c r="N1838" s="800">
        <f t="shared" si="276"/>
        <v>1.0731320669380369</v>
      </c>
      <c r="O1838" s="1330" t="s">
        <v>329</v>
      </c>
      <c r="P1838" s="1331" t="str">
        <f>IFERROR(VLOOKUP(F1838,#REF!,12,FALSE),"")</f>
        <v/>
      </c>
      <c r="Q1838" s="1332" t="s">
        <v>8</v>
      </c>
      <c r="R1838" s="1333" t="str">
        <f>IFERROR(VLOOKUP(F1838,#REF!,14,FALSE),"")</f>
        <v/>
      </c>
      <c r="S1838" s="801">
        <f t="shared" si="277"/>
        <v>1.4755244755244756</v>
      </c>
      <c r="U1838" s="1728"/>
      <c r="V1838" s="798">
        <f t="shared" si="281"/>
        <v>0</v>
      </c>
      <c r="W1838" s="1767"/>
      <c r="X1838" s="798"/>
    </row>
    <row r="1839" spans="1:24" ht="17" thickTop="1" thickBot="1" x14ac:dyDescent="0.25">
      <c r="B1839" s="1711" t="e">
        <f>AVERAGE(#REF!)</f>
        <v>#REF!</v>
      </c>
      <c r="C1839" s="1360">
        <v>44927</v>
      </c>
      <c r="D1839" s="683"/>
      <c r="E1839" s="684"/>
      <c r="F1839" s="1538"/>
      <c r="G1839" s="1361"/>
      <c r="H1839" s="1362" t="str">
        <f>IFERROR(VLOOKUP(F1839,#REF!,10,FALSE),"")</f>
        <v/>
      </c>
      <c r="I1839" s="1363" t="str">
        <f t="shared" si="288"/>
        <v/>
      </c>
      <c r="J1839" s="1364"/>
      <c r="K1839" s="1741"/>
      <c r="L1839" s="1583"/>
      <c r="M1839" s="1364"/>
      <c r="N1839" s="1365" t="str">
        <f t="shared" si="276"/>
        <v/>
      </c>
      <c r="O1839" s="1366"/>
      <c r="P1839" s="1367" t="str">
        <f>IFERROR(VLOOKUP(F1839,#REF!,12,FALSE),"")</f>
        <v/>
      </c>
      <c r="Q1839" s="19" t="s">
        <v>8</v>
      </c>
      <c r="R1839" s="20" t="str">
        <f>IFERROR(VLOOKUP(F1839,#REF!,14,FALSE),"")</f>
        <v/>
      </c>
      <c r="S1839" s="1191" t="str">
        <f t="shared" si="277"/>
        <v/>
      </c>
      <c r="U1839" s="1728"/>
      <c r="V1839" s="683">
        <f t="shared" si="281"/>
        <v>0</v>
      </c>
      <c r="W1839" s="1768"/>
      <c r="X1839" s="683"/>
    </row>
    <row r="1840" spans="1:24" ht="16" thickBot="1" x14ac:dyDescent="0.25">
      <c r="A1840" s="1962">
        <f>WEEKNUM(C1840,1)</f>
        <v>1</v>
      </c>
      <c r="B1840" s="1963"/>
      <c r="C1840" s="1368">
        <v>44928</v>
      </c>
      <c r="D1840" s="1369"/>
      <c r="E1840" s="1370"/>
      <c r="F1840" s="1536"/>
      <c r="G1840" s="1371"/>
      <c r="H1840" s="1372" t="str">
        <f>IFERROR(VLOOKUP(F1840,#REF!,10,FALSE),"")</f>
        <v/>
      </c>
      <c r="I1840" s="1373" t="str">
        <f t="shared" ref="I1840:I1903" si="296">IFERROR(G1840/H1840,"")</f>
        <v/>
      </c>
      <c r="J1840" s="1374"/>
      <c r="K1840" s="1741"/>
      <c r="L1840" s="1577"/>
      <c r="M1840" s="1374"/>
      <c r="N1840" s="1375" t="str">
        <f t="shared" si="276"/>
        <v/>
      </c>
      <c r="O1840" s="1376"/>
      <c r="P1840" s="795" t="str">
        <f>IFERROR(VLOOKUP(F1840,#REF!,12,FALSE),"")</f>
        <v/>
      </c>
      <c r="Q1840" s="32" t="s">
        <v>8</v>
      </c>
      <c r="R1840" s="1255" t="str">
        <f>IFERROR(VLOOKUP(F1840,#REF!,14,FALSE),"")</f>
        <v/>
      </c>
      <c r="S1840" s="1377" t="str">
        <f t="shared" si="277"/>
        <v/>
      </c>
      <c r="U1840" s="1728"/>
      <c r="V1840" s="1369">
        <f t="shared" si="281"/>
        <v>0</v>
      </c>
      <c r="W1840" s="1766"/>
      <c r="X1840" s="1369"/>
    </row>
    <row r="1841" spans="1:24" x14ac:dyDescent="0.2">
      <c r="A1841" s="1648" t="s">
        <v>142</v>
      </c>
      <c r="B1841" s="1675">
        <f>SUM(H1840:H1846)</f>
        <v>29.92</v>
      </c>
      <c r="C1841" s="1647">
        <v>44929</v>
      </c>
      <c r="D1841" s="1379">
        <v>1</v>
      </c>
      <c r="E1841" s="1380" t="s">
        <v>292</v>
      </c>
      <c r="F1841" s="1534" t="s">
        <v>322</v>
      </c>
      <c r="G1841" s="1381">
        <v>3.2696759259259259E-2</v>
      </c>
      <c r="H1841" s="1382">
        <v>8.01</v>
      </c>
      <c r="I1841" s="1383">
        <f t="shared" si="296"/>
        <v>4.0819924168862994E-3</v>
      </c>
      <c r="J1841" s="1384">
        <v>144</v>
      </c>
      <c r="K1841" s="1741"/>
      <c r="L1841" s="1578">
        <v>203</v>
      </c>
      <c r="M1841" s="1602">
        <v>13</v>
      </c>
      <c r="N1841" s="1385">
        <f t="shared" ref="N1841:N1904" si="297">IFERROR((L1841/67)/(1/(I1841*24)/3.6),"")</f>
        <v>1.0685803193768981</v>
      </c>
      <c r="O1841" s="1386" t="s">
        <v>329</v>
      </c>
      <c r="P1841" s="1387" t="str">
        <f>IFERROR(VLOOKUP(F1841,#REF!,12,FALSE),"")</f>
        <v/>
      </c>
      <c r="Q1841" s="1388" t="s">
        <v>8</v>
      </c>
      <c r="R1841" s="1389" t="str">
        <f>IFERROR(VLOOKUP(F1841,#REF!,14,FALSE),"")</f>
        <v/>
      </c>
      <c r="S1841" s="1390">
        <f t="shared" ref="S1841:S1904" si="298">IFERROR(L1841/J1841,"")</f>
        <v>1.4097222222222223</v>
      </c>
      <c r="U1841" s="1728"/>
      <c r="V1841" s="1379">
        <f t="shared" si="281"/>
        <v>0</v>
      </c>
      <c r="W1841" s="1767"/>
      <c r="X1841" s="1379"/>
    </row>
    <row r="1842" spans="1:24" x14ac:dyDescent="0.2">
      <c r="A1842" s="1649" t="s">
        <v>144</v>
      </c>
      <c r="B1842" s="1676" t="e">
        <f>SUM(#REF!)</f>
        <v>#REF!</v>
      </c>
      <c r="C1842" s="1647">
        <v>44930</v>
      </c>
      <c r="D1842" s="1379"/>
      <c r="E1842" s="1380"/>
      <c r="F1842" s="1534"/>
      <c r="G1842" s="1381"/>
      <c r="H1842" s="1382" t="str">
        <f>IFERROR(VLOOKUP(F1842,#REF!,10,FALSE),"")</f>
        <v/>
      </c>
      <c r="I1842" s="1383" t="str">
        <f t="shared" si="296"/>
        <v/>
      </c>
      <c r="J1842" s="1384"/>
      <c r="K1842" s="1741"/>
      <c r="L1842" s="1578"/>
      <c r="M1842" s="1602"/>
      <c r="N1842" s="1385" t="str">
        <f t="shared" si="297"/>
        <v/>
      </c>
      <c r="O1842" s="1386"/>
      <c r="P1842" s="1387" t="str">
        <f>IFERROR(VLOOKUP(F1842,#REF!,12,FALSE),"")</f>
        <v/>
      </c>
      <c r="Q1842" s="1388" t="s">
        <v>8</v>
      </c>
      <c r="R1842" s="1389" t="str">
        <f>IFERROR(VLOOKUP(F1842,#REF!,14,FALSE),"")</f>
        <v/>
      </c>
      <c r="S1842" s="1390" t="str">
        <f t="shared" si="298"/>
        <v/>
      </c>
      <c r="U1842" s="1728"/>
      <c r="V1842" s="1379">
        <f t="shared" si="281"/>
        <v>0</v>
      </c>
      <c r="W1842" s="1767"/>
      <c r="X1842" s="1379"/>
    </row>
    <row r="1843" spans="1:24" x14ac:dyDescent="0.2">
      <c r="A1843" s="1649" t="s">
        <v>256</v>
      </c>
      <c r="B1843" s="1677" t="e">
        <f>AVERAGE(#REF!)</f>
        <v>#REF!</v>
      </c>
      <c r="C1843" s="1647">
        <v>44931</v>
      </c>
      <c r="D1843" s="1379">
        <v>2</v>
      </c>
      <c r="E1843" s="1380" t="s">
        <v>293</v>
      </c>
      <c r="F1843" s="1534" t="s">
        <v>321</v>
      </c>
      <c r="G1843" s="1381">
        <v>3.2303240740740737E-2</v>
      </c>
      <c r="H1843" s="1382">
        <v>9.31</v>
      </c>
      <c r="I1843" s="1383">
        <f t="shared" si="296"/>
        <v>3.4697358475553959E-3</v>
      </c>
      <c r="J1843" s="1384">
        <v>152</v>
      </c>
      <c r="K1843" s="1741"/>
      <c r="L1843" s="1578">
        <v>241</v>
      </c>
      <c r="M1843" s="1602">
        <v>40</v>
      </c>
      <c r="N1843" s="1385">
        <f t="shared" si="297"/>
        <v>1.0783317568975743</v>
      </c>
      <c r="O1843" s="1386" t="s">
        <v>280</v>
      </c>
      <c r="P1843" s="1387" t="str">
        <f>IFERROR(VLOOKUP(F1843,#REF!,12,FALSE),"")</f>
        <v/>
      </c>
      <c r="Q1843" s="1388" t="s">
        <v>8</v>
      </c>
      <c r="R1843" s="1389" t="str">
        <f>IFERROR(VLOOKUP(F1843,#REF!,14,FALSE),"")</f>
        <v/>
      </c>
      <c r="S1843" s="1390">
        <f t="shared" si="298"/>
        <v>1.5855263157894737</v>
      </c>
      <c r="U1843" s="1728"/>
      <c r="V1843" s="1379">
        <f t="shared" si="281"/>
        <v>0</v>
      </c>
      <c r="W1843" s="1767"/>
      <c r="X1843" s="1379"/>
    </row>
    <row r="1844" spans="1:24" x14ac:dyDescent="0.2">
      <c r="A1844" s="1649" t="s">
        <v>336</v>
      </c>
      <c r="B1844" s="1712">
        <f>IFERROR(AVERAGE(N1840:N1846),"")</f>
        <v>1.0730763542568544</v>
      </c>
      <c r="C1844" s="1647">
        <v>44932</v>
      </c>
      <c r="D1844" s="1379"/>
      <c r="E1844" s="1380"/>
      <c r="F1844" s="1550"/>
      <c r="G1844" s="1381"/>
      <c r="H1844" s="1382" t="str">
        <f>IFERROR(VLOOKUP(F1844,#REF!,10,FALSE),"")</f>
        <v/>
      </c>
      <c r="I1844" s="1383" t="str">
        <f t="shared" si="296"/>
        <v/>
      </c>
      <c r="J1844" s="1384"/>
      <c r="K1844" s="1741"/>
      <c r="L1844" s="1578"/>
      <c r="M1844" s="1602"/>
      <c r="N1844" s="1385" t="str">
        <f t="shared" si="297"/>
        <v/>
      </c>
      <c r="O1844" s="1386"/>
      <c r="P1844" s="1387" t="str">
        <f>IFERROR(VLOOKUP(F1844,#REF!,12,FALSE),"")</f>
        <v/>
      </c>
      <c r="Q1844" s="1388" t="s">
        <v>8</v>
      </c>
      <c r="R1844" s="1389" t="str">
        <f>IFERROR(VLOOKUP(F1844,#REF!,14,FALSE),"")</f>
        <v/>
      </c>
      <c r="S1844" s="1390" t="str">
        <f t="shared" si="298"/>
        <v/>
      </c>
      <c r="U1844" s="1728"/>
      <c r="V1844" s="1379">
        <f t="shared" si="281"/>
        <v>0</v>
      </c>
      <c r="W1844" s="1767"/>
      <c r="X1844" s="1379"/>
    </row>
    <row r="1845" spans="1:24" x14ac:dyDescent="0.2">
      <c r="A1845" s="1649" t="s">
        <v>337</v>
      </c>
      <c r="B1845" s="1677">
        <f>IFERROR(AVERAGE(S1840:S1846),"")</f>
        <v>1.5092075462437069</v>
      </c>
      <c r="C1845" s="1647">
        <v>44933</v>
      </c>
      <c r="D1845" s="1626">
        <v>3</v>
      </c>
      <c r="E1845" s="1627" t="s">
        <v>292</v>
      </c>
      <c r="F1845" s="1628" t="s">
        <v>308</v>
      </c>
      <c r="G1845" s="1629">
        <v>4.9189814814814818E-2</v>
      </c>
      <c r="H1845" s="1630">
        <v>12.6</v>
      </c>
      <c r="I1845" s="1631">
        <f t="shared" si="296"/>
        <v>3.903953556731335E-3</v>
      </c>
      <c r="J1845" s="1632">
        <v>139</v>
      </c>
      <c r="K1845" s="1741"/>
      <c r="L1845" s="1578">
        <v>213</v>
      </c>
      <c r="M1845" s="1632">
        <v>50</v>
      </c>
      <c r="N1845" s="1633">
        <f t="shared" si="297"/>
        <v>1.0723169864960911</v>
      </c>
      <c r="O1845" s="1634" t="s">
        <v>339</v>
      </c>
      <c r="P1845" s="1635" t="str">
        <f>IFERROR(VLOOKUP(F1845,#REF!,12,FALSE),"")</f>
        <v/>
      </c>
      <c r="Q1845" s="1636" t="s">
        <v>8</v>
      </c>
      <c r="R1845" s="1637" t="str">
        <f>IFERROR(VLOOKUP(F1845,#REF!,14,FALSE),"")</f>
        <v/>
      </c>
      <c r="S1845" s="1605">
        <f t="shared" si="298"/>
        <v>1.5323741007194245</v>
      </c>
      <c r="U1845" s="1728"/>
      <c r="V1845" s="1626">
        <f t="shared" si="281"/>
        <v>0</v>
      </c>
      <c r="W1845" s="1767"/>
      <c r="X1845" s="1626"/>
    </row>
    <row r="1846" spans="1:24" ht="16" thickBot="1" x14ac:dyDescent="0.25">
      <c r="A1846" s="1650" t="s">
        <v>5</v>
      </c>
      <c r="B1846" s="1678">
        <f>IFERROR(SUM(M1840:M1846),"")</f>
        <v>103</v>
      </c>
      <c r="C1846" s="1646">
        <v>44934</v>
      </c>
      <c r="D1846" s="683"/>
      <c r="E1846" s="684"/>
      <c r="F1846" s="1538"/>
      <c r="G1846" s="1361"/>
      <c r="H1846" s="1362" t="str">
        <f>IFERROR(VLOOKUP(F1846,#REF!,10,FALSE),"")</f>
        <v/>
      </c>
      <c r="I1846" s="1363" t="str">
        <f t="shared" si="296"/>
        <v/>
      </c>
      <c r="J1846" s="1364"/>
      <c r="K1846" s="1741"/>
      <c r="L1846" s="1583"/>
      <c r="M1846" s="1364"/>
      <c r="N1846" s="1365" t="str">
        <f t="shared" si="297"/>
        <v/>
      </c>
      <c r="O1846" s="1366"/>
      <c r="P1846" s="1367" t="str">
        <f>IFERROR(VLOOKUP(F1846,#REF!,12,FALSE),"")</f>
        <v/>
      </c>
      <c r="Q1846" s="19" t="s">
        <v>8</v>
      </c>
      <c r="R1846" s="20" t="str">
        <f>IFERROR(VLOOKUP(F1846,#REF!,14,FALSE),"")</f>
        <v/>
      </c>
      <c r="S1846" s="1191" t="str">
        <f t="shared" si="298"/>
        <v/>
      </c>
      <c r="U1846" s="1728"/>
      <c r="V1846" s="683">
        <f t="shared" si="281"/>
        <v>0</v>
      </c>
      <c r="W1846" s="1768"/>
      <c r="X1846" s="683"/>
    </row>
    <row r="1847" spans="1:24" ht="16" thickBot="1" x14ac:dyDescent="0.25">
      <c r="A1847" s="1962">
        <f>WEEKNUM(C1847,1)</f>
        <v>2</v>
      </c>
      <c r="B1847" s="1963"/>
      <c r="C1847" s="1368">
        <v>44935</v>
      </c>
      <c r="D1847" s="1369"/>
      <c r="E1847" s="1370"/>
      <c r="F1847" s="1536"/>
      <c r="G1847" s="1371"/>
      <c r="H1847" s="1372" t="str">
        <f>IFERROR(VLOOKUP(F1847,#REF!,10,FALSE),"")</f>
        <v/>
      </c>
      <c r="I1847" s="1373" t="str">
        <f t="shared" si="296"/>
        <v/>
      </c>
      <c r="J1847" s="1374"/>
      <c r="K1847" s="1741"/>
      <c r="L1847" s="1577"/>
      <c r="M1847" s="1374"/>
      <c r="N1847" s="1375" t="str">
        <f t="shared" si="297"/>
        <v/>
      </c>
      <c r="O1847" s="1376"/>
      <c r="P1847" s="795" t="str">
        <f>IFERROR(VLOOKUP(F1847,#REF!,12,FALSE),"")</f>
        <v/>
      </c>
      <c r="Q1847" s="32" t="s">
        <v>8</v>
      </c>
      <c r="R1847" s="1255" t="str">
        <f>IFERROR(VLOOKUP(F1847,#REF!,14,FALSE),"")</f>
        <v/>
      </c>
      <c r="S1847" s="1377" t="str">
        <f t="shared" si="298"/>
        <v/>
      </c>
      <c r="U1847" s="1728"/>
      <c r="V1847" s="1369">
        <f t="shared" si="281"/>
        <v>0</v>
      </c>
      <c r="W1847" s="1766"/>
      <c r="X1847" s="1369"/>
    </row>
    <row r="1848" spans="1:24" x14ac:dyDescent="0.2">
      <c r="A1848" s="1648" t="s">
        <v>142</v>
      </c>
      <c r="B1848" s="1675">
        <f>SUM(H1847:H1853)</f>
        <v>10.3</v>
      </c>
      <c r="C1848" s="1378">
        <v>44936</v>
      </c>
      <c r="D1848" s="1379"/>
      <c r="E1848" s="1380"/>
      <c r="F1848" s="1534"/>
      <c r="G1848" s="1381"/>
      <c r="H1848" s="1382" t="str">
        <f>IFERROR(VLOOKUP(F1848,#REF!,10,FALSE),"")</f>
        <v/>
      </c>
      <c r="I1848" s="1383" t="str">
        <f t="shared" si="296"/>
        <v/>
      </c>
      <c r="J1848" s="1384"/>
      <c r="K1848" s="1741"/>
      <c r="L1848" s="1578"/>
      <c r="M1848" s="1602"/>
      <c r="N1848" s="1385" t="str">
        <f t="shared" si="297"/>
        <v/>
      </c>
      <c r="O1848" s="1386"/>
      <c r="P1848" s="1387" t="str">
        <f>IFERROR(VLOOKUP(F1848,#REF!,12,FALSE),"")</f>
        <v/>
      </c>
      <c r="Q1848" s="1388" t="s">
        <v>8</v>
      </c>
      <c r="R1848" s="1389" t="str">
        <f>IFERROR(VLOOKUP(F1848,#REF!,14,FALSE),"")</f>
        <v/>
      </c>
      <c r="S1848" s="1390" t="str">
        <f t="shared" si="298"/>
        <v/>
      </c>
      <c r="U1848" s="1728"/>
      <c r="V1848" s="1379">
        <f t="shared" si="281"/>
        <v>0</v>
      </c>
      <c r="W1848" s="1767"/>
      <c r="X1848" s="1379"/>
    </row>
    <row r="1849" spans="1:24" x14ac:dyDescent="0.2">
      <c r="A1849" s="1649" t="s">
        <v>144</v>
      </c>
      <c r="B1849" s="1676" t="e">
        <f>SUM(#REF!)</f>
        <v>#REF!</v>
      </c>
      <c r="C1849" s="1378">
        <v>44937</v>
      </c>
      <c r="D1849" s="1379">
        <v>4</v>
      </c>
      <c r="E1849" s="1380" t="s">
        <v>292</v>
      </c>
      <c r="F1849" s="1534" t="s">
        <v>279</v>
      </c>
      <c r="G1849" s="1381">
        <v>4.2407407407407401E-2</v>
      </c>
      <c r="H1849" s="1382">
        <v>10.3</v>
      </c>
      <c r="I1849" s="1383">
        <f t="shared" si="296"/>
        <v>4.1172240201366407E-3</v>
      </c>
      <c r="J1849" s="1384">
        <v>132</v>
      </c>
      <c r="K1849" s="1741"/>
      <c r="L1849" s="1578">
        <v>204</v>
      </c>
      <c r="M1849" s="1602">
        <v>29</v>
      </c>
      <c r="N1849" s="1385">
        <f t="shared" si="297"/>
        <v>1.0831125923779159</v>
      </c>
      <c r="O1849" s="1386" t="s">
        <v>329</v>
      </c>
      <c r="P1849" s="1387" t="str">
        <f>IFERROR(VLOOKUP(F1849,#REF!,12,FALSE),"")</f>
        <v/>
      </c>
      <c r="Q1849" s="1388" t="s">
        <v>8</v>
      </c>
      <c r="R1849" s="1389" t="str">
        <f>IFERROR(VLOOKUP(F1849,#REF!,14,FALSE),"")</f>
        <v/>
      </c>
      <c r="S1849" s="1390">
        <f t="shared" si="298"/>
        <v>1.5454545454545454</v>
      </c>
      <c r="U1849" s="1728"/>
      <c r="V1849" s="1379">
        <f t="shared" si="281"/>
        <v>0</v>
      </c>
      <c r="W1849" s="1767"/>
      <c r="X1849" s="1379"/>
    </row>
    <row r="1850" spans="1:24" x14ac:dyDescent="0.2">
      <c r="A1850" s="1649" t="s">
        <v>256</v>
      </c>
      <c r="B1850" s="1677" t="e">
        <f>AVERAGE(#REF!)</f>
        <v>#REF!</v>
      </c>
      <c r="C1850" s="1378">
        <v>44938</v>
      </c>
      <c r="D1850" s="1379"/>
      <c r="E1850" s="1380"/>
      <c r="F1850" s="1534"/>
      <c r="G1850" s="1381"/>
      <c r="H1850" s="1382" t="str">
        <f>IFERROR(VLOOKUP(F1850,#REF!,10,FALSE),"")</f>
        <v/>
      </c>
      <c r="I1850" s="1383" t="str">
        <f t="shared" si="296"/>
        <v/>
      </c>
      <c r="J1850" s="1384"/>
      <c r="K1850" s="1741"/>
      <c r="L1850" s="1578"/>
      <c r="M1850" s="1602"/>
      <c r="N1850" s="1385" t="str">
        <f t="shared" si="297"/>
        <v/>
      </c>
      <c r="O1850" s="1386"/>
      <c r="P1850" s="1387" t="str">
        <f>IFERROR(VLOOKUP(F1850,#REF!,12,FALSE),"")</f>
        <v/>
      </c>
      <c r="Q1850" s="1388" t="s">
        <v>8</v>
      </c>
      <c r="R1850" s="1389" t="str">
        <f>IFERROR(VLOOKUP(F1850,#REF!,14,FALSE),"")</f>
        <v/>
      </c>
      <c r="S1850" s="1390" t="str">
        <f t="shared" si="298"/>
        <v/>
      </c>
      <c r="U1850" s="1728"/>
      <c r="V1850" s="1379">
        <f t="shared" ref="V1850:V1913" si="299">U1849-T1849</f>
        <v>0</v>
      </c>
      <c r="W1850" s="1767"/>
      <c r="X1850" s="1379"/>
    </row>
    <row r="1851" spans="1:24" x14ac:dyDescent="0.2">
      <c r="A1851" s="1649" t="s">
        <v>336</v>
      </c>
      <c r="B1851" s="1712">
        <f>IFERROR(AVERAGE(N1847:N1853),"")</f>
        <v>1.0831125923779159</v>
      </c>
      <c r="C1851" s="1378">
        <v>44939</v>
      </c>
      <c r="D1851" s="1379"/>
      <c r="E1851" s="1380"/>
      <c r="F1851" s="1550"/>
      <c r="G1851" s="1381"/>
      <c r="H1851" s="1382" t="str">
        <f>IFERROR(VLOOKUP(F1851,#REF!,10,FALSE),"")</f>
        <v/>
      </c>
      <c r="I1851" s="1383" t="str">
        <f t="shared" si="296"/>
        <v/>
      </c>
      <c r="J1851" s="1384"/>
      <c r="K1851" s="1741"/>
      <c r="L1851" s="1578"/>
      <c r="M1851" s="1602"/>
      <c r="N1851" s="1385" t="str">
        <f t="shared" si="297"/>
        <v/>
      </c>
      <c r="O1851" s="1386"/>
      <c r="P1851" s="1387" t="str">
        <f>IFERROR(VLOOKUP(F1851,#REF!,12,FALSE),"")</f>
        <v/>
      </c>
      <c r="Q1851" s="1388" t="s">
        <v>8</v>
      </c>
      <c r="R1851" s="1389" t="str">
        <f>IFERROR(VLOOKUP(F1851,#REF!,14,FALSE),"")</f>
        <v/>
      </c>
      <c r="S1851" s="1390" t="str">
        <f t="shared" si="298"/>
        <v/>
      </c>
      <c r="U1851" s="1728"/>
      <c r="V1851" s="1379">
        <f t="shared" si="299"/>
        <v>0</v>
      </c>
      <c r="W1851" s="1767"/>
      <c r="X1851" s="1379"/>
    </row>
    <row r="1852" spans="1:24" x14ac:dyDescent="0.2">
      <c r="A1852" s="1649" t="s">
        <v>337</v>
      </c>
      <c r="B1852" s="1677">
        <f>IFERROR(AVERAGE(S1847:S1853),"")</f>
        <v>1.5454545454545454</v>
      </c>
      <c r="C1852" s="1625">
        <v>44940</v>
      </c>
      <c r="D1852" s="1626"/>
      <c r="E1852" s="1627"/>
      <c r="F1852" s="1628"/>
      <c r="G1852" s="1629"/>
      <c r="H1852" s="1630" t="str">
        <f>IFERROR(VLOOKUP(F1852,#REF!,10,FALSE),"")</f>
        <v/>
      </c>
      <c r="I1852" s="1631" t="str">
        <f t="shared" si="296"/>
        <v/>
      </c>
      <c r="J1852" s="1632"/>
      <c r="K1852" s="1741"/>
      <c r="L1852" s="1578"/>
      <c r="M1852" s="1632"/>
      <c r="N1852" s="1633" t="str">
        <f t="shared" si="297"/>
        <v/>
      </c>
      <c r="O1852" s="1634"/>
      <c r="P1852" s="1635" t="str">
        <f>IFERROR(VLOOKUP(F1852,#REF!,12,FALSE),"")</f>
        <v/>
      </c>
      <c r="Q1852" s="1636" t="s">
        <v>8</v>
      </c>
      <c r="R1852" s="1637" t="str">
        <f>IFERROR(VLOOKUP(F1852,#REF!,14,FALSE),"")</f>
        <v/>
      </c>
      <c r="S1852" s="1605" t="str">
        <f t="shared" si="298"/>
        <v/>
      </c>
      <c r="U1852" s="1728"/>
      <c r="V1852" s="1626">
        <f t="shared" si="299"/>
        <v>0</v>
      </c>
      <c r="W1852" s="1767"/>
      <c r="X1852" s="1626"/>
    </row>
    <row r="1853" spans="1:24" ht="16" thickBot="1" x14ac:dyDescent="0.25">
      <c r="A1853" s="1650" t="s">
        <v>5</v>
      </c>
      <c r="B1853" s="1678">
        <f>IFERROR(SUM(M1847:M1853),"")</f>
        <v>29</v>
      </c>
      <c r="C1853" s="1360">
        <v>44941</v>
      </c>
      <c r="D1853" s="683"/>
      <c r="E1853" s="684"/>
      <c r="F1853" s="1538"/>
      <c r="G1853" s="1361"/>
      <c r="H1853" s="1362" t="str">
        <f>IFERROR(VLOOKUP(F1853,#REF!,10,FALSE),"")</f>
        <v/>
      </c>
      <c r="I1853" s="1363" t="str">
        <f t="shared" si="296"/>
        <v/>
      </c>
      <c r="J1853" s="1364"/>
      <c r="K1853" s="1741"/>
      <c r="L1853" s="1583"/>
      <c r="M1853" s="1364"/>
      <c r="N1853" s="1365" t="str">
        <f t="shared" si="297"/>
        <v/>
      </c>
      <c r="O1853" s="1366"/>
      <c r="P1853" s="1367" t="str">
        <f>IFERROR(VLOOKUP(F1853,#REF!,12,FALSE),"")</f>
        <v/>
      </c>
      <c r="Q1853" s="19" t="s">
        <v>8</v>
      </c>
      <c r="R1853" s="20" t="str">
        <f>IFERROR(VLOOKUP(F1853,#REF!,14,FALSE),"")</f>
        <v/>
      </c>
      <c r="S1853" s="1191" t="str">
        <f t="shared" si="298"/>
        <v/>
      </c>
      <c r="U1853" s="1728"/>
      <c r="V1853" s="683">
        <f t="shared" si="299"/>
        <v>0</v>
      </c>
      <c r="W1853" s="1768"/>
      <c r="X1853" s="683"/>
    </row>
    <row r="1854" spans="1:24" ht="16" thickBot="1" x14ac:dyDescent="0.25">
      <c r="A1854" s="1962">
        <f>WEEKNUM(C1854,1)</f>
        <v>3</v>
      </c>
      <c r="B1854" s="1963"/>
      <c r="C1854" s="1368">
        <v>44942</v>
      </c>
      <c r="D1854" s="1369"/>
      <c r="E1854" s="1370"/>
      <c r="F1854" s="1536"/>
      <c r="G1854" s="1371"/>
      <c r="H1854" s="1372" t="str">
        <f>IFERROR(VLOOKUP(F1854,#REF!,10,FALSE),"")</f>
        <v/>
      </c>
      <c r="I1854" s="1373" t="str">
        <f t="shared" si="296"/>
        <v/>
      </c>
      <c r="J1854" s="1374"/>
      <c r="K1854" s="1741"/>
      <c r="L1854" s="1577"/>
      <c r="M1854" s="1374"/>
      <c r="N1854" s="1375" t="str">
        <f t="shared" si="297"/>
        <v/>
      </c>
      <c r="O1854" s="1376"/>
      <c r="P1854" s="795" t="str">
        <f>IFERROR(VLOOKUP(F1854,#REF!,12,FALSE),"")</f>
        <v/>
      </c>
      <c r="Q1854" s="32" t="s">
        <v>8</v>
      </c>
      <c r="R1854" s="1255" t="str">
        <f>IFERROR(VLOOKUP(F1854,#REF!,14,FALSE),"")</f>
        <v/>
      </c>
      <c r="S1854" s="1377" t="str">
        <f t="shared" si="298"/>
        <v/>
      </c>
      <c r="U1854" s="1728"/>
      <c r="V1854" s="1369">
        <f t="shared" si="299"/>
        <v>0</v>
      </c>
      <c r="W1854" s="1766"/>
      <c r="X1854" s="1369"/>
    </row>
    <row r="1855" spans="1:24" x14ac:dyDescent="0.2">
      <c r="A1855" s="1648" t="s">
        <v>142</v>
      </c>
      <c r="B1855" s="1675">
        <f>SUM(H1854:H1860)</f>
        <v>7.54</v>
      </c>
      <c r="C1855" s="1378">
        <v>44943</v>
      </c>
      <c r="D1855" s="1379"/>
      <c r="E1855" s="1380"/>
      <c r="F1855" s="1534"/>
      <c r="G1855" s="1381"/>
      <c r="H1855" s="1382" t="str">
        <f>IFERROR(VLOOKUP(F1855,#REF!,10,FALSE),"")</f>
        <v/>
      </c>
      <c r="I1855" s="1383" t="str">
        <f t="shared" si="296"/>
        <v/>
      </c>
      <c r="J1855" s="1384"/>
      <c r="K1855" s="1741"/>
      <c r="L1855" s="1578"/>
      <c r="M1855" s="1602"/>
      <c r="N1855" s="1385" t="str">
        <f t="shared" si="297"/>
        <v/>
      </c>
      <c r="O1855" s="1386"/>
      <c r="P1855" s="1387" t="str">
        <f>IFERROR(VLOOKUP(F1855,#REF!,12,FALSE),"")</f>
        <v/>
      </c>
      <c r="Q1855" s="1388" t="s">
        <v>8</v>
      </c>
      <c r="R1855" s="1389" t="str">
        <f>IFERROR(VLOOKUP(F1855,#REF!,14,FALSE),"")</f>
        <v/>
      </c>
      <c r="S1855" s="1390" t="str">
        <f t="shared" si="298"/>
        <v/>
      </c>
      <c r="U1855" s="1728"/>
      <c r="V1855" s="1379">
        <f t="shared" si="299"/>
        <v>0</v>
      </c>
      <c r="W1855" s="1767"/>
      <c r="X1855" s="1379"/>
    </row>
    <row r="1856" spans="1:24" x14ac:dyDescent="0.2">
      <c r="A1856" s="1649" t="s">
        <v>144</v>
      </c>
      <c r="B1856" s="1676" t="e">
        <f>SUM(#REF!)</f>
        <v>#REF!</v>
      </c>
      <c r="C1856" s="1378">
        <v>44944</v>
      </c>
      <c r="D1856" s="1379"/>
      <c r="E1856" s="1380"/>
      <c r="F1856" s="1534"/>
      <c r="G1856" s="1381"/>
      <c r="H1856" s="1382" t="str">
        <f>IFERROR(VLOOKUP(F1856,#REF!,10,FALSE),"")</f>
        <v/>
      </c>
      <c r="I1856" s="1383" t="str">
        <f t="shared" si="296"/>
        <v/>
      </c>
      <c r="J1856" s="1384"/>
      <c r="K1856" s="1741"/>
      <c r="L1856" s="1578"/>
      <c r="M1856" s="1602"/>
      <c r="N1856" s="1385" t="str">
        <f t="shared" si="297"/>
        <v/>
      </c>
      <c r="O1856" s="1386"/>
      <c r="P1856" s="1387" t="str">
        <f>IFERROR(VLOOKUP(F1856,#REF!,12,FALSE),"")</f>
        <v/>
      </c>
      <c r="Q1856" s="1388" t="s">
        <v>8</v>
      </c>
      <c r="R1856" s="1389" t="str">
        <f>IFERROR(VLOOKUP(F1856,#REF!,14,FALSE),"")</f>
        <v/>
      </c>
      <c r="S1856" s="1390" t="str">
        <f t="shared" si="298"/>
        <v/>
      </c>
      <c r="U1856" s="1728"/>
      <c r="V1856" s="1379">
        <f t="shared" si="299"/>
        <v>0</v>
      </c>
      <c r="W1856" s="1767"/>
      <c r="X1856" s="1379"/>
    </row>
    <row r="1857" spans="1:24" x14ac:dyDescent="0.2">
      <c r="A1857" s="1649" t="s">
        <v>256</v>
      </c>
      <c r="B1857" s="1677" t="e">
        <f>AVERAGE(#REF!)</f>
        <v>#REF!</v>
      </c>
      <c r="C1857" s="1378">
        <v>44945</v>
      </c>
      <c r="D1857" s="1379"/>
      <c r="E1857" s="1380"/>
      <c r="F1857" s="1534"/>
      <c r="G1857" s="1381"/>
      <c r="H1857" s="1382" t="str">
        <f>IFERROR(VLOOKUP(F1857,#REF!,10,FALSE),"")</f>
        <v/>
      </c>
      <c r="I1857" s="1383" t="str">
        <f t="shared" si="296"/>
        <v/>
      </c>
      <c r="J1857" s="1384"/>
      <c r="K1857" s="1741"/>
      <c r="L1857" s="1578"/>
      <c r="M1857" s="1602"/>
      <c r="N1857" s="1385" t="str">
        <f t="shared" si="297"/>
        <v/>
      </c>
      <c r="O1857" s="1386"/>
      <c r="P1857" s="1387" t="str">
        <f>IFERROR(VLOOKUP(F1857,#REF!,12,FALSE),"")</f>
        <v/>
      </c>
      <c r="Q1857" s="1388" t="s">
        <v>8</v>
      </c>
      <c r="R1857" s="1389" t="str">
        <f>IFERROR(VLOOKUP(F1857,#REF!,14,FALSE),"")</f>
        <v/>
      </c>
      <c r="S1857" s="1390" t="str">
        <f t="shared" si="298"/>
        <v/>
      </c>
      <c r="U1857" s="1728"/>
      <c r="V1857" s="1379">
        <f t="shared" si="299"/>
        <v>0</v>
      </c>
      <c r="W1857" s="1767"/>
      <c r="X1857" s="1379"/>
    </row>
    <row r="1858" spans="1:24" x14ac:dyDescent="0.2">
      <c r="A1858" s="1649" t="s">
        <v>336</v>
      </c>
      <c r="B1858" s="1712">
        <f>IFERROR(AVERAGE(N1854:N1860),"")</f>
        <v>1.0684983570212598</v>
      </c>
      <c r="C1858" s="1378">
        <v>44946</v>
      </c>
      <c r="D1858" s="1379"/>
      <c r="E1858" s="1380"/>
      <c r="F1858" s="1550"/>
      <c r="G1858" s="1381"/>
      <c r="H1858" s="1382" t="str">
        <f>IFERROR(VLOOKUP(F1858,#REF!,10,FALSE),"")</f>
        <v/>
      </c>
      <c r="I1858" s="1383" t="str">
        <f t="shared" si="296"/>
        <v/>
      </c>
      <c r="J1858" s="1384"/>
      <c r="K1858" s="1741"/>
      <c r="L1858" s="1578"/>
      <c r="M1858" s="1602"/>
      <c r="N1858" s="1385" t="str">
        <f t="shared" si="297"/>
        <v/>
      </c>
      <c r="O1858" s="1386"/>
      <c r="P1858" s="1387" t="str">
        <f>IFERROR(VLOOKUP(F1858,#REF!,12,FALSE),"")</f>
        <v/>
      </c>
      <c r="Q1858" s="1388" t="s">
        <v>8</v>
      </c>
      <c r="R1858" s="1389" t="str">
        <f>IFERROR(VLOOKUP(F1858,#REF!,14,FALSE),"")</f>
        <v/>
      </c>
      <c r="S1858" s="1390" t="str">
        <f t="shared" si="298"/>
        <v/>
      </c>
      <c r="U1858" s="1728"/>
      <c r="V1858" s="1379">
        <f t="shared" si="299"/>
        <v>0</v>
      </c>
      <c r="W1858" s="1767"/>
      <c r="X1858" s="1379"/>
    </row>
    <row r="1859" spans="1:24" x14ac:dyDescent="0.2">
      <c r="A1859" s="1649" t="s">
        <v>337</v>
      </c>
      <c r="B1859" s="1677">
        <f>IFERROR(AVERAGE(S1854:S1860),"")</f>
        <v>1.4736842105263157</v>
      </c>
      <c r="C1859" s="1625">
        <v>44947</v>
      </c>
      <c r="D1859" s="1626">
        <v>5</v>
      </c>
      <c r="E1859" s="1627" t="s">
        <v>292</v>
      </c>
      <c r="F1859" s="1628" t="s">
        <v>322</v>
      </c>
      <c r="G1859" s="1629">
        <v>3.1875000000000001E-2</v>
      </c>
      <c r="H1859" s="1630">
        <v>7.54</v>
      </c>
      <c r="I1859" s="1631">
        <f t="shared" si="296"/>
        <v>4.2274535809018569E-3</v>
      </c>
      <c r="J1859" s="1632">
        <v>133</v>
      </c>
      <c r="K1859" s="1741"/>
      <c r="L1859" s="1578">
        <v>196</v>
      </c>
      <c r="M1859" s="1632">
        <v>28</v>
      </c>
      <c r="N1859" s="1633">
        <f t="shared" si="297"/>
        <v>1.0684983570212598</v>
      </c>
      <c r="O1859" s="1634" t="s">
        <v>329</v>
      </c>
      <c r="P1859" s="1635" t="str">
        <f>IFERROR(VLOOKUP(F1859,#REF!,12,FALSE),"")</f>
        <v/>
      </c>
      <c r="Q1859" s="1636" t="s">
        <v>8</v>
      </c>
      <c r="R1859" s="1637" t="str">
        <f>IFERROR(VLOOKUP(F1859,#REF!,14,FALSE),"")</f>
        <v/>
      </c>
      <c r="S1859" s="1605">
        <f t="shared" si="298"/>
        <v>1.4736842105263157</v>
      </c>
      <c r="U1859" s="1728"/>
      <c r="V1859" s="1626">
        <f t="shared" si="299"/>
        <v>0</v>
      </c>
      <c r="W1859" s="1767"/>
      <c r="X1859" s="1626"/>
    </row>
    <row r="1860" spans="1:24" ht="16" thickBot="1" x14ac:dyDescent="0.25">
      <c r="A1860" s="1650" t="s">
        <v>5</v>
      </c>
      <c r="B1860" s="1678">
        <f>IFERROR(SUM(M1854:M1860),"")</f>
        <v>28</v>
      </c>
      <c r="C1860" s="1360">
        <v>44948</v>
      </c>
      <c r="D1860" s="683"/>
      <c r="E1860" s="684"/>
      <c r="F1860" s="1538"/>
      <c r="G1860" s="1361"/>
      <c r="H1860" s="1362" t="str">
        <f>IFERROR(VLOOKUP(F1860,#REF!,10,FALSE),"")</f>
        <v/>
      </c>
      <c r="I1860" s="1363" t="str">
        <f t="shared" si="296"/>
        <v/>
      </c>
      <c r="J1860" s="1364"/>
      <c r="K1860" s="1741"/>
      <c r="L1860" s="1583"/>
      <c r="M1860" s="1364"/>
      <c r="N1860" s="1365" t="str">
        <f t="shared" si="297"/>
        <v/>
      </c>
      <c r="O1860" s="1366"/>
      <c r="P1860" s="1367" t="str">
        <f>IFERROR(VLOOKUP(F1860,#REF!,12,FALSE),"")</f>
        <v/>
      </c>
      <c r="Q1860" s="19" t="s">
        <v>8</v>
      </c>
      <c r="R1860" s="20" t="str">
        <f>IFERROR(VLOOKUP(F1860,#REF!,14,FALSE),"")</f>
        <v/>
      </c>
      <c r="S1860" s="1191" t="str">
        <f t="shared" si="298"/>
        <v/>
      </c>
      <c r="U1860" s="1728"/>
      <c r="V1860" s="683">
        <f t="shared" si="299"/>
        <v>0</v>
      </c>
      <c r="W1860" s="1768"/>
      <c r="X1860" s="683"/>
    </row>
    <row r="1861" spans="1:24" ht="16" thickBot="1" x14ac:dyDescent="0.25">
      <c r="A1861" s="1962">
        <f>WEEKNUM(C1861,1)</f>
        <v>4</v>
      </c>
      <c r="B1861" s="1963"/>
      <c r="C1861" s="1368">
        <v>44949</v>
      </c>
      <c r="D1861" s="1369">
        <v>6</v>
      </c>
      <c r="E1861" s="1370" t="s">
        <v>292</v>
      </c>
      <c r="F1861" s="1536" t="s">
        <v>322</v>
      </c>
      <c r="G1861" s="1371">
        <v>2.7847222222222221E-2</v>
      </c>
      <c r="H1861" s="1372">
        <v>6.92</v>
      </c>
      <c r="I1861" s="1373">
        <f t="shared" si="296"/>
        <v>4.0241650610147719E-3</v>
      </c>
      <c r="J1861" s="1374">
        <v>132</v>
      </c>
      <c r="K1861" s="1741"/>
      <c r="L1861" s="1577">
        <v>206</v>
      </c>
      <c r="M1861" s="1374">
        <v>29</v>
      </c>
      <c r="N1861" s="1375">
        <f t="shared" si="297"/>
        <v>1.0690104391338107</v>
      </c>
      <c r="O1861" s="1376" t="s">
        <v>327</v>
      </c>
      <c r="P1861" s="795" t="str">
        <f>IFERROR(VLOOKUP(F1861,#REF!,12,FALSE),"")</f>
        <v/>
      </c>
      <c r="Q1861" s="32" t="s">
        <v>8</v>
      </c>
      <c r="R1861" s="1255" t="str">
        <f>IFERROR(VLOOKUP(F1861,#REF!,14,FALSE),"")</f>
        <v/>
      </c>
      <c r="S1861" s="1377">
        <f t="shared" si="298"/>
        <v>1.5606060606060606</v>
      </c>
      <c r="U1861" s="1728"/>
      <c r="V1861" s="1369">
        <f t="shared" si="299"/>
        <v>0</v>
      </c>
      <c r="W1861" s="1766"/>
      <c r="X1861" s="1369"/>
    </row>
    <row r="1862" spans="1:24" x14ac:dyDescent="0.2">
      <c r="A1862" s="1648" t="s">
        <v>142</v>
      </c>
      <c r="B1862" s="1675">
        <f>SUM(H1861:H1867)</f>
        <v>28.259999999999998</v>
      </c>
      <c r="C1862" s="1378">
        <v>44950</v>
      </c>
      <c r="D1862" s="1379"/>
      <c r="E1862" s="1380"/>
      <c r="F1862" s="1534"/>
      <c r="G1862" s="1381"/>
      <c r="H1862" s="1382" t="str">
        <f>IFERROR(VLOOKUP(F1862,#REF!,10,FALSE),"")</f>
        <v/>
      </c>
      <c r="I1862" s="1383" t="str">
        <f t="shared" si="296"/>
        <v/>
      </c>
      <c r="J1862" s="1384"/>
      <c r="K1862" s="1741"/>
      <c r="L1862" s="1578"/>
      <c r="M1862" s="1602"/>
      <c r="N1862" s="1385" t="str">
        <f t="shared" si="297"/>
        <v/>
      </c>
      <c r="O1862" s="1386"/>
      <c r="P1862" s="1387" t="str">
        <f>IFERROR(VLOOKUP(F1862,#REF!,12,FALSE),"")</f>
        <v/>
      </c>
      <c r="Q1862" s="1388" t="s">
        <v>8</v>
      </c>
      <c r="R1862" s="1389" t="str">
        <f>IFERROR(VLOOKUP(F1862,#REF!,14,FALSE),"")</f>
        <v/>
      </c>
      <c r="S1862" s="1390" t="str">
        <f t="shared" si="298"/>
        <v/>
      </c>
      <c r="U1862" s="1728"/>
      <c r="V1862" s="1379">
        <f t="shared" si="299"/>
        <v>0</v>
      </c>
      <c r="W1862" s="1767"/>
      <c r="X1862" s="1379"/>
    </row>
    <row r="1863" spans="1:24" x14ac:dyDescent="0.2">
      <c r="A1863" s="1649" t="s">
        <v>144</v>
      </c>
      <c r="B1863" s="1676" t="e">
        <f>SUM(#REF!)</f>
        <v>#REF!</v>
      </c>
      <c r="C1863" s="1378">
        <v>44951</v>
      </c>
      <c r="D1863" s="1379">
        <v>7</v>
      </c>
      <c r="E1863" s="1380" t="s">
        <v>293</v>
      </c>
      <c r="F1863" s="1534" t="s">
        <v>143</v>
      </c>
      <c r="G1863" s="1381">
        <v>3.3043981481481487E-2</v>
      </c>
      <c r="H1863" s="1382">
        <v>8.68</v>
      </c>
      <c r="I1863" s="1383">
        <f t="shared" si="296"/>
        <v>3.8069103089264388E-3</v>
      </c>
      <c r="J1863" s="1384">
        <v>147</v>
      </c>
      <c r="K1863" s="1741"/>
      <c r="L1863" s="1578">
        <v>216</v>
      </c>
      <c r="M1863" s="1602">
        <v>27</v>
      </c>
      <c r="N1863" s="1385">
        <f t="shared" si="297"/>
        <v>1.0603892977508771</v>
      </c>
      <c r="O1863" s="1386" t="s">
        <v>341</v>
      </c>
      <c r="P1863" s="1387" t="str">
        <f>IFERROR(VLOOKUP(F1863,#REF!,12,FALSE),"")</f>
        <v/>
      </c>
      <c r="Q1863" s="1388" t="s">
        <v>8</v>
      </c>
      <c r="R1863" s="1389" t="str">
        <f>IFERROR(VLOOKUP(F1863,#REF!,14,FALSE),"")</f>
        <v/>
      </c>
      <c r="S1863" s="1390">
        <f t="shared" si="298"/>
        <v>1.4693877551020409</v>
      </c>
      <c r="U1863" s="1728"/>
      <c r="V1863" s="1379">
        <f t="shared" si="299"/>
        <v>0</v>
      </c>
      <c r="W1863" s="1767"/>
      <c r="X1863" s="1379"/>
    </row>
    <row r="1864" spans="1:24" x14ac:dyDescent="0.2">
      <c r="A1864" s="1649" t="s">
        <v>256</v>
      </c>
      <c r="B1864" s="1677" t="e">
        <f>AVERAGE(#REF!)</f>
        <v>#REF!</v>
      </c>
      <c r="C1864" s="1378">
        <v>44952</v>
      </c>
      <c r="D1864" s="1379">
        <v>8</v>
      </c>
      <c r="E1864" s="1380" t="s">
        <v>293</v>
      </c>
      <c r="F1864" s="1534" t="s">
        <v>331</v>
      </c>
      <c r="G1864" s="1381">
        <v>2.2442129629629631E-2</v>
      </c>
      <c r="H1864" s="1382">
        <v>5.58</v>
      </c>
      <c r="I1864" s="1383">
        <f t="shared" si="296"/>
        <v>4.0218870303995752E-3</v>
      </c>
      <c r="J1864" s="1384">
        <v>133</v>
      </c>
      <c r="K1864" s="1741"/>
      <c r="L1864" s="1578">
        <v>207</v>
      </c>
      <c r="M1864" s="1602">
        <v>20</v>
      </c>
      <c r="N1864" s="1385">
        <f t="shared" si="297"/>
        <v>1.0735917188252286</v>
      </c>
      <c r="O1864" s="1386" t="s">
        <v>327</v>
      </c>
      <c r="P1864" s="1387" t="str">
        <f>IFERROR(VLOOKUP(F1864,#REF!,12,FALSE),"")</f>
        <v/>
      </c>
      <c r="Q1864" s="1388" t="s">
        <v>8</v>
      </c>
      <c r="R1864" s="1389" t="str">
        <f>IFERROR(VLOOKUP(F1864,#REF!,14,FALSE),"")</f>
        <v/>
      </c>
      <c r="S1864" s="1390">
        <f t="shared" si="298"/>
        <v>1.5563909774436091</v>
      </c>
      <c r="U1864" s="1728"/>
      <c r="V1864" s="1379">
        <f t="shared" si="299"/>
        <v>0</v>
      </c>
      <c r="W1864" s="1767"/>
      <c r="X1864" s="1379"/>
    </row>
    <row r="1865" spans="1:24" x14ac:dyDescent="0.2">
      <c r="A1865" s="1649" t="s">
        <v>336</v>
      </c>
      <c r="B1865" s="1712">
        <f>IFERROR(AVERAGE(N1861:N1867),"")</f>
        <v>1.0669222884152099</v>
      </c>
      <c r="C1865" s="1378">
        <v>44953</v>
      </c>
      <c r="D1865" s="1379"/>
      <c r="E1865" s="1380"/>
      <c r="F1865" s="1550"/>
      <c r="G1865" s="1381"/>
      <c r="H1865" s="1382" t="str">
        <f>IFERROR(VLOOKUP(F1865,#REF!,10,FALSE),"")</f>
        <v/>
      </c>
      <c r="I1865" s="1383" t="str">
        <f t="shared" si="296"/>
        <v/>
      </c>
      <c r="J1865" s="1384"/>
      <c r="K1865" s="1741"/>
      <c r="L1865" s="1578"/>
      <c r="M1865" s="1602"/>
      <c r="N1865" s="1385" t="str">
        <f t="shared" si="297"/>
        <v/>
      </c>
      <c r="O1865" s="1386"/>
      <c r="P1865" s="1387" t="str">
        <f>IFERROR(VLOOKUP(F1865,#REF!,12,FALSE),"")</f>
        <v/>
      </c>
      <c r="Q1865" s="1388" t="s">
        <v>8</v>
      </c>
      <c r="R1865" s="1389" t="str">
        <f>IFERROR(VLOOKUP(F1865,#REF!,14,FALSE),"")</f>
        <v/>
      </c>
      <c r="S1865" s="1390" t="str">
        <f t="shared" si="298"/>
        <v/>
      </c>
      <c r="U1865" s="1728"/>
      <c r="V1865" s="1379">
        <f t="shared" si="299"/>
        <v>0</v>
      </c>
      <c r="W1865" s="1767"/>
      <c r="X1865" s="1379"/>
    </row>
    <row r="1866" spans="1:24" x14ac:dyDescent="0.2">
      <c r="A1866" s="1649" t="s">
        <v>337</v>
      </c>
      <c r="B1866" s="1677">
        <f>IFERROR(AVERAGE(S1861:S1867),"")</f>
        <v>1.4973156227483593</v>
      </c>
      <c r="C1866" s="1625">
        <v>44954</v>
      </c>
      <c r="D1866" s="1626">
        <v>9</v>
      </c>
      <c r="E1866" s="1627" t="s">
        <v>292</v>
      </c>
      <c r="F1866" s="1628" t="s">
        <v>322</v>
      </c>
      <c r="G1866" s="1629">
        <v>2.9976851851851852E-2</v>
      </c>
      <c r="H1866" s="1630">
        <v>7.08</v>
      </c>
      <c r="I1866" s="1631">
        <f t="shared" si="296"/>
        <v>4.2340186231429166E-3</v>
      </c>
      <c r="J1866" s="1632">
        <v>139</v>
      </c>
      <c r="K1866" s="1741"/>
      <c r="L1866" s="1578">
        <v>195</v>
      </c>
      <c r="M1866" s="1632">
        <v>26</v>
      </c>
      <c r="N1866" s="1633">
        <f t="shared" si="297"/>
        <v>1.0646976979509235</v>
      </c>
      <c r="O1866" s="1634" t="s">
        <v>327</v>
      </c>
      <c r="P1866" s="1635" t="str">
        <f>IFERROR(VLOOKUP(F1866,#REF!,12,FALSE),"")</f>
        <v/>
      </c>
      <c r="Q1866" s="1636" t="s">
        <v>8</v>
      </c>
      <c r="R1866" s="1637" t="str">
        <f>IFERROR(VLOOKUP(F1866,#REF!,14,FALSE),"")</f>
        <v/>
      </c>
      <c r="S1866" s="1605">
        <f t="shared" si="298"/>
        <v>1.4028776978417266</v>
      </c>
      <c r="U1866" s="1728"/>
      <c r="V1866" s="1626">
        <f t="shared" si="299"/>
        <v>0</v>
      </c>
      <c r="W1866" s="1767"/>
      <c r="X1866" s="1626"/>
    </row>
    <row r="1867" spans="1:24" ht="16" thickBot="1" x14ac:dyDescent="0.25">
      <c r="A1867" s="1650" t="s">
        <v>5</v>
      </c>
      <c r="B1867" s="1678">
        <f>IFERROR(SUM(M1861:M1867),"")</f>
        <v>102</v>
      </c>
      <c r="C1867" s="1360">
        <v>44955</v>
      </c>
      <c r="D1867" s="683"/>
      <c r="E1867" s="684"/>
      <c r="F1867" s="1538"/>
      <c r="G1867" s="1361"/>
      <c r="H1867" s="1362" t="str">
        <f>IFERROR(VLOOKUP(F1867,#REF!,10,FALSE),"")</f>
        <v/>
      </c>
      <c r="I1867" s="1363" t="str">
        <f t="shared" si="296"/>
        <v/>
      </c>
      <c r="J1867" s="1364"/>
      <c r="K1867" s="1741"/>
      <c r="L1867" s="1583"/>
      <c r="M1867" s="1364"/>
      <c r="N1867" s="1365" t="str">
        <f t="shared" si="297"/>
        <v/>
      </c>
      <c r="O1867" s="1366"/>
      <c r="P1867" s="1367" t="str">
        <f>IFERROR(VLOOKUP(F1867,#REF!,12,FALSE),"")</f>
        <v/>
      </c>
      <c r="Q1867" s="19" t="s">
        <v>8</v>
      </c>
      <c r="R1867" s="20" t="str">
        <f>IFERROR(VLOOKUP(F1867,#REF!,14,FALSE),"")</f>
        <v/>
      </c>
      <c r="S1867" s="1191" t="str">
        <f t="shared" si="298"/>
        <v/>
      </c>
      <c r="U1867" s="1728"/>
      <c r="V1867" s="683">
        <f t="shared" si="299"/>
        <v>0</v>
      </c>
      <c r="W1867" s="1768"/>
      <c r="X1867" s="683"/>
    </row>
    <row r="1868" spans="1:24" ht="16" thickBot="1" x14ac:dyDescent="0.25">
      <c r="A1868" s="1962">
        <f>WEEKNUM(C1868,1)</f>
        <v>5</v>
      </c>
      <c r="B1868" s="1963"/>
      <c r="C1868" s="1368">
        <v>44956</v>
      </c>
      <c r="D1868" s="1369"/>
      <c r="E1868" s="1370"/>
      <c r="F1868" s="1536"/>
      <c r="G1868" s="1371"/>
      <c r="H1868" s="1372" t="str">
        <f>IFERROR(VLOOKUP(F1868,#REF!,10,FALSE),"")</f>
        <v/>
      </c>
      <c r="I1868" s="1373" t="str">
        <f t="shared" si="296"/>
        <v/>
      </c>
      <c r="J1868" s="1374"/>
      <c r="K1868" s="1741"/>
      <c r="L1868" s="1577"/>
      <c r="M1868" s="1374"/>
      <c r="N1868" s="1375" t="str">
        <f t="shared" si="297"/>
        <v/>
      </c>
      <c r="O1868" s="1376"/>
      <c r="P1868" s="795" t="str">
        <f>IFERROR(VLOOKUP(F1868,#REF!,12,FALSE),"")</f>
        <v/>
      </c>
      <c r="Q1868" s="32" t="s">
        <v>8</v>
      </c>
      <c r="R1868" s="1255" t="str">
        <f>IFERROR(VLOOKUP(F1868,#REF!,14,FALSE),"")</f>
        <v/>
      </c>
      <c r="S1868" s="1377" t="str">
        <f t="shared" si="298"/>
        <v/>
      </c>
      <c r="U1868" s="1728"/>
      <c r="V1868" s="1369">
        <f t="shared" si="299"/>
        <v>0</v>
      </c>
      <c r="W1868" s="1766"/>
      <c r="X1868" s="1369"/>
    </row>
    <row r="1869" spans="1:24" x14ac:dyDescent="0.2">
      <c r="A1869" s="1648" t="s">
        <v>142</v>
      </c>
      <c r="B1869" s="1675">
        <f>SUM(H1868:H1874)</f>
        <v>27.49</v>
      </c>
      <c r="C1869" s="1378">
        <v>44957</v>
      </c>
      <c r="D1869" s="1379">
        <v>10</v>
      </c>
      <c r="E1869" s="1380" t="s">
        <v>292</v>
      </c>
      <c r="F1869" s="1534" t="s">
        <v>322</v>
      </c>
      <c r="G1869" s="1381">
        <v>2.5439814814814814E-2</v>
      </c>
      <c r="H1869" s="1382">
        <v>6.33</v>
      </c>
      <c r="I1869" s="1383">
        <f t="shared" si="296"/>
        <v>4.0189280908080275E-3</v>
      </c>
      <c r="J1869" s="1384">
        <v>133</v>
      </c>
      <c r="K1869" s="1741"/>
      <c r="L1869" s="1578">
        <v>207</v>
      </c>
      <c r="M1869" s="1602">
        <v>23</v>
      </c>
      <c r="N1869" s="1385">
        <f t="shared" si="297"/>
        <v>1.0728018674400508</v>
      </c>
      <c r="O1869" s="1386" t="s">
        <v>327</v>
      </c>
      <c r="P1869" s="1387" t="str">
        <f>IFERROR(VLOOKUP(F1869,#REF!,12,FALSE),"")</f>
        <v/>
      </c>
      <c r="Q1869" s="1388" t="s">
        <v>8</v>
      </c>
      <c r="R1869" s="1389" t="str">
        <f>IFERROR(VLOOKUP(F1869,#REF!,14,FALSE),"")</f>
        <v/>
      </c>
      <c r="S1869" s="1390">
        <f t="shared" si="298"/>
        <v>1.5563909774436091</v>
      </c>
      <c r="U1869" s="1728"/>
      <c r="V1869" s="1379">
        <f t="shared" si="299"/>
        <v>0</v>
      </c>
      <c r="W1869" s="1767"/>
      <c r="X1869" s="1379"/>
    </row>
    <row r="1870" spans="1:24" x14ac:dyDescent="0.2">
      <c r="A1870" s="1649" t="s">
        <v>144</v>
      </c>
      <c r="B1870" s="1676" t="e">
        <f>SUM(#REF!)</f>
        <v>#REF!</v>
      </c>
      <c r="C1870" s="1378">
        <v>44958</v>
      </c>
      <c r="D1870" s="1379"/>
      <c r="E1870" s="1380"/>
      <c r="F1870" s="1534"/>
      <c r="G1870" s="1381"/>
      <c r="H1870" s="1382" t="str">
        <f>IFERROR(VLOOKUP(F1870,#REF!,10,FALSE),"")</f>
        <v/>
      </c>
      <c r="I1870" s="1383" t="str">
        <f t="shared" si="296"/>
        <v/>
      </c>
      <c r="J1870" s="1384"/>
      <c r="K1870" s="1741"/>
      <c r="L1870" s="1578"/>
      <c r="M1870" s="1602"/>
      <c r="N1870" s="1385" t="str">
        <f t="shared" si="297"/>
        <v/>
      </c>
      <c r="O1870" s="1386"/>
      <c r="P1870" s="1387" t="str">
        <f>IFERROR(VLOOKUP(F1870,#REF!,12,FALSE),"")</f>
        <v/>
      </c>
      <c r="Q1870" s="1388" t="s">
        <v>8</v>
      </c>
      <c r="R1870" s="1389" t="str">
        <f>IFERROR(VLOOKUP(F1870,#REF!,14,FALSE),"")</f>
        <v/>
      </c>
      <c r="S1870" s="1390" t="str">
        <f t="shared" si="298"/>
        <v/>
      </c>
      <c r="U1870" s="1728"/>
      <c r="V1870" s="1379">
        <f t="shared" si="299"/>
        <v>0</v>
      </c>
      <c r="W1870" s="1767"/>
      <c r="X1870" s="1379"/>
    </row>
    <row r="1871" spans="1:24" x14ac:dyDescent="0.2">
      <c r="A1871" s="1649" t="s">
        <v>256</v>
      </c>
      <c r="B1871" s="1677" t="e">
        <f>AVERAGE(#REF!)</f>
        <v>#REF!</v>
      </c>
      <c r="C1871" s="1378">
        <v>44959</v>
      </c>
      <c r="D1871" s="1379">
        <v>11</v>
      </c>
      <c r="E1871" s="1380" t="s">
        <v>292</v>
      </c>
      <c r="F1871" s="1534" t="s">
        <v>267</v>
      </c>
      <c r="G1871" s="1381">
        <v>2.4849537037037035E-2</v>
      </c>
      <c r="H1871" s="1382">
        <v>5.84</v>
      </c>
      <c r="I1871" s="1383">
        <f t="shared" si="296"/>
        <v>4.2550577118214104E-3</v>
      </c>
      <c r="J1871" s="1384">
        <v>137</v>
      </c>
      <c r="K1871" s="1741"/>
      <c r="L1871" s="1578">
        <v>193</v>
      </c>
      <c r="M1871" s="1602">
        <v>15</v>
      </c>
      <c r="N1871" s="1385">
        <f t="shared" si="297"/>
        <v>1.0590140053158863</v>
      </c>
      <c r="O1871" s="1386" t="s">
        <v>327</v>
      </c>
      <c r="P1871" s="1387" t="str">
        <f>IFERROR(VLOOKUP(F1871,#REF!,12,FALSE),"")</f>
        <v/>
      </c>
      <c r="Q1871" s="1388" t="s">
        <v>8</v>
      </c>
      <c r="R1871" s="1389" t="str">
        <f>IFERROR(VLOOKUP(F1871,#REF!,14,FALSE),"")</f>
        <v/>
      </c>
      <c r="S1871" s="1390">
        <f t="shared" si="298"/>
        <v>1.4087591240875912</v>
      </c>
      <c r="U1871" s="1728"/>
      <c r="V1871" s="1379">
        <f t="shared" si="299"/>
        <v>0</v>
      </c>
      <c r="W1871" s="1767"/>
      <c r="X1871" s="1379"/>
    </row>
    <row r="1872" spans="1:24" x14ac:dyDescent="0.2">
      <c r="A1872" s="1649" t="s">
        <v>336</v>
      </c>
      <c r="B1872" s="1712">
        <f>IFERROR(AVERAGE(N1868:N1874),"")</f>
        <v>1.0709148384015883</v>
      </c>
      <c r="C1872" s="1378">
        <v>44960</v>
      </c>
      <c r="D1872" s="1379">
        <v>12</v>
      </c>
      <c r="E1872" s="1380" t="s">
        <v>292</v>
      </c>
      <c r="F1872" s="1550" t="s">
        <v>322</v>
      </c>
      <c r="G1872" s="1381">
        <v>2.4039351851851853E-2</v>
      </c>
      <c r="H1872" s="1382">
        <v>5.53</v>
      </c>
      <c r="I1872" s="1383">
        <f t="shared" si="296"/>
        <v>4.3470799008773695E-3</v>
      </c>
      <c r="J1872" s="1384">
        <v>138</v>
      </c>
      <c r="K1872" s="1741"/>
      <c r="L1872" s="1578">
        <v>192</v>
      </c>
      <c r="M1872" s="1602">
        <v>21</v>
      </c>
      <c r="N1872" s="1385">
        <f t="shared" si="297"/>
        <v>1.0763110307414103</v>
      </c>
      <c r="O1872" s="1386" t="s">
        <v>328</v>
      </c>
      <c r="P1872" s="1387" t="str">
        <f>IFERROR(VLOOKUP(F1872,#REF!,12,FALSE),"")</f>
        <v/>
      </c>
      <c r="Q1872" s="1388" t="s">
        <v>8</v>
      </c>
      <c r="R1872" s="1389" t="str">
        <f>IFERROR(VLOOKUP(F1872,#REF!,14,FALSE),"")</f>
        <v/>
      </c>
      <c r="S1872" s="1390">
        <f t="shared" si="298"/>
        <v>1.3913043478260869</v>
      </c>
      <c r="U1872" s="1728"/>
      <c r="V1872" s="1379">
        <f t="shared" si="299"/>
        <v>0</v>
      </c>
      <c r="W1872" s="1767"/>
      <c r="X1872" s="1379"/>
    </row>
    <row r="1873" spans="1:24" x14ac:dyDescent="0.2">
      <c r="A1873" s="1649" t="s">
        <v>337</v>
      </c>
      <c r="B1873" s="1677">
        <f>IFERROR(AVERAGE(S1868:S1874),"")</f>
        <v>1.4641136123393217</v>
      </c>
      <c r="C1873" s="1625">
        <v>44961</v>
      </c>
      <c r="D1873" s="1626"/>
      <c r="E1873" s="1627"/>
      <c r="F1873" s="1628"/>
      <c r="G1873" s="1629"/>
      <c r="H1873" s="1630" t="str">
        <f>IFERROR(VLOOKUP(F1873,#REF!,10,FALSE),"")</f>
        <v/>
      </c>
      <c r="I1873" s="1631" t="str">
        <f t="shared" si="296"/>
        <v/>
      </c>
      <c r="J1873" s="1632"/>
      <c r="K1873" s="1741"/>
      <c r="L1873" s="1578"/>
      <c r="M1873" s="1632"/>
      <c r="N1873" s="1633" t="str">
        <f t="shared" si="297"/>
        <v/>
      </c>
      <c r="O1873" s="1634"/>
      <c r="P1873" s="1635" t="str">
        <f>IFERROR(VLOOKUP(F1873,#REF!,12,FALSE),"")</f>
        <v/>
      </c>
      <c r="Q1873" s="1636" t="s">
        <v>8</v>
      </c>
      <c r="R1873" s="1637" t="str">
        <f>IFERROR(VLOOKUP(F1873,#REF!,14,FALSE),"")</f>
        <v/>
      </c>
      <c r="S1873" s="1605" t="str">
        <f t="shared" si="298"/>
        <v/>
      </c>
      <c r="U1873" s="1728"/>
      <c r="V1873" s="1626">
        <f t="shared" si="299"/>
        <v>0</v>
      </c>
      <c r="W1873" s="1767"/>
      <c r="X1873" s="1626"/>
    </row>
    <row r="1874" spans="1:24" ht="16" thickBot="1" x14ac:dyDescent="0.25">
      <c r="A1874" s="1650" t="s">
        <v>5</v>
      </c>
      <c r="B1874" s="1678">
        <f>IFERROR(SUM(M1868:M1874),"")</f>
        <v>92</v>
      </c>
      <c r="C1874" s="1360">
        <v>44962</v>
      </c>
      <c r="D1874" s="683">
        <v>13</v>
      </c>
      <c r="E1874" s="684" t="s">
        <v>292</v>
      </c>
      <c r="F1874" s="1538" t="s">
        <v>279</v>
      </c>
      <c r="G1874" s="1361">
        <v>4.1238425925925921E-2</v>
      </c>
      <c r="H1874" s="1362">
        <v>9.7899999999999991</v>
      </c>
      <c r="I1874" s="1363">
        <f t="shared" si="296"/>
        <v>4.2123009117391143E-3</v>
      </c>
      <c r="J1874" s="1364">
        <v>132</v>
      </c>
      <c r="K1874" s="1741"/>
      <c r="L1874" s="1583">
        <v>198</v>
      </c>
      <c r="M1874" s="1364">
        <v>33</v>
      </c>
      <c r="N1874" s="1365">
        <f t="shared" si="297"/>
        <v>1.0755324501090058</v>
      </c>
      <c r="O1874" s="1366" t="s">
        <v>329</v>
      </c>
      <c r="P1874" s="1367" t="str">
        <f>IFERROR(VLOOKUP(F1874,#REF!,12,FALSE),"")</f>
        <v/>
      </c>
      <c r="Q1874" s="19" t="s">
        <v>8</v>
      </c>
      <c r="R1874" s="20" t="str">
        <f>IFERROR(VLOOKUP(F1874,#REF!,14,FALSE),"")</f>
        <v/>
      </c>
      <c r="S1874" s="1191">
        <f t="shared" si="298"/>
        <v>1.5</v>
      </c>
      <c r="U1874" s="1728"/>
      <c r="V1874" s="683">
        <f t="shared" si="299"/>
        <v>0</v>
      </c>
      <c r="W1874" s="1768"/>
      <c r="X1874" s="683"/>
    </row>
    <row r="1875" spans="1:24" ht="16" thickBot="1" x14ac:dyDescent="0.25">
      <c r="A1875" s="1962">
        <f>WEEKNUM(C1875,1)</f>
        <v>6</v>
      </c>
      <c r="B1875" s="1963"/>
      <c r="C1875" s="1368">
        <v>44963</v>
      </c>
      <c r="D1875" s="1369">
        <v>14</v>
      </c>
      <c r="E1875" s="1370" t="s">
        <v>292</v>
      </c>
      <c r="F1875" s="1536" t="s">
        <v>322</v>
      </c>
      <c r="G1875" s="1371">
        <v>2.8078703703703703E-2</v>
      </c>
      <c r="H1875" s="1372">
        <v>6.81</v>
      </c>
      <c r="I1875" s="1373">
        <f t="shared" si="296"/>
        <v>4.1231576657421009E-3</v>
      </c>
      <c r="J1875" s="1374">
        <v>135</v>
      </c>
      <c r="K1875" s="1741"/>
      <c r="L1875" s="1577">
        <v>202</v>
      </c>
      <c r="M1875" s="1374">
        <v>22</v>
      </c>
      <c r="N1875" s="1375">
        <f t="shared" si="297"/>
        <v>1.0740394941591602</v>
      </c>
      <c r="O1875" s="1376" t="s">
        <v>329</v>
      </c>
      <c r="P1875" s="795" t="str">
        <f>IFERROR(VLOOKUP(F1875,#REF!,12,FALSE),"")</f>
        <v/>
      </c>
      <c r="Q1875" s="32" t="s">
        <v>8</v>
      </c>
      <c r="R1875" s="1255" t="str">
        <f>IFERROR(VLOOKUP(F1875,#REF!,14,FALSE),"")</f>
        <v/>
      </c>
      <c r="S1875" s="1377">
        <f t="shared" si="298"/>
        <v>1.4962962962962962</v>
      </c>
      <c r="U1875" s="1728"/>
      <c r="V1875" s="1369">
        <f t="shared" si="299"/>
        <v>0</v>
      </c>
      <c r="W1875" s="1766"/>
      <c r="X1875" s="1369"/>
    </row>
    <row r="1876" spans="1:24" x14ac:dyDescent="0.2">
      <c r="A1876" s="1648" t="s">
        <v>142</v>
      </c>
      <c r="B1876" s="1675">
        <f>SUM(H1875:H1881)</f>
        <v>33.4</v>
      </c>
      <c r="C1876" s="1378">
        <v>44964</v>
      </c>
      <c r="D1876" s="1379">
        <v>15</v>
      </c>
      <c r="E1876" s="1380" t="s">
        <v>293</v>
      </c>
      <c r="F1876" s="1534" t="s">
        <v>332</v>
      </c>
      <c r="G1876" s="1381">
        <v>2.8171296296296302E-2</v>
      </c>
      <c r="H1876" s="1382">
        <v>7.27</v>
      </c>
      <c r="I1876" s="1383">
        <f t="shared" si="296"/>
        <v>3.8750063681287899E-3</v>
      </c>
      <c r="J1876" s="1384">
        <v>136</v>
      </c>
      <c r="K1876" s="1741"/>
      <c r="L1876" s="1578">
        <v>213</v>
      </c>
      <c r="M1876" s="1602">
        <v>19</v>
      </c>
      <c r="N1876" s="1385">
        <f t="shared" si="297"/>
        <v>1.0643659282678768</v>
      </c>
      <c r="O1876" s="1386" t="s">
        <v>329</v>
      </c>
      <c r="P1876" s="1387" t="str">
        <f>IFERROR(VLOOKUP(F1876,#REF!,12,FALSE),"")</f>
        <v/>
      </c>
      <c r="Q1876" s="1388" t="s">
        <v>8</v>
      </c>
      <c r="R1876" s="1389" t="str">
        <f>IFERROR(VLOOKUP(F1876,#REF!,14,FALSE),"")</f>
        <v/>
      </c>
      <c r="S1876" s="1390">
        <f t="shared" si="298"/>
        <v>1.5661764705882353</v>
      </c>
      <c r="U1876" s="1728"/>
      <c r="V1876" s="1379">
        <f t="shared" si="299"/>
        <v>0</v>
      </c>
      <c r="W1876" s="1767"/>
      <c r="X1876" s="1379"/>
    </row>
    <row r="1877" spans="1:24" x14ac:dyDescent="0.2">
      <c r="A1877" s="1649" t="s">
        <v>144</v>
      </c>
      <c r="B1877" s="1676" t="e">
        <f>SUM(#REF!)</f>
        <v>#REF!</v>
      </c>
      <c r="C1877" s="1378">
        <v>44965</v>
      </c>
      <c r="D1877" s="1379"/>
      <c r="E1877" s="1380"/>
      <c r="F1877" s="1534"/>
      <c r="G1877" s="1381"/>
      <c r="H1877" s="1382" t="str">
        <f>IFERROR(VLOOKUP(F1877,#REF!,10,FALSE),"")</f>
        <v/>
      </c>
      <c r="I1877" s="1383" t="str">
        <f t="shared" si="296"/>
        <v/>
      </c>
      <c r="J1877" s="1384"/>
      <c r="K1877" s="1741"/>
      <c r="L1877" s="1578"/>
      <c r="M1877" s="1602"/>
      <c r="N1877" s="1385" t="str">
        <f t="shared" si="297"/>
        <v/>
      </c>
      <c r="O1877" s="1386"/>
      <c r="P1877" s="1387" t="str">
        <f>IFERROR(VLOOKUP(F1877,#REF!,12,FALSE),"")</f>
        <v/>
      </c>
      <c r="Q1877" s="1388" t="s">
        <v>8</v>
      </c>
      <c r="R1877" s="1389" t="str">
        <f>IFERROR(VLOOKUP(F1877,#REF!,14,FALSE),"")</f>
        <v/>
      </c>
      <c r="S1877" s="1390" t="str">
        <f t="shared" si="298"/>
        <v/>
      </c>
      <c r="U1877" s="1728"/>
      <c r="V1877" s="1379">
        <f t="shared" si="299"/>
        <v>0</v>
      </c>
      <c r="W1877" s="1767"/>
      <c r="X1877" s="1379"/>
    </row>
    <row r="1878" spans="1:24" x14ac:dyDescent="0.2">
      <c r="A1878" s="1649" t="s">
        <v>256</v>
      </c>
      <c r="B1878" s="1677" t="e">
        <f>AVERAGE(#REF!)</f>
        <v>#REF!</v>
      </c>
      <c r="C1878" s="1378">
        <v>44966</v>
      </c>
      <c r="D1878" s="1379">
        <v>16</v>
      </c>
      <c r="E1878" s="1380" t="s">
        <v>293</v>
      </c>
      <c r="F1878" s="1534" t="s">
        <v>331</v>
      </c>
      <c r="G1878" s="1381">
        <v>2.3912037037037034E-2</v>
      </c>
      <c r="H1878" s="1382">
        <v>5.99</v>
      </c>
      <c r="I1878" s="1383">
        <f t="shared" si="296"/>
        <v>3.9919928275520926E-3</v>
      </c>
      <c r="J1878" s="1384">
        <v>136</v>
      </c>
      <c r="K1878" s="1741"/>
      <c r="L1878" s="1578">
        <v>205</v>
      </c>
      <c r="M1878" s="1602">
        <v>19</v>
      </c>
      <c r="N1878" s="1385">
        <f t="shared" si="297"/>
        <v>1.055316074053771</v>
      </c>
      <c r="O1878" s="1386" t="s">
        <v>280</v>
      </c>
      <c r="P1878" s="1387" t="str">
        <f>IFERROR(VLOOKUP(F1878,#REF!,12,FALSE),"")</f>
        <v/>
      </c>
      <c r="Q1878" s="1388" t="s">
        <v>8</v>
      </c>
      <c r="R1878" s="1389" t="str">
        <f>IFERROR(VLOOKUP(F1878,#REF!,14,FALSE),"")</f>
        <v/>
      </c>
      <c r="S1878" s="1390">
        <f t="shared" si="298"/>
        <v>1.5073529411764706</v>
      </c>
      <c r="U1878" s="1728"/>
      <c r="V1878" s="1379">
        <f t="shared" si="299"/>
        <v>0</v>
      </c>
      <c r="W1878" s="1767"/>
      <c r="X1878" s="1379"/>
    </row>
    <row r="1879" spans="1:24" x14ac:dyDescent="0.2">
      <c r="A1879" s="1649" t="s">
        <v>336</v>
      </c>
      <c r="B1879" s="1712">
        <f>IFERROR(AVERAGE(N1875:N1881),"")</f>
        <v>1.0620130047123659</v>
      </c>
      <c r="C1879" s="1378">
        <v>44967</v>
      </c>
      <c r="D1879" s="1379">
        <v>17</v>
      </c>
      <c r="E1879" s="1380" t="s">
        <v>293</v>
      </c>
      <c r="F1879" s="1550" t="s">
        <v>322</v>
      </c>
      <c r="G1879" s="1381">
        <v>2.6192129629629631E-2</v>
      </c>
      <c r="H1879" s="1382">
        <v>6.34</v>
      </c>
      <c r="I1879" s="1383">
        <f t="shared" si="296"/>
        <v>4.1312507302254942E-3</v>
      </c>
      <c r="J1879" s="1384">
        <v>129</v>
      </c>
      <c r="K1879" s="1741"/>
      <c r="L1879" s="1578">
        <v>196</v>
      </c>
      <c r="M1879" s="1602">
        <v>17</v>
      </c>
      <c r="N1879" s="1385">
        <f t="shared" si="297"/>
        <v>1.0441828711332926</v>
      </c>
      <c r="O1879" s="1386" t="s">
        <v>339</v>
      </c>
      <c r="P1879" s="1387" t="str">
        <f>IFERROR(VLOOKUP(F1879,#REF!,12,FALSE),"")</f>
        <v/>
      </c>
      <c r="Q1879" s="1388" t="s">
        <v>8</v>
      </c>
      <c r="R1879" s="1389" t="str">
        <f>IFERROR(VLOOKUP(F1879,#REF!,14,FALSE),"")</f>
        <v/>
      </c>
      <c r="S1879" s="1390">
        <f t="shared" si="298"/>
        <v>1.5193798449612403</v>
      </c>
      <c r="U1879" s="1728"/>
      <c r="V1879" s="1379">
        <f t="shared" si="299"/>
        <v>0</v>
      </c>
      <c r="W1879" s="1767"/>
      <c r="X1879" s="1379"/>
    </row>
    <row r="1880" spans="1:24" x14ac:dyDescent="0.2">
      <c r="A1880" s="1649" t="s">
        <v>337</v>
      </c>
      <c r="B1880" s="1677">
        <f>IFERROR(AVERAGE(S1875:S1881),"")</f>
        <v>1.5201666919997971</v>
      </c>
      <c r="C1880" s="1625">
        <v>44968</v>
      </c>
      <c r="D1880" s="1626"/>
      <c r="E1880" s="1627"/>
      <c r="F1880" s="1628"/>
      <c r="G1880" s="1629"/>
      <c r="H1880" s="1630" t="str">
        <f>IFERROR(VLOOKUP(F1880,#REF!,10,FALSE),"")</f>
        <v/>
      </c>
      <c r="I1880" s="1631" t="str">
        <f t="shared" si="296"/>
        <v/>
      </c>
      <c r="J1880" s="1632"/>
      <c r="K1880" s="1741"/>
      <c r="L1880" s="1578"/>
      <c r="M1880" s="1632"/>
      <c r="N1880" s="1633" t="str">
        <f t="shared" si="297"/>
        <v/>
      </c>
      <c r="O1880" s="1634"/>
      <c r="P1880" s="1635" t="str">
        <f>IFERROR(VLOOKUP(F1880,#REF!,12,FALSE),"")</f>
        <v/>
      </c>
      <c r="Q1880" s="1636" t="s">
        <v>8</v>
      </c>
      <c r="R1880" s="1637" t="str">
        <f>IFERROR(VLOOKUP(F1880,#REF!,14,FALSE),"")</f>
        <v/>
      </c>
      <c r="S1880" s="1605" t="str">
        <f t="shared" si="298"/>
        <v/>
      </c>
      <c r="U1880" s="1728"/>
      <c r="V1880" s="1626">
        <f t="shared" si="299"/>
        <v>0</v>
      </c>
      <c r="W1880" s="1767"/>
      <c r="X1880" s="1626"/>
    </row>
    <row r="1881" spans="1:24" ht="16" thickBot="1" x14ac:dyDescent="0.25">
      <c r="A1881" s="1650" t="s">
        <v>5</v>
      </c>
      <c r="B1881" s="1678">
        <f>IFERROR(SUM(M1875:M1881),"")</f>
        <v>101</v>
      </c>
      <c r="C1881" s="1360">
        <v>44969</v>
      </c>
      <c r="D1881" s="683">
        <v>18</v>
      </c>
      <c r="E1881" s="684" t="s">
        <v>292</v>
      </c>
      <c r="F1881" s="1538" t="s">
        <v>322</v>
      </c>
      <c r="G1881" s="1361">
        <v>2.9803240740740741E-2</v>
      </c>
      <c r="H1881" s="1362">
        <v>6.99</v>
      </c>
      <c r="I1881" s="1363">
        <f t="shared" si="296"/>
        <v>4.2636968155566153E-3</v>
      </c>
      <c r="J1881" s="1364">
        <v>129</v>
      </c>
      <c r="K1881" s="1741"/>
      <c r="L1881" s="1583">
        <v>195</v>
      </c>
      <c r="M1881" s="1364">
        <v>24</v>
      </c>
      <c r="N1881" s="1365">
        <f t="shared" si="297"/>
        <v>1.0721606559477292</v>
      </c>
      <c r="O1881" s="1366" t="s">
        <v>327</v>
      </c>
      <c r="P1881" s="1367" t="str">
        <f>IFERROR(VLOOKUP(F1881,#REF!,12,FALSE),"")</f>
        <v/>
      </c>
      <c r="Q1881" s="19" t="s">
        <v>8</v>
      </c>
      <c r="R1881" s="20" t="str">
        <f>IFERROR(VLOOKUP(F1881,#REF!,14,FALSE),"")</f>
        <v/>
      </c>
      <c r="S1881" s="1191">
        <f t="shared" si="298"/>
        <v>1.5116279069767442</v>
      </c>
      <c r="U1881" s="1728"/>
      <c r="V1881" s="683">
        <f t="shared" si="299"/>
        <v>0</v>
      </c>
      <c r="W1881" s="1768"/>
      <c r="X1881" s="683"/>
    </row>
    <row r="1882" spans="1:24" ht="16" thickBot="1" x14ac:dyDescent="0.25">
      <c r="A1882" s="1962">
        <f>WEEKNUM(C1882,1)</f>
        <v>7</v>
      </c>
      <c r="B1882" s="1963"/>
      <c r="C1882" s="1368">
        <v>44970</v>
      </c>
      <c r="D1882" s="1369">
        <v>19</v>
      </c>
      <c r="E1882" s="1370" t="s">
        <v>293</v>
      </c>
      <c r="F1882" s="1536" t="s">
        <v>267</v>
      </c>
      <c r="G1882" s="1371">
        <v>2.6018518518518521E-2</v>
      </c>
      <c r="H1882" s="1372">
        <v>6.56</v>
      </c>
      <c r="I1882" s="1373">
        <f t="shared" si="296"/>
        <v>3.9662375790424573E-3</v>
      </c>
      <c r="J1882" s="1374">
        <v>126</v>
      </c>
      <c r="K1882" s="1741"/>
      <c r="L1882" s="1577">
        <v>209</v>
      </c>
      <c r="M1882" s="1374">
        <v>19</v>
      </c>
      <c r="N1882" s="1375">
        <f t="shared" si="297"/>
        <v>1.0689661448853296</v>
      </c>
      <c r="O1882" s="1376" t="s">
        <v>329</v>
      </c>
      <c r="P1882" s="795" t="str">
        <f>IFERROR(VLOOKUP(F1882,#REF!,12,FALSE),"")</f>
        <v/>
      </c>
      <c r="Q1882" s="32" t="s">
        <v>8</v>
      </c>
      <c r="R1882" s="1255" t="str">
        <f>IFERROR(VLOOKUP(F1882,#REF!,14,FALSE),"")</f>
        <v/>
      </c>
      <c r="S1882" s="1377">
        <f t="shared" si="298"/>
        <v>1.6587301587301588</v>
      </c>
      <c r="U1882" s="1728"/>
      <c r="V1882" s="1369">
        <f t="shared" si="299"/>
        <v>0</v>
      </c>
      <c r="W1882" s="1766"/>
      <c r="X1882" s="1369"/>
    </row>
    <row r="1883" spans="1:24" x14ac:dyDescent="0.2">
      <c r="A1883" s="1648" t="s">
        <v>142</v>
      </c>
      <c r="B1883" s="1675">
        <f>SUM(H1882:H1888)</f>
        <v>32.85</v>
      </c>
      <c r="C1883" s="1378">
        <v>44971</v>
      </c>
      <c r="D1883" s="1379">
        <v>20</v>
      </c>
      <c r="E1883" s="1380" t="s">
        <v>293</v>
      </c>
      <c r="F1883" s="1534" t="s">
        <v>312</v>
      </c>
      <c r="G1883" s="1381">
        <v>3.7743055555555557E-2</v>
      </c>
      <c r="H1883" s="1382">
        <v>9.74</v>
      </c>
      <c r="I1883" s="1383">
        <f t="shared" si="296"/>
        <v>3.8750570385580655E-3</v>
      </c>
      <c r="J1883" s="1384">
        <v>143</v>
      </c>
      <c r="K1883" s="1741"/>
      <c r="L1883" s="1578">
        <v>213</v>
      </c>
      <c r="M1883" s="1602">
        <v>24</v>
      </c>
      <c r="N1883" s="1385">
        <f t="shared" si="297"/>
        <v>1.0643798461491312</v>
      </c>
      <c r="O1883" s="1386" t="s">
        <v>341</v>
      </c>
      <c r="P1883" s="1387" t="str">
        <f>IFERROR(VLOOKUP(F1883,#REF!,12,FALSE),"")</f>
        <v/>
      </c>
      <c r="Q1883" s="1388" t="s">
        <v>8</v>
      </c>
      <c r="R1883" s="1389" t="str">
        <f>IFERROR(VLOOKUP(F1883,#REF!,14,FALSE),"")</f>
        <v/>
      </c>
      <c r="S1883" s="1390">
        <f t="shared" si="298"/>
        <v>1.4895104895104896</v>
      </c>
      <c r="U1883" s="1728"/>
      <c r="V1883" s="1379">
        <f t="shared" si="299"/>
        <v>0</v>
      </c>
      <c r="W1883" s="1767"/>
      <c r="X1883" s="1379"/>
    </row>
    <row r="1884" spans="1:24" x14ac:dyDescent="0.2">
      <c r="A1884" s="1649" t="s">
        <v>144</v>
      </c>
      <c r="B1884" s="1676" t="e">
        <f>SUM(#REF!)</f>
        <v>#REF!</v>
      </c>
      <c r="C1884" s="1378">
        <v>44972</v>
      </c>
      <c r="D1884" s="1379"/>
      <c r="E1884" s="1380"/>
      <c r="F1884" s="1534"/>
      <c r="G1884" s="1381"/>
      <c r="H1884" s="1382" t="str">
        <f>IFERROR(VLOOKUP(F1884,#REF!,10,FALSE),"")</f>
        <v/>
      </c>
      <c r="I1884" s="1383" t="str">
        <f t="shared" si="296"/>
        <v/>
      </c>
      <c r="J1884" s="1384"/>
      <c r="K1884" s="1741"/>
      <c r="L1884" s="1578"/>
      <c r="M1884" s="1602"/>
      <c r="N1884" s="1385" t="str">
        <f t="shared" si="297"/>
        <v/>
      </c>
      <c r="O1884" s="1386"/>
      <c r="P1884" s="1387" t="str">
        <f>IFERROR(VLOOKUP(F1884,#REF!,12,FALSE),"")</f>
        <v/>
      </c>
      <c r="Q1884" s="1388" t="s">
        <v>8</v>
      </c>
      <c r="R1884" s="1389" t="str">
        <f>IFERROR(VLOOKUP(F1884,#REF!,14,FALSE),"")</f>
        <v/>
      </c>
      <c r="S1884" s="1390" t="str">
        <f t="shared" si="298"/>
        <v/>
      </c>
      <c r="U1884" s="1728"/>
      <c r="V1884" s="1379">
        <f t="shared" si="299"/>
        <v>0</v>
      </c>
      <c r="W1884" s="1767"/>
      <c r="X1884" s="1379"/>
    </row>
    <row r="1885" spans="1:24" x14ac:dyDescent="0.2">
      <c r="A1885" s="1649" t="s">
        <v>256</v>
      </c>
      <c r="B1885" s="1677" t="e">
        <f>AVERAGE(#REF!)</f>
        <v>#REF!</v>
      </c>
      <c r="C1885" s="1378">
        <v>44973</v>
      </c>
      <c r="D1885" s="1379">
        <v>21</v>
      </c>
      <c r="E1885" s="1380" t="s">
        <v>293</v>
      </c>
      <c r="F1885" s="1534" t="s">
        <v>331</v>
      </c>
      <c r="G1885" s="1381">
        <v>2.5752314814814815E-2</v>
      </c>
      <c r="H1885" s="1382">
        <v>6.52</v>
      </c>
      <c r="I1885" s="1383">
        <f t="shared" si="296"/>
        <v>3.9497415360145423E-3</v>
      </c>
      <c r="J1885" s="1384">
        <v>138</v>
      </c>
      <c r="K1885" s="1741"/>
      <c r="L1885" s="1578">
        <v>208</v>
      </c>
      <c r="M1885" s="1602">
        <v>20</v>
      </c>
      <c r="N1885" s="1385">
        <f t="shared" si="297"/>
        <v>1.059426792418277</v>
      </c>
      <c r="O1885" s="1386" t="s">
        <v>333</v>
      </c>
      <c r="P1885" s="1387" t="str">
        <f>IFERROR(VLOOKUP(F1885,#REF!,12,FALSE),"")</f>
        <v/>
      </c>
      <c r="Q1885" s="1388" t="s">
        <v>8</v>
      </c>
      <c r="R1885" s="1389" t="str">
        <f>IFERROR(VLOOKUP(F1885,#REF!,14,FALSE),"")</f>
        <v/>
      </c>
      <c r="S1885" s="1390">
        <f t="shared" si="298"/>
        <v>1.5072463768115942</v>
      </c>
      <c r="U1885" s="1728"/>
      <c r="V1885" s="1379">
        <f t="shared" si="299"/>
        <v>0</v>
      </c>
      <c r="W1885" s="1767"/>
      <c r="X1885" s="1379"/>
    </row>
    <row r="1886" spans="1:24" x14ac:dyDescent="0.2">
      <c r="A1886" s="1649" t="s">
        <v>336</v>
      </c>
      <c r="B1886" s="1712">
        <f>IFERROR(AVERAGE(N1882:N1888),"")</f>
        <v>1.0646326833708109</v>
      </c>
      <c r="C1886" s="1378">
        <v>44974</v>
      </c>
      <c r="D1886" s="1379"/>
      <c r="E1886" s="1380"/>
      <c r="F1886" s="1550"/>
      <c r="G1886" s="1381"/>
      <c r="H1886" s="1382" t="str">
        <f>IFERROR(VLOOKUP(F1886,#REF!,10,FALSE),"")</f>
        <v/>
      </c>
      <c r="I1886" s="1383" t="str">
        <f t="shared" si="296"/>
        <v/>
      </c>
      <c r="J1886" s="1384"/>
      <c r="K1886" s="1741"/>
      <c r="L1886" s="1578"/>
      <c r="M1886" s="1602"/>
      <c r="N1886" s="1385" t="str">
        <f t="shared" si="297"/>
        <v/>
      </c>
      <c r="O1886" s="1386"/>
      <c r="P1886" s="1387" t="str">
        <f>IFERROR(VLOOKUP(F1886,#REF!,12,FALSE),"")</f>
        <v/>
      </c>
      <c r="Q1886" s="1388" t="s">
        <v>8</v>
      </c>
      <c r="R1886" s="1389" t="str">
        <f>IFERROR(VLOOKUP(F1886,#REF!,14,FALSE),"")</f>
        <v/>
      </c>
      <c r="S1886" s="1390" t="str">
        <f t="shared" si="298"/>
        <v/>
      </c>
      <c r="U1886" s="1728"/>
      <c r="V1886" s="1379">
        <f t="shared" si="299"/>
        <v>0</v>
      </c>
      <c r="W1886" s="1767"/>
      <c r="X1886" s="1379"/>
    </row>
    <row r="1887" spans="1:24" x14ac:dyDescent="0.2">
      <c r="A1887" s="1649" t="s">
        <v>337</v>
      </c>
      <c r="B1887" s="1677">
        <f>IFERROR(AVERAGE(S1882:S1888),"")</f>
        <v>1.5398116058871207</v>
      </c>
      <c r="C1887" s="1625">
        <v>44975</v>
      </c>
      <c r="D1887" s="1626">
        <v>22</v>
      </c>
      <c r="E1887" s="1627" t="s">
        <v>292</v>
      </c>
      <c r="F1887" s="1628" t="s">
        <v>279</v>
      </c>
      <c r="G1887" s="1629">
        <v>4.144675925925926E-2</v>
      </c>
      <c r="H1887" s="1630">
        <v>10.029999999999999</v>
      </c>
      <c r="I1887" s="1631">
        <f t="shared" si="296"/>
        <v>4.1322790886599466E-3</v>
      </c>
      <c r="J1887" s="1632">
        <v>133</v>
      </c>
      <c r="K1887" s="1741"/>
      <c r="L1887" s="1578">
        <v>200</v>
      </c>
      <c r="M1887" s="1632">
        <v>35</v>
      </c>
      <c r="N1887" s="1633">
        <f t="shared" si="297"/>
        <v>1.0657579500305057</v>
      </c>
      <c r="O1887" s="1634" t="s">
        <v>329</v>
      </c>
      <c r="P1887" s="1635" t="str">
        <f>IFERROR(VLOOKUP(F1887,#REF!,12,FALSE),"")</f>
        <v/>
      </c>
      <c r="Q1887" s="1636" t="s">
        <v>8</v>
      </c>
      <c r="R1887" s="1637" t="str">
        <f>IFERROR(VLOOKUP(F1887,#REF!,14,FALSE),"")</f>
        <v/>
      </c>
      <c r="S1887" s="1605">
        <f t="shared" si="298"/>
        <v>1.5037593984962405</v>
      </c>
      <c r="U1887" s="1728"/>
      <c r="V1887" s="1626">
        <f t="shared" si="299"/>
        <v>0</v>
      </c>
      <c r="W1887" s="1767"/>
      <c r="X1887" s="1626"/>
    </row>
    <row r="1888" spans="1:24" ht="16" thickBot="1" x14ac:dyDescent="0.25">
      <c r="A1888" s="1650" t="s">
        <v>5</v>
      </c>
      <c r="B1888" s="1678">
        <f>IFERROR(SUM(M1882:M1888),"")</f>
        <v>98</v>
      </c>
      <c r="C1888" s="1360">
        <v>44976</v>
      </c>
      <c r="D1888" s="683"/>
      <c r="E1888" s="684"/>
      <c r="F1888" s="1538"/>
      <c r="G1888" s="1361"/>
      <c r="H1888" s="1362" t="str">
        <f>IFERROR(VLOOKUP(F1888,#REF!,10,FALSE),"")</f>
        <v/>
      </c>
      <c r="I1888" s="1363" t="str">
        <f t="shared" si="296"/>
        <v/>
      </c>
      <c r="J1888" s="1364"/>
      <c r="K1888" s="1741"/>
      <c r="L1888" s="1583"/>
      <c r="M1888" s="1364"/>
      <c r="N1888" s="1365" t="str">
        <f t="shared" si="297"/>
        <v/>
      </c>
      <c r="O1888" s="1366"/>
      <c r="P1888" s="1367" t="str">
        <f>IFERROR(VLOOKUP(F1888,#REF!,12,FALSE),"")</f>
        <v/>
      </c>
      <c r="Q1888" s="19" t="s">
        <v>8</v>
      </c>
      <c r="R1888" s="20" t="str">
        <f>IFERROR(VLOOKUP(F1888,#REF!,14,FALSE),"")</f>
        <v/>
      </c>
      <c r="S1888" s="1191" t="str">
        <f t="shared" si="298"/>
        <v/>
      </c>
      <c r="U1888" s="1728"/>
      <c r="V1888" s="683">
        <f t="shared" si="299"/>
        <v>0</v>
      </c>
      <c r="W1888" s="1768"/>
      <c r="X1888" s="683"/>
    </row>
    <row r="1889" spans="1:24" ht="16" thickBot="1" x14ac:dyDescent="0.25">
      <c r="A1889" s="1962">
        <f>WEEKNUM(C1889,1)</f>
        <v>8</v>
      </c>
      <c r="B1889" s="1963"/>
      <c r="C1889" s="1368">
        <v>44977</v>
      </c>
      <c r="D1889" s="1369">
        <v>23</v>
      </c>
      <c r="E1889" s="1370" t="s">
        <v>293</v>
      </c>
      <c r="F1889" s="1536" t="s">
        <v>267</v>
      </c>
      <c r="G1889" s="1371">
        <v>2.7314814814814816E-2</v>
      </c>
      <c r="H1889" s="1372">
        <v>6.72</v>
      </c>
      <c r="I1889" s="1373">
        <f t="shared" si="296"/>
        <v>4.0647045855379191E-3</v>
      </c>
      <c r="J1889" s="1374">
        <v>133</v>
      </c>
      <c r="K1889" s="1741"/>
      <c r="L1889" s="1577">
        <v>202</v>
      </c>
      <c r="M1889" s="1374">
        <v>14</v>
      </c>
      <c r="N1889" s="1375">
        <f t="shared" si="297"/>
        <v>1.0588130774697939</v>
      </c>
      <c r="O1889" s="1376" t="s">
        <v>333</v>
      </c>
      <c r="P1889" s="795" t="str">
        <f>IFERROR(VLOOKUP(F1889,#REF!,12,FALSE),"")</f>
        <v/>
      </c>
      <c r="Q1889" s="32" t="s">
        <v>8</v>
      </c>
      <c r="R1889" s="1255" t="str">
        <f>IFERROR(VLOOKUP(F1889,#REF!,14,FALSE),"")</f>
        <v/>
      </c>
      <c r="S1889" s="1377">
        <f t="shared" si="298"/>
        <v>1.518796992481203</v>
      </c>
      <c r="U1889" s="1728"/>
      <c r="V1889" s="1369">
        <f t="shared" si="299"/>
        <v>0</v>
      </c>
      <c r="W1889" s="1766"/>
      <c r="X1889" s="1369"/>
    </row>
    <row r="1890" spans="1:24" x14ac:dyDescent="0.2">
      <c r="A1890" s="1648" t="s">
        <v>142</v>
      </c>
      <c r="B1890" s="1675">
        <f>SUM(H1889:H1895)</f>
        <v>40.25</v>
      </c>
      <c r="C1890" s="1378">
        <v>44978</v>
      </c>
      <c r="D1890" s="1379">
        <v>24</v>
      </c>
      <c r="E1890" s="1380" t="s">
        <v>293</v>
      </c>
      <c r="F1890" s="1534" t="s">
        <v>312</v>
      </c>
      <c r="G1890" s="1381">
        <v>3.5046296296296298E-2</v>
      </c>
      <c r="H1890" s="1382">
        <v>9.2200000000000006</v>
      </c>
      <c r="I1890" s="1383">
        <f t="shared" si="296"/>
        <v>3.8011167349562142E-3</v>
      </c>
      <c r="J1890" s="1384">
        <v>135</v>
      </c>
      <c r="K1890" s="1741"/>
      <c r="L1890" s="1578">
        <v>215</v>
      </c>
      <c r="M1890" s="1602">
        <v>15</v>
      </c>
      <c r="N1890" s="1385">
        <f t="shared" si="297"/>
        <v>1.0538737980380095</v>
      </c>
      <c r="O1890" s="1386" t="s">
        <v>341</v>
      </c>
      <c r="P1890" s="1387" t="str">
        <f>IFERROR(VLOOKUP(F1890,#REF!,12,FALSE),"")</f>
        <v/>
      </c>
      <c r="Q1890" s="1388" t="s">
        <v>8</v>
      </c>
      <c r="R1890" s="1389" t="str">
        <f>IFERROR(VLOOKUP(F1890,#REF!,14,FALSE),"")</f>
        <v/>
      </c>
      <c r="S1890" s="1390">
        <f t="shared" si="298"/>
        <v>1.5925925925925926</v>
      </c>
      <c r="U1890" s="1728"/>
      <c r="V1890" s="1379">
        <f t="shared" si="299"/>
        <v>0</v>
      </c>
      <c r="W1890" s="1767"/>
      <c r="X1890" s="1379"/>
    </row>
    <row r="1891" spans="1:24" x14ac:dyDescent="0.2">
      <c r="A1891" s="1649" t="s">
        <v>144</v>
      </c>
      <c r="B1891" s="1676" t="e">
        <f>SUM(#REF!)</f>
        <v>#REF!</v>
      </c>
      <c r="C1891" s="1378">
        <v>44979</v>
      </c>
      <c r="D1891" s="1379"/>
      <c r="E1891" s="1380"/>
      <c r="F1891" s="1534"/>
      <c r="G1891" s="1381"/>
      <c r="H1891" s="1382" t="str">
        <f>IFERROR(VLOOKUP(F1891,#REF!,10,FALSE),"")</f>
        <v/>
      </c>
      <c r="I1891" s="1383" t="str">
        <f t="shared" si="296"/>
        <v/>
      </c>
      <c r="J1891" s="1384"/>
      <c r="K1891" s="1741"/>
      <c r="L1891" s="1578"/>
      <c r="M1891" s="1602"/>
      <c r="N1891" s="1385" t="str">
        <f t="shared" si="297"/>
        <v/>
      </c>
      <c r="O1891" s="1386"/>
      <c r="P1891" s="1387" t="str">
        <f>IFERROR(VLOOKUP(F1891,#REF!,12,FALSE),"")</f>
        <v/>
      </c>
      <c r="Q1891" s="1388" t="s">
        <v>8</v>
      </c>
      <c r="R1891" s="1389" t="str">
        <f>IFERROR(VLOOKUP(F1891,#REF!,14,FALSE),"")</f>
        <v/>
      </c>
      <c r="S1891" s="1390" t="str">
        <f t="shared" si="298"/>
        <v/>
      </c>
      <c r="U1891" s="1728"/>
      <c r="V1891" s="1379">
        <f t="shared" si="299"/>
        <v>0</v>
      </c>
      <c r="W1891" s="1767"/>
      <c r="X1891" s="1379"/>
    </row>
    <row r="1892" spans="1:24" x14ac:dyDescent="0.2">
      <c r="A1892" s="1649" t="s">
        <v>256</v>
      </c>
      <c r="B1892" s="1677" t="e">
        <f>AVERAGE(#REF!)</f>
        <v>#REF!</v>
      </c>
      <c r="C1892" s="1378">
        <v>44980</v>
      </c>
      <c r="D1892" s="1379">
        <v>25</v>
      </c>
      <c r="E1892" s="1380" t="s">
        <v>293</v>
      </c>
      <c r="F1892" s="1534" t="s">
        <v>331</v>
      </c>
      <c r="G1892" s="1381">
        <v>2.4826388888888887E-2</v>
      </c>
      <c r="H1892" s="1382">
        <v>6.2</v>
      </c>
      <c r="I1892" s="1383">
        <f t="shared" si="296"/>
        <v>4.0042562724014333E-3</v>
      </c>
      <c r="J1892" s="1384">
        <v>136</v>
      </c>
      <c r="K1892" s="1741"/>
      <c r="L1892" s="1578">
        <v>205</v>
      </c>
      <c r="M1892" s="1602">
        <v>12</v>
      </c>
      <c r="N1892" s="1385">
        <f t="shared" si="297"/>
        <v>1.0585580163697641</v>
      </c>
      <c r="O1892" s="1386" t="s">
        <v>329</v>
      </c>
      <c r="P1892" s="1387" t="str">
        <f>IFERROR(VLOOKUP(F1892,#REF!,12,FALSE),"")</f>
        <v/>
      </c>
      <c r="Q1892" s="1388" t="s">
        <v>8</v>
      </c>
      <c r="R1892" s="1389" t="str">
        <f>IFERROR(VLOOKUP(F1892,#REF!,14,FALSE),"")</f>
        <v/>
      </c>
      <c r="S1892" s="1390">
        <f t="shared" si="298"/>
        <v>1.5073529411764706</v>
      </c>
      <c r="U1892" s="1728"/>
      <c r="V1892" s="1379">
        <f t="shared" si="299"/>
        <v>0</v>
      </c>
      <c r="W1892" s="1767"/>
      <c r="X1892" s="1379"/>
    </row>
    <row r="1893" spans="1:24" x14ac:dyDescent="0.2">
      <c r="A1893" s="1649" t="s">
        <v>336</v>
      </c>
      <c r="B1893" s="1712">
        <f>IFERROR(AVERAGE(N1889:N1895),"")</f>
        <v>1.0587070635645925</v>
      </c>
      <c r="C1893" s="1378">
        <v>44981</v>
      </c>
      <c r="D1893" s="1379">
        <v>26</v>
      </c>
      <c r="E1893" s="1380" t="s">
        <v>292</v>
      </c>
      <c r="F1893" s="1550" t="s">
        <v>322</v>
      </c>
      <c r="G1893" s="1381">
        <v>2.6944444444444441E-2</v>
      </c>
      <c r="H1893" s="1382">
        <v>6.41</v>
      </c>
      <c r="I1893" s="1383">
        <f t="shared" si="296"/>
        <v>4.2035014733922682E-3</v>
      </c>
      <c r="J1893" s="1384">
        <v>132</v>
      </c>
      <c r="K1893" s="1741"/>
      <c r="L1893" s="1578">
        <v>193</v>
      </c>
      <c r="M1893" s="1602">
        <v>14</v>
      </c>
      <c r="N1893" s="1385">
        <f t="shared" si="297"/>
        <v>1.0461825040165784</v>
      </c>
      <c r="O1893" s="1386" t="s">
        <v>333</v>
      </c>
      <c r="P1893" s="1387" t="str">
        <f>IFERROR(VLOOKUP(F1893,#REF!,12,FALSE),"")</f>
        <v/>
      </c>
      <c r="Q1893" s="1388" t="s">
        <v>8</v>
      </c>
      <c r="R1893" s="1389" t="str">
        <f>IFERROR(VLOOKUP(F1893,#REF!,14,FALSE),"")</f>
        <v/>
      </c>
      <c r="S1893" s="1390">
        <f t="shared" si="298"/>
        <v>1.4621212121212122</v>
      </c>
      <c r="U1893" s="1728"/>
      <c r="V1893" s="1379">
        <f t="shared" si="299"/>
        <v>0</v>
      </c>
      <c r="W1893" s="1767"/>
      <c r="X1893" s="1379"/>
    </row>
    <row r="1894" spans="1:24" x14ac:dyDescent="0.2">
      <c r="A1894" s="1649" t="s">
        <v>337</v>
      </c>
      <c r="B1894" s="1677">
        <f>IFERROR(AVERAGE(S1889:S1895),"")</f>
        <v>1.5199895415674252</v>
      </c>
      <c r="C1894" s="1625">
        <v>44982</v>
      </c>
      <c r="D1894" s="1626">
        <v>27</v>
      </c>
      <c r="E1894" s="1627" t="s">
        <v>292</v>
      </c>
      <c r="F1894" s="1628" t="s">
        <v>279</v>
      </c>
      <c r="G1894" s="1629">
        <v>4.9062500000000002E-2</v>
      </c>
      <c r="H1894" s="1630">
        <v>11.7</v>
      </c>
      <c r="I1894" s="1631">
        <f t="shared" si="296"/>
        <v>4.1933760683760691E-3</v>
      </c>
      <c r="J1894" s="1632">
        <v>131</v>
      </c>
      <c r="K1894" s="1741"/>
      <c r="L1894" s="1578">
        <v>199</v>
      </c>
      <c r="M1894" s="1632">
        <v>45</v>
      </c>
      <c r="N1894" s="1633">
        <f t="shared" si="297"/>
        <v>1.0761079219288177</v>
      </c>
      <c r="O1894" s="1634" t="s">
        <v>327</v>
      </c>
      <c r="P1894" s="1635" t="str">
        <f>IFERROR(VLOOKUP(F1894,#REF!,12,FALSE),"")</f>
        <v/>
      </c>
      <c r="Q1894" s="1636" t="s">
        <v>8</v>
      </c>
      <c r="R1894" s="1637" t="str">
        <f>IFERROR(VLOOKUP(F1894,#REF!,14,FALSE),"")</f>
        <v/>
      </c>
      <c r="S1894" s="1605">
        <f t="shared" si="298"/>
        <v>1.5190839694656488</v>
      </c>
      <c r="U1894" s="1728"/>
      <c r="V1894" s="1626">
        <f t="shared" si="299"/>
        <v>0</v>
      </c>
      <c r="W1894" s="1767"/>
      <c r="X1894" s="1626"/>
    </row>
    <row r="1895" spans="1:24" ht="16" thickBot="1" x14ac:dyDescent="0.25">
      <c r="A1895" s="1650" t="s">
        <v>5</v>
      </c>
      <c r="B1895" s="1678">
        <f>IFERROR(SUM(M1889:M1895),"")</f>
        <v>100</v>
      </c>
      <c r="C1895" s="1360">
        <v>44983</v>
      </c>
      <c r="D1895" s="683"/>
      <c r="E1895" s="684"/>
      <c r="F1895" s="1538"/>
      <c r="G1895" s="1361"/>
      <c r="H1895" s="1362" t="str">
        <f>IFERROR(VLOOKUP(F1895,#REF!,10,FALSE),"")</f>
        <v/>
      </c>
      <c r="I1895" s="1363" t="str">
        <f t="shared" si="296"/>
        <v/>
      </c>
      <c r="J1895" s="1364"/>
      <c r="K1895" s="1793"/>
      <c r="L1895" s="1583"/>
      <c r="M1895" s="1364"/>
      <c r="N1895" s="1365" t="str">
        <f t="shared" si="297"/>
        <v/>
      </c>
      <c r="O1895" s="1366"/>
      <c r="P1895" s="1367" t="str">
        <f>IFERROR(VLOOKUP(F1895,#REF!,12,FALSE),"")</f>
        <v/>
      </c>
      <c r="Q1895" s="19" t="s">
        <v>8</v>
      </c>
      <c r="R1895" s="20" t="str">
        <f>IFERROR(VLOOKUP(F1895,#REF!,14,FALSE),"")</f>
        <v/>
      </c>
      <c r="S1895" s="1191" t="str">
        <f t="shared" si="298"/>
        <v/>
      </c>
      <c r="U1895" s="1728"/>
      <c r="V1895" s="683">
        <f t="shared" si="299"/>
        <v>0</v>
      </c>
      <c r="W1895" s="1768"/>
      <c r="X1895" s="683"/>
    </row>
    <row r="1896" spans="1:24" ht="16" thickBot="1" x14ac:dyDescent="0.25">
      <c r="A1896" s="1962">
        <f>WEEKNUM(C1896,1)</f>
        <v>9</v>
      </c>
      <c r="B1896" s="1963"/>
      <c r="C1896" s="1368">
        <v>44984</v>
      </c>
      <c r="D1896" s="1369">
        <v>28</v>
      </c>
      <c r="E1896" s="1370" t="s">
        <v>293</v>
      </c>
      <c r="F1896" s="1536" t="s">
        <v>322</v>
      </c>
      <c r="G1896" s="1371">
        <v>2.8993055555555553E-2</v>
      </c>
      <c r="H1896" s="1372">
        <v>7.24</v>
      </c>
      <c r="I1896" s="1373">
        <f t="shared" si="296"/>
        <v>4.0045656844689987E-3</v>
      </c>
      <c r="J1896" s="1374">
        <v>133</v>
      </c>
      <c r="K1896" s="1745"/>
      <c r="L1896" s="1577">
        <v>205</v>
      </c>
      <c r="M1896" s="1374">
        <v>21</v>
      </c>
      <c r="N1896" s="1375">
        <f t="shared" si="297"/>
        <v>1.0586398119897749</v>
      </c>
      <c r="O1896" s="1376" t="s">
        <v>333</v>
      </c>
      <c r="P1896" s="795" t="str">
        <f>IFERROR(VLOOKUP(F1896,#REF!,12,FALSE),"")</f>
        <v/>
      </c>
      <c r="Q1896" s="32" t="s">
        <v>8</v>
      </c>
      <c r="R1896" s="1255" t="str">
        <f>IFERROR(VLOOKUP(F1896,#REF!,14,FALSE),"")</f>
        <v/>
      </c>
      <c r="S1896" s="1377">
        <f t="shared" si="298"/>
        <v>1.5413533834586466</v>
      </c>
      <c r="U1896" s="1728"/>
      <c r="V1896" s="1369">
        <f t="shared" si="299"/>
        <v>0</v>
      </c>
      <c r="W1896" s="1766"/>
      <c r="X1896" s="1369"/>
    </row>
    <row r="1897" spans="1:24" x14ac:dyDescent="0.2">
      <c r="A1897" s="1648" t="s">
        <v>142</v>
      </c>
      <c r="B1897" s="1675">
        <f>SUM(H1896:H1902)</f>
        <v>40.75</v>
      </c>
      <c r="C1897" s="1378">
        <v>44985</v>
      </c>
      <c r="D1897" s="1379">
        <v>29</v>
      </c>
      <c r="E1897" s="1380" t="s">
        <v>293</v>
      </c>
      <c r="F1897" s="1534" t="s">
        <v>335</v>
      </c>
      <c r="G1897" s="1381">
        <v>3.5439814814814813E-2</v>
      </c>
      <c r="H1897" s="1382">
        <v>9.0399999999999991</v>
      </c>
      <c r="I1897" s="1383">
        <f t="shared" si="296"/>
        <v>3.9203334972140284E-3</v>
      </c>
      <c r="J1897" s="1384">
        <v>137</v>
      </c>
      <c r="K1897" s="1794"/>
      <c r="L1897" s="1578">
        <v>209</v>
      </c>
      <c r="M1897" s="1602">
        <v>15</v>
      </c>
      <c r="N1897" s="1385">
        <f t="shared" si="297"/>
        <v>1.0565942411834632</v>
      </c>
      <c r="O1897" s="1386" t="s">
        <v>341</v>
      </c>
      <c r="P1897" s="1387" t="str">
        <f>IFERROR(VLOOKUP(F1897,#REF!,12,FALSE),"")</f>
        <v/>
      </c>
      <c r="Q1897" s="1388" t="s">
        <v>8</v>
      </c>
      <c r="R1897" s="1389" t="str">
        <f>IFERROR(VLOOKUP(F1897,#REF!,14,FALSE),"")</f>
        <v/>
      </c>
      <c r="S1897" s="1390">
        <f t="shared" si="298"/>
        <v>1.5255474452554745</v>
      </c>
      <c r="U1897" s="1728"/>
      <c r="V1897" s="1379">
        <f t="shared" si="299"/>
        <v>0</v>
      </c>
      <c r="W1897" s="1767"/>
      <c r="X1897" s="1379"/>
    </row>
    <row r="1898" spans="1:24" x14ac:dyDescent="0.2">
      <c r="A1898" s="1649" t="s">
        <v>144</v>
      </c>
      <c r="B1898" s="1676" t="e">
        <f>SUM(#REF!)</f>
        <v>#REF!</v>
      </c>
      <c r="C1898" s="1378">
        <v>44986</v>
      </c>
      <c r="D1898" s="1379"/>
      <c r="E1898" s="1380"/>
      <c r="F1898" s="1534"/>
      <c r="G1898" s="1381"/>
      <c r="H1898" s="1382" t="str">
        <f>IFERROR(VLOOKUP(F1898,#REF!,10,FALSE),"")</f>
        <v/>
      </c>
      <c r="I1898" s="1383" t="str">
        <f t="shared" si="296"/>
        <v/>
      </c>
      <c r="J1898" s="1384"/>
      <c r="K1898" s="1794"/>
      <c r="L1898" s="1578"/>
      <c r="M1898" s="1602"/>
      <c r="N1898" s="1385" t="str">
        <f t="shared" si="297"/>
        <v/>
      </c>
      <c r="O1898" s="1386"/>
      <c r="P1898" s="1387" t="str">
        <f>IFERROR(VLOOKUP(F1898,#REF!,12,FALSE),"")</f>
        <v/>
      </c>
      <c r="Q1898" s="1388" t="s">
        <v>8</v>
      </c>
      <c r="R1898" s="1389" t="str">
        <f>IFERROR(VLOOKUP(F1898,#REF!,14,FALSE),"")</f>
        <v/>
      </c>
      <c r="S1898" s="1390" t="str">
        <f t="shared" si="298"/>
        <v/>
      </c>
      <c r="U1898" s="1728"/>
      <c r="V1898" s="1379">
        <f t="shared" si="299"/>
        <v>0</v>
      </c>
      <c r="W1898" s="1767"/>
      <c r="X1898" s="1379"/>
    </row>
    <row r="1899" spans="1:24" x14ac:dyDescent="0.2">
      <c r="A1899" s="1649" t="s">
        <v>256</v>
      </c>
      <c r="B1899" s="1677" t="e">
        <f>AVERAGE(#REF!)</f>
        <v>#REF!</v>
      </c>
      <c r="C1899" s="1378">
        <v>44987</v>
      </c>
      <c r="D1899" s="1379">
        <v>30</v>
      </c>
      <c r="E1899" s="1380" t="s">
        <v>293</v>
      </c>
      <c r="F1899" s="1534" t="s">
        <v>331</v>
      </c>
      <c r="G1899" s="1381">
        <v>2.8437500000000001E-2</v>
      </c>
      <c r="H1899" s="1382">
        <v>7.46</v>
      </c>
      <c r="I1899" s="1383">
        <f t="shared" si="296"/>
        <v>3.8119973190348525E-3</v>
      </c>
      <c r="J1899" s="1384">
        <v>134</v>
      </c>
      <c r="K1899" s="1794">
        <v>55</v>
      </c>
      <c r="L1899" s="1578">
        <v>222</v>
      </c>
      <c r="M1899" s="1602">
        <v>21</v>
      </c>
      <c r="N1899" s="1385">
        <f t="shared" si="297"/>
        <v>1.0913008683125927</v>
      </c>
      <c r="O1899" s="1386" t="s">
        <v>329</v>
      </c>
      <c r="P1899" s="1387" t="str">
        <f>IFERROR(VLOOKUP(F1899,#REF!,12,FALSE),"")</f>
        <v/>
      </c>
      <c r="Q1899" s="1388" t="s">
        <v>8</v>
      </c>
      <c r="R1899" s="1389" t="str">
        <f>IFERROR(VLOOKUP(F1899,#REF!,14,FALSE),"")</f>
        <v/>
      </c>
      <c r="S1899" s="1390">
        <f t="shared" si="298"/>
        <v>1.6567164179104477</v>
      </c>
      <c r="U1899" s="1728"/>
      <c r="V1899" s="1379">
        <f t="shared" si="299"/>
        <v>0</v>
      </c>
      <c r="W1899" s="1767"/>
      <c r="X1899" s="1379"/>
    </row>
    <row r="1900" spans="1:24" x14ac:dyDescent="0.2">
      <c r="A1900" s="1649" t="s">
        <v>336</v>
      </c>
      <c r="B1900" s="1712">
        <f>IFERROR(AVERAGE(N1896:N1902),"")</f>
        <v>1.0754826107243012</v>
      </c>
      <c r="C1900" s="1378">
        <v>44988</v>
      </c>
      <c r="D1900" s="1379">
        <v>31</v>
      </c>
      <c r="E1900" s="1380" t="s">
        <v>293</v>
      </c>
      <c r="F1900" s="1550" t="s">
        <v>322</v>
      </c>
      <c r="G1900" s="1381">
        <v>2.7939814814814817E-2</v>
      </c>
      <c r="H1900" s="1382">
        <v>7.14</v>
      </c>
      <c r="I1900" s="1383">
        <f t="shared" si="296"/>
        <v>3.9131393298059971E-3</v>
      </c>
      <c r="J1900" s="1384">
        <v>129</v>
      </c>
      <c r="K1900" s="1794">
        <v>44</v>
      </c>
      <c r="L1900" s="1578">
        <v>212</v>
      </c>
      <c r="M1900" s="1602">
        <v>17</v>
      </c>
      <c r="N1900" s="1385">
        <f t="shared" si="297"/>
        <v>1.0697938877043356</v>
      </c>
      <c r="O1900" s="1386" t="s">
        <v>333</v>
      </c>
      <c r="P1900" s="1387" t="str">
        <f>IFERROR(VLOOKUP(F1900,#REF!,12,FALSE),"")</f>
        <v/>
      </c>
      <c r="Q1900" s="1388" t="s">
        <v>8</v>
      </c>
      <c r="R1900" s="1389" t="str">
        <f>IFERROR(VLOOKUP(F1900,#REF!,14,FALSE),"")</f>
        <v/>
      </c>
      <c r="S1900" s="1390">
        <f t="shared" si="298"/>
        <v>1.6434108527131783</v>
      </c>
      <c r="U1900" s="1728"/>
      <c r="V1900" s="1379">
        <f t="shared" si="299"/>
        <v>0</v>
      </c>
      <c r="W1900" s="1767"/>
      <c r="X1900" s="1379"/>
    </row>
    <row r="1901" spans="1:24" x14ac:dyDescent="0.2">
      <c r="A1901" s="1649" t="s">
        <v>337</v>
      </c>
      <c r="B1901" s="1677">
        <f>IFERROR(AVERAGE(S1896:S1902),"")</f>
        <v>1.6057133121752418</v>
      </c>
      <c r="C1901" s="1625">
        <v>44989</v>
      </c>
      <c r="D1901" s="1626"/>
      <c r="E1901" s="1627"/>
      <c r="F1901" s="1628"/>
      <c r="G1901" s="1629"/>
      <c r="H1901" s="1630" t="str">
        <f>IFERROR(VLOOKUP(F1901,#REF!,10,FALSE),"")</f>
        <v/>
      </c>
      <c r="I1901" s="1631" t="str">
        <f t="shared" si="296"/>
        <v/>
      </c>
      <c r="J1901" s="1632"/>
      <c r="K1901" s="1794"/>
      <c r="L1901" s="1578"/>
      <c r="M1901" s="1632"/>
      <c r="N1901" s="1633" t="str">
        <f t="shared" si="297"/>
        <v/>
      </c>
      <c r="O1901" s="1634"/>
      <c r="P1901" s="1635" t="str">
        <f>IFERROR(VLOOKUP(F1901,#REF!,12,FALSE),"")</f>
        <v/>
      </c>
      <c r="Q1901" s="1636" t="s">
        <v>8</v>
      </c>
      <c r="R1901" s="1637" t="str">
        <f>IFERROR(VLOOKUP(F1901,#REF!,14,FALSE),"")</f>
        <v/>
      </c>
      <c r="S1901" s="1605" t="str">
        <f t="shared" si="298"/>
        <v/>
      </c>
      <c r="U1901" s="1728"/>
      <c r="V1901" s="1626">
        <f t="shared" si="299"/>
        <v>0</v>
      </c>
      <c r="W1901" s="1767"/>
      <c r="X1901" s="1626"/>
    </row>
    <row r="1902" spans="1:24" ht="16" thickBot="1" x14ac:dyDescent="0.25">
      <c r="A1902" s="1650" t="s">
        <v>5</v>
      </c>
      <c r="B1902" s="1678">
        <f>IFERROR(SUM(M1896:M1902),"")</f>
        <v>97</v>
      </c>
      <c r="C1902" s="1360">
        <v>44990</v>
      </c>
      <c r="D1902" s="683">
        <v>32</v>
      </c>
      <c r="E1902" s="684" t="s">
        <v>293</v>
      </c>
      <c r="F1902" s="1538" t="s">
        <v>279</v>
      </c>
      <c r="G1902" s="1361">
        <v>3.9016203703703699E-2</v>
      </c>
      <c r="H1902" s="1362">
        <v>9.8699999999999992</v>
      </c>
      <c r="I1902" s="1363">
        <f t="shared" si="296"/>
        <v>3.9530094937896354E-3</v>
      </c>
      <c r="J1902" s="1364">
        <v>130</v>
      </c>
      <c r="K1902" s="1795">
        <v>65</v>
      </c>
      <c r="L1902" s="1583">
        <v>216</v>
      </c>
      <c r="M1902" s="1364">
        <v>23</v>
      </c>
      <c r="N1902" s="1365">
        <f t="shared" si="297"/>
        <v>1.1010842444313389</v>
      </c>
      <c r="O1902" s="1366" t="s">
        <v>327</v>
      </c>
      <c r="P1902" s="1367" t="str">
        <f>IFERROR(VLOOKUP(F1902,#REF!,12,FALSE),"")</f>
        <v/>
      </c>
      <c r="Q1902" s="19" t="s">
        <v>8</v>
      </c>
      <c r="R1902" s="20" t="str">
        <f>IFERROR(VLOOKUP(F1902,#REF!,14,FALSE),"")</f>
        <v/>
      </c>
      <c r="S1902" s="1191">
        <f t="shared" si="298"/>
        <v>1.6615384615384616</v>
      </c>
      <c r="U1902" s="1728"/>
      <c r="V1902" s="683">
        <f t="shared" si="299"/>
        <v>0</v>
      </c>
      <c r="W1902" s="1768"/>
      <c r="X1902" s="683"/>
    </row>
    <row r="1903" spans="1:24" ht="16" thickBot="1" x14ac:dyDescent="0.25">
      <c r="A1903" s="1962">
        <f>WEEKNUM(C1903,1)</f>
        <v>10</v>
      </c>
      <c r="B1903" s="1963"/>
      <c r="C1903" s="1368">
        <v>44991</v>
      </c>
      <c r="D1903" s="1369"/>
      <c r="E1903" s="1370"/>
      <c r="F1903" s="1536"/>
      <c r="G1903" s="1371"/>
      <c r="H1903" s="1372" t="str">
        <f>IFERROR(VLOOKUP(F1903,#REF!,10,FALSE),"")</f>
        <v/>
      </c>
      <c r="I1903" s="1373" t="str">
        <f t="shared" si="296"/>
        <v/>
      </c>
      <c r="J1903" s="1374"/>
      <c r="K1903" s="1740"/>
      <c r="L1903" s="1644"/>
      <c r="M1903" s="1374"/>
      <c r="N1903" s="1375" t="str">
        <f t="shared" si="297"/>
        <v/>
      </c>
      <c r="O1903" s="1376"/>
      <c r="P1903" s="795" t="str">
        <f>IFERROR(VLOOKUP(F1903,#REF!,12,FALSE),"")</f>
        <v/>
      </c>
      <c r="Q1903" s="32" t="s">
        <v>8</v>
      </c>
      <c r="R1903" s="1255" t="str">
        <f>IFERROR(VLOOKUP(F1903,#REF!,14,FALSE),"")</f>
        <v/>
      </c>
      <c r="S1903" s="1377" t="str">
        <f t="shared" si="298"/>
        <v/>
      </c>
      <c r="U1903" s="1728"/>
      <c r="V1903" s="1369">
        <f t="shared" si="299"/>
        <v>0</v>
      </c>
      <c r="W1903" s="1766"/>
      <c r="X1903" s="1369"/>
    </row>
    <row r="1904" spans="1:24" x14ac:dyDescent="0.2">
      <c r="A1904" s="1648" t="s">
        <v>142</v>
      </c>
      <c r="B1904" s="1675">
        <f>SUM(H1903:H1909)</f>
        <v>15.24</v>
      </c>
      <c r="C1904" s="1378">
        <v>44992</v>
      </c>
      <c r="D1904" s="1379">
        <v>33</v>
      </c>
      <c r="E1904" s="1380" t="s">
        <v>293</v>
      </c>
      <c r="F1904" s="1534" t="s">
        <v>322</v>
      </c>
      <c r="G1904" s="1238">
        <v>2.7870370370370368E-2</v>
      </c>
      <c r="H1904" s="1239">
        <v>7.32</v>
      </c>
      <c r="I1904" s="1240">
        <f t="shared" ref="I1904:I1967" si="300">IFERROR(G1904/H1904,"")</f>
        <v>3.8074276462254598E-3</v>
      </c>
      <c r="J1904" s="265">
        <v>138</v>
      </c>
      <c r="K1904" s="1741">
        <v>53</v>
      </c>
      <c r="L1904" s="1581">
        <v>223</v>
      </c>
      <c r="M1904" s="265">
        <v>19</v>
      </c>
      <c r="N1904" s="1385">
        <f t="shared" si="297"/>
        <v>1.0949025364978384</v>
      </c>
      <c r="O1904" s="1386" t="s">
        <v>329</v>
      </c>
      <c r="P1904" s="1387" t="str">
        <f>IFERROR(VLOOKUP(F1904,#REF!,12,FALSE),"")</f>
        <v/>
      </c>
      <c r="Q1904" s="1388" t="s">
        <v>8</v>
      </c>
      <c r="R1904" s="1389" t="str">
        <f>IFERROR(VLOOKUP(F1904,#REF!,14,FALSE),"")</f>
        <v/>
      </c>
      <c r="S1904" s="1390">
        <f t="shared" si="298"/>
        <v>1.6159420289855073</v>
      </c>
      <c r="U1904" s="1728"/>
      <c r="V1904" s="1379">
        <f t="shared" si="299"/>
        <v>0</v>
      </c>
      <c r="W1904" s="1767"/>
      <c r="X1904" s="1379"/>
    </row>
    <row r="1905" spans="1:24" x14ac:dyDescent="0.2">
      <c r="A1905" s="1649" t="s">
        <v>144</v>
      </c>
      <c r="B1905" s="1676" t="e">
        <f>SUM(#REF!)</f>
        <v>#REF!</v>
      </c>
      <c r="C1905" s="1378">
        <v>44993</v>
      </c>
      <c r="D1905" s="1379">
        <v>34</v>
      </c>
      <c r="E1905" s="1380" t="s">
        <v>293</v>
      </c>
      <c r="F1905" s="1534" t="s">
        <v>335</v>
      </c>
      <c r="G1905" s="1381">
        <v>2.8611111111111115E-2</v>
      </c>
      <c r="H1905" s="1382">
        <v>7.92</v>
      </c>
      <c r="I1905" s="1383">
        <f t="shared" si="300"/>
        <v>3.6125140291806963E-3</v>
      </c>
      <c r="J1905" s="1384">
        <v>141</v>
      </c>
      <c r="K1905" s="1741">
        <v>63</v>
      </c>
      <c r="L1905" s="1578">
        <v>228</v>
      </c>
      <c r="M1905" s="1602">
        <v>19</v>
      </c>
      <c r="N1905" s="1385">
        <f t="shared" ref="N1905:N1973" si="301">IFERROR((L1905/67)/(1/(I1905*24)/3.6),"")</f>
        <v>1.062143826322931</v>
      </c>
      <c r="O1905" s="1386" t="s">
        <v>341</v>
      </c>
      <c r="P1905" s="1387" t="str">
        <f>IFERROR(VLOOKUP(F1905,#REF!,12,FALSE),"")</f>
        <v/>
      </c>
      <c r="Q1905" s="1388" t="s">
        <v>8</v>
      </c>
      <c r="R1905" s="1389" t="str">
        <f>IFERROR(VLOOKUP(F1905,#REF!,14,FALSE),"")</f>
        <v/>
      </c>
      <c r="S1905" s="1390">
        <f t="shared" ref="S1905:S1973" si="302">IFERROR(L1905/J1905,"")</f>
        <v>1.6170212765957446</v>
      </c>
      <c r="U1905" s="1728"/>
      <c r="V1905" s="1379">
        <f t="shared" si="299"/>
        <v>0</v>
      </c>
      <c r="W1905" s="1767"/>
      <c r="X1905" s="1379"/>
    </row>
    <row r="1906" spans="1:24" x14ac:dyDescent="0.2">
      <c r="A1906" s="1649" t="s">
        <v>256</v>
      </c>
      <c r="B1906" s="1677" t="e">
        <f>AVERAGE(#REF!)</f>
        <v>#REF!</v>
      </c>
      <c r="C1906" s="1378">
        <v>44994</v>
      </c>
      <c r="D1906" s="1379"/>
      <c r="E1906" s="1380"/>
      <c r="F1906" s="1534"/>
      <c r="G1906" s="1381"/>
      <c r="H1906" s="1382" t="str">
        <f>IFERROR(VLOOKUP(F1906,#REF!,10,FALSE),"")</f>
        <v/>
      </c>
      <c r="I1906" s="1383" t="str">
        <f t="shared" si="300"/>
        <v/>
      </c>
      <c r="J1906" s="1384"/>
      <c r="K1906" s="1741"/>
      <c r="L1906" s="1578"/>
      <c r="M1906" s="1602"/>
      <c r="N1906" s="1385" t="str">
        <f t="shared" si="301"/>
        <v/>
      </c>
      <c r="O1906" s="1386"/>
      <c r="P1906" s="1387" t="str">
        <f>IFERROR(VLOOKUP(F1906,#REF!,12,FALSE),"")</f>
        <v/>
      </c>
      <c r="Q1906" s="1388" t="s">
        <v>8</v>
      </c>
      <c r="R1906" s="1389" t="str">
        <f>IFERROR(VLOOKUP(F1906,#REF!,14,FALSE),"")</f>
        <v/>
      </c>
      <c r="S1906" s="1390" t="str">
        <f t="shared" si="302"/>
        <v/>
      </c>
      <c r="U1906" s="1728"/>
      <c r="V1906" s="1379">
        <f t="shared" si="299"/>
        <v>0</v>
      </c>
      <c r="W1906" s="1767"/>
      <c r="X1906" s="1379"/>
    </row>
    <row r="1907" spans="1:24" x14ac:dyDescent="0.2">
      <c r="A1907" s="1649" t="s">
        <v>336</v>
      </c>
      <c r="B1907" s="1712">
        <f>IFERROR(AVERAGE(N1903:N1909),"")</f>
        <v>1.0785231814103846</v>
      </c>
      <c r="C1907" s="1378">
        <v>44995</v>
      </c>
      <c r="D1907" s="1379"/>
      <c r="E1907" s="1380"/>
      <c r="F1907" s="1550"/>
      <c r="G1907" s="1381"/>
      <c r="H1907" s="1382" t="str">
        <f>IFERROR(VLOOKUP(F1907,#REF!,10,FALSE),"")</f>
        <v/>
      </c>
      <c r="I1907" s="1383" t="str">
        <f t="shared" si="300"/>
        <v/>
      </c>
      <c r="J1907" s="1384"/>
      <c r="K1907" s="1741"/>
      <c r="L1907" s="1578"/>
      <c r="M1907" s="1602"/>
      <c r="N1907" s="1385" t="str">
        <f t="shared" si="301"/>
        <v/>
      </c>
      <c r="O1907" s="1386"/>
      <c r="P1907" s="1387" t="str">
        <f>IFERROR(VLOOKUP(F1907,#REF!,12,FALSE),"")</f>
        <v/>
      </c>
      <c r="Q1907" s="1388" t="s">
        <v>8</v>
      </c>
      <c r="R1907" s="1389" t="str">
        <f>IFERROR(VLOOKUP(F1907,#REF!,14,FALSE),"")</f>
        <v/>
      </c>
      <c r="S1907" s="1390" t="str">
        <f t="shared" si="302"/>
        <v/>
      </c>
      <c r="U1907" s="1728"/>
      <c r="V1907" s="1379">
        <f t="shared" si="299"/>
        <v>0</v>
      </c>
      <c r="W1907" s="1767"/>
      <c r="X1907" s="1379"/>
    </row>
    <row r="1908" spans="1:24" x14ac:dyDescent="0.2">
      <c r="A1908" s="1649" t="s">
        <v>337</v>
      </c>
      <c r="B1908" s="1677">
        <f>IFERROR(AVERAGE(S1903:S1909),"")</f>
        <v>1.6164816527906258</v>
      </c>
      <c r="C1908" s="1625">
        <v>44996</v>
      </c>
      <c r="D1908" s="1626"/>
      <c r="E1908" s="1627"/>
      <c r="F1908" s="1628"/>
      <c r="G1908" s="1629"/>
      <c r="H1908" s="1630" t="str">
        <f>IFERROR(VLOOKUP(F1908,#REF!,10,FALSE),"")</f>
        <v/>
      </c>
      <c r="I1908" s="1631" t="str">
        <f t="shared" si="300"/>
        <v/>
      </c>
      <c r="J1908" s="1632"/>
      <c r="K1908" s="1741"/>
      <c r="L1908" s="1578"/>
      <c r="M1908" s="1632"/>
      <c r="N1908" s="1633" t="str">
        <f t="shared" si="301"/>
        <v/>
      </c>
      <c r="O1908" s="1634"/>
      <c r="P1908" s="1635" t="str">
        <f>IFERROR(VLOOKUP(F1908,#REF!,12,FALSE),"")</f>
        <v/>
      </c>
      <c r="Q1908" s="1636" t="s">
        <v>8</v>
      </c>
      <c r="R1908" s="1637" t="str">
        <f>IFERROR(VLOOKUP(F1908,#REF!,14,FALSE),"")</f>
        <v/>
      </c>
      <c r="S1908" s="1605" t="str">
        <f t="shared" si="302"/>
        <v/>
      </c>
      <c r="U1908" s="1728"/>
      <c r="V1908" s="1626">
        <f t="shared" si="299"/>
        <v>0</v>
      </c>
      <c r="W1908" s="1767"/>
      <c r="X1908" s="1626"/>
    </row>
    <row r="1909" spans="1:24" ht="16" thickBot="1" x14ac:dyDescent="0.25">
      <c r="A1909" s="1650" t="s">
        <v>5</v>
      </c>
      <c r="B1909" s="1678">
        <f>IFERROR(SUM(M1903:M1909),"")</f>
        <v>38</v>
      </c>
      <c r="C1909" s="1360">
        <v>44997</v>
      </c>
      <c r="D1909" s="683"/>
      <c r="E1909" s="684"/>
      <c r="F1909" s="1538"/>
      <c r="G1909" s="1361"/>
      <c r="H1909" s="1362" t="str">
        <f>IFERROR(VLOOKUP(F1909,#REF!,10,FALSE),"")</f>
        <v/>
      </c>
      <c r="I1909" s="1363" t="str">
        <f t="shared" si="300"/>
        <v/>
      </c>
      <c r="J1909" s="1364"/>
      <c r="K1909" s="1793"/>
      <c r="L1909" s="1583"/>
      <c r="M1909" s="1364"/>
      <c r="N1909" s="1365" t="str">
        <f t="shared" si="301"/>
        <v/>
      </c>
      <c r="O1909" s="1366"/>
      <c r="P1909" s="1367" t="str">
        <f>IFERROR(VLOOKUP(F1909,#REF!,12,FALSE),"")</f>
        <v/>
      </c>
      <c r="Q1909" s="19" t="s">
        <v>8</v>
      </c>
      <c r="R1909" s="20" t="str">
        <f>IFERROR(VLOOKUP(F1909,#REF!,14,FALSE),"")</f>
        <v/>
      </c>
      <c r="S1909" s="1191" t="str">
        <f t="shared" si="302"/>
        <v/>
      </c>
      <c r="U1909" s="1728"/>
      <c r="V1909" s="683">
        <f t="shared" si="299"/>
        <v>0</v>
      </c>
      <c r="W1909" s="1768"/>
      <c r="X1909" s="683"/>
    </row>
    <row r="1910" spans="1:24" ht="16" thickBot="1" x14ac:dyDescent="0.25">
      <c r="A1910" s="1962">
        <f>WEEKNUM(C1910,1)</f>
        <v>11</v>
      </c>
      <c r="B1910" s="1963"/>
      <c r="C1910" s="1368">
        <v>44998</v>
      </c>
      <c r="D1910" s="1369"/>
      <c r="E1910" s="1370"/>
      <c r="F1910" s="1536"/>
      <c r="G1910" s="1371"/>
      <c r="H1910" s="1372" t="str">
        <f>IFERROR(VLOOKUP(F1910,#REF!,10,FALSE),"")</f>
        <v/>
      </c>
      <c r="I1910" s="1373" t="str">
        <f t="shared" si="300"/>
        <v/>
      </c>
      <c r="J1910" s="1374"/>
      <c r="K1910" s="1745"/>
      <c r="L1910" s="1577"/>
      <c r="M1910" s="1374"/>
      <c r="N1910" s="1375" t="str">
        <f t="shared" si="301"/>
        <v/>
      </c>
      <c r="O1910" s="1376"/>
      <c r="P1910" s="795" t="str">
        <f>IFERROR(VLOOKUP(F1910,#REF!,12,FALSE),"")</f>
        <v/>
      </c>
      <c r="Q1910" s="32" t="s">
        <v>8</v>
      </c>
      <c r="R1910" s="1255" t="str">
        <f>IFERROR(VLOOKUP(F1910,#REF!,14,FALSE),"")</f>
        <v/>
      </c>
      <c r="S1910" s="1377" t="str">
        <f t="shared" si="302"/>
        <v/>
      </c>
      <c r="U1910" s="1728"/>
      <c r="V1910" s="1369">
        <f t="shared" si="299"/>
        <v>0</v>
      </c>
      <c r="W1910" s="1766"/>
      <c r="X1910" s="1369"/>
    </row>
    <row r="1911" spans="1:24" x14ac:dyDescent="0.2">
      <c r="A1911" s="1648" t="s">
        <v>142</v>
      </c>
      <c r="B1911" s="1675">
        <f>SUM(H1910:H1916)</f>
        <v>0</v>
      </c>
      <c r="C1911" s="1378">
        <v>44999</v>
      </c>
      <c r="D1911" s="1379"/>
      <c r="E1911" s="1380"/>
      <c r="F1911" s="1534"/>
      <c r="G1911" s="1381"/>
      <c r="H1911" s="1382" t="str">
        <f>IFERROR(VLOOKUP(F1911,#REF!,10,FALSE),"")</f>
        <v/>
      </c>
      <c r="I1911" s="1383" t="str">
        <f t="shared" si="300"/>
        <v/>
      </c>
      <c r="J1911" s="1384"/>
      <c r="K1911" s="1794"/>
      <c r="L1911" s="1578"/>
      <c r="M1911" s="1602"/>
      <c r="N1911" s="1385" t="str">
        <f t="shared" si="301"/>
        <v/>
      </c>
      <c r="O1911" s="1386"/>
      <c r="P1911" s="1387" t="str">
        <f>IFERROR(VLOOKUP(F1911,#REF!,12,FALSE),"")</f>
        <v/>
      </c>
      <c r="Q1911" s="1388" t="s">
        <v>8</v>
      </c>
      <c r="R1911" s="1389" t="str">
        <f>IFERROR(VLOOKUP(F1911,#REF!,14,FALSE),"")</f>
        <v/>
      </c>
      <c r="S1911" s="1390" t="str">
        <f t="shared" si="302"/>
        <v/>
      </c>
      <c r="U1911" s="1728"/>
      <c r="V1911" s="1379">
        <f t="shared" si="299"/>
        <v>0</v>
      </c>
      <c r="W1911" s="1767"/>
      <c r="X1911" s="1379"/>
    </row>
    <row r="1912" spans="1:24" x14ac:dyDescent="0.2">
      <c r="A1912" s="1649" t="s">
        <v>144</v>
      </c>
      <c r="B1912" s="1676" t="e">
        <f>SUM(#REF!)</f>
        <v>#REF!</v>
      </c>
      <c r="C1912" s="1378">
        <v>45000</v>
      </c>
      <c r="D1912" s="1379"/>
      <c r="E1912" s="1380"/>
      <c r="F1912" s="1534"/>
      <c r="G1912" s="1381"/>
      <c r="H1912" s="1382" t="str">
        <f>IFERROR(VLOOKUP(F1912,#REF!,10,FALSE),"")</f>
        <v/>
      </c>
      <c r="I1912" s="1383" t="str">
        <f t="shared" si="300"/>
        <v/>
      </c>
      <c r="J1912" s="1384"/>
      <c r="K1912" s="1794"/>
      <c r="L1912" s="1578"/>
      <c r="M1912" s="1602"/>
      <c r="N1912" s="1385" t="str">
        <f t="shared" si="301"/>
        <v/>
      </c>
      <c r="O1912" s="1386"/>
      <c r="P1912" s="1387" t="str">
        <f>IFERROR(VLOOKUP(F1912,#REF!,12,FALSE),"")</f>
        <v/>
      </c>
      <c r="Q1912" s="1388" t="s">
        <v>8</v>
      </c>
      <c r="R1912" s="1389" t="str">
        <f>IFERROR(VLOOKUP(F1912,#REF!,14,FALSE),"")</f>
        <v/>
      </c>
      <c r="S1912" s="1390" t="str">
        <f t="shared" si="302"/>
        <v/>
      </c>
      <c r="U1912" s="1728"/>
      <c r="V1912" s="1379">
        <f t="shared" si="299"/>
        <v>0</v>
      </c>
      <c r="W1912" s="1767"/>
      <c r="X1912" s="1379"/>
    </row>
    <row r="1913" spans="1:24" x14ac:dyDescent="0.2">
      <c r="A1913" s="1649" t="s">
        <v>256</v>
      </c>
      <c r="B1913" s="1677" t="e">
        <f>AVERAGE(#REF!)</f>
        <v>#REF!</v>
      </c>
      <c r="C1913" s="1378">
        <v>45001</v>
      </c>
      <c r="D1913" s="1379"/>
      <c r="E1913" s="1380"/>
      <c r="F1913" s="1534"/>
      <c r="G1913" s="1381"/>
      <c r="H1913" s="1382" t="str">
        <f>IFERROR(VLOOKUP(F1913,#REF!,10,FALSE),"")</f>
        <v/>
      </c>
      <c r="I1913" s="1383" t="str">
        <f t="shared" si="300"/>
        <v/>
      </c>
      <c r="J1913" s="1384"/>
      <c r="K1913" s="1794"/>
      <c r="L1913" s="1578"/>
      <c r="M1913" s="1602"/>
      <c r="N1913" s="1385" t="str">
        <f t="shared" si="301"/>
        <v/>
      </c>
      <c r="O1913" s="1386"/>
      <c r="P1913" s="1387" t="str">
        <f>IFERROR(VLOOKUP(F1913,#REF!,12,FALSE),"")</f>
        <v/>
      </c>
      <c r="Q1913" s="1388" t="s">
        <v>8</v>
      </c>
      <c r="R1913" s="1389" t="str">
        <f>IFERROR(VLOOKUP(F1913,#REF!,14,FALSE),"")</f>
        <v/>
      </c>
      <c r="S1913" s="1390" t="str">
        <f t="shared" si="302"/>
        <v/>
      </c>
      <c r="U1913" s="1728"/>
      <c r="V1913" s="1379">
        <f t="shared" si="299"/>
        <v>0</v>
      </c>
      <c r="W1913" s="1767"/>
      <c r="X1913" s="1379"/>
    </row>
    <row r="1914" spans="1:24" x14ac:dyDescent="0.2">
      <c r="A1914" s="1649" t="s">
        <v>336</v>
      </c>
      <c r="B1914" s="1712" t="str">
        <f>IFERROR(AVERAGE(N1910:N1916),"")</f>
        <v/>
      </c>
      <c r="C1914" s="1378">
        <v>45002</v>
      </c>
      <c r="D1914" s="1379"/>
      <c r="E1914" s="1380"/>
      <c r="F1914" s="1550"/>
      <c r="G1914" s="1381"/>
      <c r="H1914" s="1382" t="str">
        <f>IFERROR(VLOOKUP(F1914,#REF!,10,FALSE),"")</f>
        <v/>
      </c>
      <c r="I1914" s="1383" t="str">
        <f t="shared" si="300"/>
        <v/>
      </c>
      <c r="J1914" s="1384"/>
      <c r="K1914" s="1794"/>
      <c r="L1914" s="1578"/>
      <c r="M1914" s="1602"/>
      <c r="N1914" s="1385" t="str">
        <f t="shared" si="301"/>
        <v/>
      </c>
      <c r="O1914" s="1386"/>
      <c r="P1914" s="1387" t="str">
        <f>IFERROR(VLOOKUP(F1914,#REF!,12,FALSE),"")</f>
        <v/>
      </c>
      <c r="Q1914" s="1388" t="s">
        <v>8</v>
      </c>
      <c r="R1914" s="1389" t="str">
        <f>IFERROR(VLOOKUP(F1914,#REF!,14,FALSE),"")</f>
        <v/>
      </c>
      <c r="S1914" s="1390" t="str">
        <f t="shared" si="302"/>
        <v/>
      </c>
      <c r="U1914" s="1728"/>
      <c r="V1914" s="1379">
        <f t="shared" ref="V1914:V1977" si="303">U1913-T1913</f>
        <v>0</v>
      </c>
      <c r="W1914" s="1767"/>
      <c r="X1914" s="1379"/>
    </row>
    <row r="1915" spans="1:24" x14ac:dyDescent="0.2">
      <c r="A1915" s="1649" t="s">
        <v>337</v>
      </c>
      <c r="B1915" s="1677" t="str">
        <f>IFERROR(AVERAGE(S1910:S1916),"")</f>
        <v/>
      </c>
      <c r="C1915" s="1625">
        <v>45003</v>
      </c>
      <c r="D1915" s="1626"/>
      <c r="E1915" s="1627"/>
      <c r="F1915" s="1628"/>
      <c r="G1915" s="1629"/>
      <c r="H1915" s="1630" t="str">
        <f>IFERROR(VLOOKUP(F1915,#REF!,10,FALSE),"")</f>
        <v/>
      </c>
      <c r="I1915" s="1631" t="str">
        <f t="shared" si="300"/>
        <v/>
      </c>
      <c r="J1915" s="1632"/>
      <c r="K1915" s="1794"/>
      <c r="L1915" s="1578"/>
      <c r="M1915" s="1632"/>
      <c r="N1915" s="1633" t="str">
        <f t="shared" si="301"/>
        <v/>
      </c>
      <c r="O1915" s="1634"/>
      <c r="P1915" s="1635" t="str">
        <f>IFERROR(VLOOKUP(F1915,#REF!,12,FALSE),"")</f>
        <v/>
      </c>
      <c r="Q1915" s="1636" t="s">
        <v>8</v>
      </c>
      <c r="R1915" s="1637" t="str">
        <f>IFERROR(VLOOKUP(F1915,#REF!,14,FALSE),"")</f>
        <v/>
      </c>
      <c r="S1915" s="1605" t="str">
        <f t="shared" si="302"/>
        <v/>
      </c>
      <c r="U1915" s="1728"/>
      <c r="V1915" s="1626">
        <f t="shared" si="303"/>
        <v>0</v>
      </c>
      <c r="W1915" s="1767"/>
      <c r="X1915" s="1626"/>
    </row>
    <row r="1916" spans="1:24" ht="16" thickBot="1" x14ac:dyDescent="0.25">
      <c r="A1916" s="1650" t="s">
        <v>5</v>
      </c>
      <c r="B1916" s="1678">
        <f>IFERROR(SUM(M1910:M1916),"")</f>
        <v>0</v>
      </c>
      <c r="C1916" s="1360">
        <v>45004</v>
      </c>
      <c r="D1916" s="683"/>
      <c r="E1916" s="684"/>
      <c r="F1916" s="1538"/>
      <c r="G1916" s="1361"/>
      <c r="H1916" s="1362" t="str">
        <f>IFERROR(VLOOKUP(F1916,#REF!,10,FALSE),"")</f>
        <v/>
      </c>
      <c r="I1916" s="1363" t="str">
        <f t="shared" si="300"/>
        <v/>
      </c>
      <c r="J1916" s="1364"/>
      <c r="K1916" s="1795"/>
      <c r="L1916" s="1583"/>
      <c r="M1916" s="1364"/>
      <c r="N1916" s="1365" t="str">
        <f t="shared" si="301"/>
        <v/>
      </c>
      <c r="O1916" s="1366"/>
      <c r="P1916" s="1367" t="str">
        <f>IFERROR(VLOOKUP(F1916,#REF!,12,FALSE),"")</f>
        <v/>
      </c>
      <c r="Q1916" s="19" t="s">
        <v>8</v>
      </c>
      <c r="R1916" s="20" t="str">
        <f>IFERROR(VLOOKUP(F1916,#REF!,14,FALSE),"")</f>
        <v/>
      </c>
      <c r="S1916" s="1191" t="str">
        <f t="shared" si="302"/>
        <v/>
      </c>
      <c r="U1916" s="1728"/>
      <c r="V1916" s="683">
        <f t="shared" si="303"/>
        <v>0</v>
      </c>
      <c r="W1916" s="1768"/>
      <c r="X1916" s="683"/>
    </row>
    <row r="1917" spans="1:24" ht="16" thickBot="1" x14ac:dyDescent="0.25">
      <c r="A1917" s="1962">
        <f>WEEKNUM(C1917,1)</f>
        <v>12</v>
      </c>
      <c r="B1917" s="1963"/>
      <c r="C1917" s="1368">
        <v>45005</v>
      </c>
      <c r="D1917" s="1369"/>
      <c r="E1917" s="1370"/>
      <c r="F1917" s="1536"/>
      <c r="G1917" s="1371"/>
      <c r="H1917" s="1372" t="str">
        <f>IFERROR(VLOOKUP(F1917,#REF!,10,FALSE),"")</f>
        <v/>
      </c>
      <c r="I1917" s="1373" t="str">
        <f t="shared" si="300"/>
        <v/>
      </c>
      <c r="J1917" s="1374"/>
      <c r="K1917" s="1740"/>
      <c r="L1917" s="1577"/>
      <c r="M1917" s="1374"/>
      <c r="N1917" s="1375" t="str">
        <f t="shared" si="301"/>
        <v/>
      </c>
      <c r="O1917" s="1376"/>
      <c r="P1917" s="795" t="str">
        <f>IFERROR(VLOOKUP(F1917,#REF!,12,FALSE),"")</f>
        <v/>
      </c>
      <c r="Q1917" s="32" t="s">
        <v>8</v>
      </c>
      <c r="R1917" s="1255" t="str">
        <f>IFERROR(VLOOKUP(F1917,#REF!,14,FALSE),"")</f>
        <v/>
      </c>
      <c r="S1917" s="1377" t="str">
        <f t="shared" si="302"/>
        <v/>
      </c>
      <c r="U1917" s="1728"/>
      <c r="V1917" s="1369">
        <f t="shared" si="303"/>
        <v>0</v>
      </c>
      <c r="W1917" s="1766"/>
      <c r="X1917" s="1369"/>
    </row>
    <row r="1918" spans="1:24" x14ac:dyDescent="0.2">
      <c r="A1918" s="1648" t="s">
        <v>142</v>
      </c>
      <c r="B1918" s="1675">
        <f>SUM(H1917:H1923)</f>
        <v>18.649999999999999</v>
      </c>
      <c r="C1918" s="1645">
        <v>45006</v>
      </c>
      <c r="D1918" s="1379">
        <v>35</v>
      </c>
      <c r="E1918" s="1380" t="s">
        <v>293</v>
      </c>
      <c r="F1918" s="1534" t="s">
        <v>322</v>
      </c>
      <c r="G1918" s="1381">
        <v>2.2152777777777775E-2</v>
      </c>
      <c r="H1918" s="1382">
        <v>5.52</v>
      </c>
      <c r="I1918" s="1383">
        <f t="shared" si="300"/>
        <v>4.0131843800322057E-3</v>
      </c>
      <c r="J1918" s="1384">
        <v>137</v>
      </c>
      <c r="K1918" s="1741">
        <v>34</v>
      </c>
      <c r="L1918" s="1578">
        <v>210</v>
      </c>
      <c r="M1918" s="1602">
        <v>11</v>
      </c>
      <c r="N1918" s="1385">
        <f t="shared" si="301"/>
        <v>1.0867942894224529</v>
      </c>
      <c r="O1918" s="1386" t="s">
        <v>329</v>
      </c>
      <c r="P1918" s="1387" t="str">
        <f>IFERROR(VLOOKUP(F1918,#REF!,12,FALSE),"")</f>
        <v/>
      </c>
      <c r="Q1918" s="1388" t="s">
        <v>8</v>
      </c>
      <c r="R1918" s="1389" t="str">
        <f>IFERROR(VLOOKUP(F1918,#REF!,14,FALSE),"")</f>
        <v/>
      </c>
      <c r="S1918" s="1390">
        <f t="shared" si="302"/>
        <v>1.5328467153284671</v>
      </c>
      <c r="U1918" s="1728"/>
      <c r="V1918" s="1379">
        <f t="shared" si="303"/>
        <v>0</v>
      </c>
      <c r="W1918" s="1767"/>
      <c r="X1918" s="1379"/>
    </row>
    <row r="1919" spans="1:24" x14ac:dyDescent="0.2">
      <c r="A1919" s="1649" t="s">
        <v>144</v>
      </c>
      <c r="B1919" s="1676" t="e">
        <f>SUM(#REF!)</f>
        <v>#REF!</v>
      </c>
      <c r="C1919" s="1645">
        <v>45007</v>
      </c>
      <c r="D1919" s="1379"/>
      <c r="E1919" s="1380"/>
      <c r="F1919" s="1534"/>
      <c r="G1919" s="1381"/>
      <c r="H1919" s="1382" t="str">
        <f>IFERROR(VLOOKUP(F1919,#REF!,10,FALSE),"")</f>
        <v/>
      </c>
      <c r="I1919" s="1383" t="str">
        <f t="shared" si="300"/>
        <v/>
      </c>
      <c r="J1919" s="1384"/>
      <c r="K1919" s="1741"/>
      <c r="L1919" s="1578"/>
      <c r="M1919" s="1602"/>
      <c r="N1919" s="1385" t="str">
        <f t="shared" si="301"/>
        <v/>
      </c>
      <c r="O1919" s="1386"/>
      <c r="P1919" s="1387" t="str">
        <f>IFERROR(VLOOKUP(F1919,#REF!,12,FALSE),"")</f>
        <v/>
      </c>
      <c r="Q1919" s="1388" t="s">
        <v>8</v>
      </c>
      <c r="R1919" s="1389" t="str">
        <f>IFERROR(VLOOKUP(F1919,#REF!,14,FALSE),"")</f>
        <v/>
      </c>
      <c r="S1919" s="1390" t="str">
        <f t="shared" si="302"/>
        <v/>
      </c>
      <c r="U1919" s="1728"/>
      <c r="V1919" s="1379">
        <f t="shared" si="303"/>
        <v>0</v>
      </c>
      <c r="W1919" s="1767"/>
      <c r="X1919" s="1379"/>
    </row>
    <row r="1920" spans="1:24" x14ac:dyDescent="0.2">
      <c r="A1920" s="1649" t="s">
        <v>256</v>
      </c>
      <c r="B1920" s="1677" t="e">
        <f>AVERAGE(#REF!)</f>
        <v>#REF!</v>
      </c>
      <c r="C1920" s="1645">
        <v>45008</v>
      </c>
      <c r="D1920" s="1379">
        <v>36</v>
      </c>
      <c r="E1920" s="1380" t="s">
        <v>293</v>
      </c>
      <c r="F1920" s="1534" t="s">
        <v>331</v>
      </c>
      <c r="G1920" s="1381">
        <v>2.7060185185185187E-2</v>
      </c>
      <c r="H1920" s="1382">
        <v>6.95</v>
      </c>
      <c r="I1920" s="1383">
        <f t="shared" si="300"/>
        <v>3.8935518252065015E-3</v>
      </c>
      <c r="J1920" s="1384">
        <v>143</v>
      </c>
      <c r="K1920" s="1741">
        <v>48</v>
      </c>
      <c r="L1920" s="1578">
        <v>215</v>
      </c>
      <c r="M1920" s="1602">
        <v>18</v>
      </c>
      <c r="N1920" s="1385">
        <f t="shared" si="301"/>
        <v>1.0795017717169548</v>
      </c>
      <c r="O1920" s="1386" t="s">
        <v>329</v>
      </c>
      <c r="P1920" s="1387" t="str">
        <f>IFERROR(VLOOKUP(F1920,#REF!,12,FALSE),"")</f>
        <v/>
      </c>
      <c r="Q1920" s="1388" t="s">
        <v>8</v>
      </c>
      <c r="R1920" s="1389" t="str">
        <f>IFERROR(VLOOKUP(F1920,#REF!,14,FALSE),"")</f>
        <v/>
      </c>
      <c r="S1920" s="1390">
        <f t="shared" si="302"/>
        <v>1.5034965034965035</v>
      </c>
      <c r="U1920" s="1728"/>
      <c r="V1920" s="1379">
        <f t="shared" si="303"/>
        <v>0</v>
      </c>
      <c r="W1920" s="1767"/>
      <c r="X1920" s="1379"/>
    </row>
    <row r="1921" spans="1:24" x14ac:dyDescent="0.2">
      <c r="A1921" s="1649" t="s">
        <v>336</v>
      </c>
      <c r="B1921" s="1712">
        <f>IFERROR(AVERAGE(N1917:N1923),"")</f>
        <v>1.0735147459107239</v>
      </c>
      <c r="C1921" s="1645">
        <v>45009</v>
      </c>
      <c r="D1921" s="1379"/>
      <c r="E1921" s="1380"/>
      <c r="F1921" s="1550"/>
      <c r="G1921" s="1381"/>
      <c r="H1921" s="1382" t="str">
        <f>IFERROR(VLOOKUP(F1921,#REF!,10,FALSE),"")</f>
        <v/>
      </c>
      <c r="I1921" s="1383" t="str">
        <f t="shared" si="300"/>
        <v/>
      </c>
      <c r="J1921" s="1384"/>
      <c r="K1921" s="1741"/>
      <c r="L1921" s="1578"/>
      <c r="M1921" s="1602"/>
      <c r="N1921" s="1385" t="str">
        <f t="shared" si="301"/>
        <v/>
      </c>
      <c r="O1921" s="1386"/>
      <c r="P1921" s="1387" t="str">
        <f>IFERROR(VLOOKUP(F1921,#REF!,12,FALSE),"")</f>
        <v/>
      </c>
      <c r="Q1921" s="1388" t="s">
        <v>8</v>
      </c>
      <c r="R1921" s="1389" t="str">
        <f>IFERROR(VLOOKUP(F1921,#REF!,14,FALSE),"")</f>
        <v/>
      </c>
      <c r="S1921" s="1390" t="str">
        <f t="shared" si="302"/>
        <v/>
      </c>
      <c r="U1921" s="1728"/>
      <c r="V1921" s="1379">
        <f t="shared" si="303"/>
        <v>0</v>
      </c>
      <c r="W1921" s="1767"/>
      <c r="X1921" s="1379"/>
    </row>
    <row r="1922" spans="1:24" x14ac:dyDescent="0.2">
      <c r="A1922" s="1649" t="s">
        <v>337</v>
      </c>
      <c r="B1922" s="1677">
        <f>IFERROR(AVERAGE(S1917:S1923),"")</f>
        <v>1.4965268762989712</v>
      </c>
      <c r="C1922" s="1645">
        <v>45010</v>
      </c>
      <c r="D1922" s="1626">
        <v>37</v>
      </c>
      <c r="E1922" s="1627" t="s">
        <v>292</v>
      </c>
      <c r="F1922" s="1628" t="s">
        <v>322</v>
      </c>
      <c r="G1922" s="1629">
        <v>2.5011574074074075E-2</v>
      </c>
      <c r="H1922" s="1630">
        <v>6.18</v>
      </c>
      <c r="I1922" s="1631">
        <f t="shared" si="300"/>
        <v>4.0471802708857731E-3</v>
      </c>
      <c r="J1922" s="1632">
        <v>139</v>
      </c>
      <c r="K1922" s="1741">
        <v>36</v>
      </c>
      <c r="L1922" s="1578">
        <v>202</v>
      </c>
      <c r="M1922" s="1632">
        <v>26</v>
      </c>
      <c r="N1922" s="1633">
        <f t="shared" si="301"/>
        <v>1.0542481765927645</v>
      </c>
      <c r="O1922" s="1634" t="s">
        <v>333</v>
      </c>
      <c r="P1922" s="1635" t="str">
        <f>IFERROR(VLOOKUP(F1922,#REF!,12,FALSE),"")</f>
        <v/>
      </c>
      <c r="Q1922" s="1636" t="s">
        <v>8</v>
      </c>
      <c r="R1922" s="1637" t="str">
        <f>IFERROR(VLOOKUP(F1922,#REF!,14,FALSE),"")</f>
        <v/>
      </c>
      <c r="S1922" s="1605">
        <f t="shared" si="302"/>
        <v>1.4532374100719425</v>
      </c>
      <c r="U1922" s="1728"/>
      <c r="V1922" s="1626">
        <f t="shared" si="303"/>
        <v>0</v>
      </c>
      <c r="W1922" s="1767"/>
      <c r="X1922" s="1626"/>
    </row>
    <row r="1923" spans="1:24" ht="16" thickBot="1" x14ac:dyDescent="0.25">
      <c r="A1923" s="1650" t="s">
        <v>5</v>
      </c>
      <c r="B1923" s="1678">
        <f>IFERROR(SUM(M1917:M1923),"")</f>
        <v>55</v>
      </c>
      <c r="C1923" s="1646">
        <v>45011</v>
      </c>
      <c r="D1923" s="683"/>
      <c r="E1923" s="684"/>
      <c r="F1923" s="1538"/>
      <c r="G1923" s="1361"/>
      <c r="H1923" s="1362" t="str">
        <f>IFERROR(VLOOKUP(F1923,#REF!,10,FALSE),"")</f>
        <v/>
      </c>
      <c r="I1923" s="1363" t="str">
        <f t="shared" si="300"/>
        <v/>
      </c>
      <c r="J1923" s="1364"/>
      <c r="K1923" s="1741"/>
      <c r="L1923" s="1583"/>
      <c r="M1923" s="1364"/>
      <c r="N1923" s="1365" t="str">
        <f t="shared" si="301"/>
        <v/>
      </c>
      <c r="O1923" s="1366"/>
      <c r="P1923" s="1367" t="str">
        <f>IFERROR(VLOOKUP(F1923,#REF!,12,FALSE),"")</f>
        <v/>
      </c>
      <c r="Q1923" s="19" t="s">
        <v>8</v>
      </c>
      <c r="R1923" s="20" t="str">
        <f>IFERROR(VLOOKUP(F1923,#REF!,14,FALSE),"")</f>
        <v/>
      </c>
      <c r="S1923" s="1191" t="str">
        <f t="shared" si="302"/>
        <v/>
      </c>
      <c r="U1923" s="1728"/>
      <c r="V1923" s="683">
        <f t="shared" si="303"/>
        <v>0</v>
      </c>
      <c r="W1923" s="1768"/>
      <c r="X1923" s="683"/>
    </row>
    <row r="1924" spans="1:24" ht="16" thickBot="1" x14ac:dyDescent="0.25">
      <c r="A1924" s="1962">
        <f>WEEKNUM(C1924,1)</f>
        <v>13</v>
      </c>
      <c r="B1924" s="1963"/>
      <c r="C1924" s="1368">
        <v>45012</v>
      </c>
      <c r="D1924" s="1369">
        <v>38</v>
      </c>
      <c r="E1924" s="1370" t="s">
        <v>293</v>
      </c>
      <c r="F1924" s="1536" t="s">
        <v>322</v>
      </c>
      <c r="G1924" s="1371">
        <v>2.4837962962962964E-2</v>
      </c>
      <c r="H1924" s="1372">
        <v>6.24</v>
      </c>
      <c r="I1924" s="1373">
        <f t="shared" si="300"/>
        <v>3.9804427825261158E-3</v>
      </c>
      <c r="J1924" s="1374">
        <v>144</v>
      </c>
      <c r="K1924" s="1741">
        <v>38</v>
      </c>
      <c r="L1924" s="1577">
        <v>210</v>
      </c>
      <c r="M1924" s="1374">
        <v>20</v>
      </c>
      <c r="N1924" s="1375">
        <f t="shared" si="301"/>
        <v>1.0779276693455799</v>
      </c>
      <c r="O1924" s="1376" t="s">
        <v>333</v>
      </c>
      <c r="P1924" s="795" t="str">
        <f>IFERROR(VLOOKUP(F1924,#REF!,12,FALSE),"")</f>
        <v/>
      </c>
      <c r="Q1924" s="32" t="s">
        <v>8</v>
      </c>
      <c r="R1924" s="1255" t="str">
        <f>IFERROR(VLOOKUP(F1924,#REF!,14,FALSE),"")</f>
        <v/>
      </c>
      <c r="S1924" s="1377">
        <f t="shared" si="302"/>
        <v>1.4583333333333333</v>
      </c>
      <c r="U1924" s="1728"/>
      <c r="V1924" s="1369">
        <f t="shared" si="303"/>
        <v>0</v>
      </c>
      <c r="W1924" s="1766"/>
      <c r="X1924" s="1369"/>
    </row>
    <row r="1925" spans="1:24" x14ac:dyDescent="0.2">
      <c r="A1925" s="1648" t="s">
        <v>142</v>
      </c>
      <c r="B1925" s="1675">
        <f>SUM(H1924:H1930)</f>
        <v>43.59</v>
      </c>
      <c r="C1925" s="1378">
        <v>45013</v>
      </c>
      <c r="D1925" s="1379"/>
      <c r="E1925" s="1380"/>
      <c r="F1925" s="1534"/>
      <c r="G1925" s="1381"/>
      <c r="H1925" s="1382" t="str">
        <f>IFERROR(VLOOKUP(F1925,#REF!,10,FALSE),"")</f>
        <v/>
      </c>
      <c r="I1925" s="1383" t="str">
        <f t="shared" si="300"/>
        <v/>
      </c>
      <c r="J1925" s="1384"/>
      <c r="K1925" s="1741"/>
      <c r="L1925" s="1578"/>
      <c r="M1925" s="1602"/>
      <c r="N1925" s="1385" t="str">
        <f t="shared" si="301"/>
        <v/>
      </c>
      <c r="O1925" s="1386"/>
      <c r="P1925" s="1387" t="str">
        <f>IFERROR(VLOOKUP(F1925,#REF!,12,FALSE),"")</f>
        <v/>
      </c>
      <c r="Q1925" s="1388" t="s">
        <v>8</v>
      </c>
      <c r="R1925" s="1389" t="str">
        <f>IFERROR(VLOOKUP(F1925,#REF!,14,FALSE),"")</f>
        <v/>
      </c>
      <c r="S1925" s="1390" t="str">
        <f t="shared" si="302"/>
        <v/>
      </c>
      <c r="U1925" s="1728"/>
      <c r="V1925" s="1379">
        <f t="shared" si="303"/>
        <v>0</v>
      </c>
      <c r="W1925" s="1767"/>
      <c r="X1925" s="1379"/>
    </row>
    <row r="1926" spans="1:24" x14ac:dyDescent="0.2">
      <c r="A1926" s="1649" t="s">
        <v>144</v>
      </c>
      <c r="B1926" s="1676" t="e">
        <f>SUM(#REF!)</f>
        <v>#REF!</v>
      </c>
      <c r="C1926" s="1378">
        <v>45014</v>
      </c>
      <c r="D1926" s="1379">
        <v>39</v>
      </c>
      <c r="E1926" s="1380" t="s">
        <v>292</v>
      </c>
      <c r="F1926" s="1534" t="s">
        <v>322</v>
      </c>
      <c r="G1926" s="1381">
        <v>3.2754629629629627E-2</v>
      </c>
      <c r="H1926" s="1382">
        <v>8.06</v>
      </c>
      <c r="I1926" s="1383">
        <f t="shared" si="300"/>
        <v>4.0638498299788613E-3</v>
      </c>
      <c r="J1926" s="1384">
        <v>143</v>
      </c>
      <c r="K1926" s="1741">
        <v>46</v>
      </c>
      <c r="L1926" s="1578">
        <v>203</v>
      </c>
      <c r="M1926" s="1602">
        <v>31</v>
      </c>
      <c r="N1926" s="1385">
        <f t="shared" si="301"/>
        <v>1.0638309692233618</v>
      </c>
      <c r="O1926" s="1386" t="s">
        <v>333</v>
      </c>
      <c r="P1926" s="1387" t="str">
        <f>IFERROR(VLOOKUP(F1926,#REF!,12,FALSE),"")</f>
        <v/>
      </c>
      <c r="Q1926" s="1388" t="s">
        <v>8</v>
      </c>
      <c r="R1926" s="1389" t="str">
        <f>IFERROR(VLOOKUP(F1926,#REF!,14,FALSE),"")</f>
        <v/>
      </c>
      <c r="S1926" s="1390">
        <f t="shared" si="302"/>
        <v>1.4195804195804196</v>
      </c>
      <c r="U1926" s="1728"/>
      <c r="V1926" s="1379">
        <f t="shared" si="303"/>
        <v>0</v>
      </c>
      <c r="W1926" s="1767"/>
      <c r="X1926" s="1379"/>
    </row>
    <row r="1927" spans="1:24" x14ac:dyDescent="0.2">
      <c r="A1927" s="1649" t="s">
        <v>256</v>
      </c>
      <c r="B1927" s="1677" t="e">
        <f>AVERAGE(#REF!)</f>
        <v>#REF!</v>
      </c>
      <c r="C1927" s="1378">
        <v>45015</v>
      </c>
      <c r="D1927" s="1379">
        <v>40</v>
      </c>
      <c r="E1927" s="1380" t="s">
        <v>293</v>
      </c>
      <c r="F1927" s="1534" t="s">
        <v>322</v>
      </c>
      <c r="G1927" s="1381">
        <v>2.6053240740740738E-2</v>
      </c>
      <c r="H1927" s="1382">
        <v>6.44</v>
      </c>
      <c r="I1927" s="1383">
        <f t="shared" si="300"/>
        <v>4.0455342765125368E-3</v>
      </c>
      <c r="J1927" s="1384">
        <v>139</v>
      </c>
      <c r="K1927" s="1741">
        <v>38</v>
      </c>
      <c r="L1927" s="1578">
        <v>206</v>
      </c>
      <c r="M1927" s="1602">
        <v>15</v>
      </c>
      <c r="N1927" s="1385">
        <f t="shared" si="301"/>
        <v>1.0746871233892648</v>
      </c>
      <c r="O1927" s="1386" t="s">
        <v>333</v>
      </c>
      <c r="P1927" s="1387" t="str">
        <f>IFERROR(VLOOKUP(F1927,#REF!,12,FALSE),"")</f>
        <v/>
      </c>
      <c r="Q1927" s="1388" t="s">
        <v>8</v>
      </c>
      <c r="R1927" s="1389" t="str">
        <f>IFERROR(VLOOKUP(F1927,#REF!,14,FALSE),"")</f>
        <v/>
      </c>
      <c r="S1927" s="1390">
        <f t="shared" si="302"/>
        <v>1.4820143884892085</v>
      </c>
      <c r="U1927" s="1728"/>
      <c r="V1927" s="1379">
        <f t="shared" si="303"/>
        <v>0</v>
      </c>
      <c r="W1927" s="1767"/>
      <c r="X1927" s="1379"/>
    </row>
    <row r="1928" spans="1:24" x14ac:dyDescent="0.2">
      <c r="A1928" s="1649" t="s">
        <v>336</v>
      </c>
      <c r="B1928" s="1712">
        <f>IFERROR(AVERAGE(N1924:N1930),"")</f>
        <v>1.0687030595441376</v>
      </c>
      <c r="C1928" s="1378">
        <v>45016</v>
      </c>
      <c r="D1928" s="1379">
        <v>41</v>
      </c>
      <c r="E1928" s="1380" t="s">
        <v>293</v>
      </c>
      <c r="F1928" s="1550" t="s">
        <v>279</v>
      </c>
      <c r="G1928" s="1381">
        <v>3.9629629629629633E-2</v>
      </c>
      <c r="H1928" s="1382">
        <v>10.15</v>
      </c>
      <c r="I1928" s="1383">
        <f t="shared" si="300"/>
        <v>3.9043970078452839E-3</v>
      </c>
      <c r="J1928" s="1384">
        <v>138</v>
      </c>
      <c r="K1928" s="1741">
        <v>69</v>
      </c>
      <c r="L1928" s="1578">
        <v>219</v>
      </c>
      <c r="M1928" s="1602">
        <v>35</v>
      </c>
      <c r="N1928" s="1385">
        <f t="shared" si="301"/>
        <v>1.1026483346812734</v>
      </c>
      <c r="O1928" s="1386" t="s">
        <v>327</v>
      </c>
      <c r="P1928" s="1387" t="str">
        <f>IFERROR(VLOOKUP(F1928,#REF!,12,FALSE),"")</f>
        <v/>
      </c>
      <c r="Q1928" s="1388" t="s">
        <v>8</v>
      </c>
      <c r="R1928" s="1389" t="str">
        <f>IFERROR(VLOOKUP(F1928,#REF!,14,FALSE),"")</f>
        <v/>
      </c>
      <c r="S1928" s="1390">
        <f t="shared" si="302"/>
        <v>1.5869565217391304</v>
      </c>
      <c r="U1928" s="1728"/>
      <c r="V1928" s="1379">
        <f t="shared" si="303"/>
        <v>0</v>
      </c>
      <c r="W1928" s="1767"/>
      <c r="X1928" s="1379"/>
    </row>
    <row r="1929" spans="1:24" x14ac:dyDescent="0.2">
      <c r="A1929" s="1649" t="s">
        <v>337</v>
      </c>
      <c r="B1929" s="1677">
        <f>IFERROR(AVERAGE(S1924:S1930),"")</f>
        <v>1.4825067036207846</v>
      </c>
      <c r="C1929" s="1625">
        <v>45017</v>
      </c>
      <c r="D1929" s="1626"/>
      <c r="E1929" s="1627"/>
      <c r="F1929" s="1628"/>
      <c r="G1929" s="1629"/>
      <c r="H1929" s="1630" t="str">
        <f>IFERROR(VLOOKUP(F1929,#REF!,10,FALSE),"")</f>
        <v/>
      </c>
      <c r="I1929" s="1631" t="str">
        <f t="shared" si="300"/>
        <v/>
      </c>
      <c r="J1929" s="1632"/>
      <c r="K1929" s="1741"/>
      <c r="L1929" s="1578"/>
      <c r="M1929" s="1632"/>
      <c r="N1929" s="1633" t="str">
        <f t="shared" si="301"/>
        <v/>
      </c>
      <c r="O1929" s="1634"/>
      <c r="P1929" s="1635" t="str">
        <f>IFERROR(VLOOKUP(F1929,#REF!,12,FALSE),"")</f>
        <v/>
      </c>
      <c r="Q1929" s="1636" t="s">
        <v>8</v>
      </c>
      <c r="R1929" s="1637" t="str">
        <f>IFERROR(VLOOKUP(F1929,#REF!,14,FALSE),"")</f>
        <v/>
      </c>
      <c r="S1929" s="1605" t="str">
        <f t="shared" si="302"/>
        <v/>
      </c>
      <c r="U1929" s="1728"/>
      <c r="V1929" s="1626">
        <f t="shared" si="303"/>
        <v>0</v>
      </c>
      <c r="W1929" s="1767"/>
      <c r="X1929" s="1626"/>
    </row>
    <row r="1930" spans="1:24" ht="16" thickBot="1" x14ac:dyDescent="0.25">
      <c r="A1930" s="1650" t="s">
        <v>5</v>
      </c>
      <c r="B1930" s="1678">
        <f>IFERROR(SUM(M1924:M1930),"")</f>
        <v>142</v>
      </c>
      <c r="C1930" s="1360">
        <v>45018</v>
      </c>
      <c r="D1930" s="683">
        <v>42</v>
      </c>
      <c r="E1930" s="684" t="s">
        <v>292</v>
      </c>
      <c r="F1930" s="1538" t="s">
        <v>308</v>
      </c>
      <c r="G1930" s="1361">
        <v>5.2546296296296292E-2</v>
      </c>
      <c r="H1930" s="1362">
        <v>12.7</v>
      </c>
      <c r="I1930" s="1363">
        <f t="shared" si="300"/>
        <v>4.1375036453776609E-3</v>
      </c>
      <c r="J1930" s="1364">
        <v>131</v>
      </c>
      <c r="K1930" s="1741">
        <v>69</v>
      </c>
      <c r="L1930" s="1583">
        <v>192</v>
      </c>
      <c r="M1930" s="1364">
        <v>41</v>
      </c>
      <c r="N1930" s="1365">
        <f t="shared" si="301"/>
        <v>1.0244212010812079</v>
      </c>
      <c r="O1930" s="1366" t="s">
        <v>329</v>
      </c>
      <c r="P1930" s="1367" t="str">
        <f>IFERROR(VLOOKUP(F1930,#REF!,12,FALSE),"")</f>
        <v/>
      </c>
      <c r="Q1930" s="19" t="s">
        <v>8</v>
      </c>
      <c r="R1930" s="20" t="str">
        <f>IFERROR(VLOOKUP(F1930,#REF!,14,FALSE),"")</f>
        <v/>
      </c>
      <c r="S1930" s="1191">
        <f t="shared" si="302"/>
        <v>1.4656488549618321</v>
      </c>
      <c r="U1930" s="1728"/>
      <c r="V1930" s="683">
        <f t="shared" si="303"/>
        <v>0</v>
      </c>
      <c r="W1930" s="1768"/>
      <c r="X1930" s="683"/>
    </row>
    <row r="1931" spans="1:24" ht="16" thickBot="1" x14ac:dyDescent="0.25">
      <c r="A1931" s="1962">
        <f>WEEKNUM(C1931,1)</f>
        <v>14</v>
      </c>
      <c r="B1931" s="1963"/>
      <c r="C1931" s="1368">
        <v>45019</v>
      </c>
      <c r="D1931" s="1369"/>
      <c r="E1931" s="1370"/>
      <c r="F1931" s="1536"/>
      <c r="G1931" s="1371"/>
      <c r="H1931" s="1372" t="str">
        <f>IFERROR(VLOOKUP(F1931,#REF!,10,FALSE),"")</f>
        <v/>
      </c>
      <c r="I1931" s="1373" t="str">
        <f t="shared" si="300"/>
        <v/>
      </c>
      <c r="J1931" s="1374"/>
      <c r="K1931" s="1741"/>
      <c r="L1931" s="1577"/>
      <c r="M1931" s="1374"/>
      <c r="N1931" s="1375" t="str">
        <f t="shared" si="301"/>
        <v/>
      </c>
      <c r="O1931" s="1376"/>
      <c r="P1931" s="795" t="str">
        <f>IFERROR(VLOOKUP(F1931,#REF!,12,FALSE),"")</f>
        <v/>
      </c>
      <c r="Q1931" s="32" t="s">
        <v>8</v>
      </c>
      <c r="R1931" s="1255" t="str">
        <f>IFERROR(VLOOKUP(F1931,#REF!,14,FALSE),"")</f>
        <v/>
      </c>
      <c r="S1931" s="1377" t="str">
        <f t="shared" si="302"/>
        <v/>
      </c>
      <c r="U1931" s="1728"/>
      <c r="V1931" s="1369">
        <f t="shared" si="303"/>
        <v>0</v>
      </c>
      <c r="W1931" s="1766"/>
      <c r="X1931" s="1369"/>
    </row>
    <row r="1932" spans="1:24" x14ac:dyDescent="0.2">
      <c r="A1932" s="1648" t="s">
        <v>142</v>
      </c>
      <c r="B1932" s="1675">
        <f>SUM(H1931:H1937)</f>
        <v>47.35</v>
      </c>
      <c r="C1932" s="1378">
        <v>45020</v>
      </c>
      <c r="D1932" s="1379">
        <v>43</v>
      </c>
      <c r="E1932" s="1380" t="s">
        <v>293</v>
      </c>
      <c r="F1932" s="1534" t="s">
        <v>322</v>
      </c>
      <c r="G1932" s="1381">
        <v>2.5624999999999998E-2</v>
      </c>
      <c r="H1932" s="1382">
        <v>6.65</v>
      </c>
      <c r="I1932" s="1383">
        <f t="shared" si="300"/>
        <v>3.8533834586466161E-3</v>
      </c>
      <c r="J1932" s="1384">
        <v>137</v>
      </c>
      <c r="K1932" s="1741">
        <v>46</v>
      </c>
      <c r="L1932" s="1578">
        <v>220</v>
      </c>
      <c r="M1932" s="1602">
        <v>23</v>
      </c>
      <c r="N1932" s="1385">
        <f t="shared" si="301"/>
        <v>1.09321063853664</v>
      </c>
      <c r="O1932" s="1386" t="s">
        <v>329</v>
      </c>
      <c r="P1932" s="1387" t="str">
        <f>IFERROR(VLOOKUP(F1932,#REF!,12,FALSE),"")</f>
        <v/>
      </c>
      <c r="Q1932" s="1388" t="s">
        <v>8</v>
      </c>
      <c r="R1932" s="1389" t="str">
        <f>IFERROR(VLOOKUP(F1932,#REF!,14,FALSE),"")</f>
        <v/>
      </c>
      <c r="S1932" s="1390">
        <f t="shared" si="302"/>
        <v>1.6058394160583942</v>
      </c>
      <c r="U1932" s="1728"/>
      <c r="V1932" s="1379">
        <f t="shared" si="303"/>
        <v>0</v>
      </c>
      <c r="W1932" s="1767"/>
      <c r="X1932" s="1379"/>
    </row>
    <row r="1933" spans="1:24" x14ac:dyDescent="0.2">
      <c r="A1933" s="1649" t="s">
        <v>144</v>
      </c>
      <c r="B1933" s="1676" t="e">
        <f>SUM(#REF!)</f>
        <v>#REF!</v>
      </c>
      <c r="C1933" s="1378">
        <v>45021</v>
      </c>
      <c r="D1933" s="1379">
        <v>44</v>
      </c>
      <c r="E1933" s="1380" t="s">
        <v>293</v>
      </c>
      <c r="F1933" s="1534" t="s">
        <v>334</v>
      </c>
      <c r="G1933" s="1381">
        <v>3.4907407407407408E-2</v>
      </c>
      <c r="H1933" s="1382">
        <v>9.1999999999999993</v>
      </c>
      <c r="I1933" s="1383">
        <f t="shared" si="300"/>
        <v>3.7942834138486314E-3</v>
      </c>
      <c r="J1933" s="1384">
        <v>137</v>
      </c>
      <c r="K1933" s="1741">
        <v>64</v>
      </c>
      <c r="L1933" s="1578">
        <v>217</v>
      </c>
      <c r="M1933" s="1602">
        <v>18</v>
      </c>
      <c r="N1933" s="1385">
        <f t="shared" si="301"/>
        <v>1.061765087605451</v>
      </c>
      <c r="O1933" s="1386" t="s">
        <v>341</v>
      </c>
      <c r="P1933" s="1387" t="str">
        <f>IFERROR(VLOOKUP(F1933,#REF!,12,FALSE),"")</f>
        <v/>
      </c>
      <c r="Q1933" s="1388" t="s">
        <v>8</v>
      </c>
      <c r="R1933" s="1389" t="str">
        <f>IFERROR(VLOOKUP(F1933,#REF!,14,FALSE),"")</f>
        <v/>
      </c>
      <c r="S1933" s="1390">
        <f t="shared" si="302"/>
        <v>1.583941605839416</v>
      </c>
      <c r="U1933" s="1728"/>
      <c r="V1933" s="1379">
        <f t="shared" si="303"/>
        <v>0</v>
      </c>
      <c r="W1933" s="1767"/>
      <c r="X1933" s="1379"/>
    </row>
    <row r="1934" spans="1:24" x14ac:dyDescent="0.2">
      <c r="A1934" s="1649" t="s">
        <v>256</v>
      </c>
      <c r="B1934" s="1677" t="e">
        <f>AVERAGE(#REF!)</f>
        <v>#REF!</v>
      </c>
      <c r="C1934" s="1378">
        <v>45022</v>
      </c>
      <c r="D1934" s="1379">
        <v>45</v>
      </c>
      <c r="E1934" s="1380" t="s">
        <v>293</v>
      </c>
      <c r="F1934" s="1534" t="s">
        <v>331</v>
      </c>
      <c r="G1934" s="1381">
        <v>2.7986111111111111E-2</v>
      </c>
      <c r="H1934" s="1382">
        <v>7.07</v>
      </c>
      <c r="I1934" s="1383">
        <f t="shared" si="300"/>
        <v>3.9584315574414585E-3</v>
      </c>
      <c r="J1934" s="1384">
        <v>134</v>
      </c>
      <c r="K1934" s="1741">
        <v>47</v>
      </c>
      <c r="L1934" s="1578">
        <v>210</v>
      </c>
      <c r="M1934" s="1602">
        <v>19</v>
      </c>
      <c r="N1934" s="1385">
        <f t="shared" si="301"/>
        <v>1.0719668981823556</v>
      </c>
      <c r="O1934" s="1386" t="s">
        <v>328</v>
      </c>
      <c r="P1934" s="1387" t="str">
        <f>IFERROR(VLOOKUP(F1934,#REF!,12,FALSE),"")</f>
        <v/>
      </c>
      <c r="Q1934" s="1388" t="s">
        <v>8</v>
      </c>
      <c r="R1934" s="1389" t="str">
        <f>IFERROR(VLOOKUP(F1934,#REF!,14,FALSE),"")</f>
        <v/>
      </c>
      <c r="S1934" s="1390">
        <f t="shared" si="302"/>
        <v>1.5671641791044777</v>
      </c>
      <c r="U1934" s="1728"/>
      <c r="V1934" s="1379">
        <f t="shared" si="303"/>
        <v>0</v>
      </c>
      <c r="W1934" s="1767"/>
      <c r="X1934" s="1379"/>
    </row>
    <row r="1935" spans="1:24" x14ac:dyDescent="0.2">
      <c r="A1935" s="1649" t="s">
        <v>336</v>
      </c>
      <c r="B1935" s="1712">
        <f>IFERROR(AVERAGE(N1931:N1937),"")</f>
        <v>1.079800824331564</v>
      </c>
      <c r="C1935" s="1378">
        <v>45023</v>
      </c>
      <c r="D1935" s="1379">
        <v>46</v>
      </c>
      <c r="E1935" s="1380" t="s">
        <v>293</v>
      </c>
      <c r="F1935" s="1550" t="s">
        <v>322</v>
      </c>
      <c r="G1935" s="1381">
        <v>2.56712962962963E-2</v>
      </c>
      <c r="H1935" s="1382">
        <v>6.53</v>
      </c>
      <c r="I1935" s="1383">
        <f t="shared" si="300"/>
        <v>3.9312858034144405E-3</v>
      </c>
      <c r="J1935" s="1384">
        <v>132</v>
      </c>
      <c r="K1935" s="1741">
        <v>44</v>
      </c>
      <c r="L1935" s="1578">
        <v>217</v>
      </c>
      <c r="M1935" s="1602">
        <v>26</v>
      </c>
      <c r="N1935" s="1385">
        <f t="shared" si="301"/>
        <v>1.1001028547918905</v>
      </c>
      <c r="O1935" s="1386" t="s">
        <v>328</v>
      </c>
      <c r="P1935" s="1387" t="str">
        <f>IFERROR(VLOOKUP(F1935,#REF!,12,FALSE),"")</f>
        <v/>
      </c>
      <c r="Q1935" s="1388" t="s">
        <v>8</v>
      </c>
      <c r="R1935" s="1389" t="str">
        <f>IFERROR(VLOOKUP(F1935,#REF!,14,FALSE),"")</f>
        <v/>
      </c>
      <c r="S1935" s="1390">
        <f t="shared" si="302"/>
        <v>1.643939393939394</v>
      </c>
      <c r="U1935" s="1728"/>
      <c r="V1935" s="1379">
        <f t="shared" si="303"/>
        <v>0</v>
      </c>
      <c r="W1935" s="1767"/>
      <c r="X1935" s="1379"/>
    </row>
    <row r="1936" spans="1:24" x14ac:dyDescent="0.2">
      <c r="A1936" s="1649" t="s">
        <v>337</v>
      </c>
      <c r="B1936" s="1677">
        <f>IFERROR(AVERAGE(S1931:S1937),"")</f>
        <v>1.5742945660471599</v>
      </c>
      <c r="C1936" s="1625">
        <v>45024</v>
      </c>
      <c r="D1936" s="1626">
        <v>47</v>
      </c>
      <c r="E1936" s="1627" t="s">
        <v>292</v>
      </c>
      <c r="F1936" s="1628" t="s">
        <v>275</v>
      </c>
      <c r="G1936" s="1629">
        <v>7.4398148148148144E-2</v>
      </c>
      <c r="H1936" s="1630">
        <v>17.899999999999999</v>
      </c>
      <c r="I1936" s="1631">
        <f t="shared" si="300"/>
        <v>4.1563211255948689E-3</v>
      </c>
      <c r="J1936" s="1632">
        <v>136</v>
      </c>
      <c r="K1936" s="1741">
        <v>109</v>
      </c>
      <c r="L1936" s="1578">
        <v>200</v>
      </c>
      <c r="M1936" s="1632">
        <v>78</v>
      </c>
      <c r="N1936" s="1633">
        <f t="shared" si="301"/>
        <v>1.0719586425414829</v>
      </c>
      <c r="O1936" s="1634" t="s">
        <v>327</v>
      </c>
      <c r="P1936" s="1635" t="str">
        <f>IFERROR(VLOOKUP(F1936,#REF!,12,FALSE),"")</f>
        <v/>
      </c>
      <c r="Q1936" s="1636" t="s">
        <v>8</v>
      </c>
      <c r="R1936" s="1637" t="str">
        <f>IFERROR(VLOOKUP(F1936,#REF!,14,FALSE),"")</f>
        <v/>
      </c>
      <c r="S1936" s="1605">
        <f t="shared" si="302"/>
        <v>1.4705882352941178</v>
      </c>
      <c r="U1936" s="1728"/>
      <c r="V1936" s="1626">
        <f t="shared" si="303"/>
        <v>0</v>
      </c>
      <c r="W1936" s="1767"/>
      <c r="X1936" s="1626"/>
    </row>
    <row r="1937" spans="1:24" ht="16" thickBot="1" x14ac:dyDescent="0.25">
      <c r="A1937" s="1650" t="s">
        <v>5</v>
      </c>
      <c r="B1937" s="1678">
        <f>IFERROR(SUM(M1931:M1937),"")</f>
        <v>164</v>
      </c>
      <c r="C1937" s="1360">
        <v>45025</v>
      </c>
      <c r="D1937" s="683"/>
      <c r="E1937" s="684"/>
      <c r="F1937" s="1538"/>
      <c r="G1937" s="1361"/>
      <c r="H1937" s="1362" t="str">
        <f>IFERROR(VLOOKUP(F1937,#REF!,10,FALSE),"")</f>
        <v/>
      </c>
      <c r="I1937" s="1363" t="str">
        <f t="shared" si="300"/>
        <v/>
      </c>
      <c r="J1937" s="1364"/>
      <c r="K1937" s="1741"/>
      <c r="L1937" s="1583"/>
      <c r="M1937" s="1364"/>
      <c r="N1937" s="1365" t="str">
        <f t="shared" si="301"/>
        <v/>
      </c>
      <c r="O1937" s="1366"/>
      <c r="P1937" s="1367" t="str">
        <f>IFERROR(VLOOKUP(F1937,#REF!,12,FALSE),"")</f>
        <v/>
      </c>
      <c r="Q1937" s="19" t="s">
        <v>8</v>
      </c>
      <c r="R1937" s="20" t="str">
        <f>IFERROR(VLOOKUP(F1937,#REF!,14,FALSE),"")</f>
        <v/>
      </c>
      <c r="S1937" s="1191" t="str">
        <f t="shared" si="302"/>
        <v/>
      </c>
      <c r="U1937" s="1728"/>
      <c r="V1937" s="683">
        <f t="shared" si="303"/>
        <v>0</v>
      </c>
      <c r="W1937" s="1768"/>
      <c r="X1937" s="683"/>
    </row>
    <row r="1938" spans="1:24" ht="16" thickBot="1" x14ac:dyDescent="0.25">
      <c r="A1938" s="1962">
        <f>WEEKNUM(C1938,1)</f>
        <v>15</v>
      </c>
      <c r="B1938" s="1963"/>
      <c r="C1938" s="1368">
        <v>45026</v>
      </c>
      <c r="D1938" s="1369"/>
      <c r="E1938" s="1370"/>
      <c r="F1938" s="1639"/>
      <c r="G1938" s="1371"/>
      <c r="H1938" s="1372" t="str">
        <f>IFERROR(VLOOKUP(F1938,#REF!,10,FALSE),"")</f>
        <v/>
      </c>
      <c r="I1938" s="1373" t="str">
        <f t="shared" si="300"/>
        <v/>
      </c>
      <c r="J1938" s="1374"/>
      <c r="K1938" s="1741"/>
      <c r="L1938" s="1577"/>
      <c r="M1938" s="1374"/>
      <c r="N1938" s="1375" t="str">
        <f t="shared" si="301"/>
        <v/>
      </c>
      <c r="O1938" s="1376"/>
      <c r="P1938" s="795" t="str">
        <f>IFERROR(VLOOKUP(F1938,#REF!,12,FALSE),"")</f>
        <v/>
      </c>
      <c r="Q1938" s="32" t="s">
        <v>8</v>
      </c>
      <c r="R1938" s="1255" t="str">
        <f>IFERROR(VLOOKUP(F1938,#REF!,14,FALSE),"")</f>
        <v/>
      </c>
      <c r="S1938" s="1377" t="str">
        <f t="shared" si="302"/>
        <v/>
      </c>
      <c r="U1938" s="1728"/>
      <c r="V1938" s="1369">
        <f t="shared" si="303"/>
        <v>0</v>
      </c>
      <c r="W1938" s="1766"/>
      <c r="X1938" s="1369"/>
    </row>
    <row r="1939" spans="1:24" x14ac:dyDescent="0.2">
      <c r="A1939" s="1648" t="s">
        <v>142</v>
      </c>
      <c r="B1939" s="1675">
        <f>SUM(H1938:H1944)</f>
        <v>23.27</v>
      </c>
      <c r="C1939" s="1378">
        <v>45027</v>
      </c>
      <c r="D1939" s="1379">
        <v>48</v>
      </c>
      <c r="E1939" s="1380" t="s">
        <v>292</v>
      </c>
      <c r="F1939" s="1640" t="s">
        <v>322</v>
      </c>
      <c r="G1939" s="1381">
        <v>3.0486111111111113E-2</v>
      </c>
      <c r="H1939" s="1382">
        <v>7.49</v>
      </c>
      <c r="I1939" s="1383">
        <f t="shared" si="300"/>
        <v>4.0702418038866634E-3</v>
      </c>
      <c r="J1939" s="1384">
        <v>130</v>
      </c>
      <c r="K1939" s="1741">
        <v>44</v>
      </c>
      <c r="L1939" s="1578">
        <v>205</v>
      </c>
      <c r="M1939" s="1602">
        <v>27</v>
      </c>
      <c r="N1939" s="1385">
        <f t="shared" si="301"/>
        <v>1.076001833290158</v>
      </c>
      <c r="O1939" s="1386" t="s">
        <v>339</v>
      </c>
      <c r="P1939" s="1387" t="str">
        <f>IFERROR(VLOOKUP(F1939,#REF!,12,FALSE),"")</f>
        <v/>
      </c>
      <c r="Q1939" s="1388" t="s">
        <v>8</v>
      </c>
      <c r="R1939" s="1389" t="str">
        <f>IFERROR(VLOOKUP(F1939,#REF!,14,FALSE),"")</f>
        <v/>
      </c>
      <c r="S1939" s="1390">
        <f t="shared" si="302"/>
        <v>1.5769230769230769</v>
      </c>
      <c r="U1939" s="1728"/>
      <c r="V1939" s="1379">
        <f t="shared" si="303"/>
        <v>0</v>
      </c>
      <c r="W1939" s="1767"/>
      <c r="X1939" s="1379"/>
    </row>
    <row r="1940" spans="1:24" x14ac:dyDescent="0.2">
      <c r="A1940" s="1649" t="s">
        <v>144</v>
      </c>
      <c r="B1940" s="1676" t="e">
        <f>SUM(#REF!)</f>
        <v>#REF!</v>
      </c>
      <c r="C1940" s="1378">
        <v>45028</v>
      </c>
      <c r="D1940" s="1379"/>
      <c r="E1940" s="1380"/>
      <c r="F1940" s="1640"/>
      <c r="G1940" s="1381"/>
      <c r="H1940" s="1630" t="str">
        <f>IFERROR(VLOOKUP(F1940,#REF!,10,FALSE),"")</f>
        <v/>
      </c>
      <c r="I1940" s="1383" t="str">
        <f t="shared" si="300"/>
        <v/>
      </c>
      <c r="J1940" s="1384"/>
      <c r="K1940" s="1741"/>
      <c r="L1940" s="1578"/>
      <c r="M1940" s="1602"/>
      <c r="N1940" s="1385" t="str">
        <f t="shared" si="301"/>
        <v/>
      </c>
      <c r="O1940" s="1386"/>
      <c r="P1940" s="1387" t="str">
        <f>IFERROR(VLOOKUP(F1940,#REF!,12,FALSE),"")</f>
        <v/>
      </c>
      <c r="Q1940" s="1388" t="s">
        <v>8</v>
      </c>
      <c r="R1940" s="1389" t="str">
        <f>IFERROR(VLOOKUP(F1940,#REF!,14,FALSE),"")</f>
        <v/>
      </c>
      <c r="S1940" s="1390" t="str">
        <f t="shared" si="302"/>
        <v/>
      </c>
      <c r="U1940" s="1728"/>
      <c r="V1940" s="1379">
        <f t="shared" si="303"/>
        <v>0</v>
      </c>
      <c r="W1940" s="1767"/>
      <c r="X1940" s="1379"/>
    </row>
    <row r="1941" spans="1:24" x14ac:dyDescent="0.2">
      <c r="A1941" s="1649" t="s">
        <v>256</v>
      </c>
      <c r="B1941" s="1677" t="e">
        <f>AVERAGE(#REF!)</f>
        <v>#REF!</v>
      </c>
      <c r="C1941" s="1378">
        <v>45029</v>
      </c>
      <c r="D1941" s="1379"/>
      <c r="E1941" s="1380"/>
      <c r="F1941" s="1640"/>
      <c r="G1941" s="1381"/>
      <c r="H1941" s="1630" t="str">
        <f>IFERROR(VLOOKUP(F1941,#REF!,10,FALSE),"")</f>
        <v/>
      </c>
      <c r="I1941" s="1383" t="str">
        <f t="shared" si="300"/>
        <v/>
      </c>
      <c r="J1941" s="1384"/>
      <c r="K1941" s="1741"/>
      <c r="L1941" s="1578"/>
      <c r="M1941" s="1602"/>
      <c r="N1941" s="1385" t="str">
        <f t="shared" si="301"/>
        <v/>
      </c>
      <c r="O1941" s="1386"/>
      <c r="P1941" s="1387" t="str">
        <f>IFERROR(VLOOKUP(F1941,#REF!,12,FALSE),"")</f>
        <v/>
      </c>
      <c r="Q1941" s="1388" t="s">
        <v>8</v>
      </c>
      <c r="R1941" s="1389" t="str">
        <f>IFERROR(VLOOKUP(F1941,#REF!,14,FALSE),"")</f>
        <v/>
      </c>
      <c r="S1941" s="1390" t="str">
        <f t="shared" si="302"/>
        <v/>
      </c>
      <c r="U1941" s="1728"/>
      <c r="V1941" s="1379">
        <f t="shared" si="303"/>
        <v>0</v>
      </c>
      <c r="W1941" s="1767"/>
      <c r="X1941" s="1379"/>
    </row>
    <row r="1942" spans="1:24" x14ac:dyDescent="0.2">
      <c r="A1942" s="1649" t="s">
        <v>336</v>
      </c>
      <c r="B1942" s="1712">
        <f>IFERROR(AVERAGE(N1938:N1944),"")</f>
        <v>1.0783859830761202</v>
      </c>
      <c r="C1942" s="1378">
        <v>45030</v>
      </c>
      <c r="D1942" s="1379"/>
      <c r="E1942" s="1380"/>
      <c r="F1942" s="1641"/>
      <c r="G1942" s="1381"/>
      <c r="H1942" s="1630" t="str">
        <f>IFERROR(VLOOKUP(F1942,#REF!,10,FALSE),"")</f>
        <v/>
      </c>
      <c r="I1942" s="1383" t="str">
        <f t="shared" si="300"/>
        <v/>
      </c>
      <c r="J1942" s="1384"/>
      <c r="K1942" s="1741"/>
      <c r="L1942" s="1578"/>
      <c r="M1942" s="1602"/>
      <c r="N1942" s="1385" t="str">
        <f t="shared" si="301"/>
        <v/>
      </c>
      <c r="O1942" s="1386"/>
      <c r="P1942" s="1387" t="str">
        <f>IFERROR(VLOOKUP(F1942,#REF!,12,FALSE),"")</f>
        <v/>
      </c>
      <c r="Q1942" s="1388" t="s">
        <v>8</v>
      </c>
      <c r="R1942" s="1389" t="str">
        <f>IFERROR(VLOOKUP(F1942,#REF!,14,FALSE),"")</f>
        <v/>
      </c>
      <c r="S1942" s="1390" t="str">
        <f t="shared" si="302"/>
        <v/>
      </c>
      <c r="U1942" s="1728"/>
      <c r="V1942" s="1379">
        <f t="shared" si="303"/>
        <v>0</v>
      </c>
      <c r="W1942" s="1767"/>
      <c r="X1942" s="1379"/>
    </row>
    <row r="1943" spans="1:24" x14ac:dyDescent="0.2">
      <c r="A1943" s="1649" t="s">
        <v>337</v>
      </c>
      <c r="B1943" s="1677">
        <f>IFERROR(AVERAGE(S1938:S1944),"")</f>
        <v>1.5931381855109672</v>
      </c>
      <c r="C1943" s="1625">
        <v>45031</v>
      </c>
      <c r="D1943" s="1626">
        <v>49</v>
      </c>
      <c r="E1943" s="1627" t="s">
        <v>293</v>
      </c>
      <c r="F1943" s="1683" t="s">
        <v>279</v>
      </c>
      <c r="G1943" s="1629">
        <v>3.7025462962962961E-2</v>
      </c>
      <c r="H1943" s="1630">
        <v>9.51</v>
      </c>
      <c r="I1943" s="1631">
        <f t="shared" si="300"/>
        <v>3.8933189235502591E-3</v>
      </c>
      <c r="J1943" s="1632">
        <v>134</v>
      </c>
      <c r="K1943" s="1741">
        <v>63</v>
      </c>
      <c r="L1943" s="1578">
        <v>216</v>
      </c>
      <c r="M1943" s="1632">
        <v>34</v>
      </c>
      <c r="N1943" s="1633">
        <f t="shared" si="301"/>
        <v>1.0844578369979756</v>
      </c>
      <c r="O1943" s="1634" t="s">
        <v>333</v>
      </c>
      <c r="P1943" s="1635" t="str">
        <f>IFERROR(VLOOKUP(F1943,#REF!,12,FALSE),"")</f>
        <v/>
      </c>
      <c r="Q1943" s="1636" t="s">
        <v>8</v>
      </c>
      <c r="R1943" s="1637" t="str">
        <f>IFERROR(VLOOKUP(F1943,#REF!,14,FALSE),"")</f>
        <v/>
      </c>
      <c r="S1943" s="1605">
        <f t="shared" si="302"/>
        <v>1.6119402985074627</v>
      </c>
      <c r="U1943" s="1728"/>
      <c r="V1943" s="1626">
        <f t="shared" si="303"/>
        <v>0</v>
      </c>
      <c r="W1943" s="1767"/>
      <c r="X1943" s="1626"/>
    </row>
    <row r="1944" spans="1:24" ht="16" thickBot="1" x14ac:dyDescent="0.25">
      <c r="A1944" s="1650" t="s">
        <v>5</v>
      </c>
      <c r="B1944" s="1678">
        <f>IFERROR(SUM(M1938:M1944),"")</f>
        <v>73</v>
      </c>
      <c r="C1944" s="1360">
        <v>45032</v>
      </c>
      <c r="D1944" s="683">
        <v>50</v>
      </c>
      <c r="E1944" s="684" t="s">
        <v>292</v>
      </c>
      <c r="F1944" s="1642" t="s">
        <v>322</v>
      </c>
      <c r="G1944" s="1361">
        <v>2.5868055555555557E-2</v>
      </c>
      <c r="H1944" s="1362">
        <v>6.27</v>
      </c>
      <c r="I1944" s="1363">
        <f t="shared" si="300"/>
        <v>4.1256866914761653E-3</v>
      </c>
      <c r="J1944" s="1364">
        <v>127</v>
      </c>
      <c r="K1944" s="1741">
        <v>36</v>
      </c>
      <c r="L1944" s="1583">
        <v>202</v>
      </c>
      <c r="M1944" s="1364">
        <v>12</v>
      </c>
      <c r="N1944" s="1365">
        <f t="shared" si="301"/>
        <v>1.0746982789402271</v>
      </c>
      <c r="O1944" s="1366" t="s">
        <v>327</v>
      </c>
      <c r="P1944" s="1367" t="str">
        <f>IFERROR(VLOOKUP(F1944,#REF!,12,FALSE),"")</f>
        <v/>
      </c>
      <c r="Q1944" s="19" t="s">
        <v>8</v>
      </c>
      <c r="R1944" s="20" t="str">
        <f>IFERROR(VLOOKUP(F1944,#REF!,14,FALSE),"")</f>
        <v/>
      </c>
      <c r="S1944" s="1191">
        <f t="shared" si="302"/>
        <v>1.5905511811023623</v>
      </c>
      <c r="U1944" s="1728"/>
      <c r="V1944" s="683">
        <f t="shared" si="303"/>
        <v>0</v>
      </c>
      <c r="W1944" s="1768"/>
      <c r="X1944" s="683"/>
    </row>
    <row r="1945" spans="1:24" ht="16" thickBot="1" x14ac:dyDescent="0.25">
      <c r="A1945" s="1962">
        <f>WEEKNUM(C1945,1)</f>
        <v>16</v>
      </c>
      <c r="B1945" s="1963"/>
      <c r="C1945" s="1368">
        <v>45033</v>
      </c>
      <c r="D1945" s="1369">
        <v>51</v>
      </c>
      <c r="E1945" s="1370" t="s">
        <v>293</v>
      </c>
      <c r="F1945" s="1639" t="s">
        <v>322</v>
      </c>
      <c r="G1945" s="1371">
        <v>2.4039351851851853E-2</v>
      </c>
      <c r="H1945" s="1372">
        <v>5.92</v>
      </c>
      <c r="I1945" s="1373">
        <f t="shared" si="300"/>
        <v>4.060701326326327E-3</v>
      </c>
      <c r="J1945" s="1374">
        <v>128</v>
      </c>
      <c r="K1945" s="1741">
        <v>34</v>
      </c>
      <c r="L1945" s="1577">
        <v>201</v>
      </c>
      <c r="M1945" s="1374">
        <v>19</v>
      </c>
      <c r="N1945" s="1375">
        <f t="shared" si="301"/>
        <v>1.052533783783784</v>
      </c>
      <c r="O1945" s="1376" t="s">
        <v>333</v>
      </c>
      <c r="P1945" s="795" t="str">
        <f>IFERROR(VLOOKUP(F1945,#REF!,12,FALSE),"")</f>
        <v/>
      </c>
      <c r="Q1945" s="32" t="s">
        <v>8</v>
      </c>
      <c r="R1945" s="1255" t="str">
        <f>IFERROR(VLOOKUP(F1945,#REF!,14,FALSE),"")</f>
        <v/>
      </c>
      <c r="S1945" s="1377">
        <f t="shared" si="302"/>
        <v>1.5703125</v>
      </c>
      <c r="U1945" s="1728"/>
      <c r="V1945" s="1369">
        <f t="shared" si="303"/>
        <v>0</v>
      </c>
      <c r="W1945" s="1766"/>
      <c r="X1945" s="1369"/>
    </row>
    <row r="1946" spans="1:24" x14ac:dyDescent="0.2">
      <c r="A1946" s="1648" t="s">
        <v>142</v>
      </c>
      <c r="B1946" s="1675">
        <f>SUM(H1945:H1951)</f>
        <v>37.01</v>
      </c>
      <c r="C1946" s="1378">
        <v>45034</v>
      </c>
      <c r="D1946" s="1379">
        <v>52</v>
      </c>
      <c r="E1946" s="1380" t="s">
        <v>293</v>
      </c>
      <c r="F1946" s="1640" t="s">
        <v>334</v>
      </c>
      <c r="G1946" s="1381">
        <v>3.2361111111111111E-2</v>
      </c>
      <c r="H1946" s="1382">
        <v>8.61</v>
      </c>
      <c r="I1946" s="1383">
        <f t="shared" si="300"/>
        <v>3.7585494902568077E-3</v>
      </c>
      <c r="J1946" s="1384">
        <v>143</v>
      </c>
      <c r="K1946" s="1741">
        <v>65</v>
      </c>
      <c r="L1946" s="1578">
        <v>221</v>
      </c>
      <c r="M1946" s="1602">
        <v>16</v>
      </c>
      <c r="N1946" s="1385">
        <f t="shared" si="301"/>
        <v>1.0711529460710387</v>
      </c>
      <c r="O1946" s="1386" t="s">
        <v>280</v>
      </c>
      <c r="P1946" s="1387" t="str">
        <f>IFERROR(VLOOKUP(F1946,#REF!,12,FALSE),"")</f>
        <v/>
      </c>
      <c r="Q1946" s="1388" t="s">
        <v>8</v>
      </c>
      <c r="R1946" s="1389" t="str">
        <f>IFERROR(VLOOKUP(F1946,#REF!,14,FALSE),"")</f>
        <v/>
      </c>
      <c r="S1946" s="1390">
        <f t="shared" si="302"/>
        <v>1.5454545454545454</v>
      </c>
      <c r="U1946" s="1728"/>
      <c r="V1946" s="1379">
        <f t="shared" si="303"/>
        <v>0</v>
      </c>
      <c r="W1946" s="1767"/>
      <c r="X1946" s="1379"/>
    </row>
    <row r="1947" spans="1:24" x14ac:dyDescent="0.2">
      <c r="A1947" s="1649" t="s">
        <v>144</v>
      </c>
      <c r="B1947" s="1676" t="e">
        <f>SUM(#REF!)</f>
        <v>#REF!</v>
      </c>
      <c r="C1947" s="1378">
        <v>45035</v>
      </c>
      <c r="D1947" s="1379"/>
      <c r="E1947" s="1380"/>
      <c r="F1947" s="1640"/>
      <c r="G1947" s="1381"/>
      <c r="H1947" s="1382" t="str">
        <f>IFERROR(VLOOKUP(F1947,#REF!,10,FALSE),"")</f>
        <v/>
      </c>
      <c r="I1947" s="1383" t="str">
        <f t="shared" si="300"/>
        <v/>
      </c>
      <c r="J1947" s="1384"/>
      <c r="K1947" s="1741"/>
      <c r="L1947" s="1578"/>
      <c r="M1947" s="1602"/>
      <c r="N1947" s="1385" t="str">
        <f t="shared" si="301"/>
        <v/>
      </c>
      <c r="O1947" s="1386"/>
      <c r="P1947" s="1387" t="str">
        <f>IFERROR(VLOOKUP(F1947,#REF!,12,FALSE),"")</f>
        <v/>
      </c>
      <c r="Q1947" s="1388" t="s">
        <v>8</v>
      </c>
      <c r="R1947" s="1389" t="str">
        <f>IFERROR(VLOOKUP(F1947,#REF!,14,FALSE),"")</f>
        <v/>
      </c>
      <c r="S1947" s="1390" t="str">
        <f t="shared" si="302"/>
        <v/>
      </c>
      <c r="U1947" s="1728"/>
      <c r="V1947" s="1379">
        <f t="shared" si="303"/>
        <v>0</v>
      </c>
      <c r="W1947" s="1767"/>
      <c r="X1947" s="1379"/>
    </row>
    <row r="1948" spans="1:24" x14ac:dyDescent="0.2">
      <c r="A1948" s="1649" t="s">
        <v>256</v>
      </c>
      <c r="B1948" s="1677" t="e">
        <f>AVERAGE(#REF!)</f>
        <v>#REF!</v>
      </c>
      <c r="C1948" s="1378">
        <v>45036</v>
      </c>
      <c r="D1948" s="1379">
        <v>53</v>
      </c>
      <c r="E1948" s="1380" t="s">
        <v>293</v>
      </c>
      <c r="F1948" s="1640" t="s">
        <v>331</v>
      </c>
      <c r="G1948" s="1381">
        <v>2.7615740740740743E-2</v>
      </c>
      <c r="H1948" s="1382">
        <v>7.03</v>
      </c>
      <c r="I1948" s="1383">
        <f t="shared" si="300"/>
        <v>3.9282703756387972E-3</v>
      </c>
      <c r="J1948" s="1384">
        <v>134</v>
      </c>
      <c r="K1948" s="1741">
        <v>47</v>
      </c>
      <c r="L1948" s="1578">
        <v>211</v>
      </c>
      <c r="M1948" s="1602">
        <v>21</v>
      </c>
      <c r="N1948" s="1385">
        <f t="shared" si="301"/>
        <v>1.0688647799409781</v>
      </c>
      <c r="O1948" s="1386" t="s">
        <v>329</v>
      </c>
      <c r="P1948" s="1387" t="str">
        <f>IFERROR(VLOOKUP(F1948,#REF!,12,FALSE),"")</f>
        <v/>
      </c>
      <c r="Q1948" s="1388" t="s">
        <v>8</v>
      </c>
      <c r="R1948" s="1389" t="str">
        <f>IFERROR(VLOOKUP(F1948,#REF!,14,FALSE),"")</f>
        <v/>
      </c>
      <c r="S1948" s="1390">
        <f t="shared" si="302"/>
        <v>1.5746268656716418</v>
      </c>
      <c r="U1948" s="1728"/>
      <c r="V1948" s="1379">
        <f t="shared" si="303"/>
        <v>0</v>
      </c>
      <c r="W1948" s="1767"/>
      <c r="X1948" s="1379"/>
    </row>
    <row r="1949" spans="1:24" x14ac:dyDescent="0.2">
      <c r="A1949" s="1649" t="s">
        <v>336</v>
      </c>
      <c r="B1949" s="1712">
        <f>IFERROR(AVERAGE(N1945:N1951),"")</f>
        <v>1.0631503007231042</v>
      </c>
      <c r="C1949" s="1378">
        <v>45037</v>
      </c>
      <c r="D1949" s="1379">
        <v>54</v>
      </c>
      <c r="E1949" s="1380" t="s">
        <v>293</v>
      </c>
      <c r="F1949" s="1641" t="s">
        <v>322</v>
      </c>
      <c r="G1949" s="1381">
        <v>2.5416666666666667E-2</v>
      </c>
      <c r="H1949" s="1382">
        <v>6.21</v>
      </c>
      <c r="I1949" s="1383">
        <f t="shared" si="300"/>
        <v>4.0928609769189479E-3</v>
      </c>
      <c r="J1949" s="1384">
        <v>132</v>
      </c>
      <c r="K1949" s="1741">
        <v>33</v>
      </c>
      <c r="L1949" s="1578">
        <v>200</v>
      </c>
      <c r="M1949" s="1602">
        <v>20</v>
      </c>
      <c r="N1949" s="1385">
        <f t="shared" si="301"/>
        <v>1.0555916071814837</v>
      </c>
      <c r="O1949" s="1386" t="s">
        <v>333</v>
      </c>
      <c r="P1949" s="1387" t="str">
        <f>IFERROR(VLOOKUP(F1949,#REF!,12,FALSE),"")</f>
        <v/>
      </c>
      <c r="Q1949" s="1388" t="s">
        <v>8</v>
      </c>
      <c r="R1949" s="1389" t="str">
        <f>IFERROR(VLOOKUP(F1949,#REF!,14,FALSE),"")</f>
        <v/>
      </c>
      <c r="S1949" s="1390">
        <f t="shared" si="302"/>
        <v>1.5151515151515151</v>
      </c>
      <c r="U1949" s="1728"/>
      <c r="V1949" s="1379">
        <f t="shared" si="303"/>
        <v>0</v>
      </c>
      <c r="W1949" s="1767"/>
      <c r="X1949" s="1379"/>
    </row>
    <row r="1950" spans="1:24" x14ac:dyDescent="0.2">
      <c r="A1950" s="1649" t="s">
        <v>337</v>
      </c>
      <c r="B1950" s="1677">
        <f>IFERROR(AVERAGE(S1945:S1951),"")</f>
        <v>1.5513453057279813</v>
      </c>
      <c r="C1950" s="1625">
        <v>45038</v>
      </c>
      <c r="D1950" s="1626"/>
      <c r="E1950" s="1627"/>
      <c r="F1950" s="1641"/>
      <c r="G1950" s="1629"/>
      <c r="H1950" s="1630" t="str">
        <f>IFERROR(VLOOKUP(F1950,#REF!,10,FALSE),"")</f>
        <v/>
      </c>
      <c r="I1950" s="1631" t="str">
        <f t="shared" si="300"/>
        <v/>
      </c>
      <c r="J1950" s="1632"/>
      <c r="K1950" s="1741"/>
      <c r="L1950" s="1578"/>
      <c r="M1950" s="1632"/>
      <c r="N1950" s="1633" t="str">
        <f t="shared" si="301"/>
        <v/>
      </c>
      <c r="O1950" s="1634"/>
      <c r="P1950" s="1635" t="str">
        <f>IFERROR(VLOOKUP(F1950,#REF!,12,FALSE),"")</f>
        <v/>
      </c>
      <c r="Q1950" s="1636" t="s">
        <v>8</v>
      </c>
      <c r="R1950" s="1637" t="str">
        <f>IFERROR(VLOOKUP(F1950,#REF!,14,FALSE),"")</f>
        <v/>
      </c>
      <c r="S1950" s="1605" t="str">
        <f t="shared" si="302"/>
        <v/>
      </c>
      <c r="U1950" s="1728"/>
      <c r="V1950" s="1626">
        <f t="shared" si="303"/>
        <v>0</v>
      </c>
      <c r="W1950" s="1767"/>
      <c r="X1950" s="1626"/>
    </row>
    <row r="1951" spans="1:24" ht="16" thickBot="1" x14ac:dyDescent="0.25">
      <c r="A1951" s="1650" t="s">
        <v>5</v>
      </c>
      <c r="B1951" s="1678">
        <f>IFERROR(SUM(M1945:M1951),"")</f>
        <v>105</v>
      </c>
      <c r="C1951" s="1360">
        <v>45039</v>
      </c>
      <c r="D1951" s="683">
        <v>55</v>
      </c>
      <c r="E1951" s="684" t="s">
        <v>292</v>
      </c>
      <c r="F1951" s="1642" t="s">
        <v>279</v>
      </c>
      <c r="G1951" s="1361">
        <v>3.8831018518518515E-2</v>
      </c>
      <c r="H1951" s="1362">
        <v>9.24</v>
      </c>
      <c r="I1951" s="1363">
        <f t="shared" si="300"/>
        <v>4.2024911816578477E-3</v>
      </c>
      <c r="J1951" s="1364">
        <v>127</v>
      </c>
      <c r="K1951" s="1741">
        <v>49</v>
      </c>
      <c r="L1951" s="1583">
        <v>197</v>
      </c>
      <c r="M1951" s="1364">
        <v>29</v>
      </c>
      <c r="N1951" s="1365">
        <f t="shared" si="301"/>
        <v>1.0676083866382371</v>
      </c>
      <c r="O1951" s="1366" t="s">
        <v>327</v>
      </c>
      <c r="P1951" s="1367" t="str">
        <f>IFERROR(VLOOKUP(F1951,#REF!,12,FALSE),"")</f>
        <v/>
      </c>
      <c r="Q1951" s="19" t="s">
        <v>8</v>
      </c>
      <c r="R1951" s="20" t="str">
        <f>IFERROR(VLOOKUP(F1951,#REF!,14,FALSE),"")</f>
        <v/>
      </c>
      <c r="S1951" s="1191">
        <f t="shared" si="302"/>
        <v>1.5511811023622046</v>
      </c>
      <c r="U1951" s="1728"/>
      <c r="V1951" s="683">
        <f t="shared" si="303"/>
        <v>0</v>
      </c>
      <c r="W1951" s="1768"/>
      <c r="X1951" s="683"/>
    </row>
    <row r="1952" spans="1:24" ht="16" thickBot="1" x14ac:dyDescent="0.25">
      <c r="A1952" s="1962">
        <f>WEEKNUM(C1952,1)</f>
        <v>17</v>
      </c>
      <c r="B1952" s="1963"/>
      <c r="C1952" s="1368">
        <v>45040</v>
      </c>
      <c r="D1952" s="1369">
        <v>56</v>
      </c>
      <c r="E1952" s="1370" t="s">
        <v>293</v>
      </c>
      <c r="F1952" s="1639" t="s">
        <v>323</v>
      </c>
      <c r="G1952" s="1371">
        <v>2.4398148148148145E-2</v>
      </c>
      <c r="H1952" s="1372">
        <v>5.92</v>
      </c>
      <c r="I1952" s="1373">
        <f t="shared" si="300"/>
        <v>4.1213088088088079E-3</v>
      </c>
      <c r="J1952" s="1374">
        <v>120</v>
      </c>
      <c r="K1952" s="1741">
        <v>32</v>
      </c>
      <c r="L1952" s="1577">
        <v>200</v>
      </c>
      <c r="M1952" s="1374">
        <v>13</v>
      </c>
      <c r="N1952" s="1375">
        <f t="shared" si="301"/>
        <v>1.0629286002420328</v>
      </c>
      <c r="O1952" s="1376" t="s">
        <v>333</v>
      </c>
      <c r="P1952" s="795" t="str">
        <f>IFERROR(VLOOKUP(F1952,#REF!,12,FALSE),"")</f>
        <v/>
      </c>
      <c r="Q1952" s="32" t="s">
        <v>8</v>
      </c>
      <c r="R1952" s="1255" t="str">
        <f>IFERROR(VLOOKUP(F1952,#REF!,14,FALSE),"")</f>
        <v/>
      </c>
      <c r="S1952" s="1377">
        <f t="shared" si="302"/>
        <v>1.6666666666666667</v>
      </c>
      <c r="U1952" s="1728"/>
      <c r="V1952" s="1369">
        <f t="shared" si="303"/>
        <v>0</v>
      </c>
      <c r="W1952" s="1766"/>
      <c r="X1952" s="1369"/>
    </row>
    <row r="1953" spans="1:24" x14ac:dyDescent="0.2">
      <c r="A1953" s="1648" t="s">
        <v>142</v>
      </c>
      <c r="B1953" s="1675">
        <f>SUM(H1952:H1958)</f>
        <v>28.36</v>
      </c>
      <c r="C1953" s="1378">
        <v>45041</v>
      </c>
      <c r="D1953" s="1379">
        <v>57</v>
      </c>
      <c r="E1953" s="1380" t="s">
        <v>293</v>
      </c>
      <c r="F1953" s="1640" t="s">
        <v>334</v>
      </c>
      <c r="G1953" s="1381">
        <v>2.0856481481481479E-2</v>
      </c>
      <c r="H1953" s="1382">
        <v>5.51</v>
      </c>
      <c r="I1953" s="1383">
        <f t="shared" si="300"/>
        <v>3.7852053505411033E-3</v>
      </c>
      <c r="J1953" s="1384">
        <v>143</v>
      </c>
      <c r="K1953" s="1741">
        <v>40</v>
      </c>
      <c r="L1953" s="1578">
        <v>217</v>
      </c>
      <c r="M1953" s="1602">
        <v>25</v>
      </c>
      <c r="N1953" s="1385">
        <f t="shared" si="301"/>
        <v>1.0592247474063439</v>
      </c>
      <c r="O1953" s="1386" t="s">
        <v>341</v>
      </c>
      <c r="P1953" s="1387" t="str">
        <f>IFERROR(VLOOKUP(F1953,#REF!,12,FALSE),"")</f>
        <v/>
      </c>
      <c r="Q1953" s="1388" t="s">
        <v>8</v>
      </c>
      <c r="R1953" s="1389" t="str">
        <f>IFERROR(VLOOKUP(F1953,#REF!,14,FALSE),"")</f>
        <v/>
      </c>
      <c r="S1953" s="1390">
        <f t="shared" si="302"/>
        <v>1.5174825174825175</v>
      </c>
      <c r="U1953" s="1728"/>
      <c r="V1953" s="1379">
        <f t="shared" si="303"/>
        <v>0</v>
      </c>
      <c r="W1953" s="1767"/>
      <c r="X1953" s="1379"/>
    </row>
    <row r="1954" spans="1:24" x14ac:dyDescent="0.2">
      <c r="A1954" s="1649" t="s">
        <v>144</v>
      </c>
      <c r="B1954" s="1676" t="e">
        <f>SUM(#REF!)</f>
        <v>#REF!</v>
      </c>
      <c r="C1954" s="1378">
        <v>45042</v>
      </c>
      <c r="D1954" s="1379"/>
      <c r="E1954" s="1380"/>
      <c r="F1954" s="1640"/>
      <c r="G1954" s="1381"/>
      <c r="H1954" s="1382" t="str">
        <f>IFERROR(VLOOKUP(F1954,#REF!,10,FALSE),"")</f>
        <v/>
      </c>
      <c r="I1954" s="1383" t="str">
        <f t="shared" si="300"/>
        <v/>
      </c>
      <c r="J1954" s="1384"/>
      <c r="K1954" s="1741"/>
      <c r="L1954" s="1578"/>
      <c r="M1954" s="1602"/>
      <c r="N1954" s="1385" t="str">
        <f t="shared" si="301"/>
        <v/>
      </c>
      <c r="O1954" s="1386"/>
      <c r="P1954" s="1387" t="str">
        <f>IFERROR(VLOOKUP(F1954,#REF!,12,FALSE),"")</f>
        <v/>
      </c>
      <c r="Q1954" s="1388" t="s">
        <v>8</v>
      </c>
      <c r="R1954" s="1389" t="str">
        <f>IFERROR(VLOOKUP(F1954,#REF!,14,FALSE),"")</f>
        <v/>
      </c>
      <c r="S1954" s="1390" t="str">
        <f t="shared" si="302"/>
        <v/>
      </c>
      <c r="U1954" s="1728"/>
      <c r="V1954" s="1379">
        <f t="shared" si="303"/>
        <v>0</v>
      </c>
      <c r="W1954" s="1767"/>
      <c r="X1954" s="1379"/>
    </row>
    <row r="1955" spans="1:24" x14ac:dyDescent="0.2">
      <c r="A1955" s="1649" t="s">
        <v>256</v>
      </c>
      <c r="B1955" s="1677" t="e">
        <f>AVERAGE(#REF!)</f>
        <v>#REF!</v>
      </c>
      <c r="C1955" s="1378">
        <v>45043</v>
      </c>
      <c r="D1955" s="1379">
        <v>58</v>
      </c>
      <c r="E1955" s="1380" t="s">
        <v>293</v>
      </c>
      <c r="F1955" s="1640" t="s">
        <v>331</v>
      </c>
      <c r="G1955" s="1381">
        <v>2.6921296296296294E-2</v>
      </c>
      <c r="H1955" s="1382">
        <v>6.63</v>
      </c>
      <c r="I1955" s="1383">
        <f t="shared" si="300"/>
        <v>4.0605273448410702E-3</v>
      </c>
      <c r="J1955" s="1384">
        <v>129</v>
      </c>
      <c r="K1955" s="1741">
        <v>43</v>
      </c>
      <c r="L1955" s="1578">
        <v>206</v>
      </c>
      <c r="M1955" s="1602">
        <v>22</v>
      </c>
      <c r="N1955" s="1385">
        <f t="shared" si="301"/>
        <v>1.0786699984241688</v>
      </c>
      <c r="O1955" s="1386" t="s">
        <v>329</v>
      </c>
      <c r="P1955" s="1387" t="str">
        <f>IFERROR(VLOOKUP(F1955,#REF!,12,FALSE),"")</f>
        <v/>
      </c>
      <c r="Q1955" s="1388" t="s">
        <v>8</v>
      </c>
      <c r="R1955" s="1389" t="str">
        <f>IFERROR(VLOOKUP(F1955,#REF!,14,FALSE),"")</f>
        <v/>
      </c>
      <c r="S1955" s="1390">
        <f t="shared" si="302"/>
        <v>1.5968992248062015</v>
      </c>
      <c r="U1955" s="1728"/>
      <c r="V1955" s="1379">
        <f t="shared" si="303"/>
        <v>0</v>
      </c>
      <c r="W1955" s="1767"/>
      <c r="X1955" s="1379"/>
    </row>
    <row r="1956" spans="1:24" x14ac:dyDescent="0.2">
      <c r="A1956" s="1649" t="s">
        <v>336</v>
      </c>
      <c r="B1956" s="1712">
        <f>IFERROR(AVERAGE(N1952:N1958),"")</f>
        <v>1.0643952070911635</v>
      </c>
      <c r="C1956" s="1378">
        <v>45044</v>
      </c>
      <c r="D1956" s="1379">
        <v>59</v>
      </c>
      <c r="E1956" s="1380" t="s">
        <v>293</v>
      </c>
      <c r="F1956" s="1641" t="s">
        <v>323</v>
      </c>
      <c r="G1956" s="1381">
        <v>2.207175925925926E-2</v>
      </c>
      <c r="H1956" s="1382">
        <v>5.3</v>
      </c>
      <c r="I1956" s="1383">
        <f t="shared" si="300"/>
        <v>4.1644828791055208E-3</v>
      </c>
      <c r="J1956" s="1384">
        <v>123</v>
      </c>
      <c r="K1956" s="1741">
        <v>28</v>
      </c>
      <c r="L1956" s="1578">
        <v>197</v>
      </c>
      <c r="M1956" s="1602">
        <v>16</v>
      </c>
      <c r="N1956" s="1385">
        <f t="shared" si="301"/>
        <v>1.057952689383272</v>
      </c>
      <c r="O1956" s="1386" t="s">
        <v>333</v>
      </c>
      <c r="P1956" s="1387" t="str">
        <f>IFERROR(VLOOKUP(F1956,#REF!,12,FALSE),"")</f>
        <v/>
      </c>
      <c r="Q1956" s="1388" t="s">
        <v>8</v>
      </c>
      <c r="R1956" s="1389" t="str">
        <f>IFERROR(VLOOKUP(F1956,#REF!,14,FALSE),"")</f>
        <v/>
      </c>
      <c r="S1956" s="1390">
        <f t="shared" si="302"/>
        <v>1.6016260162601625</v>
      </c>
      <c r="U1956" s="1728"/>
      <c r="V1956" s="1379">
        <f t="shared" si="303"/>
        <v>0</v>
      </c>
      <c r="W1956" s="1767"/>
      <c r="X1956" s="1379"/>
    </row>
    <row r="1957" spans="1:24" x14ac:dyDescent="0.2">
      <c r="A1957" s="1649" t="s">
        <v>337</v>
      </c>
      <c r="B1957" s="1677">
        <f>IFERROR(AVERAGE(S1952:S1958),"")</f>
        <v>1.6013833698915945</v>
      </c>
      <c r="C1957" s="1625">
        <v>45045</v>
      </c>
      <c r="D1957" s="1626"/>
      <c r="E1957" s="1627"/>
      <c r="F1957" s="1641"/>
      <c r="G1957" s="1629"/>
      <c r="H1957" s="1630" t="str">
        <f>IFERROR(VLOOKUP(F1957,#REF!,10,FALSE),"")</f>
        <v/>
      </c>
      <c r="I1957" s="1631" t="str">
        <f t="shared" si="300"/>
        <v/>
      </c>
      <c r="J1957" s="1632"/>
      <c r="K1957" s="1741"/>
      <c r="L1957" s="1578"/>
      <c r="M1957" s="1632"/>
      <c r="N1957" s="1633" t="str">
        <f t="shared" si="301"/>
        <v/>
      </c>
      <c r="O1957" s="1634"/>
      <c r="P1957" s="1635" t="str">
        <f>IFERROR(VLOOKUP(F1957,#REF!,12,FALSE),"")</f>
        <v/>
      </c>
      <c r="Q1957" s="1636" t="s">
        <v>8</v>
      </c>
      <c r="R1957" s="1637" t="str">
        <f>IFERROR(VLOOKUP(F1957,#REF!,14,FALSE),"")</f>
        <v/>
      </c>
      <c r="S1957" s="1605" t="str">
        <f t="shared" si="302"/>
        <v/>
      </c>
      <c r="U1957" s="1728"/>
      <c r="V1957" s="1626">
        <f t="shared" si="303"/>
        <v>0</v>
      </c>
      <c r="W1957" s="1767"/>
      <c r="X1957" s="1626"/>
    </row>
    <row r="1958" spans="1:24" ht="16" thickBot="1" x14ac:dyDescent="0.25">
      <c r="A1958" s="1650" t="s">
        <v>5</v>
      </c>
      <c r="B1958" s="1678">
        <f>IFERROR(SUM(M1952:M1958),"")</f>
        <v>105</v>
      </c>
      <c r="C1958" s="1360">
        <v>45046</v>
      </c>
      <c r="D1958" s="683">
        <v>60</v>
      </c>
      <c r="E1958" s="684" t="s">
        <v>293</v>
      </c>
      <c r="F1958" s="1643" t="s">
        <v>198</v>
      </c>
      <c r="G1958" s="1361">
        <v>1.5381944444444443E-2</v>
      </c>
      <c r="H1958" s="1362">
        <v>5</v>
      </c>
      <c r="I1958" s="1363">
        <f t="shared" si="300"/>
        <v>3.0763888888888885E-3</v>
      </c>
      <c r="J1958" s="1364">
        <v>165</v>
      </c>
      <c r="K1958" s="1741">
        <v>55</v>
      </c>
      <c r="L1958" s="1583">
        <v>268</v>
      </c>
      <c r="M1958" s="1364">
        <v>29</v>
      </c>
      <c r="N1958" s="1365">
        <f t="shared" si="301"/>
        <v>1.0631999999999997</v>
      </c>
      <c r="O1958" s="1366" t="s">
        <v>341</v>
      </c>
      <c r="P1958" s="1367" t="str">
        <f>IFERROR(VLOOKUP(F1958,#REF!,12,FALSE),"")</f>
        <v/>
      </c>
      <c r="Q1958" s="19" t="s">
        <v>8</v>
      </c>
      <c r="R1958" s="20" t="str">
        <f>IFERROR(VLOOKUP(F1958,#REF!,14,FALSE),"")</f>
        <v/>
      </c>
      <c r="S1958" s="1191">
        <f t="shared" si="302"/>
        <v>1.6242424242424243</v>
      </c>
      <c r="U1958" s="1728"/>
      <c r="V1958" s="683">
        <f t="shared" si="303"/>
        <v>0</v>
      </c>
      <c r="W1958" s="1768"/>
      <c r="X1958" s="683"/>
    </row>
    <row r="1959" spans="1:24" ht="16" thickBot="1" x14ac:dyDescent="0.25">
      <c r="A1959" s="1962">
        <f>WEEKNUM(C1959,1)</f>
        <v>18</v>
      </c>
      <c r="B1959" s="1963"/>
      <c r="C1959" s="1368">
        <v>45047</v>
      </c>
      <c r="D1959" s="1369"/>
      <c r="E1959" s="1370"/>
      <c r="F1959" s="1536"/>
      <c r="G1959" s="1371"/>
      <c r="H1959" s="1372" t="str">
        <f>IFERROR(VLOOKUP(F1959,#REF!,10,FALSE),"")</f>
        <v/>
      </c>
      <c r="I1959" s="1373" t="str">
        <f t="shared" si="300"/>
        <v/>
      </c>
      <c r="J1959" s="1374"/>
      <c r="K1959" s="1741"/>
      <c r="L1959" s="1577"/>
      <c r="M1959" s="1374"/>
      <c r="N1959" s="1375" t="str">
        <f t="shared" si="301"/>
        <v/>
      </c>
      <c r="O1959" s="1376"/>
      <c r="P1959" s="795" t="str">
        <f>IFERROR(VLOOKUP(F1959,#REF!,12,FALSE),"")</f>
        <v/>
      </c>
      <c r="Q1959" s="32" t="s">
        <v>8</v>
      </c>
      <c r="R1959" s="1255" t="str">
        <f>IFERROR(VLOOKUP(F1959,#REF!,14,FALSE),"")</f>
        <v/>
      </c>
      <c r="S1959" s="1377" t="str">
        <f t="shared" si="302"/>
        <v/>
      </c>
      <c r="U1959" s="1728"/>
      <c r="V1959" s="1369">
        <f t="shared" si="303"/>
        <v>0</v>
      </c>
      <c r="W1959" s="1766"/>
      <c r="X1959" s="1369"/>
    </row>
    <row r="1960" spans="1:24" x14ac:dyDescent="0.2">
      <c r="A1960" s="1648" t="s">
        <v>142</v>
      </c>
      <c r="B1960" s="1675">
        <f>SUM(H1959:H1965)</f>
        <v>15.870000000000001</v>
      </c>
      <c r="C1960" s="1378">
        <v>45048</v>
      </c>
      <c r="D1960" s="1379"/>
      <c r="E1960" s="1380"/>
      <c r="F1960" s="1534"/>
      <c r="G1960" s="1381"/>
      <c r="H1960" s="1382" t="str">
        <f>IFERROR(VLOOKUP(F1960,#REF!,10,FALSE),"")</f>
        <v/>
      </c>
      <c r="I1960" s="1383" t="str">
        <f t="shared" si="300"/>
        <v/>
      </c>
      <c r="J1960" s="1384"/>
      <c r="K1960" s="1741"/>
      <c r="L1960" s="1578"/>
      <c r="M1960" s="1602"/>
      <c r="N1960" s="1385" t="str">
        <f t="shared" si="301"/>
        <v/>
      </c>
      <c r="O1960" s="1386"/>
      <c r="P1960" s="1387" t="str">
        <f>IFERROR(VLOOKUP(F1960,#REF!,12,FALSE),"")</f>
        <v/>
      </c>
      <c r="Q1960" s="1388" t="s">
        <v>8</v>
      </c>
      <c r="R1960" s="1389" t="str">
        <f>IFERROR(VLOOKUP(F1960,#REF!,14,FALSE),"")</f>
        <v/>
      </c>
      <c r="S1960" s="1390" t="str">
        <f t="shared" si="302"/>
        <v/>
      </c>
      <c r="U1960" s="1728"/>
      <c r="V1960" s="1379">
        <f t="shared" si="303"/>
        <v>0</v>
      </c>
      <c r="W1960" s="1767"/>
      <c r="X1960" s="1379"/>
    </row>
    <row r="1961" spans="1:24" x14ac:dyDescent="0.2">
      <c r="A1961" s="1649" t="s">
        <v>144</v>
      </c>
      <c r="B1961" s="1676" t="e">
        <f>SUM(#REF!)</f>
        <v>#REF!</v>
      </c>
      <c r="C1961" s="1378">
        <v>45049</v>
      </c>
      <c r="D1961" s="1379">
        <v>61</v>
      </c>
      <c r="E1961" s="1380" t="s">
        <v>293</v>
      </c>
      <c r="F1961" s="1534" t="s">
        <v>323</v>
      </c>
      <c r="G1961" s="1381">
        <v>1.923611111111111E-2</v>
      </c>
      <c r="H1961" s="1382">
        <v>4.6900000000000004</v>
      </c>
      <c r="I1961" s="1383">
        <f t="shared" si="300"/>
        <v>4.1015162283818997E-3</v>
      </c>
      <c r="J1961" s="1384">
        <v>124</v>
      </c>
      <c r="K1961" s="1741">
        <v>20</v>
      </c>
      <c r="L1961" s="1578">
        <v>200</v>
      </c>
      <c r="M1961" s="1602">
        <v>10</v>
      </c>
      <c r="N1961" s="1385">
        <f t="shared" si="301"/>
        <v>1.0578238869617795</v>
      </c>
      <c r="O1961" s="1386" t="s">
        <v>333</v>
      </c>
      <c r="P1961" s="1387" t="str">
        <f>IFERROR(VLOOKUP(F1961,#REF!,12,FALSE),"")</f>
        <v/>
      </c>
      <c r="Q1961" s="1388" t="s">
        <v>8</v>
      </c>
      <c r="R1961" s="1389" t="str">
        <f>IFERROR(VLOOKUP(F1961,#REF!,14,FALSE),"")</f>
        <v/>
      </c>
      <c r="S1961" s="1390">
        <f t="shared" si="302"/>
        <v>1.6129032258064515</v>
      </c>
      <c r="U1961" s="1728"/>
      <c r="V1961" s="1379">
        <f t="shared" si="303"/>
        <v>0</v>
      </c>
      <c r="W1961" s="1767"/>
      <c r="X1961" s="1379"/>
    </row>
    <row r="1962" spans="1:24" x14ac:dyDescent="0.2">
      <c r="A1962" s="1649" t="s">
        <v>256</v>
      </c>
      <c r="B1962" s="1677" t="e">
        <f>AVERAGE(#REF!)</f>
        <v>#REF!</v>
      </c>
      <c r="C1962" s="1378">
        <v>45050</v>
      </c>
      <c r="D1962" s="1379">
        <v>62</v>
      </c>
      <c r="E1962" s="1380" t="s">
        <v>293</v>
      </c>
      <c r="F1962" s="1534" t="s">
        <v>323</v>
      </c>
      <c r="G1962" s="1381">
        <v>2.1828703703703701E-2</v>
      </c>
      <c r="H1962" s="1382">
        <f>1.59+3.86</f>
        <v>5.45</v>
      </c>
      <c r="I1962" s="1383">
        <f t="shared" si="300"/>
        <v>4.0052667346245317E-3</v>
      </c>
      <c r="J1962" s="1384">
        <v>124</v>
      </c>
      <c r="K1962" s="1741">
        <v>26</v>
      </c>
      <c r="L1962" s="1578">
        <v>208</v>
      </c>
      <c r="M1962" s="1602">
        <v>10</v>
      </c>
      <c r="N1962" s="1385">
        <f t="shared" si="301"/>
        <v>1.0743201424072297</v>
      </c>
      <c r="O1962" s="1386" t="s">
        <v>329</v>
      </c>
      <c r="P1962" s="1387" t="str">
        <f>IFERROR(VLOOKUP(F1962,#REF!,12,FALSE),"")</f>
        <v/>
      </c>
      <c r="Q1962" s="1388" t="s">
        <v>8</v>
      </c>
      <c r="R1962" s="1389" t="str">
        <f>IFERROR(VLOOKUP(F1962,#REF!,14,FALSE),"")</f>
        <v/>
      </c>
      <c r="S1962" s="1390">
        <f t="shared" si="302"/>
        <v>1.6774193548387097</v>
      </c>
      <c r="U1962" s="1728"/>
      <c r="V1962" s="1379">
        <f t="shared" si="303"/>
        <v>0</v>
      </c>
      <c r="W1962" s="1767"/>
      <c r="X1962" s="1379"/>
    </row>
    <row r="1963" spans="1:24" x14ac:dyDescent="0.2">
      <c r="A1963" s="1649" t="s">
        <v>336</v>
      </c>
      <c r="B1963" s="1712">
        <f>IFERROR(AVERAGE(N1959:N1965),"")</f>
        <v>1.0641447338482599</v>
      </c>
      <c r="C1963" s="1378">
        <v>45051</v>
      </c>
      <c r="D1963" s="1379">
        <v>63</v>
      </c>
      <c r="E1963" s="1380" t="s">
        <v>293</v>
      </c>
      <c r="F1963" s="1550" t="s">
        <v>323</v>
      </c>
      <c r="G1963" s="1381">
        <v>2.2870370370370371E-2</v>
      </c>
      <c r="H1963" s="1382">
        <v>5.73</v>
      </c>
      <c r="I1963" s="1383">
        <f t="shared" si="300"/>
        <v>3.9913386335724901E-3</v>
      </c>
      <c r="J1963" s="1384">
        <v>127</v>
      </c>
      <c r="K1963" s="1741">
        <v>28</v>
      </c>
      <c r="L1963" s="1578">
        <v>206</v>
      </c>
      <c r="M1963" s="1602">
        <v>19</v>
      </c>
      <c r="N1963" s="1385">
        <f t="shared" si="301"/>
        <v>1.0602901721757703</v>
      </c>
      <c r="O1963" s="1386" t="s">
        <v>328</v>
      </c>
      <c r="P1963" s="1387" t="str">
        <f>IFERROR(VLOOKUP(F1963,#REF!,12,FALSE),"")</f>
        <v/>
      </c>
      <c r="Q1963" s="1388" t="s">
        <v>8</v>
      </c>
      <c r="R1963" s="1389" t="str">
        <f>IFERROR(VLOOKUP(F1963,#REF!,14,FALSE),"")</f>
        <v/>
      </c>
      <c r="S1963" s="1390">
        <f t="shared" si="302"/>
        <v>1.6220472440944882</v>
      </c>
      <c r="U1963" s="1728"/>
      <c r="V1963" s="1379">
        <f t="shared" si="303"/>
        <v>0</v>
      </c>
      <c r="W1963" s="1767"/>
      <c r="X1963" s="1379"/>
    </row>
    <row r="1964" spans="1:24" x14ac:dyDescent="0.2">
      <c r="A1964" s="1649" t="s">
        <v>337</v>
      </c>
      <c r="B1964" s="1677">
        <f>IFERROR(AVERAGE(S1959:S1965),"")</f>
        <v>1.6374566082465496</v>
      </c>
      <c r="C1964" s="1625">
        <v>45052</v>
      </c>
      <c r="D1964" s="1626"/>
      <c r="E1964" s="1627"/>
      <c r="F1964" s="1628"/>
      <c r="G1964" s="1629"/>
      <c r="H1964" s="1630" t="str">
        <f>IFERROR(VLOOKUP(F1964,#REF!,10,FALSE),"")</f>
        <v/>
      </c>
      <c r="I1964" s="1631" t="str">
        <f t="shared" si="300"/>
        <v/>
      </c>
      <c r="J1964" s="1632"/>
      <c r="K1964" s="1741"/>
      <c r="L1964" s="1578"/>
      <c r="M1964" s="1632"/>
      <c r="N1964" s="1633" t="str">
        <f t="shared" si="301"/>
        <v/>
      </c>
      <c r="O1964" s="1634"/>
      <c r="P1964" s="1635" t="str">
        <f>IFERROR(VLOOKUP(F1964,#REF!,12,FALSE),"")</f>
        <v/>
      </c>
      <c r="Q1964" s="1636" t="s">
        <v>8</v>
      </c>
      <c r="R1964" s="1637" t="str">
        <f>IFERROR(VLOOKUP(F1964,#REF!,14,FALSE),"")</f>
        <v/>
      </c>
      <c r="S1964" s="1605" t="str">
        <f t="shared" si="302"/>
        <v/>
      </c>
      <c r="U1964" s="1728"/>
      <c r="V1964" s="1626">
        <f t="shared" si="303"/>
        <v>0</v>
      </c>
      <c r="W1964" s="1767"/>
      <c r="X1964" s="1626"/>
    </row>
    <row r="1965" spans="1:24" ht="16" thickBot="1" x14ac:dyDescent="0.25">
      <c r="A1965" s="1650" t="s">
        <v>5</v>
      </c>
      <c r="B1965" s="1678">
        <f>IFERROR(SUM(M1959:M1965),"")</f>
        <v>39</v>
      </c>
      <c r="C1965" s="1360">
        <v>45053</v>
      </c>
      <c r="D1965" s="683"/>
      <c r="E1965" s="684"/>
      <c r="F1965" s="1538"/>
      <c r="G1965" s="1361"/>
      <c r="H1965" s="1362" t="str">
        <f>IFERROR(VLOOKUP(F1965,#REF!,10,FALSE),"")</f>
        <v/>
      </c>
      <c r="I1965" s="1363" t="str">
        <f t="shared" si="300"/>
        <v/>
      </c>
      <c r="J1965" s="1364"/>
      <c r="K1965" s="1741"/>
      <c r="L1965" s="1583"/>
      <c r="M1965" s="1364"/>
      <c r="N1965" s="1365" t="str">
        <f t="shared" si="301"/>
        <v/>
      </c>
      <c r="O1965" s="1366"/>
      <c r="P1965" s="1367" t="str">
        <f>IFERROR(VLOOKUP(F1965,#REF!,12,FALSE),"")</f>
        <v/>
      </c>
      <c r="Q1965" s="19" t="s">
        <v>8</v>
      </c>
      <c r="R1965" s="20" t="str">
        <f>IFERROR(VLOOKUP(F1965,#REF!,14,FALSE),"")</f>
        <v/>
      </c>
      <c r="S1965" s="1191" t="str">
        <f t="shared" si="302"/>
        <v/>
      </c>
      <c r="U1965" s="1728"/>
      <c r="V1965" s="683">
        <f t="shared" si="303"/>
        <v>0</v>
      </c>
      <c r="W1965" s="1768"/>
      <c r="X1965" s="683"/>
    </row>
    <row r="1966" spans="1:24" ht="16" thickBot="1" x14ac:dyDescent="0.25">
      <c r="A1966" s="1962">
        <f>WEEKNUM(C1966,1)</f>
        <v>19</v>
      </c>
      <c r="B1966" s="1963"/>
      <c r="C1966" s="1368">
        <v>45054</v>
      </c>
      <c r="D1966" s="1369">
        <v>64</v>
      </c>
      <c r="E1966" s="1370" t="s">
        <v>293</v>
      </c>
      <c r="F1966" s="1536" t="s">
        <v>267</v>
      </c>
      <c r="G1966" s="1371">
        <v>2.3483796296296298E-2</v>
      </c>
      <c r="H1966" s="1372">
        <v>5.68</v>
      </c>
      <c r="I1966" s="1373">
        <f t="shared" si="300"/>
        <v>4.1344711789254047E-3</v>
      </c>
      <c r="J1966" s="1374">
        <v>123</v>
      </c>
      <c r="K1966" s="1741">
        <v>25</v>
      </c>
      <c r="L1966" s="1577">
        <v>201</v>
      </c>
      <c r="M1966" s="1374">
        <v>23</v>
      </c>
      <c r="N1966" s="1375">
        <f t="shared" si="301"/>
        <v>1.0716549295774649</v>
      </c>
      <c r="O1966" s="1376" t="s">
        <v>329</v>
      </c>
      <c r="P1966" s="795" t="str">
        <f>IFERROR(VLOOKUP(F1966,#REF!,12,FALSE),"")</f>
        <v/>
      </c>
      <c r="Q1966" s="32" t="s">
        <v>8</v>
      </c>
      <c r="R1966" s="1255" t="str">
        <f>IFERROR(VLOOKUP(F1966,#REF!,14,FALSE),"")</f>
        <v/>
      </c>
      <c r="S1966" s="1377">
        <f t="shared" si="302"/>
        <v>1.6341463414634145</v>
      </c>
      <c r="U1966" s="1728"/>
      <c r="V1966" s="1369">
        <f t="shared" si="303"/>
        <v>0</v>
      </c>
      <c r="W1966" s="1766"/>
      <c r="X1966" s="1369"/>
    </row>
    <row r="1967" spans="1:24" x14ac:dyDescent="0.2">
      <c r="A1967" s="1648" t="s">
        <v>142</v>
      </c>
      <c r="B1967" s="1675">
        <f>SUM(H1966:H1972)</f>
        <v>19.330000000000002</v>
      </c>
      <c r="C1967" s="1378">
        <v>45055</v>
      </c>
      <c r="D1967" s="1379">
        <v>65</v>
      </c>
      <c r="E1967" s="1380" t="s">
        <v>293</v>
      </c>
      <c r="F1967" s="1534" t="s">
        <v>267</v>
      </c>
      <c r="G1967" s="1381">
        <v>2.7118055555555552E-2</v>
      </c>
      <c r="H1967" s="1382">
        <v>6.71</v>
      </c>
      <c r="I1967" s="1383">
        <f t="shared" si="300"/>
        <v>4.0414389799635691E-3</v>
      </c>
      <c r="J1967" s="1384">
        <v>128</v>
      </c>
      <c r="K1967" s="1741">
        <v>29</v>
      </c>
      <c r="L1967" s="1578">
        <v>202</v>
      </c>
      <c r="M1967" s="1602">
        <v>16</v>
      </c>
      <c r="N1967" s="1385">
        <f t="shared" si="301"/>
        <v>1.0527526302911667</v>
      </c>
      <c r="O1967" s="1386" t="s">
        <v>333</v>
      </c>
      <c r="P1967" s="1387" t="str">
        <f>IFERROR(VLOOKUP(F1967,#REF!,12,FALSE),"")</f>
        <v/>
      </c>
      <c r="Q1967" s="1388" t="s">
        <v>8</v>
      </c>
      <c r="R1967" s="1389" t="str">
        <f>IFERROR(VLOOKUP(F1967,#REF!,14,FALSE),"")</f>
        <v/>
      </c>
      <c r="S1967" s="1390">
        <f t="shared" si="302"/>
        <v>1.578125</v>
      </c>
      <c r="U1967" s="1728"/>
      <c r="V1967" s="1379">
        <f t="shared" si="303"/>
        <v>0</v>
      </c>
      <c r="W1967" s="1767"/>
      <c r="X1967" s="1379"/>
    </row>
    <row r="1968" spans="1:24" x14ac:dyDescent="0.2">
      <c r="A1968" s="1649" t="s">
        <v>144</v>
      </c>
      <c r="B1968" s="1676" t="e">
        <f>SUM(#REF!)</f>
        <v>#REF!</v>
      </c>
      <c r="C1968" s="1378">
        <v>45056</v>
      </c>
      <c r="D1968" s="1379"/>
      <c r="E1968" s="1380"/>
      <c r="F1968" s="1534"/>
      <c r="G1968" s="1381"/>
      <c r="H1968" s="1382" t="str">
        <f>IFERROR(VLOOKUP(F1968,#REF!,10,FALSE),"")</f>
        <v/>
      </c>
      <c r="I1968" s="1383" t="str">
        <f t="shared" ref="I1968:I2031" si="304">IFERROR(G1968/H1968,"")</f>
        <v/>
      </c>
      <c r="J1968" s="1384"/>
      <c r="K1968" s="1741"/>
      <c r="L1968" s="1578"/>
      <c r="M1968" s="1602"/>
      <c r="N1968" s="1385" t="str">
        <f t="shared" si="301"/>
        <v/>
      </c>
      <c r="O1968" s="1386"/>
      <c r="P1968" s="1387" t="str">
        <f>IFERROR(VLOOKUP(F1968,#REF!,12,FALSE),"")</f>
        <v/>
      </c>
      <c r="Q1968" s="1388" t="s">
        <v>8</v>
      </c>
      <c r="R1968" s="1389" t="str">
        <f>IFERROR(VLOOKUP(F1968,#REF!,14,FALSE),"")</f>
        <v/>
      </c>
      <c r="S1968" s="1390" t="str">
        <f t="shared" si="302"/>
        <v/>
      </c>
      <c r="U1968" s="1728"/>
      <c r="V1968" s="1379">
        <f t="shared" si="303"/>
        <v>0</v>
      </c>
      <c r="W1968" s="1767"/>
      <c r="X1968" s="1379"/>
    </row>
    <row r="1969" spans="1:24" x14ac:dyDescent="0.2">
      <c r="A1969" s="1649" t="s">
        <v>256</v>
      </c>
      <c r="B1969" s="1677" t="e">
        <f>AVERAGE(#REF!)</f>
        <v>#REF!</v>
      </c>
      <c r="C1969" s="1378">
        <v>45057</v>
      </c>
      <c r="D1969" s="1379">
        <v>66</v>
      </c>
      <c r="E1969" s="1380" t="s">
        <v>292</v>
      </c>
      <c r="F1969" s="1534" t="s">
        <v>267</v>
      </c>
      <c r="G1969" s="1381">
        <v>2.7719907407407405E-2</v>
      </c>
      <c r="H1969" s="1382">
        <v>6.94</v>
      </c>
      <c r="I1969" s="1383">
        <f t="shared" si="304"/>
        <v>3.994222969367061E-3</v>
      </c>
      <c r="J1969" s="1384">
        <v>134</v>
      </c>
      <c r="K1969" s="1741">
        <v>32</v>
      </c>
      <c r="L1969" s="1578">
        <v>205</v>
      </c>
      <c r="M1969" s="1602">
        <v>16</v>
      </c>
      <c r="N1969" s="1385">
        <f t="shared" si="301"/>
        <v>1.0559056303496923</v>
      </c>
      <c r="O1969" s="1386" t="s">
        <v>333</v>
      </c>
      <c r="P1969" s="1387" t="str">
        <f>IFERROR(VLOOKUP(F1969,#REF!,12,FALSE),"")</f>
        <v/>
      </c>
      <c r="Q1969" s="1388" t="s">
        <v>8</v>
      </c>
      <c r="R1969" s="1389" t="str">
        <f>IFERROR(VLOOKUP(F1969,#REF!,14,FALSE),"")</f>
        <v/>
      </c>
      <c r="S1969" s="1390">
        <f t="shared" si="302"/>
        <v>1.5298507462686568</v>
      </c>
      <c r="U1969" s="1728"/>
      <c r="V1969" s="1379">
        <f t="shared" si="303"/>
        <v>0</v>
      </c>
      <c r="W1969" s="1767"/>
      <c r="X1969" s="1379"/>
    </row>
    <row r="1970" spans="1:24" x14ac:dyDescent="0.2">
      <c r="A1970" s="1649" t="s">
        <v>336</v>
      </c>
      <c r="B1970" s="1712">
        <f>IFERROR(AVERAGE(N1966:N1972),"")</f>
        <v>1.0601043967394412</v>
      </c>
      <c r="C1970" s="1378">
        <v>45058</v>
      </c>
      <c r="D1970" s="1379"/>
      <c r="E1970" s="1380"/>
      <c r="F1970" s="1550"/>
      <c r="G1970" s="1381"/>
      <c r="H1970" s="1382" t="str">
        <f>IFERROR(VLOOKUP(F1970,#REF!,10,FALSE),"")</f>
        <v/>
      </c>
      <c r="I1970" s="1383" t="str">
        <f t="shared" si="304"/>
        <v/>
      </c>
      <c r="J1970" s="1384"/>
      <c r="K1970" s="1741"/>
      <c r="L1970" s="1578"/>
      <c r="M1970" s="1602"/>
      <c r="N1970" s="1385" t="str">
        <f t="shared" si="301"/>
        <v/>
      </c>
      <c r="O1970" s="1386"/>
      <c r="P1970" s="1387" t="str">
        <f>IFERROR(VLOOKUP(F1970,#REF!,12,FALSE),"")</f>
        <v/>
      </c>
      <c r="Q1970" s="1388" t="s">
        <v>8</v>
      </c>
      <c r="R1970" s="1389" t="str">
        <f>IFERROR(VLOOKUP(F1970,#REF!,14,FALSE),"")</f>
        <v/>
      </c>
      <c r="S1970" s="1390" t="str">
        <f t="shared" si="302"/>
        <v/>
      </c>
      <c r="U1970" s="1728"/>
      <c r="V1970" s="1379">
        <f t="shared" si="303"/>
        <v>0</v>
      </c>
      <c r="W1970" s="1767"/>
      <c r="X1970" s="1379"/>
    </row>
    <row r="1971" spans="1:24" x14ac:dyDescent="0.2">
      <c r="A1971" s="1649" t="s">
        <v>337</v>
      </c>
      <c r="B1971" s="1677">
        <f>IFERROR(AVERAGE(S1966:S1972),"")</f>
        <v>1.5807073625773569</v>
      </c>
      <c r="C1971" s="1625">
        <v>45059</v>
      </c>
      <c r="D1971" s="1626"/>
      <c r="E1971" s="1627"/>
      <c r="F1971" s="1628"/>
      <c r="G1971" s="1629"/>
      <c r="H1971" s="1630" t="str">
        <f>IFERROR(VLOOKUP(F1971,#REF!,10,FALSE),"")</f>
        <v/>
      </c>
      <c r="I1971" s="1631" t="str">
        <f t="shared" si="304"/>
        <v/>
      </c>
      <c r="J1971" s="1632"/>
      <c r="K1971" s="1741"/>
      <c r="L1971" s="1578"/>
      <c r="M1971" s="1632"/>
      <c r="N1971" s="1633" t="str">
        <f t="shared" si="301"/>
        <v/>
      </c>
      <c r="O1971" s="1634"/>
      <c r="P1971" s="1635" t="str">
        <f>IFERROR(VLOOKUP(F1971,#REF!,12,FALSE),"")</f>
        <v/>
      </c>
      <c r="Q1971" s="1636" t="s">
        <v>8</v>
      </c>
      <c r="R1971" s="1637" t="str">
        <f>IFERROR(VLOOKUP(F1971,#REF!,14,FALSE),"")</f>
        <v/>
      </c>
      <c r="S1971" s="1605" t="str">
        <f t="shared" si="302"/>
        <v/>
      </c>
      <c r="U1971" s="1728"/>
      <c r="V1971" s="1626">
        <f t="shared" si="303"/>
        <v>0</v>
      </c>
      <c r="W1971" s="1767"/>
      <c r="X1971" s="1626"/>
    </row>
    <row r="1972" spans="1:24" ht="16" thickBot="1" x14ac:dyDescent="0.25">
      <c r="A1972" s="1650" t="s">
        <v>5</v>
      </c>
      <c r="B1972" s="1678">
        <f>IFERROR(SUM(M1966:M1972),"")</f>
        <v>55</v>
      </c>
      <c r="C1972" s="1360">
        <v>45060</v>
      </c>
      <c r="D1972" s="683"/>
      <c r="E1972" s="684"/>
      <c r="F1972" s="1538"/>
      <c r="G1972" s="1361"/>
      <c r="H1972" s="1362" t="str">
        <f>IFERROR(VLOOKUP(F1972,#REF!,10,FALSE),"")</f>
        <v/>
      </c>
      <c r="I1972" s="1363" t="str">
        <f t="shared" si="304"/>
        <v/>
      </c>
      <c r="J1972" s="1364"/>
      <c r="K1972" s="1741"/>
      <c r="L1972" s="1583"/>
      <c r="M1972" s="1364"/>
      <c r="N1972" s="1365" t="str">
        <f t="shared" si="301"/>
        <v/>
      </c>
      <c r="O1972" s="1366"/>
      <c r="P1972" s="1367" t="str">
        <f>IFERROR(VLOOKUP(F1972,#REF!,12,FALSE),"")</f>
        <v/>
      </c>
      <c r="Q1972" s="19" t="s">
        <v>8</v>
      </c>
      <c r="R1972" s="20" t="str">
        <f>IFERROR(VLOOKUP(F1972,#REF!,14,FALSE),"")</f>
        <v/>
      </c>
      <c r="S1972" s="1191" t="str">
        <f t="shared" si="302"/>
        <v/>
      </c>
      <c r="U1972" s="1728"/>
      <c r="V1972" s="683">
        <f t="shared" si="303"/>
        <v>0</v>
      </c>
      <c r="W1972" s="1768"/>
      <c r="X1972" s="683"/>
    </row>
    <row r="1973" spans="1:24" ht="16" thickBot="1" x14ac:dyDescent="0.25">
      <c r="A1973" s="1962">
        <f>WEEKNUM(C1973,1)</f>
        <v>20</v>
      </c>
      <c r="B1973" s="1963"/>
      <c r="C1973" s="1368">
        <v>45061</v>
      </c>
      <c r="D1973" s="1369"/>
      <c r="E1973" s="1370"/>
      <c r="F1973" s="1536"/>
      <c r="G1973" s="1371"/>
      <c r="H1973" s="1372" t="str">
        <f>IFERROR(VLOOKUP(F1973,#REF!,10,FALSE),"")</f>
        <v/>
      </c>
      <c r="I1973" s="1373" t="str">
        <f t="shared" si="304"/>
        <v/>
      </c>
      <c r="J1973" s="1374"/>
      <c r="K1973" s="1741"/>
      <c r="L1973" s="1577"/>
      <c r="M1973" s="1374"/>
      <c r="N1973" s="1375" t="str">
        <f t="shared" si="301"/>
        <v/>
      </c>
      <c r="O1973" s="1376"/>
      <c r="P1973" s="795" t="str">
        <f>IFERROR(VLOOKUP(F1973,#REF!,12,FALSE),"")</f>
        <v/>
      </c>
      <c r="Q1973" s="32" t="s">
        <v>8</v>
      </c>
      <c r="R1973" s="1255" t="str">
        <f>IFERROR(VLOOKUP(F1973,#REF!,14,FALSE),"")</f>
        <v/>
      </c>
      <c r="S1973" s="1377" t="str">
        <f t="shared" si="302"/>
        <v/>
      </c>
      <c r="U1973" s="1728"/>
      <c r="V1973" s="1369">
        <f t="shared" si="303"/>
        <v>0</v>
      </c>
      <c r="W1973" s="1766"/>
      <c r="X1973" s="1369"/>
    </row>
    <row r="1974" spans="1:24" x14ac:dyDescent="0.2">
      <c r="A1974" s="1648" t="s">
        <v>142</v>
      </c>
      <c r="B1974" s="1675">
        <f>SUM(H1973:H1979)</f>
        <v>14.59</v>
      </c>
      <c r="C1974" s="1378">
        <v>45062</v>
      </c>
      <c r="D1974" s="1379">
        <v>67</v>
      </c>
      <c r="E1974" s="1380" t="s">
        <v>293</v>
      </c>
      <c r="F1974" s="1534" t="s">
        <v>297</v>
      </c>
      <c r="G1974" s="1381">
        <v>4.2314814814814812E-2</v>
      </c>
      <c r="H1974" s="1382">
        <v>7.69</v>
      </c>
      <c r="I1974" s="1383">
        <f t="shared" si="304"/>
        <v>5.5025766989356059E-3</v>
      </c>
      <c r="J1974" s="1384">
        <v>128</v>
      </c>
      <c r="K1974" s="1741">
        <v>42</v>
      </c>
      <c r="L1974" s="1578">
        <v>182</v>
      </c>
      <c r="M1974" s="1602">
        <v>370</v>
      </c>
      <c r="N1974" s="1385"/>
      <c r="O1974" s="1386" t="s">
        <v>299</v>
      </c>
      <c r="P1974" s="1387" t="str">
        <f>IFERROR(VLOOKUP(F1974,#REF!,12,FALSE),"")</f>
        <v/>
      </c>
      <c r="Q1974" s="1388" t="s">
        <v>8</v>
      </c>
      <c r="R1974" s="1389" t="str">
        <f>IFERROR(VLOOKUP(F1974,#REF!,14,FALSE),"")</f>
        <v/>
      </c>
      <c r="S1974" s="1390"/>
      <c r="U1974" s="1728"/>
      <c r="V1974" s="1379">
        <f t="shared" si="303"/>
        <v>0</v>
      </c>
      <c r="W1974" s="1767"/>
      <c r="X1974" s="1379"/>
    </row>
    <row r="1975" spans="1:24" x14ac:dyDescent="0.2">
      <c r="A1975" s="1649" t="s">
        <v>144</v>
      </c>
      <c r="B1975" s="1676" t="e">
        <f>SUM(#REF!)</f>
        <v>#REF!</v>
      </c>
      <c r="C1975" s="1378">
        <v>45063</v>
      </c>
      <c r="D1975" s="1379"/>
      <c r="E1975" s="1380"/>
      <c r="F1975" s="1534"/>
      <c r="G1975" s="1381"/>
      <c r="H1975" s="1382" t="str">
        <f>IFERROR(VLOOKUP(F1975,#REF!,10,FALSE),"")</f>
        <v/>
      </c>
      <c r="I1975" s="1383" t="str">
        <f t="shared" si="304"/>
        <v/>
      </c>
      <c r="J1975" s="1384"/>
      <c r="K1975" s="1741"/>
      <c r="L1975" s="1578"/>
      <c r="M1975" s="1602"/>
      <c r="N1975" s="1385" t="str">
        <f t="shared" ref="N1975:N1999" si="305">IFERROR((L1975/67)/(1/(I1975*24)/3.6),"")</f>
        <v/>
      </c>
      <c r="O1975" s="1386"/>
      <c r="P1975" s="1387" t="str">
        <f>IFERROR(VLOOKUP(F1975,#REF!,12,FALSE),"")</f>
        <v/>
      </c>
      <c r="Q1975" s="1388" t="s">
        <v>8</v>
      </c>
      <c r="R1975" s="1389" t="str">
        <f>IFERROR(VLOOKUP(F1975,#REF!,14,FALSE),"")</f>
        <v/>
      </c>
      <c r="S1975" s="1390" t="str">
        <f t="shared" ref="S1975:S1999" si="306">IFERROR(L1975/J1975,"")</f>
        <v/>
      </c>
      <c r="U1975" s="1728"/>
      <c r="V1975" s="1379">
        <f t="shared" si="303"/>
        <v>0</v>
      </c>
      <c r="W1975" s="1767"/>
      <c r="X1975" s="1379"/>
    </row>
    <row r="1976" spans="1:24" x14ac:dyDescent="0.2">
      <c r="A1976" s="1649" t="s">
        <v>256</v>
      </c>
      <c r="B1976" s="1677" t="e">
        <f>AVERAGE(#REF!)</f>
        <v>#REF!</v>
      </c>
      <c r="C1976" s="1378">
        <v>45064</v>
      </c>
      <c r="D1976" s="1379"/>
      <c r="E1976" s="1380"/>
      <c r="F1976" s="1534"/>
      <c r="G1976" s="1381"/>
      <c r="H1976" s="1382" t="str">
        <f>IFERROR(VLOOKUP(F1976,#REF!,10,FALSE),"")</f>
        <v/>
      </c>
      <c r="I1976" s="1383" t="str">
        <f t="shared" si="304"/>
        <v/>
      </c>
      <c r="J1976" s="1384"/>
      <c r="K1976" s="1741"/>
      <c r="L1976" s="1578"/>
      <c r="M1976" s="1602"/>
      <c r="N1976" s="1385" t="str">
        <f t="shared" si="305"/>
        <v/>
      </c>
      <c r="O1976" s="1386"/>
      <c r="P1976" s="1387" t="str">
        <f>IFERROR(VLOOKUP(F1976,#REF!,12,FALSE),"")</f>
        <v/>
      </c>
      <c r="Q1976" s="1388" t="s">
        <v>8</v>
      </c>
      <c r="R1976" s="1389" t="str">
        <f>IFERROR(VLOOKUP(F1976,#REF!,14,FALSE),"")</f>
        <v/>
      </c>
      <c r="S1976" s="1390" t="str">
        <f t="shared" si="306"/>
        <v/>
      </c>
      <c r="U1976" s="1728"/>
      <c r="V1976" s="1379">
        <f t="shared" si="303"/>
        <v>0</v>
      </c>
      <c r="W1976" s="1767"/>
      <c r="X1976" s="1379"/>
    </row>
    <row r="1977" spans="1:24" x14ac:dyDescent="0.2">
      <c r="A1977" s="1649" t="s">
        <v>336</v>
      </c>
      <c r="B1977" s="1712">
        <f>IFERROR(AVERAGE(N1973:N1979),"")</f>
        <v>1.0609777200951762</v>
      </c>
      <c r="C1977" s="1378">
        <v>45065</v>
      </c>
      <c r="D1977" s="1379"/>
      <c r="E1977" s="1380"/>
      <c r="F1977" s="1550"/>
      <c r="G1977" s="1381"/>
      <c r="H1977" s="1382" t="str">
        <f>IFERROR(VLOOKUP(F1977,#REF!,10,FALSE),"")</f>
        <v/>
      </c>
      <c r="I1977" s="1383" t="str">
        <f t="shared" si="304"/>
        <v/>
      </c>
      <c r="J1977" s="1384"/>
      <c r="K1977" s="1741"/>
      <c r="L1977" s="1578"/>
      <c r="M1977" s="1602"/>
      <c r="N1977" s="1385" t="str">
        <f t="shared" si="305"/>
        <v/>
      </c>
      <c r="O1977" s="1386"/>
      <c r="P1977" s="1387" t="str">
        <f>IFERROR(VLOOKUP(F1977,#REF!,12,FALSE),"")</f>
        <v/>
      </c>
      <c r="Q1977" s="1388" t="s">
        <v>8</v>
      </c>
      <c r="R1977" s="1389" t="str">
        <f>IFERROR(VLOOKUP(F1977,#REF!,14,FALSE),"")</f>
        <v/>
      </c>
      <c r="S1977" s="1390" t="str">
        <f t="shared" si="306"/>
        <v/>
      </c>
      <c r="U1977" s="1728"/>
      <c r="V1977" s="1379">
        <f t="shared" si="303"/>
        <v>0</v>
      </c>
      <c r="W1977" s="1767"/>
      <c r="X1977" s="1379"/>
    </row>
    <row r="1978" spans="1:24" x14ac:dyDescent="0.2">
      <c r="A1978" s="1649" t="s">
        <v>337</v>
      </c>
      <c r="B1978" s="1677">
        <f>IFERROR(AVERAGE(S1973:S1979),"")</f>
        <v>1.4330708661417322</v>
      </c>
      <c r="C1978" s="1625">
        <v>45066</v>
      </c>
      <c r="D1978" s="1626"/>
      <c r="E1978" s="1627"/>
      <c r="F1978" s="1628"/>
      <c r="G1978" s="1629"/>
      <c r="H1978" s="1630" t="str">
        <f>IFERROR(VLOOKUP(F1978,#REF!,10,FALSE),"")</f>
        <v/>
      </c>
      <c r="I1978" s="1631" t="str">
        <f t="shared" si="304"/>
        <v/>
      </c>
      <c r="J1978" s="1632"/>
      <c r="K1978" s="1741"/>
      <c r="L1978" s="1578"/>
      <c r="M1978" s="1632"/>
      <c r="N1978" s="1633" t="str">
        <f t="shared" si="305"/>
        <v/>
      </c>
      <c r="O1978" s="1634"/>
      <c r="P1978" s="1635" t="str">
        <f>IFERROR(VLOOKUP(F1978,#REF!,12,FALSE),"")</f>
        <v/>
      </c>
      <c r="Q1978" s="1636" t="s">
        <v>8</v>
      </c>
      <c r="R1978" s="1637" t="str">
        <f>IFERROR(VLOOKUP(F1978,#REF!,14,FALSE),"")</f>
        <v/>
      </c>
      <c r="S1978" s="1605" t="str">
        <f t="shared" si="306"/>
        <v/>
      </c>
      <c r="U1978" s="1728"/>
      <c r="V1978" s="1626">
        <f t="shared" ref="V1978:V2041" si="307">U1977-T1977</f>
        <v>0</v>
      </c>
      <c r="W1978" s="1767"/>
      <c r="X1978" s="1626"/>
    </row>
    <row r="1979" spans="1:24" ht="16" thickBot="1" x14ac:dyDescent="0.25">
      <c r="A1979" s="1650" t="s">
        <v>5</v>
      </c>
      <c r="B1979" s="1678">
        <f>IFERROR(SUM(M1973:M1979),"")</f>
        <v>398</v>
      </c>
      <c r="C1979" s="1360">
        <v>45067</v>
      </c>
      <c r="D1979" s="683">
        <v>68</v>
      </c>
      <c r="E1979" s="684" t="s">
        <v>292</v>
      </c>
      <c r="F1979" s="1538" t="s">
        <v>322</v>
      </c>
      <c r="G1979" s="1361">
        <v>3.1192129629629629E-2</v>
      </c>
      <c r="H1979" s="1362">
        <v>6.9</v>
      </c>
      <c r="I1979" s="1363">
        <f t="shared" si="304"/>
        <v>4.5205984970477717E-3</v>
      </c>
      <c r="J1979" s="1364">
        <v>127</v>
      </c>
      <c r="K1979" s="1741">
        <v>25</v>
      </c>
      <c r="L1979" s="1583">
        <v>182</v>
      </c>
      <c r="M1979" s="1364">
        <v>28</v>
      </c>
      <c r="N1979" s="1365">
        <f t="shared" si="305"/>
        <v>1.0609777200951762</v>
      </c>
      <c r="O1979" s="1366" t="s">
        <v>333</v>
      </c>
      <c r="P1979" s="1367" t="str">
        <f>IFERROR(VLOOKUP(F1979,#REF!,12,FALSE),"")</f>
        <v/>
      </c>
      <c r="Q1979" s="19" t="s">
        <v>8</v>
      </c>
      <c r="R1979" s="20" t="str">
        <f>IFERROR(VLOOKUP(F1979,#REF!,14,FALSE),"")</f>
        <v/>
      </c>
      <c r="S1979" s="1191">
        <f t="shared" si="306"/>
        <v>1.4330708661417322</v>
      </c>
      <c r="U1979" s="1728"/>
      <c r="V1979" s="683">
        <f t="shared" si="307"/>
        <v>0</v>
      </c>
      <c r="W1979" s="1768"/>
      <c r="X1979" s="683"/>
    </row>
    <row r="1980" spans="1:24" ht="16" thickBot="1" x14ac:dyDescent="0.25">
      <c r="A1980" s="1962">
        <f>WEEKNUM(C1980,1)</f>
        <v>21</v>
      </c>
      <c r="B1980" s="1963"/>
      <c r="C1980" s="1368">
        <v>45068</v>
      </c>
      <c r="D1980" s="1369">
        <v>69</v>
      </c>
      <c r="E1980" s="1370" t="s">
        <v>293</v>
      </c>
      <c r="F1980" s="1536" t="s">
        <v>267</v>
      </c>
      <c r="G1980" s="1371">
        <v>2.5127314814814811E-2</v>
      </c>
      <c r="H1980" s="1372">
        <v>6.1</v>
      </c>
      <c r="I1980" s="1373">
        <f t="shared" si="304"/>
        <v>4.1192319368548872E-3</v>
      </c>
      <c r="J1980" s="1374">
        <v>122</v>
      </c>
      <c r="K1980" s="1741">
        <v>27</v>
      </c>
      <c r="L1980" s="1577">
        <v>200</v>
      </c>
      <c r="M1980" s="1374">
        <v>10</v>
      </c>
      <c r="N1980" s="1375">
        <f t="shared" si="305"/>
        <v>1.0623929532664547</v>
      </c>
      <c r="O1980" s="1376" t="s">
        <v>329</v>
      </c>
      <c r="P1980" s="795" t="str">
        <f>IFERROR(VLOOKUP(F1980,#REF!,12,FALSE),"")</f>
        <v/>
      </c>
      <c r="Q1980" s="32" t="s">
        <v>8</v>
      </c>
      <c r="R1980" s="1255" t="str">
        <f>IFERROR(VLOOKUP(F1980,#REF!,14,FALSE),"")</f>
        <v/>
      </c>
      <c r="S1980" s="1377">
        <f t="shared" si="306"/>
        <v>1.639344262295082</v>
      </c>
      <c r="U1980" s="1728"/>
      <c r="V1980" s="1369">
        <f t="shared" si="307"/>
        <v>0</v>
      </c>
      <c r="W1980" s="1766"/>
      <c r="X1980" s="1369"/>
    </row>
    <row r="1981" spans="1:24" x14ac:dyDescent="0.2">
      <c r="A1981" s="1648" t="s">
        <v>142</v>
      </c>
      <c r="B1981" s="1675">
        <f>SUM(H1980:H1986)</f>
        <v>25.810000000000002</v>
      </c>
      <c r="C1981" s="1378">
        <v>45069</v>
      </c>
      <c r="D1981" s="1379"/>
      <c r="E1981" s="1380"/>
      <c r="F1981" s="1534"/>
      <c r="G1981" s="1381"/>
      <c r="H1981" s="1382" t="str">
        <f>IFERROR(VLOOKUP(F1981,#REF!,10,FALSE),"")</f>
        <v/>
      </c>
      <c r="I1981" s="1383" t="str">
        <f t="shared" si="304"/>
        <v/>
      </c>
      <c r="J1981" s="1384"/>
      <c r="K1981" s="1741"/>
      <c r="L1981" s="1578"/>
      <c r="M1981" s="1602"/>
      <c r="N1981" s="1385" t="str">
        <f t="shared" si="305"/>
        <v/>
      </c>
      <c r="O1981" s="1386"/>
      <c r="P1981" s="1387" t="str">
        <f>IFERROR(VLOOKUP(F1981,#REF!,12,FALSE),"")</f>
        <v/>
      </c>
      <c r="Q1981" s="1388" t="s">
        <v>8</v>
      </c>
      <c r="R1981" s="1389" t="str">
        <f>IFERROR(VLOOKUP(F1981,#REF!,14,FALSE),"")</f>
        <v/>
      </c>
      <c r="S1981" s="1390" t="str">
        <f t="shared" si="306"/>
        <v/>
      </c>
      <c r="U1981" s="1728"/>
      <c r="V1981" s="1379">
        <f t="shared" si="307"/>
        <v>0</v>
      </c>
      <c r="W1981" s="1767"/>
      <c r="X1981" s="1379"/>
    </row>
    <row r="1982" spans="1:24" x14ac:dyDescent="0.2">
      <c r="A1982" s="1649" t="s">
        <v>144</v>
      </c>
      <c r="B1982" s="1676" t="e">
        <f>SUM(#REF!)</f>
        <v>#REF!</v>
      </c>
      <c r="C1982" s="1378">
        <v>45070</v>
      </c>
      <c r="D1982" s="1379">
        <v>70</v>
      </c>
      <c r="E1982" s="1380" t="s">
        <v>293</v>
      </c>
      <c r="F1982" s="1534" t="s">
        <v>267</v>
      </c>
      <c r="G1982" s="1381">
        <v>2.4710648148148148E-2</v>
      </c>
      <c r="H1982" s="1382">
        <v>6.01</v>
      </c>
      <c r="I1982" s="1383">
        <f t="shared" si="304"/>
        <v>4.1115887101744013E-3</v>
      </c>
      <c r="J1982" s="1384">
        <v>127</v>
      </c>
      <c r="K1982" s="1741">
        <v>26</v>
      </c>
      <c r="L1982" s="1578">
        <v>200</v>
      </c>
      <c r="M1982" s="1602">
        <v>14</v>
      </c>
      <c r="N1982" s="1385">
        <f t="shared" si="305"/>
        <v>1.06042168525095</v>
      </c>
      <c r="O1982" s="1386" t="s">
        <v>333</v>
      </c>
      <c r="P1982" s="1387" t="str">
        <f>IFERROR(VLOOKUP(F1982,#REF!,12,FALSE),"")</f>
        <v/>
      </c>
      <c r="Q1982" s="1388" t="s">
        <v>8</v>
      </c>
      <c r="R1982" s="1389" t="str">
        <f>IFERROR(VLOOKUP(F1982,#REF!,14,FALSE),"")</f>
        <v/>
      </c>
      <c r="S1982" s="1390">
        <f t="shared" si="306"/>
        <v>1.5748031496062993</v>
      </c>
      <c r="U1982" s="1728"/>
      <c r="V1982" s="1379">
        <f t="shared" si="307"/>
        <v>0</v>
      </c>
      <c r="W1982" s="1767"/>
      <c r="X1982" s="1379"/>
    </row>
    <row r="1983" spans="1:24" x14ac:dyDescent="0.2">
      <c r="A1983" s="1649" t="s">
        <v>256</v>
      </c>
      <c r="B1983" s="1677" t="e">
        <f>AVERAGE(#REF!)</f>
        <v>#REF!</v>
      </c>
      <c r="C1983" s="1378">
        <v>45071</v>
      </c>
      <c r="D1983" s="1379">
        <v>71</v>
      </c>
      <c r="E1983" s="1380" t="s">
        <v>293</v>
      </c>
      <c r="F1983" s="1534" t="s">
        <v>331</v>
      </c>
      <c r="G1983" s="1381">
        <v>2.7476851851851853E-2</v>
      </c>
      <c r="H1983" s="1382">
        <v>6.96</v>
      </c>
      <c r="I1983" s="1383">
        <f t="shared" si="304"/>
        <v>3.9478235419327379E-3</v>
      </c>
      <c r="J1983" s="1384">
        <v>126</v>
      </c>
      <c r="K1983" s="1741">
        <v>36</v>
      </c>
      <c r="L1983" s="1578">
        <v>210</v>
      </c>
      <c r="M1983" s="1602">
        <v>14</v>
      </c>
      <c r="N1983" s="1385">
        <f t="shared" si="305"/>
        <v>1.0690941842511581</v>
      </c>
      <c r="O1983" s="1386" t="s">
        <v>329</v>
      </c>
      <c r="P1983" s="1387" t="str">
        <f>IFERROR(VLOOKUP(F1983,#REF!,12,FALSE),"")</f>
        <v/>
      </c>
      <c r="Q1983" s="1388" t="s">
        <v>8</v>
      </c>
      <c r="R1983" s="1389" t="str">
        <f>IFERROR(VLOOKUP(F1983,#REF!,14,FALSE),"")</f>
        <v/>
      </c>
      <c r="S1983" s="1390">
        <f t="shared" si="306"/>
        <v>1.6666666666666667</v>
      </c>
      <c r="U1983" s="1728"/>
      <c r="V1983" s="1379">
        <f t="shared" si="307"/>
        <v>0</v>
      </c>
      <c r="W1983" s="1767"/>
      <c r="X1983" s="1379"/>
    </row>
    <row r="1984" spans="1:24" x14ac:dyDescent="0.2">
      <c r="A1984" s="1649" t="s">
        <v>336</v>
      </c>
      <c r="B1984" s="1712">
        <f>IFERROR(AVERAGE(N1980:N1986),"")</f>
        <v>1.0636355608008701</v>
      </c>
      <c r="C1984" s="1378">
        <v>45072</v>
      </c>
      <c r="D1984" s="1379">
        <v>72</v>
      </c>
      <c r="E1984" s="1380" t="s">
        <v>293</v>
      </c>
      <c r="F1984" s="1550" t="s">
        <v>267</v>
      </c>
      <c r="G1984" s="1381">
        <v>2.6574074074074073E-2</v>
      </c>
      <c r="H1984" s="1382">
        <v>6.74</v>
      </c>
      <c r="I1984" s="1383">
        <f t="shared" si="304"/>
        <v>3.9427409605451149E-3</v>
      </c>
      <c r="J1984" s="1384">
        <v>129</v>
      </c>
      <c r="K1984" s="1741">
        <v>32</v>
      </c>
      <c r="L1984" s="1578">
        <v>209</v>
      </c>
      <c r="M1984" s="1602">
        <v>14</v>
      </c>
      <c r="N1984" s="1385">
        <f t="shared" si="305"/>
        <v>1.0626334204349173</v>
      </c>
      <c r="O1984" s="1386" t="s">
        <v>327</v>
      </c>
      <c r="P1984" s="1387" t="str">
        <f>IFERROR(VLOOKUP(F1984,#REF!,12,FALSE),"")</f>
        <v/>
      </c>
      <c r="Q1984" s="1388" t="s">
        <v>8</v>
      </c>
      <c r="R1984" s="1389" t="str">
        <f>IFERROR(VLOOKUP(F1984,#REF!,14,FALSE),"")</f>
        <v/>
      </c>
      <c r="S1984" s="1390">
        <f t="shared" si="306"/>
        <v>1.6201550387596899</v>
      </c>
      <c r="U1984" s="1728"/>
      <c r="V1984" s="1379">
        <f t="shared" si="307"/>
        <v>0</v>
      </c>
      <c r="W1984" s="1767"/>
      <c r="X1984" s="1379"/>
    </row>
    <row r="1985" spans="1:24" x14ac:dyDescent="0.2">
      <c r="A1985" s="1649" t="s">
        <v>337</v>
      </c>
      <c r="B1985" s="1677">
        <f>IFERROR(AVERAGE(S1980:S1986),"")</f>
        <v>1.6252422793319345</v>
      </c>
      <c r="C1985" s="1625">
        <v>45073</v>
      </c>
      <c r="D1985" s="1626"/>
      <c r="E1985" s="1627"/>
      <c r="F1985" s="1628"/>
      <c r="G1985" s="1629"/>
      <c r="H1985" s="1630" t="str">
        <f>IFERROR(VLOOKUP(F1985,#REF!,10,FALSE),"")</f>
        <v/>
      </c>
      <c r="I1985" s="1631" t="str">
        <f t="shared" si="304"/>
        <v/>
      </c>
      <c r="J1985" s="1632"/>
      <c r="K1985" s="1741"/>
      <c r="L1985" s="1578"/>
      <c r="M1985" s="1632"/>
      <c r="N1985" s="1633" t="str">
        <f t="shared" si="305"/>
        <v/>
      </c>
      <c r="O1985" s="1634"/>
      <c r="P1985" s="1635" t="str">
        <f>IFERROR(VLOOKUP(F1985,#REF!,12,FALSE),"")</f>
        <v/>
      </c>
      <c r="Q1985" s="1636" t="s">
        <v>8</v>
      </c>
      <c r="R1985" s="1637" t="str">
        <f>IFERROR(VLOOKUP(F1985,#REF!,14,FALSE),"")</f>
        <v/>
      </c>
      <c r="S1985" s="1605" t="str">
        <f t="shared" si="306"/>
        <v/>
      </c>
      <c r="U1985" s="1728"/>
      <c r="V1985" s="1626">
        <f t="shared" si="307"/>
        <v>0</v>
      </c>
      <c r="W1985" s="1767"/>
      <c r="X1985" s="1626"/>
    </row>
    <row r="1986" spans="1:24" ht="16" thickBot="1" x14ac:dyDescent="0.25">
      <c r="A1986" s="1650" t="s">
        <v>5</v>
      </c>
      <c r="B1986" s="1678">
        <f>IFERROR(SUM(M1980:M1986),"")</f>
        <v>52</v>
      </c>
      <c r="C1986" s="1360">
        <v>45074</v>
      </c>
      <c r="D1986" s="683"/>
      <c r="E1986" s="684"/>
      <c r="F1986" s="1538"/>
      <c r="G1986" s="1361"/>
      <c r="H1986" s="1362" t="str">
        <f>IFERROR(VLOOKUP(F1986,#REF!,10,FALSE),"")</f>
        <v/>
      </c>
      <c r="I1986" s="1363" t="str">
        <f t="shared" si="304"/>
        <v/>
      </c>
      <c r="J1986" s="1364"/>
      <c r="K1986" s="1741"/>
      <c r="L1986" s="1583"/>
      <c r="M1986" s="1364"/>
      <c r="N1986" s="1365" t="str">
        <f t="shared" si="305"/>
        <v/>
      </c>
      <c r="O1986" s="1366"/>
      <c r="P1986" s="1367" t="str">
        <f>IFERROR(VLOOKUP(F1986,#REF!,12,FALSE),"")</f>
        <v/>
      </c>
      <c r="Q1986" s="19" t="s">
        <v>8</v>
      </c>
      <c r="R1986" s="20" t="str">
        <f>IFERROR(VLOOKUP(F1986,#REF!,14,FALSE),"")</f>
        <v/>
      </c>
      <c r="S1986" s="1191" t="str">
        <f t="shared" si="306"/>
        <v/>
      </c>
      <c r="U1986" s="1728"/>
      <c r="V1986" s="683">
        <f t="shared" si="307"/>
        <v>0</v>
      </c>
      <c r="W1986" s="1768"/>
      <c r="X1986" s="683"/>
    </row>
    <row r="1987" spans="1:24" ht="16" thickBot="1" x14ac:dyDescent="0.25">
      <c r="A1987" s="1962">
        <f>WEEKNUM(C1987,1)</f>
        <v>22</v>
      </c>
      <c r="B1987" s="1963"/>
      <c r="C1987" s="1368">
        <v>45075</v>
      </c>
      <c r="D1987" s="1369"/>
      <c r="E1987" s="1370"/>
      <c r="F1987" s="1536"/>
      <c r="G1987" s="1371"/>
      <c r="H1987" s="1372" t="str">
        <f>IFERROR(VLOOKUP(F1987,#REF!,10,FALSE),"")</f>
        <v/>
      </c>
      <c r="I1987" s="1373" t="str">
        <f t="shared" si="304"/>
        <v/>
      </c>
      <c r="J1987" s="1374"/>
      <c r="K1987" s="1741"/>
      <c r="L1987" s="1577"/>
      <c r="M1987" s="1374"/>
      <c r="N1987" s="1375" t="str">
        <f t="shared" si="305"/>
        <v/>
      </c>
      <c r="O1987" s="1376"/>
      <c r="P1987" s="795" t="str">
        <f>IFERROR(VLOOKUP(F1987,#REF!,12,FALSE),"")</f>
        <v/>
      </c>
      <c r="Q1987" s="32" t="s">
        <v>8</v>
      </c>
      <c r="R1987" s="1255" t="str">
        <f>IFERROR(VLOOKUP(F1987,#REF!,14,FALSE),"")</f>
        <v/>
      </c>
      <c r="S1987" s="1377" t="str">
        <f t="shared" si="306"/>
        <v/>
      </c>
      <c r="U1987" s="1728"/>
      <c r="V1987" s="1369">
        <f t="shared" si="307"/>
        <v>0</v>
      </c>
      <c r="W1987" s="1766"/>
      <c r="X1987" s="1369"/>
    </row>
    <row r="1988" spans="1:24" x14ac:dyDescent="0.2">
      <c r="A1988" s="1648" t="s">
        <v>142</v>
      </c>
      <c r="B1988" s="1675">
        <f>SUM(H1987:H1993)</f>
        <v>38.11</v>
      </c>
      <c r="C1988" s="1378">
        <v>45076</v>
      </c>
      <c r="D1988" s="1379">
        <v>73</v>
      </c>
      <c r="E1988" s="1380" t="s">
        <v>293</v>
      </c>
      <c r="F1988" s="1534" t="s">
        <v>267</v>
      </c>
      <c r="G1988" s="1381">
        <v>2.2685185185185183E-2</v>
      </c>
      <c r="H1988" s="1382">
        <v>5.55</v>
      </c>
      <c r="I1988" s="1383">
        <f t="shared" si="304"/>
        <v>4.0874207540874206E-3</v>
      </c>
      <c r="J1988" s="1384">
        <v>130</v>
      </c>
      <c r="K1988" s="1741">
        <v>25</v>
      </c>
      <c r="L1988" s="1578">
        <v>204</v>
      </c>
      <c r="M1988" s="1602">
        <v>14</v>
      </c>
      <c r="N1988" s="1385">
        <f t="shared" si="305"/>
        <v>1.0752722872125857</v>
      </c>
      <c r="O1988" s="1386" t="s">
        <v>327</v>
      </c>
      <c r="P1988" s="1387" t="str">
        <f>IFERROR(VLOOKUP(F1988,#REF!,12,FALSE),"")</f>
        <v/>
      </c>
      <c r="Q1988" s="1388" t="s">
        <v>8</v>
      </c>
      <c r="R1988" s="1389" t="str">
        <f>IFERROR(VLOOKUP(F1988,#REF!,14,FALSE),"")</f>
        <v/>
      </c>
      <c r="S1988" s="1390">
        <f t="shared" si="306"/>
        <v>1.5692307692307692</v>
      </c>
      <c r="U1988" s="1728"/>
      <c r="V1988" s="1379">
        <f t="shared" si="307"/>
        <v>0</v>
      </c>
      <c r="W1988" s="1767"/>
      <c r="X1988" s="1379"/>
    </row>
    <row r="1989" spans="1:24" x14ac:dyDescent="0.2">
      <c r="A1989" s="1649" t="s">
        <v>144</v>
      </c>
      <c r="B1989" s="1676" t="e">
        <f>SUM(#REF!)</f>
        <v>#REF!</v>
      </c>
      <c r="C1989" s="1378">
        <v>45077</v>
      </c>
      <c r="D1989" s="1379">
        <v>74</v>
      </c>
      <c r="E1989" s="1380" t="s">
        <v>293</v>
      </c>
      <c r="F1989" s="1534" t="s">
        <v>267</v>
      </c>
      <c r="G1989" s="1381">
        <v>2.7465277777777772E-2</v>
      </c>
      <c r="H1989" s="1382">
        <v>7.06</v>
      </c>
      <c r="I1989" s="1383">
        <f t="shared" si="304"/>
        <v>3.8902659741894864E-3</v>
      </c>
      <c r="J1989" s="1384">
        <v>128</v>
      </c>
      <c r="K1989" s="1741">
        <v>34</v>
      </c>
      <c r="L1989" s="1578">
        <v>210</v>
      </c>
      <c r="M1989" s="1602">
        <v>15</v>
      </c>
      <c r="N1989" s="1385">
        <f t="shared" si="305"/>
        <v>1.0535072512790156</v>
      </c>
      <c r="O1989" s="1386" t="s">
        <v>333</v>
      </c>
      <c r="P1989" s="1387" t="str">
        <f>IFERROR(VLOOKUP(F1989,#REF!,12,FALSE),"")</f>
        <v/>
      </c>
      <c r="Q1989" s="1388" t="s">
        <v>8</v>
      </c>
      <c r="R1989" s="1389" t="str">
        <f>IFERROR(VLOOKUP(F1989,#REF!,14,FALSE),"")</f>
        <v/>
      </c>
      <c r="S1989" s="1390">
        <f t="shared" si="306"/>
        <v>1.640625</v>
      </c>
      <c r="U1989" s="1728"/>
      <c r="V1989" s="1379">
        <f t="shared" si="307"/>
        <v>0</v>
      </c>
      <c r="W1989" s="1767"/>
      <c r="X1989" s="1379"/>
    </row>
    <row r="1990" spans="1:24" x14ac:dyDescent="0.2">
      <c r="A1990" s="1649" t="s">
        <v>256</v>
      </c>
      <c r="B1990" s="1677" t="e">
        <f>AVERAGE(#REF!)</f>
        <v>#REF!</v>
      </c>
      <c r="C1990" s="1378">
        <v>45078</v>
      </c>
      <c r="D1990" s="1379">
        <v>75</v>
      </c>
      <c r="E1990" s="1380" t="s">
        <v>293</v>
      </c>
      <c r="F1990" s="1534" t="s">
        <v>331</v>
      </c>
      <c r="G1990" s="1381">
        <v>2.7118055555555552E-2</v>
      </c>
      <c r="H1990" s="1382">
        <v>6.99</v>
      </c>
      <c r="I1990" s="1383">
        <f t="shared" si="304"/>
        <v>3.8795501510093776E-3</v>
      </c>
      <c r="J1990" s="1384">
        <v>128</v>
      </c>
      <c r="K1990" s="1741">
        <v>38</v>
      </c>
      <c r="L1990" s="1578">
        <v>212</v>
      </c>
      <c r="M1990" s="1602">
        <v>12</v>
      </c>
      <c r="N1990" s="1385">
        <f t="shared" si="305"/>
        <v>1.0606111075523665</v>
      </c>
      <c r="O1990" s="1386" t="s">
        <v>329</v>
      </c>
      <c r="P1990" s="1387" t="str">
        <f>IFERROR(VLOOKUP(F1990,#REF!,12,FALSE),"")</f>
        <v/>
      </c>
      <c r="Q1990" s="1388" t="s">
        <v>8</v>
      </c>
      <c r="R1990" s="1389" t="str">
        <f>IFERROR(VLOOKUP(F1990,#REF!,14,FALSE),"")</f>
        <v/>
      </c>
      <c r="S1990" s="1390">
        <f t="shared" si="306"/>
        <v>1.65625</v>
      </c>
      <c r="U1990" s="1728"/>
      <c r="V1990" s="1379">
        <f t="shared" si="307"/>
        <v>0</v>
      </c>
      <c r="W1990" s="1767"/>
      <c r="X1990" s="1379"/>
    </row>
    <row r="1991" spans="1:24" x14ac:dyDescent="0.2">
      <c r="A1991" s="1649" t="s">
        <v>336</v>
      </c>
      <c r="B1991" s="1712">
        <f>IFERROR(AVERAGE(N1987:N1993),"")</f>
        <v>1.0686397613626855</v>
      </c>
      <c r="C1991" s="1378">
        <v>45079</v>
      </c>
      <c r="D1991" s="1379">
        <v>76</v>
      </c>
      <c r="E1991" s="1380" t="s">
        <v>293</v>
      </c>
      <c r="F1991" s="1550" t="s">
        <v>267</v>
      </c>
      <c r="G1991" s="1381">
        <v>2.225694444444444E-2</v>
      </c>
      <c r="H1991" s="1382">
        <v>6.11</v>
      </c>
      <c r="I1991" s="1383">
        <f t="shared" si="304"/>
        <v>3.6427077650481895E-3</v>
      </c>
      <c r="J1991" s="1384">
        <v>136</v>
      </c>
      <c r="K1991" s="1741">
        <v>38</v>
      </c>
      <c r="L1991" s="1578">
        <v>230</v>
      </c>
      <c r="M1991" s="1602">
        <v>12</v>
      </c>
      <c r="N1991" s="1385">
        <f t="shared" si="305"/>
        <v>1.0804162493587706</v>
      </c>
      <c r="O1991" s="1386" t="s">
        <v>328</v>
      </c>
      <c r="P1991" s="1387" t="str">
        <f>IFERROR(VLOOKUP(F1991,#REF!,12,FALSE),"")</f>
        <v/>
      </c>
      <c r="Q1991" s="1388" t="s">
        <v>8</v>
      </c>
      <c r="R1991" s="1389" t="str">
        <f>IFERROR(VLOOKUP(F1991,#REF!,14,FALSE),"")</f>
        <v/>
      </c>
      <c r="S1991" s="1390">
        <f t="shared" si="306"/>
        <v>1.6911764705882353</v>
      </c>
      <c r="U1991" s="1728"/>
      <c r="V1991" s="1379">
        <f t="shared" si="307"/>
        <v>0</v>
      </c>
      <c r="W1991" s="1767"/>
      <c r="X1991" s="1379"/>
    </row>
    <row r="1992" spans="1:24" x14ac:dyDescent="0.2">
      <c r="A1992" s="1649" t="s">
        <v>337</v>
      </c>
      <c r="B1992" s="1677">
        <f>IFERROR(AVERAGE(S1987:S1993),"")</f>
        <v>1.6121863749711001</v>
      </c>
      <c r="C1992" s="1625">
        <v>45080</v>
      </c>
      <c r="D1992" s="1626"/>
      <c r="E1992" s="1627"/>
      <c r="F1992" s="1628"/>
      <c r="G1992" s="1629"/>
      <c r="H1992" s="1630" t="str">
        <f>IFERROR(VLOOKUP(F1992,#REF!,10,FALSE),"")</f>
        <v/>
      </c>
      <c r="I1992" s="1631" t="str">
        <f t="shared" si="304"/>
        <v/>
      </c>
      <c r="J1992" s="1632"/>
      <c r="K1992" s="1741"/>
      <c r="L1992" s="1578"/>
      <c r="M1992" s="1632"/>
      <c r="N1992" s="1633" t="str">
        <f t="shared" si="305"/>
        <v/>
      </c>
      <c r="O1992" s="1634"/>
      <c r="P1992" s="1635" t="str">
        <f>IFERROR(VLOOKUP(F1992,#REF!,12,FALSE),"")</f>
        <v/>
      </c>
      <c r="Q1992" s="1636" t="s">
        <v>8</v>
      </c>
      <c r="R1992" s="1637" t="str">
        <f>IFERROR(VLOOKUP(F1992,#REF!,14,FALSE),"")</f>
        <v/>
      </c>
      <c r="S1992" s="1605" t="str">
        <f t="shared" si="306"/>
        <v/>
      </c>
      <c r="U1992" s="1728"/>
      <c r="V1992" s="1626">
        <f t="shared" si="307"/>
        <v>0</v>
      </c>
      <c r="W1992" s="1767"/>
      <c r="X1992" s="1626"/>
    </row>
    <row r="1993" spans="1:24" ht="16" thickBot="1" x14ac:dyDescent="0.25">
      <c r="A1993" s="1650" t="s">
        <v>5</v>
      </c>
      <c r="B1993" s="1678">
        <f>IFERROR(SUM(M1987:M1993),"")</f>
        <v>84</v>
      </c>
      <c r="C1993" s="1360">
        <v>45081</v>
      </c>
      <c r="D1993" s="683">
        <v>77</v>
      </c>
      <c r="E1993" s="684" t="s">
        <v>292</v>
      </c>
      <c r="F1993" s="1538" t="s">
        <v>308</v>
      </c>
      <c r="G1993" s="1361">
        <v>5.0104166666666672E-2</v>
      </c>
      <c r="H1993" s="1362">
        <v>12.4</v>
      </c>
      <c r="I1993" s="1363">
        <f t="shared" si="304"/>
        <v>4.0406586021505377E-3</v>
      </c>
      <c r="J1993" s="1364">
        <v>137</v>
      </c>
      <c r="K1993" s="1741">
        <v>59</v>
      </c>
      <c r="L1993" s="1583">
        <v>206</v>
      </c>
      <c r="M1993" s="1364">
        <v>31</v>
      </c>
      <c r="N1993" s="1365">
        <f t="shared" si="305"/>
        <v>1.0733919114106887</v>
      </c>
      <c r="O1993" s="1366" t="s">
        <v>327</v>
      </c>
      <c r="P1993" s="1367" t="str">
        <f>IFERROR(VLOOKUP(F1993,#REF!,12,FALSE),"")</f>
        <v/>
      </c>
      <c r="Q1993" s="19" t="s">
        <v>8</v>
      </c>
      <c r="R1993" s="20" t="str">
        <f>IFERROR(VLOOKUP(F1993,#REF!,14,FALSE),"")</f>
        <v/>
      </c>
      <c r="S1993" s="1191">
        <f t="shared" si="306"/>
        <v>1.5036496350364963</v>
      </c>
      <c r="U1993" s="1728"/>
      <c r="V1993" s="683">
        <f t="shared" si="307"/>
        <v>0</v>
      </c>
      <c r="W1993" s="1768"/>
      <c r="X1993" s="683"/>
    </row>
    <row r="1994" spans="1:24" ht="16" thickBot="1" x14ac:dyDescent="0.25">
      <c r="A1994" s="1962">
        <f>WEEKNUM(C1994,1)</f>
        <v>23</v>
      </c>
      <c r="B1994" s="1963"/>
      <c r="C1994" s="1368">
        <v>45082</v>
      </c>
      <c r="D1994" s="1369"/>
      <c r="E1994" s="1370"/>
      <c r="F1994" s="1536"/>
      <c r="G1994" s="1371"/>
      <c r="H1994" s="1372" t="str">
        <f>IFERROR(VLOOKUP(F1994,#REF!,10,FALSE),"")</f>
        <v/>
      </c>
      <c r="I1994" s="1373" t="str">
        <f t="shared" si="304"/>
        <v/>
      </c>
      <c r="J1994" s="1374"/>
      <c r="K1994" s="1741"/>
      <c r="L1994" s="1577"/>
      <c r="M1994" s="1374"/>
      <c r="N1994" s="1375" t="str">
        <f t="shared" si="305"/>
        <v/>
      </c>
      <c r="O1994" s="1376"/>
      <c r="P1994" s="795" t="str">
        <f>IFERROR(VLOOKUP(F1994,#REF!,12,FALSE),"")</f>
        <v/>
      </c>
      <c r="Q1994" s="32" t="s">
        <v>8</v>
      </c>
      <c r="R1994" s="1255" t="str">
        <f>IFERROR(VLOOKUP(F1994,#REF!,14,FALSE),"")</f>
        <v/>
      </c>
      <c r="S1994" s="1377" t="str">
        <f t="shared" si="306"/>
        <v/>
      </c>
      <c r="U1994" s="1728"/>
      <c r="V1994" s="1369">
        <f t="shared" si="307"/>
        <v>0</v>
      </c>
      <c r="W1994" s="1766"/>
      <c r="X1994" s="1369"/>
    </row>
    <row r="1995" spans="1:24" x14ac:dyDescent="0.2">
      <c r="A1995" s="1648" t="s">
        <v>142</v>
      </c>
      <c r="B1995" s="1675">
        <f>SUM(H1994:H2000)</f>
        <v>29.16</v>
      </c>
      <c r="C1995" s="1378">
        <v>45083</v>
      </c>
      <c r="D1995" s="1379">
        <v>78</v>
      </c>
      <c r="E1995" s="1380" t="s">
        <v>292</v>
      </c>
      <c r="F1995" s="1534" t="s">
        <v>322</v>
      </c>
      <c r="G1995" s="1381">
        <v>3.2523148148148148E-2</v>
      </c>
      <c r="H1995" s="1382">
        <v>8.11</v>
      </c>
      <c r="I1995" s="1383">
        <f t="shared" si="304"/>
        <v>4.0102525460108691E-3</v>
      </c>
      <c r="J1995" s="1384">
        <v>127</v>
      </c>
      <c r="K1995" s="1741">
        <v>36</v>
      </c>
      <c r="L1995" s="1578">
        <v>203</v>
      </c>
      <c r="M1995" s="1602">
        <v>19</v>
      </c>
      <c r="N1995" s="1385">
        <f t="shared" si="305"/>
        <v>1.0498003202237887</v>
      </c>
      <c r="O1995" s="1386" t="s">
        <v>333</v>
      </c>
      <c r="P1995" s="1387" t="str">
        <f>IFERROR(VLOOKUP(F1995,#REF!,12,FALSE),"")</f>
        <v/>
      </c>
      <c r="Q1995" s="1388" t="s">
        <v>8</v>
      </c>
      <c r="R1995" s="1389" t="str">
        <f>IFERROR(VLOOKUP(F1995,#REF!,14,FALSE),"")</f>
        <v/>
      </c>
      <c r="S1995" s="1390">
        <f t="shared" si="306"/>
        <v>1.5984251968503937</v>
      </c>
      <c r="U1995" s="1728"/>
      <c r="V1995" s="1379">
        <f t="shared" si="307"/>
        <v>0</v>
      </c>
      <c r="W1995" s="1767"/>
      <c r="X1995" s="1379"/>
    </row>
    <row r="1996" spans="1:24" x14ac:dyDescent="0.2">
      <c r="A1996" s="1649" t="s">
        <v>144</v>
      </c>
      <c r="B1996" s="1676" t="e">
        <f>SUM(#REF!)</f>
        <v>#REF!</v>
      </c>
      <c r="C1996" s="1378">
        <v>45084</v>
      </c>
      <c r="D1996" s="1379"/>
      <c r="E1996" s="1380"/>
      <c r="F1996" s="1534"/>
      <c r="G1996" s="1381"/>
      <c r="H1996" s="1382" t="str">
        <f>IFERROR(VLOOKUP(F1996,#REF!,10,FALSE),"")</f>
        <v/>
      </c>
      <c r="I1996" s="1383" t="str">
        <f t="shared" si="304"/>
        <v/>
      </c>
      <c r="J1996" s="1384"/>
      <c r="K1996" s="1741"/>
      <c r="L1996" s="1578"/>
      <c r="M1996" s="1602"/>
      <c r="N1996" s="1385" t="str">
        <f t="shared" si="305"/>
        <v/>
      </c>
      <c r="O1996" s="1386"/>
      <c r="P1996" s="1387" t="str">
        <f>IFERROR(VLOOKUP(F1996,#REF!,12,FALSE),"")</f>
        <v/>
      </c>
      <c r="Q1996" s="1388" t="s">
        <v>8</v>
      </c>
      <c r="R1996" s="1389" t="str">
        <f>IFERROR(VLOOKUP(F1996,#REF!,14,FALSE),"")</f>
        <v/>
      </c>
      <c r="S1996" s="1390" t="str">
        <f t="shared" si="306"/>
        <v/>
      </c>
      <c r="U1996" s="1728"/>
      <c r="V1996" s="1379">
        <f t="shared" si="307"/>
        <v>0</v>
      </c>
      <c r="W1996" s="1767"/>
      <c r="X1996" s="1379"/>
    </row>
    <row r="1997" spans="1:24" x14ac:dyDescent="0.2">
      <c r="A1997" s="1649" t="s">
        <v>256</v>
      </c>
      <c r="B1997" s="1677" t="e">
        <f>AVERAGE(#REF!)</f>
        <v>#REF!</v>
      </c>
      <c r="C1997" s="1378">
        <v>45085</v>
      </c>
      <c r="D1997" s="1379"/>
      <c r="E1997" s="1380"/>
      <c r="F1997" s="1534"/>
      <c r="G1997" s="1381"/>
      <c r="H1997" s="1382" t="str">
        <f>IFERROR(VLOOKUP(F1997,#REF!,10,FALSE),"")</f>
        <v/>
      </c>
      <c r="I1997" s="1383" t="str">
        <f t="shared" si="304"/>
        <v/>
      </c>
      <c r="J1997" s="1384"/>
      <c r="K1997" s="1741"/>
      <c r="L1997" s="1578"/>
      <c r="M1997" s="1602"/>
      <c r="N1997" s="1385" t="str">
        <f t="shared" si="305"/>
        <v/>
      </c>
      <c r="O1997" s="1386"/>
      <c r="P1997" s="1387" t="str">
        <f>IFERROR(VLOOKUP(F1997,#REF!,12,FALSE),"")</f>
        <v/>
      </c>
      <c r="Q1997" s="1388" t="s">
        <v>8</v>
      </c>
      <c r="R1997" s="1389" t="str">
        <f>IFERROR(VLOOKUP(F1997,#REF!,14,FALSE),"")</f>
        <v/>
      </c>
      <c r="S1997" s="1390" t="str">
        <f t="shared" si="306"/>
        <v/>
      </c>
      <c r="U1997" s="1728"/>
      <c r="V1997" s="1379">
        <f t="shared" si="307"/>
        <v>0</v>
      </c>
      <c r="W1997" s="1767"/>
      <c r="X1997" s="1379"/>
    </row>
    <row r="1998" spans="1:24" x14ac:dyDescent="0.2">
      <c r="A1998" s="1649" t="s">
        <v>336</v>
      </c>
      <c r="B1998" s="1712">
        <f>IFERROR(AVERAGE(N1994:N2000),"")</f>
        <v>1.0579131699291184</v>
      </c>
      <c r="C1998" s="1378">
        <v>45086</v>
      </c>
      <c r="D1998" s="1379">
        <v>79</v>
      </c>
      <c r="E1998" s="1380" t="s">
        <v>292</v>
      </c>
      <c r="F1998" s="1550" t="s">
        <v>279</v>
      </c>
      <c r="G1998" s="1381">
        <v>3.8263888888888889E-2</v>
      </c>
      <c r="H1998" s="1382">
        <v>9.35</v>
      </c>
      <c r="I1998" s="1383">
        <f t="shared" si="304"/>
        <v>4.0923945335710043E-3</v>
      </c>
      <c r="J1998" s="1384">
        <v>128</v>
      </c>
      <c r="K1998" s="1741">
        <v>42</v>
      </c>
      <c r="L1998" s="1578">
        <v>202</v>
      </c>
      <c r="M1998" s="1602">
        <v>24</v>
      </c>
      <c r="N1998" s="1385">
        <f t="shared" si="305"/>
        <v>1.066026019634448</v>
      </c>
      <c r="O1998" s="1386" t="s">
        <v>329</v>
      </c>
      <c r="P1998" s="1387" t="str">
        <f>IFERROR(VLOOKUP(F1998,#REF!,12,FALSE),"")</f>
        <v/>
      </c>
      <c r="Q1998" s="1388" t="s">
        <v>8</v>
      </c>
      <c r="R1998" s="1389" t="str">
        <f>IFERROR(VLOOKUP(F1998,#REF!,14,FALSE),"")</f>
        <v/>
      </c>
      <c r="S1998" s="1390">
        <f t="shared" si="306"/>
        <v>1.578125</v>
      </c>
      <c r="U1998" s="1728"/>
      <c r="V1998" s="1379">
        <f t="shared" si="307"/>
        <v>0</v>
      </c>
      <c r="W1998" s="1767"/>
      <c r="X1998" s="1379"/>
    </row>
    <row r="1999" spans="1:24" x14ac:dyDescent="0.2">
      <c r="A1999" s="1649" t="s">
        <v>337</v>
      </c>
      <c r="B1999" s="1677">
        <f>IFERROR(AVERAGE(S1994:S2000),"")</f>
        <v>1.5882750984251968</v>
      </c>
      <c r="C1999" s="1625">
        <v>45087</v>
      </c>
      <c r="D1999" s="1626"/>
      <c r="E1999" s="1627"/>
      <c r="F1999" s="1628"/>
      <c r="G1999" s="1629"/>
      <c r="H1999" s="1630" t="str">
        <f>IFERROR(VLOOKUP(F1999,#REF!,10,FALSE),"")</f>
        <v/>
      </c>
      <c r="I1999" s="1631" t="str">
        <f t="shared" si="304"/>
        <v/>
      </c>
      <c r="J1999" s="1632"/>
      <c r="K1999" s="1741"/>
      <c r="L1999" s="1578"/>
      <c r="M1999" s="1632"/>
      <c r="N1999" s="1633" t="str">
        <f t="shared" si="305"/>
        <v/>
      </c>
      <c r="O1999" s="1634"/>
      <c r="P1999" s="1635" t="str">
        <f>IFERROR(VLOOKUP(F1999,#REF!,12,FALSE),"")</f>
        <v/>
      </c>
      <c r="Q1999" s="1636" t="s">
        <v>8</v>
      </c>
      <c r="R1999" s="1637" t="str">
        <f>IFERROR(VLOOKUP(F1999,#REF!,14,FALSE),"")</f>
        <v/>
      </c>
      <c r="S1999" s="1605" t="str">
        <f t="shared" si="306"/>
        <v/>
      </c>
      <c r="U1999" s="1728"/>
      <c r="V1999" s="1626">
        <f t="shared" si="307"/>
        <v>0</v>
      </c>
      <c r="W1999" s="1767"/>
      <c r="X1999" s="1626"/>
    </row>
    <row r="2000" spans="1:24" ht="16" thickBot="1" x14ac:dyDescent="0.25">
      <c r="A2000" s="1650" t="s">
        <v>5</v>
      </c>
      <c r="B2000" s="1678">
        <f>IFERROR(SUM(M1994:M2000),"")</f>
        <v>533</v>
      </c>
      <c r="C2000" s="1360">
        <v>45088</v>
      </c>
      <c r="D2000" s="683">
        <v>80</v>
      </c>
      <c r="E2000" s="684" t="s">
        <v>293</v>
      </c>
      <c r="F2000" s="1538" t="s">
        <v>297</v>
      </c>
      <c r="G2000" s="1361">
        <v>6.1099537037037042E-2</v>
      </c>
      <c r="H2000" s="1362">
        <v>11.7</v>
      </c>
      <c r="I2000" s="1363">
        <f t="shared" si="304"/>
        <v>5.2221826527382087E-3</v>
      </c>
      <c r="J2000" s="1364">
        <v>133</v>
      </c>
      <c r="K2000" s="1741">
        <v>54</v>
      </c>
      <c r="L2000" s="1583">
        <v>179</v>
      </c>
      <c r="M2000" s="1364">
        <v>490</v>
      </c>
      <c r="N2000" s="1365"/>
      <c r="O2000" s="1366" t="s">
        <v>299</v>
      </c>
      <c r="P2000" s="1367" t="str">
        <f>IFERROR(VLOOKUP(F2000,#REF!,12,FALSE),"")</f>
        <v/>
      </c>
      <c r="Q2000" s="19" t="s">
        <v>8</v>
      </c>
      <c r="R2000" s="20" t="str">
        <f>IFERROR(VLOOKUP(F2000,#REF!,14,FALSE),"")</f>
        <v/>
      </c>
      <c r="S2000" s="1191"/>
      <c r="U2000" s="1728"/>
      <c r="V2000" s="683">
        <f t="shared" si="307"/>
        <v>0</v>
      </c>
      <c r="W2000" s="1768"/>
      <c r="X2000" s="683"/>
    </row>
    <row r="2001" spans="1:24" ht="16" thickBot="1" x14ac:dyDescent="0.25">
      <c r="A2001" s="1962">
        <f>WEEKNUM(C2001,1)</f>
        <v>24</v>
      </c>
      <c r="B2001" s="1963"/>
      <c r="C2001" s="1368">
        <v>45089</v>
      </c>
      <c r="D2001" s="1369">
        <v>81</v>
      </c>
      <c r="E2001" s="1370" t="s">
        <v>293</v>
      </c>
      <c r="F2001" s="1536" t="s">
        <v>267</v>
      </c>
      <c r="G2001" s="1371">
        <v>2.4895833333333336E-2</v>
      </c>
      <c r="H2001" s="1372">
        <v>6.22</v>
      </c>
      <c r="I2001" s="1373">
        <f t="shared" si="304"/>
        <v>4.0025455519828515E-3</v>
      </c>
      <c r="J2001" s="1374">
        <v>121</v>
      </c>
      <c r="K2001" s="1741">
        <v>29</v>
      </c>
      <c r="L2001" s="1577">
        <v>206</v>
      </c>
      <c r="M2001" s="1374">
        <v>11</v>
      </c>
      <c r="N2001" s="1375">
        <f t="shared" ref="N2001:N2032" si="308">IFERROR((L2001/67)/(1/(I2001*24)/3.6),"")</f>
        <v>1.063267264961367</v>
      </c>
      <c r="O2001" s="1376" t="s">
        <v>329</v>
      </c>
      <c r="P2001" s="795" t="str">
        <f>IFERROR(VLOOKUP(F2001,#REF!,12,FALSE),"")</f>
        <v/>
      </c>
      <c r="Q2001" s="32" t="s">
        <v>8</v>
      </c>
      <c r="R2001" s="1255" t="str">
        <f>IFERROR(VLOOKUP(F2001,#REF!,14,FALSE),"")</f>
        <v/>
      </c>
      <c r="S2001" s="1377">
        <f t="shared" ref="S2001:S2032" si="309">IFERROR(L2001/J2001,"")</f>
        <v>1.7024793388429753</v>
      </c>
      <c r="U2001" s="1728"/>
      <c r="V2001" s="1369">
        <f t="shared" si="307"/>
        <v>0</v>
      </c>
      <c r="W2001" s="1766"/>
      <c r="X2001" s="1369"/>
    </row>
    <row r="2002" spans="1:24" x14ac:dyDescent="0.2">
      <c r="A2002" s="1648" t="s">
        <v>142</v>
      </c>
      <c r="B2002" s="1675">
        <f>SUM(H2001:H2007)</f>
        <v>40.44</v>
      </c>
      <c r="C2002" s="1378">
        <v>45090</v>
      </c>
      <c r="D2002" s="1379">
        <v>82</v>
      </c>
      <c r="E2002" s="1380" t="s">
        <v>293</v>
      </c>
      <c r="F2002" s="1534" t="s">
        <v>267</v>
      </c>
      <c r="G2002" s="1381">
        <v>2.6168981481481477E-2</v>
      </c>
      <c r="H2002" s="1382">
        <v>6.67</v>
      </c>
      <c r="I2002" s="1383">
        <f t="shared" si="304"/>
        <v>3.9233855294574932E-3</v>
      </c>
      <c r="J2002" s="1384">
        <v>125</v>
      </c>
      <c r="K2002" s="1741">
        <v>31</v>
      </c>
      <c r="L2002" s="1578">
        <v>208</v>
      </c>
      <c r="M2002" s="1602">
        <v>16</v>
      </c>
      <c r="N2002" s="1385">
        <f t="shared" si="308"/>
        <v>1.0523574033878582</v>
      </c>
      <c r="O2002" s="1386" t="s">
        <v>333</v>
      </c>
      <c r="P2002" s="1387" t="str">
        <f>IFERROR(VLOOKUP(F2002,#REF!,12,FALSE),"")</f>
        <v/>
      </c>
      <c r="Q2002" s="1388" t="s">
        <v>8</v>
      </c>
      <c r="R2002" s="1389" t="str">
        <f>IFERROR(VLOOKUP(F2002,#REF!,14,FALSE),"")</f>
        <v/>
      </c>
      <c r="S2002" s="1390">
        <f t="shared" si="309"/>
        <v>1.6639999999999999</v>
      </c>
      <c r="U2002" s="1728"/>
      <c r="V2002" s="1379">
        <f t="shared" si="307"/>
        <v>0</v>
      </c>
      <c r="W2002" s="1767"/>
      <c r="X2002" s="1379"/>
    </row>
    <row r="2003" spans="1:24" x14ac:dyDescent="0.2">
      <c r="A2003" s="1649" t="s">
        <v>144</v>
      </c>
      <c r="B2003" s="1676">
        <f>SUM(K2001:K2007)</f>
        <v>199</v>
      </c>
      <c r="C2003" s="1378">
        <v>45091</v>
      </c>
      <c r="D2003" s="1379"/>
      <c r="E2003" s="1380"/>
      <c r="F2003" s="1534"/>
      <c r="G2003" s="1381"/>
      <c r="H2003" s="1382" t="str">
        <f>IFERROR(VLOOKUP(F2003,#REF!,10,FALSE),"")</f>
        <v/>
      </c>
      <c r="I2003" s="1383" t="str">
        <f t="shared" si="304"/>
        <v/>
      </c>
      <c r="J2003" s="1384"/>
      <c r="K2003" s="1741"/>
      <c r="L2003" s="1578"/>
      <c r="M2003" s="1602"/>
      <c r="N2003" s="1385" t="str">
        <f t="shared" si="308"/>
        <v/>
      </c>
      <c r="O2003" s="1386"/>
      <c r="P2003" s="1387" t="str">
        <f>IFERROR(VLOOKUP(F2003,#REF!,12,FALSE),"")</f>
        <v/>
      </c>
      <c r="Q2003" s="1388" t="s">
        <v>8</v>
      </c>
      <c r="R2003" s="1389" t="str">
        <f>IFERROR(VLOOKUP(F2003,#REF!,14,FALSE),"")</f>
        <v/>
      </c>
      <c r="S2003" s="1390" t="str">
        <f t="shared" si="309"/>
        <v/>
      </c>
      <c r="U2003" s="1728"/>
      <c r="V2003" s="1379">
        <f t="shared" si="307"/>
        <v>0</v>
      </c>
      <c r="W2003" s="1767"/>
      <c r="X2003" s="1379"/>
    </row>
    <row r="2004" spans="1:24" x14ac:dyDescent="0.2">
      <c r="A2004" s="1649" t="s">
        <v>256</v>
      </c>
      <c r="B2004" s="1677" t="e">
        <f>AVERAGE(#REF!)</f>
        <v>#REF!</v>
      </c>
      <c r="C2004" s="1378">
        <v>45092</v>
      </c>
      <c r="D2004" s="1379">
        <v>83</v>
      </c>
      <c r="E2004" s="1380" t="s">
        <v>293</v>
      </c>
      <c r="F2004" s="1534" t="s">
        <v>331</v>
      </c>
      <c r="G2004" s="1381">
        <v>2.736111111111111E-2</v>
      </c>
      <c r="H2004" s="1382">
        <v>7.06</v>
      </c>
      <c r="I2004" s="1383">
        <f t="shared" si="304"/>
        <v>3.8755114888259366E-3</v>
      </c>
      <c r="J2004" s="1384">
        <v>126</v>
      </c>
      <c r="K2004" s="1741">
        <v>39</v>
      </c>
      <c r="L2004" s="1578">
        <v>213</v>
      </c>
      <c r="M2004" s="1602">
        <v>12</v>
      </c>
      <c r="N2004" s="1385">
        <f t="shared" si="308"/>
        <v>1.0645046721068878</v>
      </c>
      <c r="O2004" s="1386" t="s">
        <v>328</v>
      </c>
      <c r="P2004" s="1387" t="str">
        <f>IFERROR(VLOOKUP(F2004,#REF!,12,FALSE),"")</f>
        <v/>
      </c>
      <c r="Q2004" s="1388" t="s">
        <v>8</v>
      </c>
      <c r="R2004" s="1389" t="str">
        <f>IFERROR(VLOOKUP(F2004,#REF!,14,FALSE),"")</f>
        <v/>
      </c>
      <c r="S2004" s="1390">
        <f t="shared" si="309"/>
        <v>1.6904761904761905</v>
      </c>
      <c r="U2004" s="1728"/>
      <c r="V2004" s="1379">
        <f t="shared" si="307"/>
        <v>0</v>
      </c>
      <c r="W2004" s="1767"/>
      <c r="X2004" s="1379"/>
    </row>
    <row r="2005" spans="1:24" x14ac:dyDescent="0.2">
      <c r="A2005" s="1649" t="s">
        <v>336</v>
      </c>
      <c r="B2005" s="1712">
        <f>IFERROR(AVERAGE(N2001:N2007),"")</f>
        <v>1.0615175953784344</v>
      </c>
      <c r="C2005" s="1378">
        <v>45093</v>
      </c>
      <c r="D2005" s="1379">
        <v>84</v>
      </c>
      <c r="E2005" s="1380" t="s">
        <v>293</v>
      </c>
      <c r="F2005" s="1550" t="s">
        <v>267</v>
      </c>
      <c r="G2005" s="1381">
        <v>2.9791666666666664E-2</v>
      </c>
      <c r="H2005" s="1382">
        <v>7.51</v>
      </c>
      <c r="I2005" s="1383">
        <f t="shared" si="304"/>
        <v>3.9669329782512208E-3</v>
      </c>
      <c r="J2005" s="1384">
        <v>125</v>
      </c>
      <c r="K2005" s="1741">
        <v>35</v>
      </c>
      <c r="L2005" s="1578">
        <v>206</v>
      </c>
      <c r="M2005" s="1602">
        <v>12</v>
      </c>
      <c r="N2005" s="1385">
        <f t="shared" si="308"/>
        <v>1.0538068644792018</v>
      </c>
      <c r="O2005" s="1386" t="s">
        <v>333</v>
      </c>
      <c r="P2005" s="1387" t="str">
        <f>IFERROR(VLOOKUP(F2005,#REF!,12,FALSE),"")</f>
        <v/>
      </c>
      <c r="Q2005" s="1388" t="s">
        <v>8</v>
      </c>
      <c r="R2005" s="1389" t="str">
        <f>IFERROR(VLOOKUP(F2005,#REF!,14,FALSE),"")</f>
        <v/>
      </c>
      <c r="S2005" s="1390">
        <f t="shared" si="309"/>
        <v>1.6479999999999999</v>
      </c>
      <c r="U2005" s="1728"/>
      <c r="V2005" s="1379">
        <f t="shared" si="307"/>
        <v>0</v>
      </c>
      <c r="W2005" s="1767"/>
      <c r="X2005" s="1379"/>
    </row>
    <row r="2006" spans="1:24" x14ac:dyDescent="0.2">
      <c r="A2006" s="1649" t="s">
        <v>337</v>
      </c>
      <c r="B2006" s="1677">
        <f>IFERROR(AVERAGE(S2001:S2007),"")</f>
        <v>1.6446407409003292</v>
      </c>
      <c r="C2006" s="1625">
        <v>45094</v>
      </c>
      <c r="D2006" s="1626"/>
      <c r="E2006" s="1627"/>
      <c r="F2006" s="1628"/>
      <c r="G2006" s="1629"/>
      <c r="H2006" s="1630" t="str">
        <f>IFERROR(VLOOKUP(F2006,#REF!,10,FALSE),"")</f>
        <v/>
      </c>
      <c r="I2006" s="1631" t="str">
        <f t="shared" si="304"/>
        <v/>
      </c>
      <c r="J2006" s="1632"/>
      <c r="K2006" s="1741"/>
      <c r="L2006" s="1578"/>
      <c r="M2006" s="1632"/>
      <c r="N2006" s="1633" t="str">
        <f t="shared" si="308"/>
        <v/>
      </c>
      <c r="O2006" s="1634"/>
      <c r="P2006" s="1635" t="str">
        <f>IFERROR(VLOOKUP(F2006,#REF!,12,FALSE),"")</f>
        <v/>
      </c>
      <c r="Q2006" s="1636" t="s">
        <v>8</v>
      </c>
      <c r="R2006" s="1637" t="str">
        <f>IFERROR(VLOOKUP(F2006,#REF!,14,FALSE),"")</f>
        <v/>
      </c>
      <c r="S2006" s="1605" t="str">
        <f t="shared" si="309"/>
        <v/>
      </c>
      <c r="U2006" s="1728"/>
      <c r="V2006" s="1626">
        <f t="shared" si="307"/>
        <v>0</v>
      </c>
      <c r="W2006" s="1767"/>
      <c r="X2006" s="1626"/>
    </row>
    <row r="2007" spans="1:24" ht="16" thickBot="1" x14ac:dyDescent="0.25">
      <c r="A2007" s="1650" t="s">
        <v>5</v>
      </c>
      <c r="B2007" s="1678">
        <f>IFERROR(SUM(M2001:M2007),"")</f>
        <v>84</v>
      </c>
      <c r="C2007" s="1360">
        <v>45095</v>
      </c>
      <c r="D2007" s="683">
        <v>85</v>
      </c>
      <c r="E2007" s="684" t="s">
        <v>292</v>
      </c>
      <c r="F2007" s="1538" t="s">
        <v>308</v>
      </c>
      <c r="G2007" s="1361">
        <v>5.1956018518518519E-2</v>
      </c>
      <c r="H2007" s="1362">
        <v>12.98</v>
      </c>
      <c r="I2007" s="1363">
        <f t="shared" si="304"/>
        <v>4.0027749243850934E-3</v>
      </c>
      <c r="J2007" s="1364">
        <v>137</v>
      </c>
      <c r="K2007" s="1822">
        <v>65</v>
      </c>
      <c r="L2007" s="1583">
        <v>208</v>
      </c>
      <c r="M2007" s="1364">
        <v>33</v>
      </c>
      <c r="N2007" s="1365">
        <f t="shared" si="308"/>
        <v>1.0736517719568566</v>
      </c>
      <c r="O2007" s="1366" t="s">
        <v>327</v>
      </c>
      <c r="P2007" s="1367" t="str">
        <f>IFERROR(VLOOKUP(F2007,#REF!,12,FALSE),"")</f>
        <v/>
      </c>
      <c r="Q2007" s="19" t="s">
        <v>8</v>
      </c>
      <c r="R2007" s="20" t="str">
        <f>IFERROR(VLOOKUP(F2007,#REF!,14,FALSE),"")</f>
        <v/>
      </c>
      <c r="S2007" s="1191">
        <f t="shared" si="309"/>
        <v>1.5182481751824817</v>
      </c>
      <c r="U2007" s="1728"/>
      <c r="V2007" s="683">
        <f t="shared" si="307"/>
        <v>0</v>
      </c>
      <c r="W2007" s="1768"/>
      <c r="X2007" s="683"/>
    </row>
    <row r="2008" spans="1:24" ht="16" thickBot="1" x14ac:dyDescent="0.25">
      <c r="A2008" s="1962">
        <f>WEEKNUM(C2008,1)</f>
        <v>25</v>
      </c>
      <c r="B2008" s="1963"/>
      <c r="C2008" s="1368">
        <v>45096</v>
      </c>
      <c r="D2008" s="1369">
        <v>86</v>
      </c>
      <c r="E2008" s="1370" t="s">
        <v>293</v>
      </c>
      <c r="F2008" s="1536" t="s">
        <v>267</v>
      </c>
      <c r="G2008" s="1371">
        <v>2.5706018518518517E-2</v>
      </c>
      <c r="H2008" s="1372">
        <v>6.51</v>
      </c>
      <c r="I2008" s="1373">
        <f t="shared" si="304"/>
        <v>3.9486971610627527E-3</v>
      </c>
      <c r="J2008" s="1374">
        <v>121</v>
      </c>
      <c r="K2008" s="1745">
        <v>30</v>
      </c>
      <c r="L2008" s="1577">
        <v>206</v>
      </c>
      <c r="M2008" s="1374">
        <v>10</v>
      </c>
      <c r="N2008" s="1375">
        <f t="shared" si="308"/>
        <v>1.0489625604695418</v>
      </c>
      <c r="O2008" s="1376" t="s">
        <v>333</v>
      </c>
      <c r="P2008" s="795" t="str">
        <f>IFERROR(VLOOKUP(F2008,#REF!,12,FALSE),"")</f>
        <v/>
      </c>
      <c r="Q2008" s="32" t="s">
        <v>8</v>
      </c>
      <c r="R2008" s="1255" t="str">
        <f>IFERROR(VLOOKUP(F2008,#REF!,14,FALSE),"")</f>
        <v/>
      </c>
      <c r="S2008" s="1377">
        <f t="shared" si="309"/>
        <v>1.7024793388429753</v>
      </c>
      <c r="U2008" s="1728"/>
      <c r="V2008" s="1369">
        <f t="shared" si="307"/>
        <v>0</v>
      </c>
      <c r="W2008" s="1766"/>
      <c r="X2008" s="1369"/>
    </row>
    <row r="2009" spans="1:24" x14ac:dyDescent="0.2">
      <c r="A2009" s="1648" t="s">
        <v>142</v>
      </c>
      <c r="B2009" s="1675">
        <f>SUM(H2008:H2014)</f>
        <v>40.559999999999995</v>
      </c>
      <c r="C2009" s="1378">
        <v>45097</v>
      </c>
      <c r="D2009" s="1379">
        <v>87</v>
      </c>
      <c r="E2009" s="1380" t="s">
        <v>293</v>
      </c>
      <c r="F2009" s="1534" t="s">
        <v>322</v>
      </c>
      <c r="G2009" s="1381">
        <v>3.1168981481481482E-2</v>
      </c>
      <c r="H2009" s="1382">
        <v>8.02</v>
      </c>
      <c r="I2009" s="1383">
        <f t="shared" si="304"/>
        <v>3.8864066685139007E-3</v>
      </c>
      <c r="J2009" s="1384">
        <v>123</v>
      </c>
      <c r="K2009" s="1823">
        <v>41</v>
      </c>
      <c r="L2009" s="1578">
        <v>212</v>
      </c>
      <c r="M2009" s="1602">
        <v>12</v>
      </c>
      <c r="N2009" s="1385">
        <f t="shared" si="308"/>
        <v>1.0624855771020212</v>
      </c>
      <c r="O2009" s="1386" t="s">
        <v>329</v>
      </c>
      <c r="P2009" s="1387" t="str">
        <f>IFERROR(VLOOKUP(F2009,#REF!,12,FALSE),"")</f>
        <v/>
      </c>
      <c r="Q2009" s="1388" t="s">
        <v>8</v>
      </c>
      <c r="R2009" s="1389" t="str">
        <f>IFERROR(VLOOKUP(F2009,#REF!,14,FALSE),"")</f>
        <v/>
      </c>
      <c r="S2009" s="1390">
        <f t="shared" si="309"/>
        <v>1.7235772357723578</v>
      </c>
      <c r="U2009" s="1728"/>
      <c r="V2009" s="1379">
        <f t="shared" si="307"/>
        <v>0</v>
      </c>
      <c r="W2009" s="1767"/>
      <c r="X2009" s="1379"/>
    </row>
    <row r="2010" spans="1:24" x14ac:dyDescent="0.2">
      <c r="A2010" s="1649" t="s">
        <v>144</v>
      </c>
      <c r="B2010" s="1676">
        <f>SUM(K2008:K2014)</f>
        <v>190</v>
      </c>
      <c r="C2010" s="1378">
        <v>45098</v>
      </c>
      <c r="D2010" s="1379"/>
      <c r="E2010" s="1380"/>
      <c r="F2010" s="1534"/>
      <c r="G2010" s="1381"/>
      <c r="H2010" s="1382" t="str">
        <f>IFERROR(VLOOKUP(F2010,#REF!,10,FALSE),"")</f>
        <v/>
      </c>
      <c r="I2010" s="1383" t="str">
        <f t="shared" si="304"/>
        <v/>
      </c>
      <c r="J2010" s="1384"/>
      <c r="K2010" s="1823"/>
      <c r="L2010" s="1578"/>
      <c r="M2010" s="1602"/>
      <c r="N2010" s="1385" t="str">
        <f t="shared" si="308"/>
        <v/>
      </c>
      <c r="O2010" s="1386"/>
      <c r="P2010" s="1387" t="str">
        <f>IFERROR(VLOOKUP(F2010,#REF!,12,FALSE),"")</f>
        <v/>
      </c>
      <c r="Q2010" s="1388" t="s">
        <v>8</v>
      </c>
      <c r="R2010" s="1389" t="str">
        <f>IFERROR(VLOOKUP(F2010,#REF!,14,FALSE),"")</f>
        <v/>
      </c>
      <c r="S2010" s="1390" t="str">
        <f t="shared" si="309"/>
        <v/>
      </c>
      <c r="U2010" s="1728"/>
      <c r="V2010" s="1379">
        <f t="shared" si="307"/>
        <v>0</v>
      </c>
      <c r="W2010" s="1767"/>
      <c r="X2010" s="1379"/>
    </row>
    <row r="2011" spans="1:24" x14ac:dyDescent="0.2">
      <c r="A2011" s="1649" t="s">
        <v>256</v>
      </c>
      <c r="B2011" s="1677" t="e">
        <f>AVERAGE(#REF!)</f>
        <v>#REF!</v>
      </c>
      <c r="C2011" s="1378">
        <v>45099</v>
      </c>
      <c r="D2011" s="1379">
        <v>88</v>
      </c>
      <c r="E2011" s="1380" t="s">
        <v>293</v>
      </c>
      <c r="F2011" s="1534" t="s">
        <v>267</v>
      </c>
      <c r="G2011" s="1381">
        <v>2.3807870370370368E-2</v>
      </c>
      <c r="H2011" s="1382">
        <v>5.84</v>
      </c>
      <c r="I2011" s="1383">
        <f t="shared" si="304"/>
        <v>4.0766901319127342E-3</v>
      </c>
      <c r="J2011" s="1384">
        <v>125</v>
      </c>
      <c r="K2011" s="1823">
        <v>27</v>
      </c>
      <c r="L2011" s="1578">
        <v>204</v>
      </c>
      <c r="M2011" s="1602">
        <v>12</v>
      </c>
      <c r="N2011" s="1385">
        <f t="shared" si="308"/>
        <v>1.0724493968513595</v>
      </c>
      <c r="O2011" s="1386" t="s">
        <v>328</v>
      </c>
      <c r="P2011" s="1387" t="str">
        <f>IFERROR(VLOOKUP(F2011,#REF!,12,FALSE),"")</f>
        <v/>
      </c>
      <c r="Q2011" s="1388" t="s">
        <v>8</v>
      </c>
      <c r="R2011" s="1389" t="str">
        <f>IFERROR(VLOOKUP(F2011,#REF!,14,FALSE),"")</f>
        <v/>
      </c>
      <c r="S2011" s="1390">
        <f t="shared" si="309"/>
        <v>1.6319999999999999</v>
      </c>
      <c r="U2011" s="1728"/>
      <c r="V2011" s="1379">
        <f t="shared" si="307"/>
        <v>0</v>
      </c>
      <c r="W2011" s="1767"/>
      <c r="X2011" s="1379"/>
    </row>
    <row r="2012" spans="1:24" x14ac:dyDescent="0.2">
      <c r="A2012" s="1649" t="s">
        <v>336</v>
      </c>
      <c r="B2012" s="1712">
        <f>IFERROR(AVERAGE(N2008:N2014),"")</f>
        <v>1.0623342112522716</v>
      </c>
      <c r="C2012" s="1378">
        <v>45100</v>
      </c>
      <c r="D2012" s="1379">
        <v>89</v>
      </c>
      <c r="E2012" s="1380" t="s">
        <v>292</v>
      </c>
      <c r="F2012" s="1550" t="s">
        <v>267</v>
      </c>
      <c r="G2012" s="1381">
        <v>3.1284722222222221E-2</v>
      </c>
      <c r="H2012" s="1382">
        <v>7.22</v>
      </c>
      <c r="I2012" s="1383">
        <f t="shared" si="304"/>
        <v>4.333064019698369E-3</v>
      </c>
      <c r="J2012" s="1384">
        <v>119</v>
      </c>
      <c r="K2012" s="1823">
        <v>28</v>
      </c>
      <c r="L2012" s="1578">
        <v>189</v>
      </c>
      <c r="M2012" s="1602">
        <v>27</v>
      </c>
      <c r="N2012" s="1385">
        <f t="shared" si="308"/>
        <v>1.0560776450159177</v>
      </c>
      <c r="O2012" s="1386" t="s">
        <v>333</v>
      </c>
      <c r="P2012" s="1387" t="str">
        <f>IFERROR(VLOOKUP(F2012,#REF!,12,FALSE),"")</f>
        <v/>
      </c>
      <c r="Q2012" s="1388" t="s">
        <v>8</v>
      </c>
      <c r="R2012" s="1389" t="str">
        <f>IFERROR(VLOOKUP(F2012,#REF!,14,FALSE),"")</f>
        <v/>
      </c>
      <c r="S2012" s="1390">
        <f t="shared" si="309"/>
        <v>1.588235294117647</v>
      </c>
      <c r="U2012" s="1728"/>
      <c r="V2012" s="1379">
        <f t="shared" si="307"/>
        <v>0</v>
      </c>
      <c r="W2012" s="1767"/>
      <c r="X2012" s="1379"/>
    </row>
    <row r="2013" spans="1:24" x14ac:dyDescent="0.2">
      <c r="A2013" s="1649" t="s">
        <v>337</v>
      </c>
      <c r="B2013" s="1677">
        <f>IFERROR(AVERAGE(S2008:S2014),"")</f>
        <v>1.6501886063047355</v>
      </c>
      <c r="C2013" s="1625">
        <v>45101</v>
      </c>
      <c r="D2013" s="1626"/>
      <c r="E2013" s="1627"/>
      <c r="F2013" s="1628"/>
      <c r="G2013" s="1629"/>
      <c r="H2013" s="1630" t="str">
        <f>IFERROR(VLOOKUP(F2013,#REF!,10,FALSE),"")</f>
        <v/>
      </c>
      <c r="I2013" s="1631" t="str">
        <f t="shared" si="304"/>
        <v/>
      </c>
      <c r="J2013" s="1632"/>
      <c r="K2013" s="1823"/>
      <c r="L2013" s="1578"/>
      <c r="M2013" s="1632"/>
      <c r="N2013" s="1633" t="str">
        <f t="shared" si="308"/>
        <v/>
      </c>
      <c r="O2013" s="1634"/>
      <c r="P2013" s="1635" t="str">
        <f>IFERROR(VLOOKUP(F2013,#REF!,12,FALSE),"")</f>
        <v/>
      </c>
      <c r="Q2013" s="1636" t="s">
        <v>8</v>
      </c>
      <c r="R2013" s="1637" t="str">
        <f>IFERROR(VLOOKUP(F2013,#REF!,14,FALSE),"")</f>
        <v/>
      </c>
      <c r="S2013" s="1605" t="str">
        <f t="shared" si="309"/>
        <v/>
      </c>
      <c r="U2013" s="1728"/>
      <c r="V2013" s="1626">
        <f t="shared" si="307"/>
        <v>0</v>
      </c>
      <c r="W2013" s="1767"/>
      <c r="X2013" s="1626"/>
    </row>
    <row r="2014" spans="1:24" ht="16" thickBot="1" x14ac:dyDescent="0.25">
      <c r="A2014" s="1650" t="s">
        <v>5</v>
      </c>
      <c r="B2014" s="1678">
        <f>IFERROR(SUM(M2008:M2014),"")</f>
        <v>99</v>
      </c>
      <c r="C2014" s="1360">
        <v>45102</v>
      </c>
      <c r="D2014" s="683">
        <v>90</v>
      </c>
      <c r="E2014" s="684" t="s">
        <v>292</v>
      </c>
      <c r="F2014" s="1538" t="s">
        <v>308</v>
      </c>
      <c r="G2014" s="1361">
        <v>5.2071759259259255E-2</v>
      </c>
      <c r="H2014" s="1362">
        <v>12.97</v>
      </c>
      <c r="I2014" s="1363">
        <f t="shared" si="304"/>
        <v>4.0147848310916924E-3</v>
      </c>
      <c r="J2014" s="1364">
        <v>129</v>
      </c>
      <c r="K2014" s="1803">
        <v>64</v>
      </c>
      <c r="L2014" s="1583">
        <v>207</v>
      </c>
      <c r="M2014" s="1364">
        <v>38</v>
      </c>
      <c r="N2014" s="1365">
        <f t="shared" si="308"/>
        <v>1.071695876822518</v>
      </c>
      <c r="O2014" s="1366" t="s">
        <v>327</v>
      </c>
      <c r="P2014" s="1367" t="str">
        <f>IFERROR(VLOOKUP(F2014,#REF!,12,FALSE),"")</f>
        <v/>
      </c>
      <c r="Q2014" s="19" t="s">
        <v>8</v>
      </c>
      <c r="R2014" s="20" t="str">
        <f>IFERROR(VLOOKUP(F2014,#REF!,14,FALSE),"")</f>
        <v/>
      </c>
      <c r="S2014" s="1191">
        <f t="shared" si="309"/>
        <v>1.6046511627906976</v>
      </c>
      <c r="U2014" s="1728"/>
      <c r="V2014" s="683">
        <f t="shared" si="307"/>
        <v>0</v>
      </c>
      <c r="W2014" s="1768"/>
      <c r="X2014" s="683"/>
    </row>
    <row r="2015" spans="1:24" ht="16" thickBot="1" x14ac:dyDescent="0.25">
      <c r="A2015" s="1962">
        <f>WEEKNUM(C2015,1)</f>
        <v>26</v>
      </c>
      <c r="B2015" s="1963"/>
      <c r="C2015" s="1368">
        <v>45103</v>
      </c>
      <c r="D2015" s="1369">
        <v>91</v>
      </c>
      <c r="E2015" s="1370" t="s">
        <v>293</v>
      </c>
      <c r="F2015" s="1536" t="s">
        <v>267</v>
      </c>
      <c r="G2015" s="1371">
        <v>2.4016203703703706E-2</v>
      </c>
      <c r="H2015" s="1372">
        <v>5.97</v>
      </c>
      <c r="I2015" s="1373">
        <f t="shared" si="304"/>
        <v>4.0228146907376394E-3</v>
      </c>
      <c r="J2015" s="1374">
        <v>121</v>
      </c>
      <c r="K2015" s="1740">
        <v>26</v>
      </c>
      <c r="L2015" s="1577">
        <v>202</v>
      </c>
      <c r="M2015" s="1374">
        <v>8</v>
      </c>
      <c r="N2015" s="1375">
        <f t="shared" si="308"/>
        <v>1.0479011975299384</v>
      </c>
      <c r="O2015" s="1376" t="s">
        <v>333</v>
      </c>
      <c r="P2015" s="795" t="str">
        <f>IFERROR(VLOOKUP(F2015,#REF!,12,FALSE),"")</f>
        <v/>
      </c>
      <c r="Q2015" s="32" t="s">
        <v>8</v>
      </c>
      <c r="R2015" s="1255" t="str">
        <f>IFERROR(VLOOKUP(F2015,#REF!,14,FALSE),"")</f>
        <v/>
      </c>
      <c r="S2015" s="1377">
        <f t="shared" si="309"/>
        <v>1.6694214876033058</v>
      </c>
      <c r="U2015" s="1728"/>
      <c r="V2015" s="1369">
        <f t="shared" si="307"/>
        <v>0</v>
      </c>
      <c r="W2015" s="1766"/>
      <c r="X2015" s="1369"/>
    </row>
    <row r="2016" spans="1:24" x14ac:dyDescent="0.2">
      <c r="A2016" s="1648" t="s">
        <v>142</v>
      </c>
      <c r="B2016" s="1675">
        <f>SUM(H2015:H2021)</f>
        <v>40.53</v>
      </c>
      <c r="C2016" s="1378">
        <v>45104</v>
      </c>
      <c r="D2016" s="1379">
        <v>92</v>
      </c>
      <c r="E2016" s="1380" t="s">
        <v>293</v>
      </c>
      <c r="F2016" s="1534" t="s">
        <v>322</v>
      </c>
      <c r="G2016" s="1381">
        <v>3.1134259259259261E-2</v>
      </c>
      <c r="H2016" s="1382">
        <v>7.93</v>
      </c>
      <c r="I2016" s="1383">
        <f t="shared" si="304"/>
        <v>3.9261360982672461E-3</v>
      </c>
      <c r="J2016" s="1384">
        <v>123</v>
      </c>
      <c r="K2016" s="1741">
        <v>40</v>
      </c>
      <c r="L2016" s="1578">
        <v>210</v>
      </c>
      <c r="M2016" s="1602">
        <v>17</v>
      </c>
      <c r="N2016" s="1385">
        <f t="shared" si="308"/>
        <v>1.0632210950292675</v>
      </c>
      <c r="O2016" s="1386" t="s">
        <v>329</v>
      </c>
      <c r="P2016" s="1387" t="str">
        <f>IFERROR(VLOOKUP(F2016,#REF!,12,FALSE),"")</f>
        <v/>
      </c>
      <c r="Q2016" s="1388" t="s">
        <v>8</v>
      </c>
      <c r="R2016" s="1389" t="str">
        <f>IFERROR(VLOOKUP(F2016,#REF!,14,FALSE),"")</f>
        <v/>
      </c>
      <c r="S2016" s="1390">
        <f t="shared" si="309"/>
        <v>1.7073170731707317</v>
      </c>
      <c r="U2016" s="1728"/>
      <c r="V2016" s="1379">
        <f t="shared" si="307"/>
        <v>0</v>
      </c>
      <c r="W2016" s="1767"/>
      <c r="X2016" s="1379"/>
    </row>
    <row r="2017" spans="1:24" x14ac:dyDescent="0.2">
      <c r="A2017" s="1649" t="s">
        <v>144</v>
      </c>
      <c r="B2017" s="1676" t="e">
        <f>SUM(#REF!)</f>
        <v>#REF!</v>
      </c>
      <c r="C2017" s="1378">
        <v>45105</v>
      </c>
      <c r="D2017" s="1379"/>
      <c r="E2017" s="1380"/>
      <c r="F2017" s="1534"/>
      <c r="G2017" s="1381"/>
      <c r="H2017" s="1382" t="str">
        <f>IFERROR(VLOOKUP(F2017,#REF!,10,FALSE),"")</f>
        <v/>
      </c>
      <c r="I2017" s="1383" t="str">
        <f t="shared" si="304"/>
        <v/>
      </c>
      <c r="J2017" s="1384"/>
      <c r="K2017" s="1741"/>
      <c r="L2017" s="1578"/>
      <c r="M2017" s="1602"/>
      <c r="N2017" s="1385" t="str">
        <f t="shared" si="308"/>
        <v/>
      </c>
      <c r="O2017" s="1386"/>
      <c r="P2017" s="1387" t="str">
        <f>IFERROR(VLOOKUP(F2017,#REF!,12,FALSE),"")</f>
        <v/>
      </c>
      <c r="Q2017" s="1388" t="s">
        <v>8</v>
      </c>
      <c r="R2017" s="1389" t="str">
        <f>IFERROR(VLOOKUP(F2017,#REF!,14,FALSE),"")</f>
        <v/>
      </c>
      <c r="S2017" s="1390" t="str">
        <f t="shared" si="309"/>
        <v/>
      </c>
      <c r="U2017" s="1728"/>
      <c r="V2017" s="1379">
        <f t="shared" si="307"/>
        <v>0</v>
      </c>
      <c r="W2017" s="1767"/>
      <c r="X2017" s="1379"/>
    </row>
    <row r="2018" spans="1:24" x14ac:dyDescent="0.2">
      <c r="A2018" s="1649" t="s">
        <v>256</v>
      </c>
      <c r="B2018" s="1677" t="e">
        <f>AVERAGE(#REF!)</f>
        <v>#REF!</v>
      </c>
      <c r="C2018" s="1378">
        <v>45106</v>
      </c>
      <c r="D2018" s="1379">
        <v>93</v>
      </c>
      <c r="E2018" s="1380" t="s">
        <v>293</v>
      </c>
      <c r="F2018" s="1534" t="s">
        <v>331</v>
      </c>
      <c r="G2018" s="1381">
        <v>2.6805555555555555E-2</v>
      </c>
      <c r="H2018" s="1382">
        <v>6.71</v>
      </c>
      <c r="I2018" s="1383">
        <f t="shared" si="304"/>
        <v>3.9948666997847325E-3</v>
      </c>
      <c r="J2018" s="1384">
        <v>127</v>
      </c>
      <c r="K2018" s="1741">
        <v>36</v>
      </c>
      <c r="L2018" s="1578">
        <v>207</v>
      </c>
      <c r="M2018" s="1602">
        <v>15</v>
      </c>
      <c r="N2018" s="1385">
        <f t="shared" si="308"/>
        <v>1.0663789843628355</v>
      </c>
      <c r="O2018" s="1386" t="s">
        <v>328</v>
      </c>
      <c r="P2018" s="1387" t="str">
        <f>IFERROR(VLOOKUP(F2018,#REF!,12,FALSE),"")</f>
        <v/>
      </c>
      <c r="Q2018" s="1388" t="s">
        <v>8</v>
      </c>
      <c r="R2018" s="1389" t="str">
        <f>IFERROR(VLOOKUP(F2018,#REF!,14,FALSE),"")</f>
        <v/>
      </c>
      <c r="S2018" s="1390">
        <f t="shared" si="309"/>
        <v>1.6299212598425197</v>
      </c>
      <c r="U2018" s="1728"/>
      <c r="V2018" s="1379">
        <f t="shared" si="307"/>
        <v>0</v>
      </c>
      <c r="W2018" s="1767"/>
      <c r="X2018" s="1379"/>
    </row>
    <row r="2019" spans="1:24" x14ac:dyDescent="0.2">
      <c r="A2019" s="1649" t="s">
        <v>336</v>
      </c>
      <c r="B2019" s="1712">
        <f>IFERROR(AVERAGE(N2015:N2021),"")</f>
        <v>1.0628072878441404</v>
      </c>
      <c r="C2019" s="1378">
        <v>45107</v>
      </c>
      <c r="D2019" s="1379">
        <v>94</v>
      </c>
      <c r="E2019" s="1380" t="s">
        <v>293</v>
      </c>
      <c r="F2019" s="1550" t="s">
        <v>322</v>
      </c>
      <c r="G2019" s="1381">
        <v>3.1053240740740742E-2</v>
      </c>
      <c r="H2019" s="1382">
        <v>7.93</v>
      </c>
      <c r="I2019" s="1383">
        <f t="shared" si="304"/>
        <v>3.9159193872308632E-3</v>
      </c>
      <c r="J2019" s="1384">
        <v>121</v>
      </c>
      <c r="K2019" s="1741">
        <v>40</v>
      </c>
      <c r="L2019" s="1578">
        <v>210</v>
      </c>
      <c r="M2019" s="1602">
        <v>11</v>
      </c>
      <c r="N2019" s="1385">
        <f t="shared" si="308"/>
        <v>1.0604543486853253</v>
      </c>
      <c r="O2019" s="1386" t="s">
        <v>340</v>
      </c>
      <c r="P2019" s="1387" t="str">
        <f>IFERROR(VLOOKUP(F2019,#REF!,12,FALSE),"")</f>
        <v/>
      </c>
      <c r="Q2019" s="1388" t="s">
        <v>8</v>
      </c>
      <c r="R2019" s="1389" t="str">
        <f>IFERROR(VLOOKUP(F2019,#REF!,14,FALSE),"")</f>
        <v/>
      </c>
      <c r="S2019" s="1390">
        <f t="shared" si="309"/>
        <v>1.7355371900826446</v>
      </c>
      <c r="U2019" s="1728"/>
      <c r="V2019" s="1379">
        <f t="shared" si="307"/>
        <v>0</v>
      </c>
      <c r="W2019" s="1767"/>
      <c r="X2019" s="1379"/>
    </row>
    <row r="2020" spans="1:24" x14ac:dyDescent="0.2">
      <c r="A2020" s="1649" t="s">
        <v>337</v>
      </c>
      <c r="B2020" s="1677">
        <f>IFERROR(AVERAGE(S2015:S2021),"")</f>
        <v>1.654321755081017</v>
      </c>
      <c r="C2020" s="1625">
        <v>45108</v>
      </c>
      <c r="D2020" s="1626"/>
      <c r="E2020" s="1627"/>
      <c r="F2020" s="1628"/>
      <c r="G2020" s="1629"/>
      <c r="H2020" s="1630" t="str">
        <f>IFERROR(VLOOKUP(F2020,#REF!,10,FALSE),"")</f>
        <v/>
      </c>
      <c r="I2020" s="1631" t="str">
        <f t="shared" si="304"/>
        <v/>
      </c>
      <c r="J2020" s="1632"/>
      <c r="K2020" s="1741"/>
      <c r="L2020" s="1578"/>
      <c r="M2020" s="1632"/>
      <c r="N2020" s="1633" t="str">
        <f t="shared" si="308"/>
        <v/>
      </c>
      <c r="O2020" s="1634"/>
      <c r="P2020" s="1635" t="str">
        <f>IFERROR(VLOOKUP(F2020,#REF!,12,FALSE),"")</f>
        <v/>
      </c>
      <c r="Q2020" s="1636" t="s">
        <v>8</v>
      </c>
      <c r="R2020" s="1637" t="str">
        <f>IFERROR(VLOOKUP(F2020,#REF!,14,FALSE),"")</f>
        <v/>
      </c>
      <c r="S2020" s="1605" t="str">
        <f t="shared" si="309"/>
        <v/>
      </c>
      <c r="U2020" s="1728"/>
      <c r="V2020" s="1626">
        <f t="shared" si="307"/>
        <v>0</v>
      </c>
      <c r="W2020" s="1767"/>
      <c r="X2020" s="1626"/>
    </row>
    <row r="2021" spans="1:24" ht="16" thickBot="1" x14ac:dyDescent="0.25">
      <c r="A2021" s="1650" t="s">
        <v>5</v>
      </c>
      <c r="B2021" s="1678">
        <f>IFERROR(SUM(M2015:M2021),"")</f>
        <v>96</v>
      </c>
      <c r="C2021" s="1360">
        <v>45109</v>
      </c>
      <c r="D2021" s="683">
        <v>95</v>
      </c>
      <c r="E2021" s="684" t="s">
        <v>292</v>
      </c>
      <c r="F2021" s="1538" t="s">
        <v>308</v>
      </c>
      <c r="G2021" s="1361">
        <v>4.8101851851851847E-2</v>
      </c>
      <c r="H2021" s="1362">
        <v>11.99</v>
      </c>
      <c r="I2021" s="1363">
        <f t="shared" si="304"/>
        <v>4.0118308466932312E-3</v>
      </c>
      <c r="J2021" s="1364">
        <v>136</v>
      </c>
      <c r="K2021" s="1741">
        <v>60</v>
      </c>
      <c r="L2021" s="1583">
        <v>208</v>
      </c>
      <c r="M2021" s="1364">
        <v>45</v>
      </c>
      <c r="N2021" s="1365">
        <f t="shared" si="308"/>
        <v>1.0760808136133344</v>
      </c>
      <c r="O2021" s="1366" t="s">
        <v>327</v>
      </c>
      <c r="P2021" s="1367" t="str">
        <f>IFERROR(VLOOKUP(F2021,#REF!,12,FALSE),"")</f>
        <v/>
      </c>
      <c r="Q2021" s="19" t="s">
        <v>8</v>
      </c>
      <c r="R2021" s="20" t="str">
        <f>IFERROR(VLOOKUP(F2021,#REF!,14,FALSE),"")</f>
        <v/>
      </c>
      <c r="S2021" s="1191">
        <f t="shared" si="309"/>
        <v>1.5294117647058822</v>
      </c>
      <c r="U2021" s="1728"/>
      <c r="V2021" s="683">
        <f t="shared" si="307"/>
        <v>0</v>
      </c>
      <c r="W2021" s="1768"/>
      <c r="X2021" s="683"/>
    </row>
    <row r="2022" spans="1:24" ht="16" thickBot="1" x14ac:dyDescent="0.25">
      <c r="A2022" s="1962">
        <f>WEEKNUM(C2022,1)</f>
        <v>27</v>
      </c>
      <c r="B2022" s="1963"/>
      <c r="C2022" s="1368">
        <v>45110</v>
      </c>
      <c r="D2022" s="1369">
        <v>96</v>
      </c>
      <c r="E2022" s="1370" t="s">
        <v>293</v>
      </c>
      <c r="F2022" s="1536" t="s">
        <v>267</v>
      </c>
      <c r="G2022" s="1371">
        <v>2.5104166666666664E-2</v>
      </c>
      <c r="H2022" s="1372">
        <v>6.12</v>
      </c>
      <c r="I2022" s="1373">
        <f t="shared" si="304"/>
        <v>4.1019880174291935E-3</v>
      </c>
      <c r="J2022" s="1374">
        <v>117</v>
      </c>
      <c r="K2022" s="1741">
        <v>27</v>
      </c>
      <c r="L2022" s="1577">
        <v>199</v>
      </c>
      <c r="M2022" s="1374">
        <v>14</v>
      </c>
      <c r="N2022" s="1375">
        <f t="shared" si="308"/>
        <v>1.0526558384547848</v>
      </c>
      <c r="O2022" s="1376" t="s">
        <v>333</v>
      </c>
      <c r="P2022" s="795" t="str">
        <f>IFERROR(VLOOKUP(F2022,#REF!,12,FALSE),"")</f>
        <v/>
      </c>
      <c r="Q2022" s="32" t="s">
        <v>8</v>
      </c>
      <c r="R2022" s="1255" t="str">
        <f>IFERROR(VLOOKUP(F2022,#REF!,14,FALSE),"")</f>
        <v/>
      </c>
      <c r="S2022" s="1377">
        <f t="shared" si="309"/>
        <v>1.7008547008547008</v>
      </c>
      <c r="U2022" s="1728"/>
      <c r="V2022" s="1369">
        <f t="shared" si="307"/>
        <v>0</v>
      </c>
      <c r="W2022" s="1766"/>
      <c r="X2022" s="1369"/>
    </row>
    <row r="2023" spans="1:24" x14ac:dyDescent="0.2">
      <c r="A2023" s="1648" t="s">
        <v>142</v>
      </c>
      <c r="B2023" s="1675">
        <f>SUM(H2022:H2028)</f>
        <v>37.880000000000003</v>
      </c>
      <c r="C2023" s="1378">
        <v>45111</v>
      </c>
      <c r="D2023" s="1379"/>
      <c r="E2023" s="1380"/>
      <c r="F2023" s="1534"/>
      <c r="G2023" s="1381"/>
      <c r="H2023" s="1382" t="str">
        <f>IFERROR(VLOOKUP(F2023,#REF!,10,FALSE),"")</f>
        <v/>
      </c>
      <c r="I2023" s="1383" t="str">
        <f t="shared" si="304"/>
        <v/>
      </c>
      <c r="J2023" s="1384"/>
      <c r="K2023" s="1741"/>
      <c r="L2023" s="1578"/>
      <c r="M2023" s="1602"/>
      <c r="N2023" s="1385" t="str">
        <f t="shared" si="308"/>
        <v/>
      </c>
      <c r="O2023" s="1386"/>
      <c r="P2023" s="1387" t="str">
        <f>IFERROR(VLOOKUP(F2023,#REF!,12,FALSE),"")</f>
        <v/>
      </c>
      <c r="Q2023" s="1388" t="s">
        <v>8</v>
      </c>
      <c r="R2023" s="1389" t="str">
        <f>IFERROR(VLOOKUP(F2023,#REF!,14,FALSE),"")</f>
        <v/>
      </c>
      <c r="S2023" s="1390" t="str">
        <f t="shared" si="309"/>
        <v/>
      </c>
      <c r="U2023" s="1728"/>
      <c r="V2023" s="1379">
        <f t="shared" si="307"/>
        <v>0</v>
      </c>
      <c r="W2023" s="1767"/>
      <c r="X2023" s="1379"/>
    </row>
    <row r="2024" spans="1:24" x14ac:dyDescent="0.2">
      <c r="A2024" s="1649" t="s">
        <v>144</v>
      </c>
      <c r="B2024" s="1676" t="e">
        <f>SUM(#REF!)</f>
        <v>#REF!</v>
      </c>
      <c r="C2024" s="1378">
        <v>45112</v>
      </c>
      <c r="D2024" s="1379"/>
      <c r="E2024" s="1380"/>
      <c r="F2024" s="1534"/>
      <c r="G2024" s="1381"/>
      <c r="H2024" s="1382" t="str">
        <f>IFERROR(VLOOKUP(F2024,#REF!,10,FALSE),"")</f>
        <v/>
      </c>
      <c r="I2024" s="1383" t="str">
        <f t="shared" si="304"/>
        <v/>
      </c>
      <c r="J2024" s="1384"/>
      <c r="K2024" s="1741"/>
      <c r="L2024" s="1578"/>
      <c r="M2024" s="1602"/>
      <c r="N2024" s="1385" t="str">
        <f t="shared" si="308"/>
        <v/>
      </c>
      <c r="O2024" s="1386"/>
      <c r="P2024" s="1387" t="str">
        <f>IFERROR(VLOOKUP(F2024,#REF!,12,FALSE),"")</f>
        <v/>
      </c>
      <c r="Q2024" s="1388" t="s">
        <v>8</v>
      </c>
      <c r="R2024" s="1389" t="str">
        <f>IFERROR(VLOOKUP(F2024,#REF!,14,FALSE),"")</f>
        <v/>
      </c>
      <c r="S2024" s="1390" t="str">
        <f t="shared" si="309"/>
        <v/>
      </c>
      <c r="U2024" s="1728"/>
      <c r="V2024" s="1379">
        <f t="shared" si="307"/>
        <v>0</v>
      </c>
      <c r="W2024" s="1767"/>
      <c r="X2024" s="1379"/>
    </row>
    <row r="2025" spans="1:24" x14ac:dyDescent="0.2">
      <c r="A2025" s="1649" t="s">
        <v>256</v>
      </c>
      <c r="B2025" s="1677" t="e">
        <f>AVERAGE(#REF!)</f>
        <v>#REF!</v>
      </c>
      <c r="C2025" s="1378">
        <v>45113</v>
      </c>
      <c r="D2025" s="1379">
        <v>97</v>
      </c>
      <c r="E2025" s="1380" t="s">
        <v>293</v>
      </c>
      <c r="F2025" s="1534" t="s">
        <v>334</v>
      </c>
      <c r="G2025" s="1381">
        <v>3.6493055555555549E-2</v>
      </c>
      <c r="H2025" s="1382">
        <v>10.31</v>
      </c>
      <c r="I2025" s="1383">
        <f t="shared" si="304"/>
        <v>3.5395786183856012E-3</v>
      </c>
      <c r="J2025" s="1384">
        <v>141</v>
      </c>
      <c r="K2025" s="1741">
        <v>71</v>
      </c>
      <c r="L2025" s="1578">
        <v>233</v>
      </c>
      <c r="M2025" s="1602">
        <v>20</v>
      </c>
      <c r="N2025" s="1385">
        <f t="shared" si="308"/>
        <v>1.0635218669021524</v>
      </c>
      <c r="O2025" s="1386" t="s">
        <v>280</v>
      </c>
      <c r="P2025" s="1387" t="str">
        <f>IFERROR(VLOOKUP(F2025,#REF!,12,FALSE),"")</f>
        <v/>
      </c>
      <c r="Q2025" s="1388" t="s">
        <v>8</v>
      </c>
      <c r="R2025" s="1389" t="str">
        <f>IFERROR(VLOOKUP(F2025,#REF!,14,FALSE),"")</f>
        <v/>
      </c>
      <c r="S2025" s="1390">
        <f t="shared" si="309"/>
        <v>1.6524822695035462</v>
      </c>
      <c r="U2025" s="1728"/>
      <c r="V2025" s="1379">
        <f t="shared" si="307"/>
        <v>0</v>
      </c>
      <c r="W2025" s="1767"/>
      <c r="X2025" s="1379"/>
    </row>
    <row r="2026" spans="1:24" x14ac:dyDescent="0.2">
      <c r="A2026" s="1649" t="s">
        <v>336</v>
      </c>
      <c r="B2026" s="1712">
        <f>IFERROR(AVERAGE(N2022:N2028),"")</f>
        <v>1.0608077313624418</v>
      </c>
      <c r="C2026" s="1378">
        <v>45114</v>
      </c>
      <c r="D2026" s="1379">
        <v>98</v>
      </c>
      <c r="E2026" s="1380" t="s">
        <v>293</v>
      </c>
      <c r="F2026" s="1550" t="s">
        <v>267</v>
      </c>
      <c r="G2026" s="1381">
        <v>2.4884259259259259E-2</v>
      </c>
      <c r="H2026" s="1382">
        <v>6.24</v>
      </c>
      <c r="I2026" s="1383">
        <f t="shared" si="304"/>
        <v>3.9878620607787275E-3</v>
      </c>
      <c r="J2026" s="1384">
        <v>124</v>
      </c>
      <c r="K2026" s="1741">
        <v>29</v>
      </c>
      <c r="L2026" s="1578">
        <v>205</v>
      </c>
      <c r="M2026" s="1602">
        <v>12</v>
      </c>
      <c r="N2026" s="1385">
        <f t="shared" si="308"/>
        <v>1.0542240719479528</v>
      </c>
      <c r="O2026" s="1386" t="s">
        <v>333</v>
      </c>
      <c r="P2026" s="1387" t="str">
        <f>IFERROR(VLOOKUP(F2026,#REF!,12,FALSE),"")</f>
        <v/>
      </c>
      <c r="Q2026" s="1388" t="s">
        <v>8</v>
      </c>
      <c r="R2026" s="1389" t="str">
        <f>IFERROR(VLOOKUP(F2026,#REF!,14,FALSE),"")</f>
        <v/>
      </c>
      <c r="S2026" s="1390">
        <f t="shared" si="309"/>
        <v>1.653225806451613</v>
      </c>
      <c r="U2026" s="1728"/>
      <c r="V2026" s="1379">
        <f t="shared" si="307"/>
        <v>0</v>
      </c>
      <c r="W2026" s="1767"/>
      <c r="X2026" s="1379"/>
    </row>
    <row r="2027" spans="1:24" x14ac:dyDescent="0.2">
      <c r="A2027" s="1649" t="s">
        <v>337</v>
      </c>
      <c r="B2027" s="1677">
        <f>IFERROR(AVERAGE(S2022:S2028),"")</f>
        <v>1.6344531942024649</v>
      </c>
      <c r="C2027" s="1625">
        <v>45115</v>
      </c>
      <c r="D2027" s="1626"/>
      <c r="E2027" s="1627"/>
      <c r="F2027" s="1628"/>
      <c r="G2027" s="1629"/>
      <c r="H2027" s="1382" t="str">
        <f>IFERROR(VLOOKUP(F2027,#REF!,10,FALSE),"")</f>
        <v/>
      </c>
      <c r="I2027" s="1631" t="str">
        <f t="shared" si="304"/>
        <v/>
      </c>
      <c r="J2027" s="1632"/>
      <c r="K2027" s="1741"/>
      <c r="L2027" s="1578"/>
      <c r="M2027" s="1632"/>
      <c r="N2027" s="1633" t="str">
        <f t="shared" si="308"/>
        <v/>
      </c>
      <c r="O2027" s="1634"/>
      <c r="P2027" s="1635" t="str">
        <f>IFERROR(VLOOKUP(F2027,#REF!,12,FALSE),"")</f>
        <v/>
      </c>
      <c r="Q2027" s="1636" t="s">
        <v>8</v>
      </c>
      <c r="R2027" s="1637" t="str">
        <f>IFERROR(VLOOKUP(F2027,#REF!,14,FALSE),"")</f>
        <v/>
      </c>
      <c r="S2027" s="1605" t="str">
        <f t="shared" si="309"/>
        <v/>
      </c>
      <c r="U2027" s="1728"/>
      <c r="V2027" s="1626">
        <f t="shared" si="307"/>
        <v>0</v>
      </c>
      <c r="W2027" s="1767"/>
      <c r="X2027" s="1626"/>
    </row>
    <row r="2028" spans="1:24" ht="16" thickBot="1" x14ac:dyDescent="0.25">
      <c r="A2028" s="1650" t="s">
        <v>5</v>
      </c>
      <c r="B2028" s="1678">
        <f>IFERROR(SUM(M2022:M2028),"")</f>
        <v>89</v>
      </c>
      <c r="C2028" s="1360">
        <v>45116</v>
      </c>
      <c r="D2028" s="683">
        <v>99</v>
      </c>
      <c r="E2028" s="684" t="s">
        <v>292</v>
      </c>
      <c r="F2028" s="1538" t="s">
        <v>273</v>
      </c>
      <c r="G2028" s="1361">
        <v>6.4560185185185193E-2</v>
      </c>
      <c r="H2028" s="1382">
        <v>15.21</v>
      </c>
      <c r="I2028" s="1363">
        <f t="shared" si="304"/>
        <v>4.2445881121094802E-3</v>
      </c>
      <c r="J2028" s="1364">
        <v>128</v>
      </c>
      <c r="K2028" s="1741">
        <v>66</v>
      </c>
      <c r="L2028" s="1583">
        <v>196</v>
      </c>
      <c r="M2028" s="1364">
        <v>43</v>
      </c>
      <c r="N2028" s="1365">
        <f t="shared" si="308"/>
        <v>1.0728291481448775</v>
      </c>
      <c r="O2028" s="1366" t="s">
        <v>327</v>
      </c>
      <c r="P2028" s="1367" t="str">
        <f>IFERROR(VLOOKUP(F2028,#REF!,12,FALSE),"")</f>
        <v/>
      </c>
      <c r="Q2028" s="19" t="s">
        <v>8</v>
      </c>
      <c r="R2028" s="20" t="str">
        <f>IFERROR(VLOOKUP(F2028,#REF!,14,FALSE),"")</f>
        <v/>
      </c>
      <c r="S2028" s="1191">
        <f t="shared" si="309"/>
        <v>1.53125</v>
      </c>
      <c r="U2028" s="1728"/>
      <c r="V2028" s="683">
        <f t="shared" si="307"/>
        <v>0</v>
      </c>
      <c r="W2028" s="1768"/>
      <c r="X2028" s="683"/>
    </row>
    <row r="2029" spans="1:24" ht="16" thickBot="1" x14ac:dyDescent="0.25">
      <c r="A2029" s="1962">
        <f>WEEKNUM(C2029,1)</f>
        <v>28</v>
      </c>
      <c r="B2029" s="1963"/>
      <c r="C2029" s="1368">
        <v>45117</v>
      </c>
      <c r="D2029" s="1369">
        <v>100</v>
      </c>
      <c r="E2029" s="1370" t="s">
        <v>293</v>
      </c>
      <c r="F2029" s="1536" t="s">
        <v>322</v>
      </c>
      <c r="G2029" s="1371">
        <v>2.9270833333333333E-2</v>
      </c>
      <c r="H2029" s="1372">
        <v>7.43</v>
      </c>
      <c r="I2029" s="1373">
        <f t="shared" si="304"/>
        <v>3.93954688200987E-3</v>
      </c>
      <c r="J2029" s="1374">
        <v>122</v>
      </c>
      <c r="K2029" s="1741">
        <v>37</v>
      </c>
      <c r="L2029" s="1577">
        <v>209</v>
      </c>
      <c r="M2029" s="1374">
        <v>17</v>
      </c>
      <c r="N2029" s="1375">
        <f t="shared" si="308"/>
        <v>1.0617725638295734</v>
      </c>
      <c r="O2029" s="1376" t="s">
        <v>340</v>
      </c>
      <c r="P2029" s="795" t="str">
        <f>IFERROR(VLOOKUP(F2029,#REF!,12,FALSE),"")</f>
        <v/>
      </c>
      <c r="Q2029" s="32" t="s">
        <v>8</v>
      </c>
      <c r="R2029" s="1255" t="str">
        <f>IFERROR(VLOOKUP(F2029,#REF!,14,FALSE),"")</f>
        <v/>
      </c>
      <c r="S2029" s="1377">
        <f t="shared" si="309"/>
        <v>1.7131147540983607</v>
      </c>
      <c r="U2029" s="1728"/>
      <c r="V2029" s="1369">
        <f t="shared" si="307"/>
        <v>0</v>
      </c>
      <c r="W2029" s="1766"/>
      <c r="X2029" s="1369"/>
    </row>
    <row r="2030" spans="1:24" x14ac:dyDescent="0.2">
      <c r="A2030" s="1648" t="s">
        <v>142</v>
      </c>
      <c r="B2030" s="1675">
        <f>SUM(H2029:H2035)</f>
        <v>44.36</v>
      </c>
      <c r="C2030" s="1378">
        <v>45118</v>
      </c>
      <c r="D2030" s="1379">
        <v>101</v>
      </c>
      <c r="E2030" s="1380" t="s">
        <v>293</v>
      </c>
      <c r="F2030" s="1534" t="s">
        <v>267</v>
      </c>
      <c r="G2030" s="1381">
        <v>2.8807870370370373E-2</v>
      </c>
      <c r="H2030" s="1382">
        <v>6.96</v>
      </c>
      <c r="I2030" s="1383">
        <f t="shared" si="304"/>
        <v>4.1390618348233297E-3</v>
      </c>
      <c r="J2030" s="1384">
        <v>120</v>
      </c>
      <c r="K2030" s="1741">
        <v>30</v>
      </c>
      <c r="L2030" s="1578">
        <v>196</v>
      </c>
      <c r="M2030" s="1602">
        <v>15</v>
      </c>
      <c r="N2030" s="1385">
        <f t="shared" si="308"/>
        <v>1.0461571453079432</v>
      </c>
      <c r="O2030" s="1386" t="s">
        <v>333</v>
      </c>
      <c r="P2030" s="1387" t="str">
        <f>IFERROR(VLOOKUP(F2030,#REF!,12,FALSE),"")</f>
        <v/>
      </c>
      <c r="Q2030" s="1388" t="s">
        <v>8</v>
      </c>
      <c r="R2030" s="1389" t="str">
        <f>IFERROR(VLOOKUP(F2030,#REF!,14,FALSE),"")</f>
        <v/>
      </c>
      <c r="S2030" s="1390">
        <f t="shared" si="309"/>
        <v>1.6333333333333333</v>
      </c>
      <c r="U2030" s="1728"/>
      <c r="V2030" s="1379">
        <f t="shared" si="307"/>
        <v>0</v>
      </c>
      <c r="W2030" s="1767"/>
      <c r="X2030" s="1379"/>
    </row>
    <row r="2031" spans="1:24" x14ac:dyDescent="0.2">
      <c r="A2031" s="1649" t="s">
        <v>144</v>
      </c>
      <c r="B2031" s="1676" t="e">
        <f>SUM(#REF!)</f>
        <v>#REF!</v>
      </c>
      <c r="C2031" s="1378">
        <v>45119</v>
      </c>
      <c r="D2031" s="1379"/>
      <c r="E2031" s="1380"/>
      <c r="F2031" s="1534"/>
      <c r="G2031" s="1381"/>
      <c r="H2031" s="1382" t="str">
        <f>IFERROR(VLOOKUP(F2031,#REF!,10,FALSE),"")</f>
        <v/>
      </c>
      <c r="I2031" s="1383" t="str">
        <f t="shared" si="304"/>
        <v/>
      </c>
      <c r="J2031" s="1384"/>
      <c r="K2031" s="1741"/>
      <c r="L2031" s="1578"/>
      <c r="M2031" s="1602"/>
      <c r="N2031" s="1385" t="str">
        <f t="shared" si="308"/>
        <v/>
      </c>
      <c r="O2031" s="1386"/>
      <c r="P2031" s="1387" t="str">
        <f>IFERROR(VLOOKUP(F2031,#REF!,12,FALSE),"")</f>
        <v/>
      </c>
      <c r="Q2031" s="1388" t="s">
        <v>8</v>
      </c>
      <c r="R2031" s="1389" t="str">
        <f>IFERROR(VLOOKUP(F2031,#REF!,14,FALSE),"")</f>
        <v/>
      </c>
      <c r="S2031" s="1390" t="str">
        <f t="shared" si="309"/>
        <v/>
      </c>
      <c r="U2031" s="1728"/>
      <c r="V2031" s="1379">
        <f t="shared" si="307"/>
        <v>0</v>
      </c>
      <c r="W2031" s="1767"/>
      <c r="X2031" s="1379"/>
    </row>
    <row r="2032" spans="1:24" x14ac:dyDescent="0.2">
      <c r="A2032" s="1649" t="s">
        <v>256</v>
      </c>
      <c r="B2032" s="1677" t="e">
        <f>AVERAGE(#REF!)</f>
        <v>#REF!</v>
      </c>
      <c r="C2032" s="1378">
        <v>45120</v>
      </c>
      <c r="D2032" s="1379">
        <v>102</v>
      </c>
      <c r="E2032" s="1380" t="s">
        <v>293</v>
      </c>
      <c r="F2032" s="1534" t="s">
        <v>322</v>
      </c>
      <c r="G2032" s="1381">
        <v>3.0555555555555555E-2</v>
      </c>
      <c r="H2032" s="1382">
        <v>8.06</v>
      </c>
      <c r="I2032" s="1383">
        <f t="shared" ref="I2032:I2095" si="310">IFERROR(G2032/H2032,"")</f>
        <v>3.7910118555279843E-3</v>
      </c>
      <c r="J2032" s="1384">
        <v>130</v>
      </c>
      <c r="K2032" s="1741">
        <v>46</v>
      </c>
      <c r="L2032" s="1578">
        <v>220</v>
      </c>
      <c r="M2032" s="1602">
        <v>14</v>
      </c>
      <c r="N2032" s="1385">
        <f t="shared" si="308"/>
        <v>1.0755157216399394</v>
      </c>
      <c r="O2032" s="1386" t="s">
        <v>340</v>
      </c>
      <c r="P2032" s="1387" t="str">
        <f>IFERROR(VLOOKUP(F2032,#REF!,12,FALSE),"")</f>
        <v/>
      </c>
      <c r="Q2032" s="1388" t="s">
        <v>8</v>
      </c>
      <c r="R2032" s="1389" t="str">
        <f>IFERROR(VLOOKUP(F2032,#REF!,14,FALSE),"")</f>
        <v/>
      </c>
      <c r="S2032" s="1390">
        <f t="shared" si="309"/>
        <v>1.6923076923076923</v>
      </c>
      <c r="U2032" s="1728"/>
      <c r="V2032" s="1379">
        <f t="shared" si="307"/>
        <v>0</v>
      </c>
      <c r="W2032" s="1767"/>
      <c r="X2032" s="1379"/>
    </row>
    <row r="2033" spans="1:24" x14ac:dyDescent="0.2">
      <c r="A2033" s="1649" t="s">
        <v>336</v>
      </c>
      <c r="B2033" s="1712">
        <f>IFERROR(AVERAGE(N2029:N2035),"")</f>
        <v>1.0612552500262977</v>
      </c>
      <c r="C2033" s="1378">
        <v>45121</v>
      </c>
      <c r="D2033" s="1379">
        <v>103</v>
      </c>
      <c r="E2033" s="1380" t="s">
        <v>293</v>
      </c>
      <c r="F2033" s="1550" t="s">
        <v>322</v>
      </c>
      <c r="G2033" s="1381">
        <v>2.6840277777777779E-2</v>
      </c>
      <c r="H2033" s="1382">
        <v>6.61</v>
      </c>
      <c r="I2033" s="1383">
        <f t="shared" si="310"/>
        <v>4.0605563960329468E-3</v>
      </c>
      <c r="J2033" s="1384">
        <v>117</v>
      </c>
      <c r="K2033" s="1741">
        <v>30</v>
      </c>
      <c r="L2033" s="1578">
        <v>201</v>
      </c>
      <c r="M2033" s="1602">
        <v>13</v>
      </c>
      <c r="N2033" s="1385">
        <f t="shared" ref="N2033:N2062" si="311">IFERROR((L2033/67)/(1/(I2033*24)/3.6),"")</f>
        <v>1.0524962178517399</v>
      </c>
      <c r="O2033" s="1386" t="s">
        <v>329</v>
      </c>
      <c r="P2033" s="1387" t="str">
        <f>IFERROR(VLOOKUP(F2033,#REF!,12,FALSE),"")</f>
        <v/>
      </c>
      <c r="Q2033" s="1388" t="s">
        <v>8</v>
      </c>
      <c r="R2033" s="1389" t="str">
        <f>IFERROR(VLOOKUP(F2033,#REF!,14,FALSE),"")</f>
        <v/>
      </c>
      <c r="S2033" s="1390">
        <f t="shared" ref="S2033:S2062" si="312">IFERROR(L2033/J2033,"")</f>
        <v>1.7179487179487178</v>
      </c>
      <c r="U2033" s="1728"/>
      <c r="V2033" s="1379">
        <f t="shared" si="307"/>
        <v>0</v>
      </c>
      <c r="W2033" s="1767"/>
      <c r="X2033" s="1379"/>
    </row>
    <row r="2034" spans="1:24" x14ac:dyDescent="0.2">
      <c r="A2034" s="1649" t="s">
        <v>337</v>
      </c>
      <c r="B2034" s="1677">
        <f>IFERROR(AVERAGE(S2029:S2035),"")</f>
        <v>1.663840899537621</v>
      </c>
      <c r="C2034" s="1625">
        <v>45122</v>
      </c>
      <c r="D2034" s="1626"/>
      <c r="E2034" s="1627"/>
      <c r="F2034" s="1628"/>
      <c r="G2034" s="1629"/>
      <c r="H2034" s="1630" t="str">
        <f>IFERROR(VLOOKUP(F2034,#REF!,10,FALSE),"")</f>
        <v/>
      </c>
      <c r="I2034" s="1631" t="str">
        <f t="shared" si="310"/>
        <v/>
      </c>
      <c r="J2034" s="1632"/>
      <c r="K2034" s="1741"/>
      <c r="L2034" s="1578"/>
      <c r="M2034" s="1632"/>
      <c r="N2034" s="1633" t="str">
        <f t="shared" si="311"/>
        <v/>
      </c>
      <c r="O2034" s="1634"/>
      <c r="P2034" s="1635" t="str">
        <f>IFERROR(VLOOKUP(F2034,#REF!,12,FALSE),"")</f>
        <v/>
      </c>
      <c r="Q2034" s="1636" t="s">
        <v>8</v>
      </c>
      <c r="R2034" s="1637" t="str">
        <f>IFERROR(VLOOKUP(F2034,#REF!,14,FALSE),"")</f>
        <v/>
      </c>
      <c r="S2034" s="1605" t="str">
        <f t="shared" si="312"/>
        <v/>
      </c>
      <c r="U2034" s="1728"/>
      <c r="V2034" s="1626">
        <f t="shared" si="307"/>
        <v>0</v>
      </c>
      <c r="W2034" s="1767"/>
      <c r="X2034" s="1626"/>
    </row>
    <row r="2035" spans="1:24" ht="16" thickBot="1" x14ac:dyDescent="0.25">
      <c r="A2035" s="1650" t="s">
        <v>5</v>
      </c>
      <c r="B2035" s="1678">
        <f>IFERROR(SUM(M2029:M2035),"")</f>
        <v>113</v>
      </c>
      <c r="C2035" s="1360">
        <v>45123</v>
      </c>
      <c r="D2035" s="683">
        <v>104</v>
      </c>
      <c r="E2035" s="1688" t="s">
        <v>292</v>
      </c>
      <c r="F2035" s="1538" t="s">
        <v>273</v>
      </c>
      <c r="G2035" s="1691">
        <v>6.3495370370370369E-2</v>
      </c>
      <c r="H2035" s="1630">
        <v>15.3</v>
      </c>
      <c r="I2035" s="1363">
        <f t="shared" si="310"/>
        <v>4.1500242072137492E-3</v>
      </c>
      <c r="J2035" s="1364">
        <v>128</v>
      </c>
      <c r="K2035" s="1741">
        <v>71</v>
      </c>
      <c r="L2035" s="1583">
        <v>200</v>
      </c>
      <c r="M2035" s="1364">
        <v>54</v>
      </c>
      <c r="N2035" s="1365">
        <f t="shared" si="311"/>
        <v>1.0703346015022925</v>
      </c>
      <c r="O2035" s="1366" t="s">
        <v>327</v>
      </c>
      <c r="P2035" s="1367" t="str">
        <f>IFERROR(VLOOKUP(F2035,#REF!,12,FALSE),"")</f>
        <v/>
      </c>
      <c r="Q2035" s="19" t="s">
        <v>8</v>
      </c>
      <c r="R2035" s="20" t="str">
        <f>IFERROR(VLOOKUP(F2035,#REF!,14,FALSE),"")</f>
        <v/>
      </c>
      <c r="S2035" s="1191">
        <f t="shared" si="312"/>
        <v>1.5625</v>
      </c>
      <c r="U2035" s="1728"/>
      <c r="V2035" s="683">
        <f t="shared" si="307"/>
        <v>0</v>
      </c>
      <c r="W2035" s="1768"/>
      <c r="X2035" s="683"/>
    </row>
    <row r="2036" spans="1:24" ht="16" thickBot="1" x14ac:dyDescent="0.25">
      <c r="A2036" s="1962">
        <f>WEEKNUM(C2036,1)</f>
        <v>29</v>
      </c>
      <c r="B2036" s="1963"/>
      <c r="C2036" s="1368">
        <v>45124</v>
      </c>
      <c r="D2036" s="1369">
        <v>105</v>
      </c>
      <c r="E2036" s="1689" t="s">
        <v>293</v>
      </c>
      <c r="F2036" s="1536" t="s">
        <v>267</v>
      </c>
      <c r="G2036" s="1692">
        <v>2.7118055555555552E-2</v>
      </c>
      <c r="H2036" s="1372">
        <v>6.55</v>
      </c>
      <c r="I2036" s="1373">
        <f t="shared" si="310"/>
        <v>4.1401611535199319E-3</v>
      </c>
      <c r="J2036" s="1374">
        <v>118</v>
      </c>
      <c r="K2036" s="1741">
        <v>27</v>
      </c>
      <c r="L2036" s="1577">
        <v>195</v>
      </c>
      <c r="M2036" s="1374">
        <v>11</v>
      </c>
      <c r="N2036" s="1375">
        <f t="shared" si="311"/>
        <v>1.0410960464851315</v>
      </c>
      <c r="O2036" s="1376" t="s">
        <v>333</v>
      </c>
      <c r="P2036" s="795" t="str">
        <f>IFERROR(VLOOKUP(F2036,#REF!,12,FALSE),"")</f>
        <v/>
      </c>
      <c r="Q2036" s="32" t="s">
        <v>8</v>
      </c>
      <c r="R2036" s="1255" t="str">
        <f>IFERROR(VLOOKUP(F2036,#REF!,14,FALSE),"")</f>
        <v/>
      </c>
      <c r="S2036" s="1377">
        <f t="shared" si="312"/>
        <v>1.652542372881356</v>
      </c>
      <c r="U2036" s="1728"/>
      <c r="V2036" s="1369">
        <f t="shared" si="307"/>
        <v>0</v>
      </c>
      <c r="W2036" s="1766"/>
      <c r="X2036" s="1369"/>
    </row>
    <row r="2037" spans="1:24" ht="16" thickBot="1" x14ac:dyDescent="0.25">
      <c r="A2037" s="1648" t="s">
        <v>142</v>
      </c>
      <c r="B2037" s="1675">
        <f>SUM(H2036:H2042)</f>
        <v>35.11</v>
      </c>
      <c r="C2037" s="1378">
        <v>45125</v>
      </c>
      <c r="D2037" s="1379"/>
      <c r="E2037" s="1690"/>
      <c r="F2037" s="1534"/>
      <c r="G2037" s="1693"/>
      <c r="H2037" s="1382" t="str">
        <f>IFERROR(VLOOKUP(F2037,#REF!,10,FALSE),"")</f>
        <v/>
      </c>
      <c r="I2037" s="1383" t="str">
        <f t="shared" si="310"/>
        <v/>
      </c>
      <c r="J2037" s="1384"/>
      <c r="K2037" s="1741"/>
      <c r="L2037" s="1578"/>
      <c r="M2037" s="1602"/>
      <c r="N2037" s="1385" t="str">
        <f t="shared" si="311"/>
        <v/>
      </c>
      <c r="O2037" s="1386"/>
      <c r="P2037" s="1387" t="str">
        <f>IFERROR(VLOOKUP(F2037,#REF!,12,FALSE),"")</f>
        <v/>
      </c>
      <c r="Q2037" s="1388" t="s">
        <v>8</v>
      </c>
      <c r="R2037" s="1389" t="str">
        <f>IFERROR(VLOOKUP(F2037,#REF!,14,FALSE),"")</f>
        <v/>
      </c>
      <c r="S2037" s="1390" t="str">
        <f t="shared" si="312"/>
        <v/>
      </c>
      <c r="U2037" s="1728"/>
      <c r="V2037" s="1379">
        <f t="shared" si="307"/>
        <v>0</v>
      </c>
      <c r="W2037" s="1767"/>
      <c r="X2037" s="1379"/>
    </row>
    <row r="2038" spans="1:24" x14ac:dyDescent="0.2">
      <c r="A2038" s="1649" t="s">
        <v>144</v>
      </c>
      <c r="B2038" s="1676" t="e">
        <f>SUM(#REF!)</f>
        <v>#REF!</v>
      </c>
      <c r="C2038" s="1378">
        <v>45126</v>
      </c>
      <c r="D2038" s="1379"/>
      <c r="E2038" s="1690"/>
      <c r="F2038" s="1805"/>
      <c r="G2038" s="1693"/>
      <c r="H2038" s="1382" t="str">
        <f>IFERROR(VLOOKUP(F2038,#REF!,10,FALSE),"")</f>
        <v/>
      </c>
      <c r="I2038" s="1383" t="str">
        <f t="shared" si="310"/>
        <v/>
      </c>
      <c r="J2038" s="1384"/>
      <c r="K2038" s="1741"/>
      <c r="L2038" s="1578"/>
      <c r="M2038" s="1602"/>
      <c r="N2038" s="1385" t="str">
        <f t="shared" si="311"/>
        <v/>
      </c>
      <c r="O2038" s="1386"/>
      <c r="P2038" s="1387" t="str">
        <f>IFERROR(VLOOKUP(F2038,#REF!,12,FALSE),"")</f>
        <v/>
      </c>
      <c r="Q2038" s="1388" t="s">
        <v>8</v>
      </c>
      <c r="R2038" s="1389" t="str">
        <f>IFERROR(VLOOKUP(F2038,#REF!,14,FALSE),"")</f>
        <v/>
      </c>
      <c r="S2038" s="1390" t="str">
        <f t="shared" si="312"/>
        <v/>
      </c>
      <c r="U2038" s="1728"/>
      <c r="V2038" s="1379">
        <f t="shared" si="307"/>
        <v>0</v>
      </c>
      <c r="W2038" s="1767"/>
      <c r="X2038" s="1379"/>
    </row>
    <row r="2039" spans="1:24" x14ac:dyDescent="0.2">
      <c r="A2039" s="1649" t="s">
        <v>256</v>
      </c>
      <c r="B2039" s="1677" t="e">
        <f>AVERAGE(#REF!)</f>
        <v>#REF!</v>
      </c>
      <c r="C2039" s="1378">
        <v>45127</v>
      </c>
      <c r="D2039" s="1379">
        <v>106</v>
      </c>
      <c r="E2039" s="1690" t="s">
        <v>292</v>
      </c>
      <c r="F2039" s="1806" t="s">
        <v>343</v>
      </c>
      <c r="G2039" s="1693">
        <v>2.6458333333333334E-2</v>
      </c>
      <c r="H2039" s="1382">
        <v>5.98</v>
      </c>
      <c r="I2039" s="1383">
        <f t="shared" si="310"/>
        <v>4.4244704570791521E-3</v>
      </c>
      <c r="J2039" s="1384">
        <v>116</v>
      </c>
      <c r="K2039" s="1741">
        <v>25</v>
      </c>
      <c r="L2039" s="1578">
        <v>186</v>
      </c>
      <c r="M2039" s="1602">
        <v>17</v>
      </c>
      <c r="N2039" s="1385">
        <f t="shared" si="311"/>
        <v>1.0612389557230568</v>
      </c>
      <c r="O2039" s="1386" t="s">
        <v>340</v>
      </c>
      <c r="P2039" s="1387" t="str">
        <f>IFERROR(VLOOKUP(F2039,#REF!,12,FALSE),"")</f>
        <v/>
      </c>
      <c r="Q2039" s="1388" t="s">
        <v>8</v>
      </c>
      <c r="R2039" s="1389" t="str">
        <f>IFERROR(VLOOKUP(F2039,#REF!,14,FALSE),"")</f>
        <v/>
      </c>
      <c r="S2039" s="1390">
        <f t="shared" si="312"/>
        <v>1.603448275862069</v>
      </c>
      <c r="U2039" s="1728"/>
      <c r="V2039" s="1379">
        <f t="shared" si="307"/>
        <v>0</v>
      </c>
      <c r="W2039" s="1767"/>
      <c r="X2039" s="1379"/>
    </row>
    <row r="2040" spans="1:24" x14ac:dyDescent="0.2">
      <c r="A2040" s="1649" t="s">
        <v>336</v>
      </c>
      <c r="B2040" s="1712">
        <f>IFERROR(AVERAGE(N2036:N2042),"")</f>
        <v>1.0566205760795682</v>
      </c>
      <c r="C2040" s="1378">
        <v>45128</v>
      </c>
      <c r="D2040" s="1379">
        <v>107</v>
      </c>
      <c r="E2040" s="1690" t="s">
        <v>293</v>
      </c>
      <c r="F2040" s="1807" t="s">
        <v>143</v>
      </c>
      <c r="G2040" s="1693">
        <v>3.1365740740740743E-2</v>
      </c>
      <c r="H2040" s="1717">
        <v>8.59</v>
      </c>
      <c r="I2040" s="1383">
        <f t="shared" si="310"/>
        <v>3.651424998922089E-3</v>
      </c>
      <c r="J2040" s="1384">
        <v>141</v>
      </c>
      <c r="K2040" s="1741">
        <v>58</v>
      </c>
      <c r="L2040" s="1578">
        <v>225</v>
      </c>
      <c r="M2040" s="1602">
        <v>14</v>
      </c>
      <c r="N2040" s="1385">
        <f t="shared" si="311"/>
        <v>1.0594582384932152</v>
      </c>
      <c r="O2040" s="1386" t="s">
        <v>341</v>
      </c>
      <c r="P2040" s="1387" t="str">
        <f>IFERROR(VLOOKUP(F2040,#REF!,12,FALSE),"")</f>
        <v/>
      </c>
      <c r="Q2040" s="1388" t="s">
        <v>8</v>
      </c>
      <c r="R2040" s="1389" t="str">
        <f>IFERROR(VLOOKUP(F2040,#REF!,14,FALSE),"")</f>
        <v/>
      </c>
      <c r="S2040" s="1390">
        <f t="shared" si="312"/>
        <v>1.5957446808510638</v>
      </c>
      <c r="U2040" s="1728"/>
      <c r="V2040" s="1379">
        <f t="shared" si="307"/>
        <v>0</v>
      </c>
      <c r="W2040" s="1767"/>
      <c r="X2040" s="1379"/>
    </row>
    <row r="2041" spans="1:24" x14ac:dyDescent="0.2">
      <c r="A2041" s="1649" t="s">
        <v>337</v>
      </c>
      <c r="B2041" s="1677">
        <f>IFERROR(AVERAGE(S2036:S2042),"")</f>
        <v>1.5965216186581641</v>
      </c>
      <c r="C2041" s="1625">
        <v>45129</v>
      </c>
      <c r="D2041" s="1626"/>
      <c r="E2041" s="1690"/>
      <c r="F2041" s="1806"/>
      <c r="G2041" s="1693"/>
      <c r="H2041" s="1717" t="str">
        <f>IFERROR(VLOOKUP(F2041,#REF!,10,FALSE),"")</f>
        <v/>
      </c>
      <c r="I2041" s="1631" t="str">
        <f t="shared" si="310"/>
        <v/>
      </c>
      <c r="J2041" s="1632"/>
      <c r="K2041" s="1741"/>
      <c r="L2041" s="1578"/>
      <c r="M2041" s="1632"/>
      <c r="N2041" s="1633" t="str">
        <f t="shared" si="311"/>
        <v/>
      </c>
      <c r="O2041" s="1634"/>
      <c r="P2041" s="1635" t="str">
        <f>IFERROR(VLOOKUP(F2041,#REF!,12,FALSE),"")</f>
        <v/>
      </c>
      <c r="Q2041" s="1636" t="s">
        <v>8</v>
      </c>
      <c r="R2041" s="1637" t="str">
        <f>IFERROR(VLOOKUP(F2041,#REF!,14,FALSE),"")</f>
        <v/>
      </c>
      <c r="S2041" s="1605" t="str">
        <f t="shared" si="312"/>
        <v/>
      </c>
      <c r="U2041" s="1728"/>
      <c r="V2041" s="1626">
        <f t="shared" si="307"/>
        <v>0</v>
      </c>
      <c r="W2041" s="1767"/>
      <c r="X2041" s="1626"/>
    </row>
    <row r="2042" spans="1:24" ht="16" thickBot="1" x14ac:dyDescent="0.25">
      <c r="A2042" s="1650" t="s">
        <v>5</v>
      </c>
      <c r="B2042" s="1678">
        <f>IFERROR(SUM(M2036:M2042),"")</f>
        <v>81</v>
      </c>
      <c r="C2042" s="1360">
        <v>45130</v>
      </c>
      <c r="D2042" s="683">
        <v>108</v>
      </c>
      <c r="E2042" s="1688" t="s">
        <v>292</v>
      </c>
      <c r="F2042" s="1806" t="s">
        <v>308</v>
      </c>
      <c r="G2042" s="1691">
        <v>5.7465277777777775E-2</v>
      </c>
      <c r="H2042" s="1239">
        <v>13.99</v>
      </c>
      <c r="I2042" s="1363">
        <f t="shared" si="310"/>
        <v>4.1075966960527361E-3</v>
      </c>
      <c r="J2042" s="1364">
        <v>131</v>
      </c>
      <c r="K2042" s="1741">
        <v>67</v>
      </c>
      <c r="L2042" s="1583">
        <v>201</v>
      </c>
      <c r="M2042" s="1364">
        <v>39</v>
      </c>
      <c r="N2042" s="1365">
        <f t="shared" si="311"/>
        <v>1.0646890636168693</v>
      </c>
      <c r="O2042" s="1366" t="s">
        <v>340</v>
      </c>
      <c r="P2042" s="1367" t="str">
        <f>IFERROR(VLOOKUP(F2042,#REF!,12,FALSE),"")</f>
        <v/>
      </c>
      <c r="Q2042" s="19" t="s">
        <v>8</v>
      </c>
      <c r="R2042" s="20" t="str">
        <f>IFERROR(VLOOKUP(F2042,#REF!,14,FALSE),"")</f>
        <v/>
      </c>
      <c r="S2042" s="1191">
        <f t="shared" si="312"/>
        <v>1.5343511450381679</v>
      </c>
      <c r="U2042" s="1728"/>
      <c r="V2042" s="683">
        <f t="shared" ref="V2042:V2105" si="313">U2041-T2041</f>
        <v>0</v>
      </c>
      <c r="W2042" s="1768"/>
      <c r="X2042" s="683"/>
    </row>
    <row r="2043" spans="1:24" ht="16" thickBot="1" x14ac:dyDescent="0.25">
      <c r="A2043" s="1962">
        <f>WEEKNUM(C2043,1)</f>
        <v>30</v>
      </c>
      <c r="B2043" s="1963"/>
      <c r="C2043" s="1368">
        <v>45131</v>
      </c>
      <c r="D2043" s="1369">
        <v>109</v>
      </c>
      <c r="E2043" s="1689" t="s">
        <v>293</v>
      </c>
      <c r="F2043" s="1807" t="s">
        <v>343</v>
      </c>
      <c r="G2043" s="1692">
        <v>2.7013888888888889E-2</v>
      </c>
      <c r="H2043" s="1372">
        <v>6.72</v>
      </c>
      <c r="I2043" s="1373">
        <f t="shared" si="310"/>
        <v>4.0199239417989417E-3</v>
      </c>
      <c r="J2043" s="1374">
        <v>122</v>
      </c>
      <c r="K2043" s="1741">
        <v>32</v>
      </c>
      <c r="L2043" s="1577">
        <v>204</v>
      </c>
      <c r="M2043" s="1374">
        <v>16</v>
      </c>
      <c r="N2043" s="1375">
        <f t="shared" si="311"/>
        <v>1.0575159914712151</v>
      </c>
      <c r="O2043" s="1376" t="s">
        <v>333</v>
      </c>
      <c r="P2043" s="795" t="str">
        <f>IFERROR(VLOOKUP(F2043,#REF!,12,FALSE),"")</f>
        <v/>
      </c>
      <c r="Q2043" s="32" t="s">
        <v>8</v>
      </c>
      <c r="R2043" s="1255" t="str">
        <f>IFERROR(VLOOKUP(F2043,#REF!,14,FALSE),"")</f>
        <v/>
      </c>
      <c r="S2043" s="1377">
        <f t="shared" si="312"/>
        <v>1.6721311475409837</v>
      </c>
      <c r="U2043" s="1728"/>
      <c r="V2043" s="1369">
        <f t="shared" si="313"/>
        <v>0</v>
      </c>
      <c r="W2043" s="1766"/>
      <c r="X2043" s="1369"/>
    </row>
    <row r="2044" spans="1:24" x14ac:dyDescent="0.2">
      <c r="A2044" s="1648" t="s">
        <v>142</v>
      </c>
      <c r="B2044" s="1675">
        <f>SUM(H2043:H2049)</f>
        <v>44.6</v>
      </c>
      <c r="C2044" s="1378">
        <v>45132</v>
      </c>
      <c r="D2044" s="1379"/>
      <c r="E2044" s="1380"/>
      <c r="F2044" s="1806"/>
      <c r="G2044" s="1381"/>
      <c r="H2044" s="1382" t="str">
        <f>IFERROR(VLOOKUP(F2044,#REF!,10,FALSE),"")</f>
        <v/>
      </c>
      <c r="I2044" s="1383" t="str">
        <f t="shared" si="310"/>
        <v/>
      </c>
      <c r="J2044" s="1384"/>
      <c r="K2044" s="1741"/>
      <c r="L2044" s="1578"/>
      <c r="M2044" s="1602"/>
      <c r="N2044" s="1385" t="str">
        <f t="shared" si="311"/>
        <v/>
      </c>
      <c r="O2044" s="1386"/>
      <c r="P2044" s="1387" t="str">
        <f>IFERROR(VLOOKUP(F2044,#REF!,12,FALSE),"")</f>
        <v/>
      </c>
      <c r="Q2044" s="1388" t="s">
        <v>8</v>
      </c>
      <c r="R2044" s="1389" t="str">
        <f>IFERROR(VLOOKUP(F2044,#REF!,14,FALSE),"")</f>
        <v/>
      </c>
      <c r="S2044" s="1390" t="str">
        <f t="shared" si="312"/>
        <v/>
      </c>
      <c r="U2044" s="1728"/>
      <c r="V2044" s="1379">
        <f t="shared" si="313"/>
        <v>0</v>
      </c>
      <c r="W2044" s="1767"/>
      <c r="X2044" s="1379"/>
    </row>
    <row r="2045" spans="1:24" x14ac:dyDescent="0.2">
      <c r="A2045" s="1649" t="s">
        <v>144</v>
      </c>
      <c r="B2045" s="1676" t="e">
        <f>SUM(#REF!)</f>
        <v>#REF!</v>
      </c>
      <c r="C2045" s="1378">
        <v>45133</v>
      </c>
      <c r="D2045" s="1379">
        <v>110</v>
      </c>
      <c r="E2045" s="1380" t="s">
        <v>293</v>
      </c>
      <c r="F2045" s="1806" t="s">
        <v>315</v>
      </c>
      <c r="G2045" s="1381">
        <v>3.3159722222222222E-2</v>
      </c>
      <c r="H2045" s="1382">
        <v>8.7799999999999994</v>
      </c>
      <c r="I2045" s="1383">
        <f t="shared" si="310"/>
        <v>3.7767337382941029E-3</v>
      </c>
      <c r="J2045" s="1384">
        <v>136</v>
      </c>
      <c r="K2045" s="1741">
        <v>56</v>
      </c>
      <c r="L2045" s="1578">
        <v>218</v>
      </c>
      <c r="M2045" s="1602">
        <v>14</v>
      </c>
      <c r="N2045" s="1385">
        <f t="shared" si="311"/>
        <v>1.061724407574882</v>
      </c>
      <c r="O2045" s="1386" t="s">
        <v>341</v>
      </c>
      <c r="P2045" s="1387" t="str">
        <f>IFERROR(VLOOKUP(F2045,#REF!,12,FALSE),"")</f>
        <v/>
      </c>
      <c r="Q2045" s="1388" t="s">
        <v>8</v>
      </c>
      <c r="R2045" s="1389" t="str">
        <f>IFERROR(VLOOKUP(F2045,#REF!,14,FALSE),"")</f>
        <v/>
      </c>
      <c r="S2045" s="1390">
        <f t="shared" si="312"/>
        <v>1.6029411764705883</v>
      </c>
      <c r="U2045" s="1728"/>
      <c r="V2045" s="1379">
        <f t="shared" si="313"/>
        <v>0</v>
      </c>
      <c r="W2045" s="1767"/>
      <c r="X2045" s="1379"/>
    </row>
    <row r="2046" spans="1:24" ht="16" thickBot="1" x14ac:dyDescent="0.25">
      <c r="A2046" s="1649" t="s">
        <v>256</v>
      </c>
      <c r="B2046" s="1677" t="e">
        <f>AVERAGE(#REF!)</f>
        <v>#REF!</v>
      </c>
      <c r="C2046" s="1378">
        <v>45134</v>
      </c>
      <c r="D2046" s="1379">
        <v>111</v>
      </c>
      <c r="E2046" s="1380" t="s">
        <v>293</v>
      </c>
      <c r="F2046" s="1808" t="s">
        <v>343</v>
      </c>
      <c r="G2046" s="1381">
        <v>2.8703703703703703E-2</v>
      </c>
      <c r="H2046" s="1382">
        <v>7.06</v>
      </c>
      <c r="I2046" s="1383">
        <f t="shared" si="310"/>
        <v>4.0656804112894768E-3</v>
      </c>
      <c r="J2046" s="1384">
        <v>116</v>
      </c>
      <c r="K2046" s="1741">
        <v>33</v>
      </c>
      <c r="L2046" s="1578">
        <v>204</v>
      </c>
      <c r="M2046" s="1602">
        <v>15</v>
      </c>
      <c r="N2046" s="1385">
        <f t="shared" si="311"/>
        <v>1.069553084436176</v>
      </c>
      <c r="O2046" s="1386" t="s">
        <v>328</v>
      </c>
      <c r="P2046" s="1387" t="str">
        <f>IFERROR(VLOOKUP(F2046,#REF!,12,FALSE),"")</f>
        <v/>
      </c>
      <c r="Q2046" s="1388" t="s">
        <v>8</v>
      </c>
      <c r="R2046" s="1389" t="str">
        <f>IFERROR(VLOOKUP(F2046,#REF!,14,FALSE),"")</f>
        <v/>
      </c>
      <c r="S2046" s="1390">
        <f t="shared" si="312"/>
        <v>1.7586206896551724</v>
      </c>
      <c r="U2046" s="1728"/>
      <c r="V2046" s="1379">
        <f t="shared" si="313"/>
        <v>0</v>
      </c>
      <c r="W2046" s="1767"/>
      <c r="X2046" s="1379"/>
    </row>
    <row r="2047" spans="1:24" x14ac:dyDescent="0.2">
      <c r="A2047" s="1649" t="s">
        <v>336</v>
      </c>
      <c r="B2047" s="1712">
        <f>IFERROR(AVERAGE(N2043:N2049),"")</f>
        <v>1.0658776970855548</v>
      </c>
      <c r="C2047" s="1378">
        <v>45135</v>
      </c>
      <c r="D2047" s="1379">
        <v>112</v>
      </c>
      <c r="E2047" s="1380" t="s">
        <v>293</v>
      </c>
      <c r="F2047" s="1806" t="s">
        <v>322</v>
      </c>
      <c r="G2047" s="1381">
        <v>3.0694444444444444E-2</v>
      </c>
      <c r="H2047" s="1382">
        <v>7.66</v>
      </c>
      <c r="I2047" s="1383">
        <f t="shared" si="310"/>
        <v>4.0071076298230342E-3</v>
      </c>
      <c r="J2047" s="1384">
        <v>123</v>
      </c>
      <c r="K2047" s="1741">
        <v>37</v>
      </c>
      <c r="L2047" s="1578">
        <v>207</v>
      </c>
      <c r="M2047" s="1602">
        <v>18</v>
      </c>
      <c r="N2047" s="1385">
        <f t="shared" si="311"/>
        <v>1.0696465453411792</v>
      </c>
      <c r="O2047" s="1386" t="s">
        <v>340</v>
      </c>
      <c r="P2047" s="1387" t="str">
        <f>IFERROR(VLOOKUP(F2047,#REF!,12,FALSE),"")</f>
        <v/>
      </c>
      <c r="Q2047" s="1388" t="s">
        <v>8</v>
      </c>
      <c r="R2047" s="1389" t="str">
        <f>IFERROR(VLOOKUP(F2047,#REF!,14,FALSE),"")</f>
        <v/>
      </c>
      <c r="S2047" s="1390">
        <f t="shared" si="312"/>
        <v>1.6829268292682926</v>
      </c>
      <c r="U2047" s="1728"/>
      <c r="V2047" s="1379">
        <f t="shared" si="313"/>
        <v>0</v>
      </c>
      <c r="W2047" s="1767"/>
      <c r="X2047" s="1379"/>
    </row>
    <row r="2048" spans="1:24" x14ac:dyDescent="0.2">
      <c r="A2048" s="1649" t="s">
        <v>337</v>
      </c>
      <c r="B2048" s="1677">
        <f>IFERROR(AVERAGE(S2043:S2049),"")</f>
        <v>1.651720915151893</v>
      </c>
      <c r="C2048" s="1625">
        <v>45136</v>
      </c>
      <c r="D2048" s="1626"/>
      <c r="E2048" s="1627"/>
      <c r="F2048" s="1806"/>
      <c r="G2048" s="1629"/>
      <c r="H2048" s="1630" t="str">
        <f>IFERROR(VLOOKUP(F2048,#REF!,10,FALSE),"")</f>
        <v/>
      </c>
      <c r="I2048" s="1631" t="str">
        <f t="shared" si="310"/>
        <v/>
      </c>
      <c r="J2048" s="1632"/>
      <c r="K2048" s="1741"/>
      <c r="L2048" s="1578"/>
      <c r="M2048" s="1632"/>
      <c r="N2048" s="1633" t="str">
        <f t="shared" si="311"/>
        <v/>
      </c>
      <c r="O2048" s="1634"/>
      <c r="P2048" s="1635" t="str">
        <f>IFERROR(VLOOKUP(F2048,#REF!,12,FALSE),"")</f>
        <v/>
      </c>
      <c r="Q2048" s="1636" t="s">
        <v>8</v>
      </c>
      <c r="R2048" s="1637" t="str">
        <f>IFERROR(VLOOKUP(F2048,#REF!,14,FALSE),"")</f>
        <v/>
      </c>
      <c r="S2048" s="1605" t="str">
        <f t="shared" si="312"/>
        <v/>
      </c>
      <c r="U2048" s="1728"/>
      <c r="V2048" s="1626">
        <f t="shared" si="313"/>
        <v>0</v>
      </c>
      <c r="W2048" s="1767"/>
      <c r="X2048" s="1626"/>
    </row>
    <row r="2049" spans="1:24" ht="16" thickBot="1" x14ac:dyDescent="0.25">
      <c r="A2049" s="1650" t="s">
        <v>5</v>
      </c>
      <c r="B2049" s="1678">
        <f>IFERROR(SUM(M2043:M2049),"")</f>
        <v>105</v>
      </c>
      <c r="C2049" s="1360">
        <v>45137</v>
      </c>
      <c r="D2049" s="683">
        <v>113</v>
      </c>
      <c r="E2049" s="684" t="s">
        <v>292</v>
      </c>
      <c r="F2049" s="1807" t="s">
        <v>309</v>
      </c>
      <c r="G2049" s="1361">
        <v>5.9120370370370372E-2</v>
      </c>
      <c r="H2049" s="1362">
        <v>14.38</v>
      </c>
      <c r="I2049" s="1363">
        <f t="shared" si="310"/>
        <v>4.1112914026683149E-3</v>
      </c>
      <c r="J2049" s="1364">
        <v>131</v>
      </c>
      <c r="K2049" s="1741">
        <v>66</v>
      </c>
      <c r="L2049" s="1583">
        <v>202</v>
      </c>
      <c r="M2049" s="1364">
        <v>42</v>
      </c>
      <c r="N2049" s="1365">
        <f t="shared" si="311"/>
        <v>1.0709484566043219</v>
      </c>
      <c r="O2049" s="1366" t="s">
        <v>327</v>
      </c>
      <c r="P2049" s="1367" t="str">
        <f>IFERROR(VLOOKUP(F2049,#REF!,12,FALSE),"")</f>
        <v/>
      </c>
      <c r="Q2049" s="19" t="s">
        <v>8</v>
      </c>
      <c r="R2049" s="20" t="str">
        <f>IFERROR(VLOOKUP(F2049,#REF!,14,FALSE),"")</f>
        <v/>
      </c>
      <c r="S2049" s="1191">
        <f t="shared" si="312"/>
        <v>1.5419847328244274</v>
      </c>
      <c r="U2049" s="1728"/>
      <c r="V2049" s="683">
        <f t="shared" si="313"/>
        <v>0</v>
      </c>
      <c r="W2049" s="1768"/>
      <c r="X2049" s="683"/>
    </row>
    <row r="2050" spans="1:24" ht="16" thickBot="1" x14ac:dyDescent="0.25">
      <c r="A2050" s="1962">
        <f>WEEKNUM(C2050,1)</f>
        <v>31</v>
      </c>
      <c r="B2050" s="1963"/>
      <c r="C2050" s="1368">
        <v>45138</v>
      </c>
      <c r="D2050" s="1369">
        <v>114</v>
      </c>
      <c r="E2050" s="1370" t="s">
        <v>293</v>
      </c>
      <c r="F2050" s="1806" t="s">
        <v>322</v>
      </c>
      <c r="G2050" s="1371">
        <v>3.2152777777777773E-2</v>
      </c>
      <c r="H2050" s="1372">
        <v>8.02</v>
      </c>
      <c r="I2050" s="1373">
        <f t="shared" si="310"/>
        <v>4.0090745358825159E-3</v>
      </c>
      <c r="J2050" s="1374">
        <v>116</v>
      </c>
      <c r="K2050" s="1741">
        <v>39</v>
      </c>
      <c r="L2050" s="1577">
        <v>206</v>
      </c>
      <c r="M2050" s="1374">
        <v>14</v>
      </c>
      <c r="N2050" s="1375">
        <f t="shared" si="311"/>
        <v>1.0650016749171847</v>
      </c>
      <c r="O2050" s="1376" t="s">
        <v>340</v>
      </c>
      <c r="P2050" s="795" t="str">
        <f>IFERROR(VLOOKUP(F2050,#REF!,12,FALSE),"")</f>
        <v/>
      </c>
      <c r="Q2050" s="32" t="s">
        <v>8</v>
      </c>
      <c r="R2050" s="1255" t="str">
        <f>IFERROR(VLOOKUP(F2050,#REF!,14,FALSE),"")</f>
        <v/>
      </c>
      <c r="S2050" s="1377">
        <f t="shared" si="312"/>
        <v>1.7758620689655173</v>
      </c>
      <c r="U2050" s="1728"/>
      <c r="V2050" s="1369">
        <f t="shared" si="313"/>
        <v>0</v>
      </c>
      <c r="W2050" s="1766"/>
      <c r="X2050" s="1369"/>
    </row>
    <row r="2051" spans="1:24" x14ac:dyDescent="0.2">
      <c r="A2051" s="1648" t="s">
        <v>142</v>
      </c>
      <c r="B2051" s="1675">
        <f>SUM(H2050:H2056)</f>
        <v>51.37</v>
      </c>
      <c r="C2051" s="1378">
        <v>45139</v>
      </c>
      <c r="D2051" s="1379"/>
      <c r="E2051" s="1380"/>
      <c r="F2051" s="1806"/>
      <c r="G2051" s="1381"/>
      <c r="H2051" s="1382" t="str">
        <f>IFERROR(VLOOKUP(F2051,#REF!,10,FALSE),"")</f>
        <v/>
      </c>
      <c r="I2051" s="1383" t="str">
        <f t="shared" si="310"/>
        <v/>
      </c>
      <c r="J2051" s="1384"/>
      <c r="K2051" s="1741"/>
      <c r="L2051" s="1578"/>
      <c r="M2051" s="1602"/>
      <c r="N2051" s="1385" t="str">
        <f t="shared" si="311"/>
        <v/>
      </c>
      <c r="O2051" s="1386"/>
      <c r="P2051" s="1387" t="str">
        <f>IFERROR(VLOOKUP(F2051,#REF!,12,FALSE),"")</f>
        <v/>
      </c>
      <c r="Q2051" s="1388" t="s">
        <v>8</v>
      </c>
      <c r="R2051" s="1389" t="str">
        <f>IFERROR(VLOOKUP(F2051,#REF!,14,FALSE),"")</f>
        <v/>
      </c>
      <c r="S2051" s="1390" t="str">
        <f t="shared" si="312"/>
        <v/>
      </c>
      <c r="U2051" s="1728"/>
      <c r="V2051" s="1379">
        <f t="shared" si="313"/>
        <v>0</v>
      </c>
      <c r="W2051" s="1767"/>
      <c r="X2051" s="1379"/>
    </row>
    <row r="2052" spans="1:24" x14ac:dyDescent="0.2">
      <c r="A2052" s="1649" t="s">
        <v>144</v>
      </c>
      <c r="B2052" s="1676" t="e">
        <f>SUM(#REF!)</f>
        <v>#REF!</v>
      </c>
      <c r="C2052" s="1378">
        <v>45140</v>
      </c>
      <c r="D2052" s="1379">
        <v>115</v>
      </c>
      <c r="E2052" s="1380" t="s">
        <v>293</v>
      </c>
      <c r="F2052" s="1807" t="s">
        <v>315</v>
      </c>
      <c r="G2052" s="1381">
        <v>3.5624999999999997E-2</v>
      </c>
      <c r="H2052" s="1382">
        <v>9.16</v>
      </c>
      <c r="I2052" s="1383">
        <f t="shared" si="310"/>
        <v>3.8891921397379908E-3</v>
      </c>
      <c r="J2052" s="1384">
        <v>135</v>
      </c>
      <c r="K2052" s="1741">
        <v>57</v>
      </c>
      <c r="L2052" s="1578">
        <v>210</v>
      </c>
      <c r="M2052" s="1602">
        <v>15</v>
      </c>
      <c r="N2052" s="1385">
        <f t="shared" si="311"/>
        <v>1.0532164504985986</v>
      </c>
      <c r="O2052" s="1386" t="s">
        <v>341</v>
      </c>
      <c r="P2052" s="1387" t="str">
        <f>IFERROR(VLOOKUP(F2052,#REF!,12,FALSE),"")</f>
        <v/>
      </c>
      <c r="Q2052" s="1388" t="s">
        <v>8</v>
      </c>
      <c r="R2052" s="1389" t="str">
        <f>IFERROR(VLOOKUP(F2052,#REF!,14,FALSE),"")</f>
        <v/>
      </c>
      <c r="S2052" s="1390">
        <f t="shared" si="312"/>
        <v>1.5555555555555556</v>
      </c>
      <c r="U2052" s="1728"/>
      <c r="V2052" s="1379">
        <f t="shared" si="313"/>
        <v>0</v>
      </c>
      <c r="W2052" s="1767"/>
      <c r="X2052" s="1379"/>
    </row>
    <row r="2053" spans="1:24" x14ac:dyDescent="0.2">
      <c r="A2053" s="1649" t="s">
        <v>256</v>
      </c>
      <c r="B2053" s="1677" t="e">
        <f>AVERAGE(#REF!)</f>
        <v>#REF!</v>
      </c>
      <c r="C2053" s="1378">
        <v>45141</v>
      </c>
      <c r="D2053" s="1379">
        <v>116</v>
      </c>
      <c r="E2053" s="1380" t="s">
        <v>293</v>
      </c>
      <c r="F2053" s="1806" t="s">
        <v>322</v>
      </c>
      <c r="G2053" s="1381">
        <v>3.0624999999999999E-2</v>
      </c>
      <c r="H2053" s="1382">
        <v>7.24</v>
      </c>
      <c r="I2053" s="1383">
        <f t="shared" si="310"/>
        <v>4.2299723756906073E-3</v>
      </c>
      <c r="J2053" s="1384">
        <v>120</v>
      </c>
      <c r="K2053" s="1741">
        <v>29</v>
      </c>
      <c r="L2053" s="1578">
        <v>193</v>
      </c>
      <c r="M2053" s="1602">
        <v>24</v>
      </c>
      <c r="N2053" s="1385">
        <f t="shared" si="311"/>
        <v>1.0527706770017318</v>
      </c>
      <c r="O2053" s="1386" t="s">
        <v>333</v>
      </c>
      <c r="P2053" s="1387" t="str">
        <f>IFERROR(VLOOKUP(F2053,#REF!,12,FALSE),"")</f>
        <v/>
      </c>
      <c r="Q2053" s="1388" t="s">
        <v>8</v>
      </c>
      <c r="R2053" s="1389" t="str">
        <f>IFERROR(VLOOKUP(F2053,#REF!,14,FALSE),"")</f>
        <v/>
      </c>
      <c r="S2053" s="1390">
        <f t="shared" si="312"/>
        <v>1.6083333333333334</v>
      </c>
      <c r="U2053" s="1728"/>
      <c r="V2053" s="1379">
        <f t="shared" si="313"/>
        <v>0</v>
      </c>
      <c r="W2053" s="1767"/>
      <c r="X2053" s="1379"/>
    </row>
    <row r="2054" spans="1:24" x14ac:dyDescent="0.2">
      <c r="A2054" s="1649" t="s">
        <v>336</v>
      </c>
      <c r="B2054" s="1712">
        <f>IFERROR(AVERAGE(N2050:N2056),"")</f>
        <v>1.0581628697436214</v>
      </c>
      <c r="C2054" s="1378">
        <v>45142</v>
      </c>
      <c r="D2054" s="1379">
        <v>117</v>
      </c>
      <c r="E2054" s="1380" t="s">
        <v>293</v>
      </c>
      <c r="F2054" s="1806" t="s">
        <v>317</v>
      </c>
      <c r="G2054" s="1381">
        <v>4.0960648148148149E-2</v>
      </c>
      <c r="H2054" s="1382">
        <v>11.12</v>
      </c>
      <c r="I2054" s="1383">
        <f t="shared" si="310"/>
        <v>3.6835115241140425E-3</v>
      </c>
      <c r="J2054" s="1384">
        <v>135</v>
      </c>
      <c r="K2054" s="1741">
        <v>74</v>
      </c>
      <c r="L2054" s="1578">
        <v>224</v>
      </c>
      <c r="M2054" s="1602">
        <v>19</v>
      </c>
      <c r="N2054" s="1385">
        <f t="shared" si="311"/>
        <v>1.0640180392999035</v>
      </c>
      <c r="O2054" s="1386" t="s">
        <v>341</v>
      </c>
      <c r="P2054" s="1387" t="str">
        <f>IFERROR(VLOOKUP(F2054,#REF!,12,FALSE),"")</f>
        <v/>
      </c>
      <c r="Q2054" s="1388" t="s">
        <v>8</v>
      </c>
      <c r="R2054" s="1389" t="str">
        <f>IFERROR(VLOOKUP(F2054,#REF!,14,FALSE),"")</f>
        <v/>
      </c>
      <c r="S2054" s="1390">
        <f t="shared" si="312"/>
        <v>1.6592592592592592</v>
      </c>
      <c r="U2054" s="1728"/>
      <c r="V2054" s="1379">
        <f t="shared" si="313"/>
        <v>0</v>
      </c>
      <c r="W2054" s="1767"/>
      <c r="X2054" s="1379"/>
    </row>
    <row r="2055" spans="1:24" ht="16" thickBot="1" x14ac:dyDescent="0.25">
      <c r="A2055" s="1649" t="s">
        <v>337</v>
      </c>
      <c r="B2055" s="1677">
        <f>IFERROR(AVERAGE(S2050:S2056),"")</f>
        <v>1.6183095061093002</v>
      </c>
      <c r="C2055" s="1625">
        <v>45143</v>
      </c>
      <c r="D2055" s="1626"/>
      <c r="E2055" s="1627"/>
      <c r="F2055" s="1806"/>
      <c r="G2055" s="1629"/>
      <c r="H2055" s="1630" t="str">
        <f>IFERROR(VLOOKUP(F2055,#REF!,10,FALSE),"")</f>
        <v/>
      </c>
      <c r="I2055" s="1631" t="str">
        <f t="shared" si="310"/>
        <v/>
      </c>
      <c r="J2055" s="1632"/>
      <c r="K2055" s="1741"/>
      <c r="L2055" s="1578"/>
      <c r="M2055" s="1632"/>
      <c r="N2055" s="1633" t="str">
        <f t="shared" si="311"/>
        <v/>
      </c>
      <c r="O2055" s="1634"/>
      <c r="P2055" s="1635" t="str">
        <f>IFERROR(VLOOKUP(F2055,#REF!,12,FALSE),"")</f>
        <v/>
      </c>
      <c r="Q2055" s="1636" t="s">
        <v>8</v>
      </c>
      <c r="R2055" s="1637" t="str">
        <f>IFERROR(VLOOKUP(F2055,#REF!,14,FALSE),"")</f>
        <v/>
      </c>
      <c r="S2055" s="1605" t="str">
        <f t="shared" si="312"/>
        <v/>
      </c>
      <c r="U2055" s="1728"/>
      <c r="V2055" s="1626">
        <f t="shared" si="313"/>
        <v>0</v>
      </c>
      <c r="W2055" s="1767"/>
      <c r="X2055" s="1626"/>
    </row>
    <row r="2056" spans="1:24" ht="16" thickBot="1" x14ac:dyDescent="0.25">
      <c r="A2056" s="1650" t="s">
        <v>5</v>
      </c>
      <c r="B2056" s="1678">
        <f>IFERROR(SUM(M2050:M2056),"")</f>
        <v>133</v>
      </c>
      <c r="C2056" s="1360">
        <v>45144</v>
      </c>
      <c r="D2056" s="683">
        <v>118</v>
      </c>
      <c r="E2056" s="684" t="s">
        <v>292</v>
      </c>
      <c r="F2056" s="1805" t="s">
        <v>273</v>
      </c>
      <c r="G2056" s="1361">
        <v>6.4803240740740745E-2</v>
      </c>
      <c r="H2056" s="1362">
        <v>15.83</v>
      </c>
      <c r="I2056" s="1363">
        <f t="shared" si="310"/>
        <v>4.0936980884864653E-3</v>
      </c>
      <c r="J2056" s="1364">
        <v>134</v>
      </c>
      <c r="K2056" s="1741">
        <v>75</v>
      </c>
      <c r="L2056" s="1583">
        <v>200</v>
      </c>
      <c r="M2056" s="1364">
        <v>61</v>
      </c>
      <c r="N2056" s="1365">
        <f t="shared" si="311"/>
        <v>1.0558075070006885</v>
      </c>
      <c r="O2056" s="1366" t="s">
        <v>327</v>
      </c>
      <c r="P2056" s="1367" t="str">
        <f>IFERROR(VLOOKUP(F2056,#REF!,12,FALSE),"")</f>
        <v/>
      </c>
      <c r="Q2056" s="19" t="s">
        <v>8</v>
      </c>
      <c r="R2056" s="20" t="str">
        <f>IFERROR(VLOOKUP(F2056,#REF!,14,FALSE),"")</f>
        <v/>
      </c>
      <c r="S2056" s="1191">
        <f t="shared" si="312"/>
        <v>1.4925373134328359</v>
      </c>
      <c r="U2056" s="1728"/>
      <c r="V2056" s="683">
        <f t="shared" si="313"/>
        <v>0</v>
      </c>
      <c r="W2056" s="1768"/>
      <c r="X2056" s="683"/>
    </row>
    <row r="2057" spans="1:24" ht="16" thickBot="1" x14ac:dyDescent="0.25">
      <c r="A2057" s="1962">
        <f>WEEKNUM(C2057,1)</f>
        <v>32</v>
      </c>
      <c r="B2057" s="1963"/>
      <c r="C2057" s="1368">
        <v>45145</v>
      </c>
      <c r="D2057" s="1369"/>
      <c r="E2057" s="1370"/>
      <c r="F2057" s="1806"/>
      <c r="G2057" s="1371"/>
      <c r="H2057" s="1372" t="str">
        <f>IFERROR(VLOOKUP(F2057,#REF!,10,FALSE),"")</f>
        <v/>
      </c>
      <c r="I2057" s="1373" t="str">
        <f t="shared" si="310"/>
        <v/>
      </c>
      <c r="J2057" s="1374"/>
      <c r="K2057" s="1741"/>
      <c r="L2057" s="1577"/>
      <c r="M2057" s="1374"/>
      <c r="N2057" s="1375" t="str">
        <f t="shared" si="311"/>
        <v/>
      </c>
      <c r="O2057" s="1376"/>
      <c r="P2057" s="795" t="str">
        <f>IFERROR(VLOOKUP(F2057,#REF!,12,FALSE),"")</f>
        <v/>
      </c>
      <c r="Q2057" s="32" t="s">
        <v>8</v>
      </c>
      <c r="R2057" s="1255" t="str">
        <f>IFERROR(VLOOKUP(F2057,#REF!,14,FALSE),"")</f>
        <v/>
      </c>
      <c r="S2057" s="1377" t="str">
        <f t="shared" si="312"/>
        <v/>
      </c>
      <c r="U2057" s="1728"/>
      <c r="V2057" s="1369">
        <f t="shared" si="313"/>
        <v>0</v>
      </c>
      <c r="W2057" s="1766"/>
      <c r="X2057" s="1369"/>
    </row>
    <row r="2058" spans="1:24" x14ac:dyDescent="0.2">
      <c r="A2058" s="1648" t="s">
        <v>142</v>
      </c>
      <c r="B2058" s="1675">
        <f>SUM(H2057:H2063)</f>
        <v>42.64</v>
      </c>
      <c r="C2058" s="1378">
        <v>45146</v>
      </c>
      <c r="D2058" s="1379">
        <v>119</v>
      </c>
      <c r="E2058" s="1380" t="s">
        <v>292</v>
      </c>
      <c r="F2058" s="1807" t="s">
        <v>322</v>
      </c>
      <c r="G2058" s="1381">
        <v>3.2743055555555553E-2</v>
      </c>
      <c r="H2058" s="1382">
        <v>7.67</v>
      </c>
      <c r="I2058" s="1383">
        <f t="shared" si="310"/>
        <v>4.2689772562653919E-3</v>
      </c>
      <c r="J2058" s="1384">
        <v>116</v>
      </c>
      <c r="K2058" s="1741">
        <v>31</v>
      </c>
      <c r="L2058" s="1578">
        <v>189</v>
      </c>
      <c r="M2058" s="1602">
        <v>22</v>
      </c>
      <c r="N2058" s="1385">
        <f t="shared" si="311"/>
        <v>1.0404580746852439</v>
      </c>
      <c r="O2058" s="1386" t="s">
        <v>340</v>
      </c>
      <c r="P2058" s="1387" t="str">
        <f>IFERROR(VLOOKUP(F2058,#REF!,12,FALSE),"")</f>
        <v/>
      </c>
      <c r="Q2058" s="1388" t="s">
        <v>8</v>
      </c>
      <c r="R2058" s="1389" t="str">
        <f>IFERROR(VLOOKUP(F2058,#REF!,14,FALSE),"")</f>
        <v/>
      </c>
      <c r="S2058" s="1390">
        <f t="shared" si="312"/>
        <v>1.6293103448275863</v>
      </c>
      <c r="U2058" s="1728"/>
      <c r="V2058" s="1379">
        <f t="shared" si="313"/>
        <v>0</v>
      </c>
      <c r="W2058" s="1767"/>
      <c r="X2058" s="1379"/>
    </row>
    <row r="2059" spans="1:24" x14ac:dyDescent="0.2">
      <c r="A2059" s="1649" t="s">
        <v>144</v>
      </c>
      <c r="B2059" s="1676" t="e">
        <f>SUM(#REF!)</f>
        <v>#REF!</v>
      </c>
      <c r="C2059" s="1378">
        <v>45147</v>
      </c>
      <c r="D2059" s="1379"/>
      <c r="E2059" s="1380"/>
      <c r="F2059" s="1806"/>
      <c r="G2059" s="1381"/>
      <c r="H2059" s="1382" t="str">
        <f>IFERROR(VLOOKUP(F2059,#REF!,10,FALSE),"")</f>
        <v/>
      </c>
      <c r="I2059" s="1383" t="str">
        <f t="shared" si="310"/>
        <v/>
      </c>
      <c r="J2059" s="1384"/>
      <c r="K2059" s="1741"/>
      <c r="L2059" s="1578"/>
      <c r="M2059" s="1602"/>
      <c r="N2059" s="1385" t="str">
        <f t="shared" si="311"/>
        <v/>
      </c>
      <c r="O2059" s="1386"/>
      <c r="P2059" s="1387" t="str">
        <f>IFERROR(VLOOKUP(F2059,#REF!,12,FALSE),"")</f>
        <v/>
      </c>
      <c r="Q2059" s="1388" t="s">
        <v>8</v>
      </c>
      <c r="R2059" s="1389" t="str">
        <f>IFERROR(VLOOKUP(F2059,#REF!,14,FALSE),"")</f>
        <v/>
      </c>
      <c r="S2059" s="1390" t="str">
        <f t="shared" si="312"/>
        <v/>
      </c>
      <c r="U2059" s="1728"/>
      <c r="V2059" s="1379">
        <f t="shared" si="313"/>
        <v>0</v>
      </c>
      <c r="W2059" s="1767"/>
      <c r="X2059" s="1379"/>
    </row>
    <row r="2060" spans="1:24" x14ac:dyDescent="0.2">
      <c r="A2060" s="1649" t="s">
        <v>256</v>
      </c>
      <c r="B2060" s="1677" t="e">
        <f>AVERAGE(#REF!)</f>
        <v>#REF!</v>
      </c>
      <c r="C2060" s="1378">
        <v>45148</v>
      </c>
      <c r="D2060" s="1379"/>
      <c r="E2060" s="1380"/>
      <c r="F2060" s="1806"/>
      <c r="G2060" s="1381"/>
      <c r="H2060" s="1382" t="str">
        <f>IFERROR(VLOOKUP(F2060,#REF!,10,FALSE),"")</f>
        <v/>
      </c>
      <c r="I2060" s="1383" t="str">
        <f t="shared" si="310"/>
        <v/>
      </c>
      <c r="J2060" s="1384"/>
      <c r="K2060" s="1741"/>
      <c r="L2060" s="1578"/>
      <c r="M2060" s="1602"/>
      <c r="N2060" s="1385" t="str">
        <f t="shared" si="311"/>
        <v/>
      </c>
      <c r="O2060" s="1386"/>
      <c r="P2060" s="1387" t="str">
        <f>IFERROR(VLOOKUP(F2060,#REF!,12,FALSE),"")</f>
        <v/>
      </c>
      <c r="Q2060" s="1388" t="s">
        <v>8</v>
      </c>
      <c r="R2060" s="1389" t="str">
        <f>IFERROR(VLOOKUP(F2060,#REF!,14,FALSE),"")</f>
        <v/>
      </c>
      <c r="S2060" s="1390" t="str">
        <f t="shared" si="312"/>
        <v/>
      </c>
      <c r="U2060" s="1728"/>
      <c r="V2060" s="1379">
        <f t="shared" si="313"/>
        <v>0</v>
      </c>
      <c r="W2060" s="1767"/>
      <c r="X2060" s="1379"/>
    </row>
    <row r="2061" spans="1:24" x14ac:dyDescent="0.2">
      <c r="A2061" s="1649" t="s">
        <v>336</v>
      </c>
      <c r="B2061" s="1712">
        <f>IFERROR(AVERAGE(N2057:N2063),"")</f>
        <v>1.0583223729043478</v>
      </c>
      <c r="C2061" s="1684">
        <v>45149</v>
      </c>
      <c r="D2061" s="1379">
        <v>120</v>
      </c>
      <c r="E2061" s="1380" t="s">
        <v>292</v>
      </c>
      <c r="F2061" s="1807" t="s">
        <v>279</v>
      </c>
      <c r="G2061" s="1381">
        <v>3.8657407407407404E-2</v>
      </c>
      <c r="H2061" s="1382">
        <v>8.8699999999999992</v>
      </c>
      <c r="I2061" s="1383">
        <f t="shared" si="310"/>
        <v>4.358219549876822E-3</v>
      </c>
      <c r="J2061" s="1384">
        <v>120</v>
      </c>
      <c r="K2061" s="1741">
        <v>35</v>
      </c>
      <c r="L2061" s="1578">
        <v>188</v>
      </c>
      <c r="M2061" s="1602">
        <v>17</v>
      </c>
      <c r="N2061" s="1385">
        <f t="shared" si="311"/>
        <v>1.0565885342173016</v>
      </c>
      <c r="O2061" s="1386" t="s">
        <v>333</v>
      </c>
      <c r="P2061" s="1387" t="str">
        <f>IFERROR(VLOOKUP(F2061,#REF!,12,FALSE),"")</f>
        <v/>
      </c>
      <c r="Q2061" s="1388" t="s">
        <v>8</v>
      </c>
      <c r="R2061" s="1389" t="str">
        <f>IFERROR(VLOOKUP(F2061,#REF!,14,FALSE),"")</f>
        <v/>
      </c>
      <c r="S2061" s="1390">
        <f t="shared" si="312"/>
        <v>1.5666666666666667</v>
      </c>
      <c r="U2061" s="1728"/>
      <c r="V2061" s="1379">
        <f t="shared" si="313"/>
        <v>0</v>
      </c>
      <c r="W2061" s="1767"/>
      <c r="X2061" s="1379"/>
    </row>
    <row r="2062" spans="1:24" x14ac:dyDescent="0.2">
      <c r="A2062" s="1649" t="s">
        <v>337</v>
      </c>
      <c r="B2062" s="1677">
        <f>IFERROR(AVERAGE(S2057:S2063),"")</f>
        <v>1.6083364231862562</v>
      </c>
      <c r="C2062" s="1685">
        <v>45150</v>
      </c>
      <c r="D2062" s="1626">
        <v>121</v>
      </c>
      <c r="E2062" s="1627" t="s">
        <v>292</v>
      </c>
      <c r="F2062" s="1806" t="s">
        <v>322</v>
      </c>
      <c r="G2062" s="1629">
        <v>3.6828703703703704E-2</v>
      </c>
      <c r="H2062" s="1630">
        <v>8.9</v>
      </c>
      <c r="I2062" s="1631">
        <f t="shared" si="310"/>
        <v>4.1380565959217644E-3</v>
      </c>
      <c r="J2062" s="1632">
        <v>124</v>
      </c>
      <c r="K2062" s="1741">
        <v>43</v>
      </c>
      <c r="L2062" s="1578">
        <v>202</v>
      </c>
      <c r="M2062" s="1632">
        <v>24</v>
      </c>
      <c r="N2062" s="1633">
        <f t="shared" si="311"/>
        <v>1.077920509810498</v>
      </c>
      <c r="O2062" s="1634" t="s">
        <v>340</v>
      </c>
      <c r="P2062" s="1635" t="str">
        <f>IFERROR(VLOOKUP(F2062,#REF!,12,FALSE),"")</f>
        <v/>
      </c>
      <c r="Q2062" s="1636" t="s">
        <v>8</v>
      </c>
      <c r="R2062" s="1637" t="str">
        <f>IFERROR(VLOOKUP(F2062,#REF!,14,FALSE),"")</f>
        <v/>
      </c>
      <c r="S2062" s="1605">
        <f t="shared" si="312"/>
        <v>1.6290322580645162</v>
      </c>
      <c r="U2062" s="1728"/>
      <c r="V2062" s="1626">
        <f t="shared" si="313"/>
        <v>0</v>
      </c>
      <c r="W2062" s="1767"/>
      <c r="X2062" s="1626"/>
    </row>
    <row r="2063" spans="1:24" ht="16" thickBot="1" x14ac:dyDescent="0.25">
      <c r="A2063" s="1650" t="s">
        <v>5</v>
      </c>
      <c r="B2063" s="1678">
        <f>IFERROR(SUM(M2057:M2063),"")</f>
        <v>353</v>
      </c>
      <c r="C2063" s="1686">
        <v>45151</v>
      </c>
      <c r="D2063" s="683">
        <v>122</v>
      </c>
      <c r="E2063" s="684" t="s">
        <v>293</v>
      </c>
      <c r="F2063" s="1809" t="s">
        <v>297</v>
      </c>
      <c r="G2063" s="1361">
        <v>8.3576388888888895E-2</v>
      </c>
      <c r="H2063" s="1362">
        <v>17.2</v>
      </c>
      <c r="I2063" s="1363">
        <f t="shared" si="310"/>
        <v>4.8590923772609826E-3</v>
      </c>
      <c r="J2063" s="1364">
        <v>134</v>
      </c>
      <c r="K2063" s="1741">
        <v>85</v>
      </c>
      <c r="L2063" s="1583">
        <v>185</v>
      </c>
      <c r="M2063" s="1364">
        <v>290</v>
      </c>
      <c r="N2063" s="1365"/>
      <c r="O2063" s="1366" t="s">
        <v>342</v>
      </c>
      <c r="P2063" s="1367" t="str">
        <f>IFERROR(VLOOKUP(F2063,#REF!,12,FALSE),"")</f>
        <v/>
      </c>
      <c r="Q2063" s="19" t="s">
        <v>8</v>
      </c>
      <c r="R2063" s="20" t="str">
        <f>IFERROR(VLOOKUP(F2063,#REF!,14,FALSE),"")</f>
        <v/>
      </c>
      <c r="S2063" s="1191"/>
      <c r="U2063" s="1728"/>
      <c r="V2063" s="683">
        <f t="shared" si="313"/>
        <v>0</v>
      </c>
      <c r="W2063" s="1768"/>
      <c r="X2063" s="683"/>
    </row>
    <row r="2064" spans="1:24" ht="16" thickBot="1" x14ac:dyDescent="0.25">
      <c r="A2064" s="1962">
        <f>WEEKNUM(C2064,1)</f>
        <v>33</v>
      </c>
      <c r="B2064" s="1963"/>
      <c r="C2064" s="1687">
        <v>45152</v>
      </c>
      <c r="D2064" s="1369"/>
      <c r="E2064" s="1370"/>
      <c r="F2064" s="1806"/>
      <c r="G2064" s="1371"/>
      <c r="H2064" s="1372" t="str">
        <f>IFERROR(VLOOKUP(F2064,#REF!,10,FALSE),"")</f>
        <v/>
      </c>
      <c r="I2064" s="1373" t="str">
        <f t="shared" si="310"/>
        <v/>
      </c>
      <c r="J2064" s="1374"/>
      <c r="K2064" s="1741"/>
      <c r="L2064" s="1577"/>
      <c r="M2064" s="1374"/>
      <c r="N2064" s="1375" t="str">
        <f t="shared" ref="N2064:N2104" si="314">IFERROR((L2064/67)/(1/(I2064*24)/3.6),"")</f>
        <v/>
      </c>
      <c r="O2064" s="1376"/>
      <c r="P2064" s="795" t="str">
        <f>IFERROR(VLOOKUP(F2064,#REF!,12,FALSE),"")</f>
        <v/>
      </c>
      <c r="Q2064" s="32" t="s">
        <v>8</v>
      </c>
      <c r="R2064" s="1255" t="str">
        <f>IFERROR(VLOOKUP(F2064,#REF!,14,FALSE),"")</f>
        <v/>
      </c>
      <c r="S2064" s="1377" t="str">
        <f t="shared" ref="S2064:S2104" si="315">IFERROR(L2064/J2064,"")</f>
        <v/>
      </c>
      <c r="U2064" s="1728"/>
      <c r="V2064" s="1369">
        <f t="shared" si="313"/>
        <v>0</v>
      </c>
      <c r="W2064" s="1766"/>
      <c r="X2064" s="1369"/>
    </row>
    <row r="2065" spans="1:24" x14ac:dyDescent="0.2">
      <c r="A2065" s="1648" t="s">
        <v>142</v>
      </c>
      <c r="B2065" s="1675">
        <f>SUM(H2064:H2070)</f>
        <v>29.130000000000003</v>
      </c>
      <c r="C2065" s="1684">
        <v>45153</v>
      </c>
      <c r="D2065" s="1379">
        <v>123</v>
      </c>
      <c r="E2065" s="1380" t="s">
        <v>292</v>
      </c>
      <c r="F2065" s="1810" t="s">
        <v>322</v>
      </c>
      <c r="G2065" s="1381">
        <v>3.8391203703703698E-2</v>
      </c>
      <c r="H2065" s="1382">
        <v>8.8800000000000008</v>
      </c>
      <c r="I2065" s="1383">
        <f t="shared" si="310"/>
        <v>4.323333750417083E-3</v>
      </c>
      <c r="J2065" s="1384">
        <v>123</v>
      </c>
      <c r="K2065" s="1741">
        <v>34</v>
      </c>
      <c r="L2065" s="1578">
        <v>190</v>
      </c>
      <c r="M2065" s="1602">
        <v>15</v>
      </c>
      <c r="N2065" s="1385">
        <f t="shared" si="314"/>
        <v>1.0592812962215945</v>
      </c>
      <c r="O2065" s="1386" t="s">
        <v>333</v>
      </c>
      <c r="P2065" s="1387" t="str">
        <f>IFERROR(VLOOKUP(F2065,#REF!,12,FALSE),"")</f>
        <v/>
      </c>
      <c r="Q2065" s="1388" t="s">
        <v>8</v>
      </c>
      <c r="R2065" s="1389" t="str">
        <f>IFERROR(VLOOKUP(F2065,#REF!,14,FALSE),"")</f>
        <v/>
      </c>
      <c r="S2065" s="1390">
        <f t="shared" si="315"/>
        <v>1.5447154471544715</v>
      </c>
      <c r="U2065" s="1728"/>
      <c r="V2065" s="1379">
        <f t="shared" si="313"/>
        <v>0</v>
      </c>
      <c r="W2065" s="1767"/>
      <c r="X2065" s="1379"/>
    </row>
    <row r="2066" spans="1:24" x14ac:dyDescent="0.2">
      <c r="A2066" s="1649" t="s">
        <v>144</v>
      </c>
      <c r="B2066" s="1676" t="e">
        <f>SUM(#REF!)</f>
        <v>#REF!</v>
      </c>
      <c r="C2066" s="1684">
        <v>45154</v>
      </c>
      <c r="D2066" s="1379"/>
      <c r="E2066" s="1380"/>
      <c r="F2066" s="1811"/>
      <c r="G2066" s="1381"/>
      <c r="H2066" s="1382" t="str">
        <f>IFERROR(VLOOKUP(F2066,#REF!,10,FALSE),"")</f>
        <v/>
      </c>
      <c r="I2066" s="1383" t="str">
        <f t="shared" si="310"/>
        <v/>
      </c>
      <c r="J2066" s="1384"/>
      <c r="K2066" s="1741"/>
      <c r="L2066" s="1578"/>
      <c r="M2066" s="1602"/>
      <c r="N2066" s="1385" t="str">
        <f t="shared" si="314"/>
        <v/>
      </c>
      <c r="O2066" s="1386"/>
      <c r="P2066" s="1387" t="str">
        <f>IFERROR(VLOOKUP(F2066,#REF!,12,FALSE),"")</f>
        <v/>
      </c>
      <c r="Q2066" s="1388" t="s">
        <v>8</v>
      </c>
      <c r="R2066" s="1389" t="str">
        <f>IFERROR(VLOOKUP(F2066,#REF!,14,FALSE),"")</f>
        <v/>
      </c>
      <c r="S2066" s="1390" t="str">
        <f t="shared" si="315"/>
        <v/>
      </c>
      <c r="U2066" s="1728"/>
      <c r="V2066" s="1379">
        <f t="shared" si="313"/>
        <v>0</v>
      </c>
      <c r="W2066" s="1767"/>
      <c r="X2066" s="1379"/>
    </row>
    <row r="2067" spans="1:24" x14ac:dyDescent="0.2">
      <c r="A2067" s="1649" t="s">
        <v>256</v>
      </c>
      <c r="B2067" s="1677" t="e">
        <f>AVERAGE(#REF!)</f>
        <v>#REF!</v>
      </c>
      <c r="C2067" s="1684">
        <v>45155</v>
      </c>
      <c r="D2067" s="1379">
        <v>124</v>
      </c>
      <c r="E2067" s="1380" t="s">
        <v>292</v>
      </c>
      <c r="F2067" s="1811" t="s">
        <v>322</v>
      </c>
      <c r="G2067" s="1381">
        <v>3.5451388888888886E-2</v>
      </c>
      <c r="H2067" s="1382">
        <v>8.39</v>
      </c>
      <c r="I2067" s="1383">
        <f t="shared" si="310"/>
        <v>4.2254337173884245E-3</v>
      </c>
      <c r="J2067" s="1384">
        <v>125</v>
      </c>
      <c r="K2067" s="1741">
        <v>36</v>
      </c>
      <c r="L2067" s="1578">
        <v>197</v>
      </c>
      <c r="M2067" s="1602">
        <v>16</v>
      </c>
      <c r="N2067" s="1385">
        <f t="shared" si="314"/>
        <v>1.0734367495063417</v>
      </c>
      <c r="O2067" s="1386" t="s">
        <v>328</v>
      </c>
      <c r="P2067" s="1387" t="str">
        <f>IFERROR(VLOOKUP(F2067,#REF!,12,FALSE),"")</f>
        <v/>
      </c>
      <c r="Q2067" s="1388" t="s">
        <v>8</v>
      </c>
      <c r="R2067" s="1389" t="str">
        <f>IFERROR(VLOOKUP(F2067,#REF!,14,FALSE),"")</f>
        <v/>
      </c>
      <c r="S2067" s="1390">
        <f t="shared" si="315"/>
        <v>1.5760000000000001</v>
      </c>
      <c r="U2067" s="1728"/>
      <c r="V2067" s="1379">
        <f t="shared" si="313"/>
        <v>0</v>
      </c>
      <c r="W2067" s="1767"/>
      <c r="X2067" s="1379"/>
    </row>
    <row r="2068" spans="1:24" x14ac:dyDescent="0.2">
      <c r="A2068" s="1649" t="s">
        <v>336</v>
      </c>
      <c r="B2068" s="1712">
        <f>IFERROR(AVERAGE(N2064:N2070),"")</f>
        <v>1.0701305502405061</v>
      </c>
      <c r="C2068" s="1684">
        <v>45156</v>
      </c>
      <c r="D2068" s="1379"/>
      <c r="E2068" s="1380"/>
      <c r="F2068" s="1811"/>
      <c r="G2068" s="1381"/>
      <c r="H2068" s="1382" t="str">
        <f>IFERROR(VLOOKUP(F2068,#REF!,10,FALSE),"")</f>
        <v/>
      </c>
      <c r="I2068" s="1383" t="str">
        <f t="shared" si="310"/>
        <v/>
      </c>
      <c r="J2068" s="1384"/>
      <c r="K2068" s="1741"/>
      <c r="L2068" s="1578"/>
      <c r="M2068" s="1602"/>
      <c r="N2068" s="1385" t="str">
        <f t="shared" si="314"/>
        <v/>
      </c>
      <c r="O2068" s="1386"/>
      <c r="P2068" s="1387" t="str">
        <f>IFERROR(VLOOKUP(F2068,#REF!,12,FALSE),"")</f>
        <v/>
      </c>
      <c r="Q2068" s="1388" t="s">
        <v>8</v>
      </c>
      <c r="R2068" s="1389" t="str">
        <f>IFERROR(VLOOKUP(F2068,#REF!,14,FALSE),"")</f>
        <v/>
      </c>
      <c r="S2068" s="1390" t="str">
        <f t="shared" si="315"/>
        <v/>
      </c>
      <c r="U2068" s="1728"/>
      <c r="V2068" s="1379">
        <f t="shared" si="313"/>
        <v>0</v>
      </c>
      <c r="W2068" s="1767"/>
      <c r="X2068" s="1379"/>
    </row>
    <row r="2069" spans="1:24" x14ac:dyDescent="0.2">
      <c r="A2069" s="1649" t="s">
        <v>337</v>
      </c>
      <c r="B2069" s="1677">
        <f>IFERROR(AVERAGE(S2064:S2070),"")</f>
        <v>1.5632737127371275</v>
      </c>
      <c r="C2069" s="1685">
        <v>45157</v>
      </c>
      <c r="D2069" s="1626"/>
      <c r="E2069" s="1627"/>
      <c r="F2069" s="1811"/>
      <c r="G2069" s="1629"/>
      <c r="H2069" s="1630" t="str">
        <f>IFERROR(VLOOKUP(F2069,#REF!,10,FALSE),"")</f>
        <v/>
      </c>
      <c r="I2069" s="1631" t="str">
        <f t="shared" si="310"/>
        <v/>
      </c>
      <c r="J2069" s="1632"/>
      <c r="K2069" s="1741"/>
      <c r="L2069" s="1578"/>
      <c r="M2069" s="1632"/>
      <c r="N2069" s="1633" t="str">
        <f t="shared" si="314"/>
        <v/>
      </c>
      <c r="O2069" s="1634"/>
      <c r="P2069" s="1635" t="str">
        <f>IFERROR(VLOOKUP(F2069,#REF!,12,FALSE),"")</f>
        <v/>
      </c>
      <c r="Q2069" s="1636" t="s">
        <v>8</v>
      </c>
      <c r="R2069" s="1637" t="str">
        <f>IFERROR(VLOOKUP(F2069,#REF!,14,FALSE),"")</f>
        <v/>
      </c>
      <c r="S2069" s="1605" t="str">
        <f t="shared" si="315"/>
        <v/>
      </c>
      <c r="U2069" s="1728"/>
      <c r="V2069" s="1626">
        <f t="shared" si="313"/>
        <v>0</v>
      </c>
      <c r="W2069" s="1767"/>
      <c r="X2069" s="1626"/>
    </row>
    <row r="2070" spans="1:24" ht="16" thickBot="1" x14ac:dyDescent="0.25">
      <c r="A2070" s="1650" t="s">
        <v>5</v>
      </c>
      <c r="B2070" s="1678">
        <f>IFERROR(SUM(M2064:M2070),"")</f>
        <v>64</v>
      </c>
      <c r="C2070" s="1686">
        <v>45158</v>
      </c>
      <c r="D2070" s="683">
        <v>125</v>
      </c>
      <c r="E2070" s="684" t="s">
        <v>292</v>
      </c>
      <c r="F2070" s="1811" t="s">
        <v>279</v>
      </c>
      <c r="G2070" s="1361">
        <v>5.1354166666666666E-2</v>
      </c>
      <c r="H2070" s="1362">
        <v>11.86</v>
      </c>
      <c r="I2070" s="1363">
        <f t="shared" si="310"/>
        <v>4.3300309162450819E-3</v>
      </c>
      <c r="J2070" s="1364">
        <v>123</v>
      </c>
      <c r="K2070" s="1741">
        <v>50</v>
      </c>
      <c r="L2070" s="1583">
        <v>193</v>
      </c>
      <c r="M2070" s="1364">
        <v>33</v>
      </c>
      <c r="N2070" s="1365">
        <f t="shared" si="314"/>
        <v>1.077673604993582</v>
      </c>
      <c r="O2070" s="1366" t="s">
        <v>327</v>
      </c>
      <c r="P2070" s="1367" t="str">
        <f>IFERROR(VLOOKUP(F2070,#REF!,12,FALSE),"")</f>
        <v/>
      </c>
      <c r="Q2070" s="19" t="s">
        <v>8</v>
      </c>
      <c r="R2070" s="20" t="str">
        <f>IFERROR(VLOOKUP(F2070,#REF!,14,FALSE),"")</f>
        <v/>
      </c>
      <c r="S2070" s="1191">
        <f t="shared" si="315"/>
        <v>1.5691056910569106</v>
      </c>
      <c r="U2070" s="1728"/>
      <c r="V2070" s="683">
        <f t="shared" si="313"/>
        <v>0</v>
      </c>
      <c r="W2070" s="1768"/>
      <c r="X2070" s="683"/>
    </row>
    <row r="2071" spans="1:24" ht="16" thickBot="1" x14ac:dyDescent="0.25">
      <c r="A2071" s="1962">
        <f>WEEKNUM(C2071,1)</f>
        <v>34</v>
      </c>
      <c r="B2071" s="1963"/>
      <c r="C2071" s="1687">
        <v>45159</v>
      </c>
      <c r="D2071" s="1369"/>
      <c r="E2071" s="1370"/>
      <c r="F2071" s="1811"/>
      <c r="G2071" s="1371"/>
      <c r="H2071" s="1372" t="str">
        <f>IFERROR(VLOOKUP(F2071,#REF!,10,FALSE),"")</f>
        <v/>
      </c>
      <c r="I2071" s="1373" t="str">
        <f t="shared" si="310"/>
        <v/>
      </c>
      <c r="J2071" s="1374"/>
      <c r="K2071" s="1741"/>
      <c r="L2071" s="1577"/>
      <c r="M2071" s="1374"/>
      <c r="N2071" s="1375" t="str">
        <f t="shared" si="314"/>
        <v/>
      </c>
      <c r="O2071" s="1376"/>
      <c r="P2071" s="795" t="str">
        <f>IFERROR(VLOOKUP(F2071,#REF!,12,FALSE),"")</f>
        <v/>
      </c>
      <c r="Q2071" s="32" t="s">
        <v>8</v>
      </c>
      <c r="R2071" s="1255" t="str">
        <f>IFERROR(VLOOKUP(F2071,#REF!,14,FALSE),"")</f>
        <v/>
      </c>
      <c r="S2071" s="1377" t="str">
        <f t="shared" si="315"/>
        <v/>
      </c>
      <c r="U2071" s="1728"/>
      <c r="V2071" s="1369">
        <f t="shared" si="313"/>
        <v>0</v>
      </c>
      <c r="W2071" s="1766"/>
      <c r="X2071" s="1369"/>
    </row>
    <row r="2072" spans="1:24" x14ac:dyDescent="0.2">
      <c r="A2072" s="1648" t="s">
        <v>142</v>
      </c>
      <c r="B2072" s="1675">
        <f>SUM(H2071:H2077)</f>
        <v>37.22</v>
      </c>
      <c r="C2072" s="1378">
        <v>45160</v>
      </c>
      <c r="D2072" s="1379">
        <v>126</v>
      </c>
      <c r="E2072" s="1380" t="s">
        <v>292</v>
      </c>
      <c r="F2072" s="1811" t="s">
        <v>322</v>
      </c>
      <c r="G2072" s="1381">
        <v>2.9583333333333336E-2</v>
      </c>
      <c r="H2072" s="1382">
        <v>7.21</v>
      </c>
      <c r="I2072" s="1383">
        <f t="shared" si="310"/>
        <v>4.1030975496994916E-3</v>
      </c>
      <c r="J2072" s="1384">
        <v>128</v>
      </c>
      <c r="K2072" s="1741">
        <v>32</v>
      </c>
      <c r="L2072" s="1578">
        <v>199</v>
      </c>
      <c r="M2072" s="1602">
        <v>18</v>
      </c>
      <c r="N2072" s="1385">
        <f t="shared" si="314"/>
        <v>1.0529405676195995</v>
      </c>
      <c r="O2072" s="1386" t="s">
        <v>333</v>
      </c>
      <c r="P2072" s="1387" t="str">
        <f>IFERROR(VLOOKUP(F2072,#REF!,12,FALSE),"")</f>
        <v/>
      </c>
      <c r="Q2072" s="1388" t="s">
        <v>8</v>
      </c>
      <c r="R2072" s="1389" t="str">
        <f>IFERROR(VLOOKUP(F2072,#REF!,14,FALSE),"")</f>
        <v/>
      </c>
      <c r="S2072" s="1390">
        <f t="shared" si="315"/>
        <v>1.5546875</v>
      </c>
      <c r="U2072" s="1728"/>
      <c r="V2072" s="1379">
        <f t="shared" si="313"/>
        <v>0</v>
      </c>
      <c r="W2072" s="1767"/>
      <c r="X2072" s="1379"/>
    </row>
    <row r="2073" spans="1:24" ht="16" thickBot="1" x14ac:dyDescent="0.25">
      <c r="A2073" s="1649" t="s">
        <v>144</v>
      </c>
      <c r="B2073" s="1676" t="e">
        <f>SUM(#REF!)</f>
        <v>#REF!</v>
      </c>
      <c r="C2073" s="1378">
        <v>45161</v>
      </c>
      <c r="D2073" s="1379"/>
      <c r="E2073" s="1380"/>
      <c r="F2073" s="1811"/>
      <c r="G2073" s="1381"/>
      <c r="H2073" s="1382" t="str">
        <f>IFERROR(VLOOKUP(F2073,#REF!,10,FALSE),"")</f>
        <v/>
      </c>
      <c r="I2073" s="1383" t="str">
        <f t="shared" si="310"/>
        <v/>
      </c>
      <c r="J2073" s="1384"/>
      <c r="K2073" s="1741"/>
      <c r="L2073" s="1578"/>
      <c r="M2073" s="1602"/>
      <c r="N2073" s="1385" t="str">
        <f t="shared" si="314"/>
        <v/>
      </c>
      <c r="O2073" s="1386"/>
      <c r="P2073" s="1387" t="str">
        <f>IFERROR(VLOOKUP(F2073,#REF!,12,FALSE),"")</f>
        <v/>
      </c>
      <c r="Q2073" s="1388" t="s">
        <v>8</v>
      </c>
      <c r="R2073" s="1389" t="str">
        <f>IFERROR(VLOOKUP(F2073,#REF!,14,FALSE),"")</f>
        <v/>
      </c>
      <c r="S2073" s="1390" t="str">
        <f t="shared" si="315"/>
        <v/>
      </c>
      <c r="U2073" s="1728"/>
      <c r="V2073" s="1379">
        <f t="shared" si="313"/>
        <v>0</v>
      </c>
      <c r="W2073" s="1767"/>
      <c r="X2073" s="1379"/>
    </row>
    <row r="2074" spans="1:24" x14ac:dyDescent="0.2">
      <c r="A2074" s="1649" t="s">
        <v>256</v>
      </c>
      <c r="B2074" s="1677" t="e">
        <f>AVERAGE(#REF!)</f>
        <v>#REF!</v>
      </c>
      <c r="C2074" s="1378">
        <v>45162</v>
      </c>
      <c r="D2074" s="1379">
        <v>127</v>
      </c>
      <c r="E2074" s="1380" t="s">
        <v>293</v>
      </c>
      <c r="F2074" s="1812" t="s">
        <v>312</v>
      </c>
      <c r="G2074" s="1381">
        <v>3.1192129629629629E-2</v>
      </c>
      <c r="H2074" s="1382">
        <v>7.93</v>
      </c>
      <c r="I2074" s="1383">
        <f t="shared" si="310"/>
        <v>3.9334337490075193E-3</v>
      </c>
      <c r="J2074" s="1384">
        <v>143</v>
      </c>
      <c r="K2074" s="1741">
        <v>53</v>
      </c>
      <c r="L2074" s="1578">
        <v>207</v>
      </c>
      <c r="M2074" s="1602">
        <v>21</v>
      </c>
      <c r="N2074" s="1385">
        <f t="shared" si="314"/>
        <v>1.0499802375261145</v>
      </c>
      <c r="O2074" s="1386" t="s">
        <v>341</v>
      </c>
      <c r="P2074" s="1387" t="str">
        <f>IFERROR(VLOOKUP(F2074,#REF!,12,FALSE),"")</f>
        <v/>
      </c>
      <c r="Q2074" s="1388" t="s">
        <v>8</v>
      </c>
      <c r="R2074" s="1389" t="str">
        <f>IFERROR(VLOOKUP(F2074,#REF!,14,FALSE),"")</f>
        <v/>
      </c>
      <c r="S2074" s="1390">
        <f t="shared" si="315"/>
        <v>1.4475524475524475</v>
      </c>
      <c r="U2074" s="1728"/>
      <c r="V2074" s="1379">
        <f t="shared" si="313"/>
        <v>0</v>
      </c>
      <c r="W2074" s="1767"/>
      <c r="X2074" s="1379"/>
    </row>
    <row r="2075" spans="1:24" x14ac:dyDescent="0.2">
      <c r="A2075" s="1649" t="s">
        <v>336</v>
      </c>
      <c r="B2075" s="1712">
        <f>IFERROR(AVERAGE(N2071:N2077),"")</f>
        <v>1.059630070442831</v>
      </c>
      <c r="C2075" s="1378">
        <v>45163</v>
      </c>
      <c r="D2075" s="1379">
        <v>128</v>
      </c>
      <c r="E2075" s="1380" t="s">
        <v>292</v>
      </c>
      <c r="F2075" s="1813" t="s">
        <v>322</v>
      </c>
      <c r="G2075" s="1381">
        <v>3.6435185185185189E-2</v>
      </c>
      <c r="H2075" s="1382">
        <v>8.56</v>
      </c>
      <c r="I2075" s="1383">
        <f t="shared" si="310"/>
        <v>4.2564468674281758E-3</v>
      </c>
      <c r="J2075" s="1384">
        <v>121</v>
      </c>
      <c r="K2075" s="1741">
        <v>37</v>
      </c>
      <c r="L2075" s="1578">
        <v>193</v>
      </c>
      <c r="M2075" s="1602">
        <v>21</v>
      </c>
      <c r="N2075" s="1385">
        <f t="shared" si="314"/>
        <v>1.059359743339378</v>
      </c>
      <c r="O2075" s="1386" t="s">
        <v>340</v>
      </c>
      <c r="P2075" s="1387" t="str">
        <f>IFERROR(VLOOKUP(F2075,#REF!,12,FALSE),"")</f>
        <v/>
      </c>
      <c r="Q2075" s="1388" t="s">
        <v>8</v>
      </c>
      <c r="R2075" s="1389" t="str">
        <f>IFERROR(VLOOKUP(F2075,#REF!,14,FALSE),"")</f>
        <v/>
      </c>
      <c r="S2075" s="1390">
        <f t="shared" si="315"/>
        <v>1.5950413223140496</v>
      </c>
      <c r="U2075" s="1728"/>
      <c r="V2075" s="1379">
        <f t="shared" si="313"/>
        <v>0</v>
      </c>
      <c r="W2075" s="1767"/>
      <c r="X2075" s="1379"/>
    </row>
    <row r="2076" spans="1:24" x14ac:dyDescent="0.2">
      <c r="A2076" s="1649" t="s">
        <v>337</v>
      </c>
      <c r="B2076" s="1677">
        <f>IFERROR(AVERAGE(S2071:S2077),"")</f>
        <v>1.5320126251589319</v>
      </c>
      <c r="C2076" s="1625">
        <v>45164</v>
      </c>
      <c r="D2076" s="1626"/>
      <c r="E2076" s="1627"/>
      <c r="F2076" s="15"/>
      <c r="G2076" s="1629"/>
      <c r="H2076" s="1630" t="str">
        <f>IFERROR(VLOOKUP(F2076,#REF!,10,FALSE),"")</f>
        <v/>
      </c>
      <c r="I2076" s="1631" t="str">
        <f t="shared" si="310"/>
        <v/>
      </c>
      <c r="J2076" s="1632"/>
      <c r="K2076" s="1741"/>
      <c r="L2076" s="1578"/>
      <c r="M2076" s="1632"/>
      <c r="N2076" s="1633" t="str">
        <f t="shared" si="314"/>
        <v/>
      </c>
      <c r="O2076" s="1634"/>
      <c r="P2076" s="1635" t="str">
        <f>IFERROR(VLOOKUP(F2076,#REF!,12,FALSE),"")</f>
        <v/>
      </c>
      <c r="Q2076" s="1636" t="s">
        <v>8</v>
      </c>
      <c r="R2076" s="1637" t="str">
        <f>IFERROR(VLOOKUP(F2076,#REF!,14,FALSE),"")</f>
        <v/>
      </c>
      <c r="S2076" s="1605" t="str">
        <f t="shared" si="315"/>
        <v/>
      </c>
      <c r="U2076" s="1728"/>
      <c r="V2076" s="1626">
        <f t="shared" si="313"/>
        <v>0</v>
      </c>
      <c r="W2076" s="1767"/>
      <c r="X2076" s="1626"/>
    </row>
    <row r="2077" spans="1:24" ht="16" thickBot="1" x14ac:dyDescent="0.25">
      <c r="A2077" s="1650" t="s">
        <v>5</v>
      </c>
      <c r="B2077" s="1678">
        <f>IFERROR(SUM(M2071:M2077),"")</f>
        <v>103</v>
      </c>
      <c r="C2077" s="1360">
        <v>45165</v>
      </c>
      <c r="D2077" s="683">
        <v>129</v>
      </c>
      <c r="E2077" s="684" t="s">
        <v>292</v>
      </c>
      <c r="F2077" s="1813" t="s">
        <v>308</v>
      </c>
      <c r="G2077" s="1361">
        <v>5.6701388888888891E-2</v>
      </c>
      <c r="H2077" s="1362">
        <v>13.52</v>
      </c>
      <c r="I2077" s="1363">
        <f t="shared" si="310"/>
        <v>4.1938897107166341E-3</v>
      </c>
      <c r="J2077" s="1364">
        <v>130</v>
      </c>
      <c r="K2077" s="1741">
        <v>60</v>
      </c>
      <c r="L2077" s="1583">
        <v>199</v>
      </c>
      <c r="M2077" s="1364">
        <v>43</v>
      </c>
      <c r="N2077" s="1365">
        <f t="shared" si="314"/>
        <v>1.0762397332862317</v>
      </c>
      <c r="O2077" s="1366" t="s">
        <v>327</v>
      </c>
      <c r="P2077" s="1367" t="str">
        <f>IFERROR(VLOOKUP(F2077,#REF!,12,FALSE),"")</f>
        <v/>
      </c>
      <c r="Q2077" s="19" t="s">
        <v>8</v>
      </c>
      <c r="R2077" s="20" t="str">
        <f>IFERROR(VLOOKUP(F2077,#REF!,14,FALSE),"")</f>
        <v/>
      </c>
      <c r="S2077" s="1191">
        <f t="shared" si="315"/>
        <v>1.5307692307692307</v>
      </c>
      <c r="U2077" s="1728"/>
      <c r="V2077" s="683">
        <f t="shared" si="313"/>
        <v>0</v>
      </c>
      <c r="W2077" s="1768"/>
      <c r="X2077" s="683"/>
    </row>
    <row r="2078" spans="1:24" ht="16" thickBot="1" x14ac:dyDescent="0.25">
      <c r="A2078" s="1962">
        <f>WEEKNUM(C2078,1)</f>
        <v>35</v>
      </c>
      <c r="B2078" s="1963"/>
      <c r="C2078" s="1368">
        <v>45166</v>
      </c>
      <c r="D2078" s="1369"/>
      <c r="E2078" s="1370"/>
      <c r="F2078" s="1813"/>
      <c r="G2078" s="1371"/>
      <c r="H2078" s="1372" t="str">
        <f>IFERROR(VLOOKUP(F2078,#REF!,10,FALSE),"")</f>
        <v/>
      </c>
      <c r="I2078" s="1373" t="str">
        <f t="shared" si="310"/>
        <v/>
      </c>
      <c r="J2078" s="1374"/>
      <c r="K2078" s="1741"/>
      <c r="L2078" s="1577"/>
      <c r="M2078" s="1374"/>
      <c r="N2078" s="1375" t="str">
        <f t="shared" si="314"/>
        <v/>
      </c>
      <c r="O2078" s="1376"/>
      <c r="P2078" s="795" t="str">
        <f>IFERROR(VLOOKUP(F2078,#REF!,12,FALSE),"")</f>
        <v/>
      </c>
      <c r="Q2078" s="32" t="s">
        <v>8</v>
      </c>
      <c r="R2078" s="1255" t="str">
        <f>IFERROR(VLOOKUP(F2078,#REF!,14,FALSE),"")</f>
        <v/>
      </c>
      <c r="S2078" s="1377" t="str">
        <f t="shared" si="315"/>
        <v/>
      </c>
      <c r="U2078" s="1728"/>
      <c r="V2078" s="1369">
        <f t="shared" si="313"/>
        <v>0</v>
      </c>
      <c r="W2078" s="1766"/>
      <c r="X2078" s="1369"/>
    </row>
    <row r="2079" spans="1:24" x14ac:dyDescent="0.2">
      <c r="A2079" s="1648" t="s">
        <v>142</v>
      </c>
      <c r="B2079" s="1675">
        <f>SUM(H2078:H2084)</f>
        <v>41.18</v>
      </c>
      <c r="C2079" s="1378">
        <v>45167</v>
      </c>
      <c r="D2079" s="1379">
        <v>130</v>
      </c>
      <c r="E2079" s="1380" t="s">
        <v>293</v>
      </c>
      <c r="F2079" s="15" t="s">
        <v>322</v>
      </c>
      <c r="G2079" s="1381">
        <v>3.4386574074074076E-2</v>
      </c>
      <c r="H2079" s="1382">
        <v>8.1999999999999993</v>
      </c>
      <c r="I2079" s="1383">
        <f t="shared" si="310"/>
        <v>4.1934846431797655E-3</v>
      </c>
      <c r="J2079" s="1384">
        <v>132</v>
      </c>
      <c r="K2079" s="1741">
        <v>35</v>
      </c>
      <c r="L2079" s="1578">
        <v>196</v>
      </c>
      <c r="M2079" s="1602">
        <v>16</v>
      </c>
      <c r="N2079" s="1385">
        <f t="shared" si="314"/>
        <v>1.0599126319621406</v>
      </c>
      <c r="O2079" s="1386" t="s">
        <v>340</v>
      </c>
      <c r="P2079" s="1387" t="str">
        <f>IFERROR(VLOOKUP(F2079,#REF!,12,FALSE),"")</f>
        <v/>
      </c>
      <c r="Q2079" s="1388" t="s">
        <v>8</v>
      </c>
      <c r="R2079" s="1389" t="str">
        <f>IFERROR(VLOOKUP(F2079,#REF!,14,FALSE),"")</f>
        <v/>
      </c>
      <c r="S2079" s="1390">
        <f t="shared" si="315"/>
        <v>1.4848484848484849</v>
      </c>
      <c r="U2079" s="1728"/>
      <c r="V2079" s="1379">
        <f t="shared" si="313"/>
        <v>0</v>
      </c>
      <c r="W2079" s="1767"/>
      <c r="X2079" s="1379"/>
    </row>
    <row r="2080" spans="1:24" x14ac:dyDescent="0.2">
      <c r="A2080" s="1649" t="s">
        <v>144</v>
      </c>
      <c r="B2080" s="1676" t="e">
        <f>SUM(#REF!)</f>
        <v>#REF!</v>
      </c>
      <c r="C2080" s="1378">
        <v>45168</v>
      </c>
      <c r="D2080" s="1379"/>
      <c r="E2080" s="1380"/>
      <c r="F2080" s="1813"/>
      <c r="G2080" s="1381"/>
      <c r="H2080" s="1382" t="str">
        <f>IFERROR(VLOOKUP(F2080,#REF!,10,FALSE),"")</f>
        <v/>
      </c>
      <c r="I2080" s="1383" t="str">
        <f t="shared" si="310"/>
        <v/>
      </c>
      <c r="J2080" s="1384"/>
      <c r="K2080" s="1741"/>
      <c r="L2080" s="1578"/>
      <c r="M2080" s="1602"/>
      <c r="N2080" s="1385" t="str">
        <f t="shared" si="314"/>
        <v/>
      </c>
      <c r="O2080" s="1386"/>
      <c r="P2080" s="1387" t="str">
        <f>IFERROR(VLOOKUP(F2080,#REF!,12,FALSE),"")</f>
        <v/>
      </c>
      <c r="Q2080" s="1388" t="s">
        <v>8</v>
      </c>
      <c r="R2080" s="1389" t="str">
        <f>IFERROR(VLOOKUP(F2080,#REF!,14,FALSE),"")</f>
        <v/>
      </c>
      <c r="S2080" s="1390" t="str">
        <f t="shared" si="315"/>
        <v/>
      </c>
      <c r="U2080" s="1728"/>
      <c r="V2080" s="1379">
        <f t="shared" si="313"/>
        <v>0</v>
      </c>
      <c r="W2080" s="1767"/>
      <c r="X2080" s="1379"/>
    </row>
    <row r="2081" spans="1:24" x14ac:dyDescent="0.2">
      <c r="A2081" s="1649" t="s">
        <v>256</v>
      </c>
      <c r="B2081" s="1677" t="e">
        <f>AVERAGE(#REF!)</f>
        <v>#REF!</v>
      </c>
      <c r="C2081" s="1378">
        <v>45169</v>
      </c>
      <c r="D2081" s="1379">
        <v>131</v>
      </c>
      <c r="E2081" s="1380" t="s">
        <v>293</v>
      </c>
      <c r="F2081" s="1813" t="s">
        <v>302</v>
      </c>
      <c r="G2081" s="1381">
        <v>4.4328703703703703E-2</v>
      </c>
      <c r="H2081" s="1382">
        <v>11.75</v>
      </c>
      <c r="I2081" s="1383">
        <f t="shared" si="310"/>
        <v>3.7726556343577618E-3</v>
      </c>
      <c r="J2081" s="1384">
        <v>143</v>
      </c>
      <c r="K2081" s="1741">
        <v>72</v>
      </c>
      <c r="L2081" s="1578">
        <v>216</v>
      </c>
      <c r="M2081" s="1602">
        <v>20</v>
      </c>
      <c r="N2081" s="1385">
        <f t="shared" si="314"/>
        <v>1.050847888218482</v>
      </c>
      <c r="O2081" s="1386" t="s">
        <v>341</v>
      </c>
      <c r="P2081" s="1387" t="str">
        <f>IFERROR(VLOOKUP(F2081,#REF!,12,FALSE),"")</f>
        <v/>
      </c>
      <c r="Q2081" s="1388" t="s">
        <v>8</v>
      </c>
      <c r="R2081" s="1389" t="str">
        <f>IFERROR(VLOOKUP(F2081,#REF!,14,FALSE),"")</f>
        <v/>
      </c>
      <c r="S2081" s="1390">
        <f t="shared" si="315"/>
        <v>1.5104895104895104</v>
      </c>
      <c r="U2081" s="1728"/>
      <c r="V2081" s="1379">
        <f t="shared" si="313"/>
        <v>0</v>
      </c>
      <c r="W2081" s="1767"/>
      <c r="X2081" s="1379"/>
    </row>
    <row r="2082" spans="1:24" ht="16" thickBot="1" x14ac:dyDescent="0.25">
      <c r="A2082" s="1649" t="s">
        <v>336</v>
      </c>
      <c r="B2082" s="1712">
        <f>IFERROR(AVERAGE(N2078:N2084),"")</f>
        <v>1.0593096556286847</v>
      </c>
      <c r="C2082" s="1378">
        <v>45170</v>
      </c>
      <c r="D2082" s="1379">
        <v>132</v>
      </c>
      <c r="E2082" s="1380" t="s">
        <v>293</v>
      </c>
      <c r="F2082" s="1813" t="s">
        <v>322</v>
      </c>
      <c r="G2082" s="1381">
        <v>2.7777777777777776E-2</v>
      </c>
      <c r="H2082" s="1382">
        <v>6.8</v>
      </c>
      <c r="I2082" s="1383">
        <f t="shared" si="310"/>
        <v>4.0849673202614381E-3</v>
      </c>
      <c r="J2082" s="1384">
        <v>135</v>
      </c>
      <c r="K2082" s="1741">
        <v>29</v>
      </c>
      <c r="L2082" s="1578">
        <v>199</v>
      </c>
      <c r="M2082" s="1602">
        <v>18</v>
      </c>
      <c r="N2082" s="1385">
        <f t="shared" si="314"/>
        <v>1.0482879719051801</v>
      </c>
      <c r="O2082" s="1386" t="s">
        <v>333</v>
      </c>
      <c r="P2082" s="1387" t="str">
        <f>IFERROR(VLOOKUP(F2082,#REF!,12,FALSE),"")</f>
        <v/>
      </c>
      <c r="Q2082" s="1388" t="s">
        <v>8</v>
      </c>
      <c r="R2082" s="1389" t="str">
        <f>IFERROR(VLOOKUP(F2082,#REF!,14,FALSE),"")</f>
        <v/>
      </c>
      <c r="S2082" s="1390">
        <f t="shared" si="315"/>
        <v>1.4740740740740741</v>
      </c>
      <c r="U2082" s="1728"/>
      <c r="V2082" s="1379">
        <f t="shared" si="313"/>
        <v>0</v>
      </c>
      <c r="W2082" s="1767"/>
      <c r="X2082" s="1379"/>
    </row>
    <row r="2083" spans="1:24" x14ac:dyDescent="0.2">
      <c r="A2083" s="1649" t="s">
        <v>337</v>
      </c>
      <c r="B2083" s="1677">
        <f>IFERROR(AVERAGE(S2078:S2084),"")</f>
        <v>1.5018227143227143</v>
      </c>
      <c r="C2083" s="1625">
        <v>45171</v>
      </c>
      <c r="D2083" s="1626"/>
      <c r="E2083" s="1627"/>
      <c r="F2083" s="1812"/>
      <c r="G2083" s="1629"/>
      <c r="H2083" s="1630" t="str">
        <f>IFERROR(VLOOKUP(F2083,#REF!,10,FALSE),"")</f>
        <v/>
      </c>
      <c r="I2083" s="1631" t="str">
        <f t="shared" si="310"/>
        <v/>
      </c>
      <c r="J2083" s="1632"/>
      <c r="K2083" s="1741"/>
      <c r="L2083" s="1578"/>
      <c r="M2083" s="1632"/>
      <c r="N2083" s="1633" t="str">
        <f t="shared" si="314"/>
        <v/>
      </c>
      <c r="O2083" s="1634"/>
      <c r="P2083" s="1635" t="str">
        <f>IFERROR(VLOOKUP(F2083,#REF!,12,FALSE),"")</f>
        <v/>
      </c>
      <c r="Q2083" s="1636" t="s">
        <v>8</v>
      </c>
      <c r="R2083" s="1637" t="str">
        <f>IFERROR(VLOOKUP(F2083,#REF!,14,FALSE),"")</f>
        <v/>
      </c>
      <c r="S2083" s="1605" t="str">
        <f t="shared" si="315"/>
        <v/>
      </c>
      <c r="U2083" s="1728"/>
      <c r="V2083" s="1626">
        <f t="shared" si="313"/>
        <v>0</v>
      </c>
      <c r="W2083" s="1767"/>
      <c r="X2083" s="1626"/>
    </row>
    <row r="2084" spans="1:24" ht="16" thickBot="1" x14ac:dyDescent="0.25">
      <c r="A2084" s="1650" t="s">
        <v>5</v>
      </c>
      <c r="B2084" s="1678">
        <f>IFERROR(SUM(M2078:M2084),"")</f>
        <v>97</v>
      </c>
      <c r="C2084" s="1360">
        <v>45172</v>
      </c>
      <c r="D2084" s="683">
        <v>133</v>
      </c>
      <c r="E2084" s="684" t="s">
        <v>292</v>
      </c>
      <c r="F2084" s="1813" t="s">
        <v>309</v>
      </c>
      <c r="G2084" s="1361">
        <v>5.9432870370370372E-2</v>
      </c>
      <c r="H2084" s="1362">
        <v>14.43</v>
      </c>
      <c r="I2084" s="1363">
        <f t="shared" si="310"/>
        <v>4.118702035368702E-3</v>
      </c>
      <c r="J2084" s="1364">
        <v>132</v>
      </c>
      <c r="K2084" s="1741">
        <v>67</v>
      </c>
      <c r="L2084" s="1583">
        <v>203</v>
      </c>
      <c r="M2084" s="1364">
        <v>43</v>
      </c>
      <c r="N2084" s="1365">
        <f t="shared" si="314"/>
        <v>1.0781901304289363</v>
      </c>
      <c r="O2084" s="1366" t="s">
        <v>327</v>
      </c>
      <c r="P2084" s="1367" t="str">
        <f>IFERROR(VLOOKUP(F2084,#REF!,12,FALSE),"")</f>
        <v/>
      </c>
      <c r="Q2084" s="19" t="s">
        <v>8</v>
      </c>
      <c r="R2084" s="20" t="str">
        <f>IFERROR(VLOOKUP(F2084,#REF!,14,FALSE),"")</f>
        <v/>
      </c>
      <c r="S2084" s="1191">
        <f t="shared" si="315"/>
        <v>1.5378787878787878</v>
      </c>
      <c r="U2084" s="1728"/>
      <c r="V2084" s="683">
        <f t="shared" si="313"/>
        <v>0</v>
      </c>
      <c r="W2084" s="1768"/>
      <c r="X2084" s="683"/>
    </row>
    <row r="2085" spans="1:24" ht="16" thickBot="1" x14ac:dyDescent="0.25">
      <c r="A2085" s="1962">
        <f>WEEKNUM(C2085,1)</f>
        <v>36</v>
      </c>
      <c r="B2085" s="1963"/>
      <c r="C2085" s="1368">
        <v>45173</v>
      </c>
      <c r="D2085" s="1369">
        <v>134</v>
      </c>
      <c r="E2085" s="1370" t="s">
        <v>293</v>
      </c>
      <c r="F2085" s="15" t="s">
        <v>322</v>
      </c>
      <c r="G2085" s="1371">
        <v>3.2997685185185185E-2</v>
      </c>
      <c r="H2085" s="1372">
        <v>8.1999999999999993</v>
      </c>
      <c r="I2085" s="1373">
        <f t="shared" si="310"/>
        <v>4.0241079494128277E-3</v>
      </c>
      <c r="J2085" s="1374">
        <v>119</v>
      </c>
      <c r="K2085" s="1741">
        <v>38</v>
      </c>
      <c r="L2085" s="1577">
        <v>204</v>
      </c>
      <c r="M2085" s="1374">
        <v>15</v>
      </c>
      <c r="N2085" s="1375">
        <f t="shared" si="314"/>
        <v>1.0586166727338915</v>
      </c>
      <c r="O2085" s="1376" t="s">
        <v>340</v>
      </c>
      <c r="P2085" s="795" t="str">
        <f>IFERROR(VLOOKUP(F2085,#REF!,12,FALSE),"")</f>
        <v/>
      </c>
      <c r="Q2085" s="32" t="s">
        <v>8</v>
      </c>
      <c r="R2085" s="1255" t="str">
        <f>IFERROR(VLOOKUP(F2085,#REF!,14,FALSE),"")</f>
        <v/>
      </c>
      <c r="S2085" s="1377">
        <f t="shared" si="315"/>
        <v>1.7142857142857142</v>
      </c>
      <c r="U2085" s="1728"/>
      <c r="V2085" s="1369">
        <f t="shared" si="313"/>
        <v>0</v>
      </c>
      <c r="W2085" s="1766"/>
      <c r="X2085" s="1369"/>
    </row>
    <row r="2086" spans="1:24" x14ac:dyDescent="0.2">
      <c r="A2086" s="1648" t="s">
        <v>142</v>
      </c>
      <c r="B2086" s="1675">
        <f>SUM(H2085:H2091)</f>
        <v>50.24</v>
      </c>
      <c r="C2086" s="1378">
        <v>45174</v>
      </c>
      <c r="D2086" s="1379">
        <v>135</v>
      </c>
      <c r="E2086" s="1380" t="s">
        <v>293</v>
      </c>
      <c r="F2086" s="1813" t="s">
        <v>313</v>
      </c>
      <c r="G2086" s="1381">
        <v>4.4166666666666667E-2</v>
      </c>
      <c r="H2086" s="1382">
        <v>11.55</v>
      </c>
      <c r="I2086" s="1383">
        <f t="shared" si="310"/>
        <v>3.8239538239538237E-3</v>
      </c>
      <c r="J2086" s="1384">
        <v>138</v>
      </c>
      <c r="K2086" s="1741">
        <v>76</v>
      </c>
      <c r="L2086" s="1578">
        <v>215</v>
      </c>
      <c r="M2086" s="1602">
        <v>20</v>
      </c>
      <c r="N2086" s="1385">
        <f t="shared" si="314"/>
        <v>1.0602054661756155</v>
      </c>
      <c r="O2086" s="1386" t="s">
        <v>280</v>
      </c>
      <c r="P2086" s="1387" t="str">
        <f>IFERROR(VLOOKUP(F2086,#REF!,12,FALSE),"")</f>
        <v/>
      </c>
      <c r="Q2086" s="1388" t="s">
        <v>8</v>
      </c>
      <c r="R2086" s="1389" t="str">
        <f>IFERROR(VLOOKUP(F2086,#REF!,14,FALSE),"")</f>
        <v/>
      </c>
      <c r="S2086" s="1390">
        <f t="shared" si="315"/>
        <v>1.5579710144927537</v>
      </c>
      <c r="U2086" s="1728"/>
      <c r="V2086" s="1379">
        <f t="shared" si="313"/>
        <v>0</v>
      </c>
      <c r="W2086" s="1767"/>
      <c r="X2086" s="1379"/>
    </row>
    <row r="2087" spans="1:24" x14ac:dyDescent="0.2">
      <c r="A2087" s="1649" t="s">
        <v>144</v>
      </c>
      <c r="B2087" s="1676" t="e">
        <f>SUM(#REF!)</f>
        <v>#REF!</v>
      </c>
      <c r="C2087" s="1378">
        <v>45175</v>
      </c>
      <c r="D2087" s="1379">
        <v>136</v>
      </c>
      <c r="E2087" s="1380" t="s">
        <v>293</v>
      </c>
      <c r="F2087" s="1813" t="s">
        <v>343</v>
      </c>
      <c r="G2087" s="1381">
        <v>3.4583333333333334E-2</v>
      </c>
      <c r="H2087" s="1382">
        <v>8.4600000000000009</v>
      </c>
      <c r="I2087" s="1383">
        <f t="shared" si="310"/>
        <v>4.0878644602048856E-3</v>
      </c>
      <c r="J2087" s="1384">
        <v>123</v>
      </c>
      <c r="K2087" s="1741">
        <v>39</v>
      </c>
      <c r="L2087" s="1578">
        <v>199</v>
      </c>
      <c r="M2087" s="1602">
        <v>15</v>
      </c>
      <c r="N2087" s="1385">
        <f t="shared" si="314"/>
        <v>1.0490314385519213</v>
      </c>
      <c r="O2087" s="1386" t="s">
        <v>333</v>
      </c>
      <c r="P2087" s="1387" t="str">
        <f>IFERROR(VLOOKUP(F2087,#REF!,12,FALSE),"")</f>
        <v/>
      </c>
      <c r="Q2087" s="1388" t="s">
        <v>8</v>
      </c>
      <c r="R2087" s="1389" t="str">
        <f>IFERROR(VLOOKUP(F2087,#REF!,14,FALSE),"")</f>
        <v/>
      </c>
      <c r="S2087" s="1390">
        <f t="shared" si="315"/>
        <v>1.6178861788617886</v>
      </c>
      <c r="U2087" s="1728"/>
      <c r="V2087" s="1379">
        <f t="shared" si="313"/>
        <v>0</v>
      </c>
      <c r="W2087" s="1767"/>
      <c r="X2087" s="1379"/>
    </row>
    <row r="2088" spans="1:24" x14ac:dyDescent="0.2">
      <c r="A2088" s="1649" t="s">
        <v>256</v>
      </c>
      <c r="B2088" s="1677" t="e">
        <f>AVERAGE(#REF!)</f>
        <v>#REF!</v>
      </c>
      <c r="C2088" s="1378">
        <v>45176</v>
      </c>
      <c r="D2088" s="1379"/>
      <c r="E2088" s="1380"/>
      <c r="F2088" s="15"/>
      <c r="G2088" s="1381"/>
      <c r="H2088" s="1382" t="str">
        <f>IFERROR(VLOOKUP(F2088,#REF!,10,FALSE),"")</f>
        <v/>
      </c>
      <c r="I2088" s="1383" t="str">
        <f t="shared" si="310"/>
        <v/>
      </c>
      <c r="J2088" s="1384"/>
      <c r="K2088" s="1741"/>
      <c r="L2088" s="1578"/>
      <c r="M2088" s="1602"/>
      <c r="N2088" s="1385" t="str">
        <f t="shared" si="314"/>
        <v/>
      </c>
      <c r="O2088" s="1386"/>
      <c r="P2088" s="1387" t="str">
        <f>IFERROR(VLOOKUP(F2088,#REF!,12,FALSE),"")</f>
        <v/>
      </c>
      <c r="Q2088" s="1388" t="s">
        <v>8</v>
      </c>
      <c r="R2088" s="1389" t="str">
        <f>IFERROR(VLOOKUP(F2088,#REF!,14,FALSE),"")</f>
        <v/>
      </c>
      <c r="S2088" s="1390" t="str">
        <f t="shared" si="315"/>
        <v/>
      </c>
      <c r="U2088" s="1728"/>
      <c r="V2088" s="1379">
        <f t="shared" si="313"/>
        <v>0</v>
      </c>
      <c r="W2088" s="1767"/>
      <c r="X2088" s="1379"/>
    </row>
    <row r="2089" spans="1:24" x14ac:dyDescent="0.2">
      <c r="A2089" s="1649" t="s">
        <v>336</v>
      </c>
      <c r="B2089" s="1712">
        <f>IFERROR(AVERAGE(N2085:N2091),"")</f>
        <v>1.0609681261169563</v>
      </c>
      <c r="C2089" s="1378">
        <v>45177</v>
      </c>
      <c r="D2089" s="1379">
        <v>137</v>
      </c>
      <c r="E2089" s="1380" t="s">
        <v>293</v>
      </c>
      <c r="F2089" s="1813" t="s">
        <v>302</v>
      </c>
      <c r="G2089" s="1381">
        <v>3.1018518518518515E-2</v>
      </c>
      <c r="H2089" s="1382">
        <v>8.25</v>
      </c>
      <c r="I2089" s="1383">
        <f t="shared" si="310"/>
        <v>3.7598204264870927E-3</v>
      </c>
      <c r="J2089" s="1384">
        <v>137</v>
      </c>
      <c r="K2089" s="1741">
        <v>56</v>
      </c>
      <c r="L2089" s="1578">
        <v>220</v>
      </c>
      <c r="M2089" s="1602">
        <v>15</v>
      </c>
      <c r="N2089" s="1385">
        <f t="shared" si="314"/>
        <v>1.0666666666666667</v>
      </c>
      <c r="O2089" s="1386" t="s">
        <v>341</v>
      </c>
      <c r="P2089" s="1387" t="str">
        <f>IFERROR(VLOOKUP(F2089,#REF!,12,FALSE),"")</f>
        <v/>
      </c>
      <c r="Q2089" s="1388" t="s">
        <v>8</v>
      </c>
      <c r="R2089" s="1389" t="str">
        <f>IFERROR(VLOOKUP(F2089,#REF!,14,FALSE),"")</f>
        <v/>
      </c>
      <c r="S2089" s="1390">
        <f t="shared" si="315"/>
        <v>1.6058394160583942</v>
      </c>
      <c r="U2089" s="1728"/>
      <c r="V2089" s="1379">
        <f t="shared" si="313"/>
        <v>0</v>
      </c>
      <c r="W2089" s="1767"/>
      <c r="X2089" s="1379"/>
    </row>
    <row r="2090" spans="1:24" x14ac:dyDescent="0.2">
      <c r="A2090" s="1649" t="s">
        <v>337</v>
      </c>
      <c r="B2090" s="1677">
        <f>IFERROR(AVERAGE(S2085:S2091),"")</f>
        <v>1.6029558632359708</v>
      </c>
      <c r="C2090" s="1625">
        <v>45178</v>
      </c>
      <c r="D2090" s="1626">
        <v>138</v>
      </c>
      <c r="E2090" s="1627" t="s">
        <v>292</v>
      </c>
      <c r="F2090" s="1813" t="s">
        <v>279</v>
      </c>
      <c r="G2090" s="1629">
        <v>5.6620370370370376E-2</v>
      </c>
      <c r="H2090" s="1630">
        <v>13.78</v>
      </c>
      <c r="I2090" s="1631">
        <f t="shared" si="310"/>
        <v>4.1088802881255717E-3</v>
      </c>
      <c r="J2090" s="1632">
        <v>133</v>
      </c>
      <c r="K2090" s="1741">
        <v>67</v>
      </c>
      <c r="L2090" s="1578">
        <v>202</v>
      </c>
      <c r="M2090" s="1632">
        <v>35</v>
      </c>
      <c r="N2090" s="1633">
        <f t="shared" si="314"/>
        <v>1.0703203864566864</v>
      </c>
      <c r="O2090" s="1634" t="s">
        <v>327</v>
      </c>
      <c r="P2090" s="1635" t="str">
        <f>IFERROR(VLOOKUP(F2090,#REF!,12,FALSE),"")</f>
        <v/>
      </c>
      <c r="Q2090" s="1636" t="s">
        <v>8</v>
      </c>
      <c r="R2090" s="1637" t="str">
        <f>IFERROR(VLOOKUP(F2090,#REF!,14,FALSE),"")</f>
        <v/>
      </c>
      <c r="S2090" s="1605">
        <f t="shared" si="315"/>
        <v>1.518796992481203</v>
      </c>
      <c r="U2090" s="1728"/>
      <c r="V2090" s="1626">
        <f t="shared" si="313"/>
        <v>0</v>
      </c>
      <c r="W2090" s="1767"/>
      <c r="X2090" s="1626"/>
    </row>
    <row r="2091" spans="1:24" ht="16" thickBot="1" x14ac:dyDescent="0.25">
      <c r="A2091" s="1650" t="s">
        <v>5</v>
      </c>
      <c r="B2091" s="1678">
        <f>IFERROR(SUM(M2085:M2091),"")</f>
        <v>100</v>
      </c>
      <c r="C2091" s="1360">
        <v>45179</v>
      </c>
      <c r="D2091" s="683"/>
      <c r="E2091" s="684"/>
      <c r="F2091" s="1814"/>
      <c r="G2091" s="1361"/>
      <c r="H2091" s="1362" t="str">
        <f>IFERROR(VLOOKUP(F2091,#REF!,10,FALSE),"")</f>
        <v/>
      </c>
      <c r="I2091" s="1363" t="str">
        <f t="shared" si="310"/>
        <v/>
      </c>
      <c r="J2091" s="1364"/>
      <c r="K2091" s="1741"/>
      <c r="L2091" s="1583"/>
      <c r="M2091" s="1364"/>
      <c r="N2091" s="1365" t="str">
        <f t="shared" si="314"/>
        <v/>
      </c>
      <c r="O2091" s="1366"/>
      <c r="P2091" s="1367" t="str">
        <f>IFERROR(VLOOKUP(F2091,#REF!,12,FALSE),"")</f>
        <v/>
      </c>
      <c r="Q2091" s="19" t="s">
        <v>8</v>
      </c>
      <c r="R2091" s="20" t="str">
        <f>IFERROR(VLOOKUP(F2091,#REF!,14,FALSE),"")</f>
        <v/>
      </c>
      <c r="S2091" s="1191" t="str">
        <f t="shared" si="315"/>
        <v/>
      </c>
      <c r="U2091" s="1728"/>
      <c r="V2091" s="683">
        <f t="shared" si="313"/>
        <v>0</v>
      </c>
      <c r="W2091" s="1768"/>
      <c r="X2091" s="683"/>
    </row>
    <row r="2092" spans="1:24" ht="16" thickBot="1" x14ac:dyDescent="0.25">
      <c r="A2092" s="1962">
        <f>WEEKNUM(C2092,1)</f>
        <v>37</v>
      </c>
      <c r="B2092" s="1963"/>
      <c r="C2092" s="1368">
        <v>45180</v>
      </c>
      <c r="D2092" s="1369">
        <v>139</v>
      </c>
      <c r="E2092" s="1370" t="s">
        <v>292</v>
      </c>
      <c r="F2092" s="1812" t="s">
        <v>279</v>
      </c>
      <c r="G2092" s="1371">
        <v>4.2500000000000003E-2</v>
      </c>
      <c r="H2092" s="1372">
        <v>10.15</v>
      </c>
      <c r="I2092" s="1373">
        <f t="shared" si="310"/>
        <v>4.1871921182266014E-3</v>
      </c>
      <c r="J2092" s="1374">
        <v>129</v>
      </c>
      <c r="K2092" s="1741">
        <v>48</v>
      </c>
      <c r="L2092" s="1577">
        <v>198</v>
      </c>
      <c r="M2092" s="1374">
        <v>31</v>
      </c>
      <c r="N2092" s="1375">
        <f t="shared" si="314"/>
        <v>1.0691213881332258</v>
      </c>
      <c r="O2092" s="1376" t="s">
        <v>340</v>
      </c>
      <c r="P2092" s="795" t="str">
        <f>IFERROR(VLOOKUP(F2092,#REF!,12,FALSE),"")</f>
        <v/>
      </c>
      <c r="Q2092" s="32" t="s">
        <v>8</v>
      </c>
      <c r="R2092" s="1255" t="str">
        <f>IFERROR(VLOOKUP(F2092,#REF!,14,FALSE),"")</f>
        <v/>
      </c>
      <c r="S2092" s="1377">
        <f t="shared" si="315"/>
        <v>1.5348837209302326</v>
      </c>
      <c r="U2092" s="1728"/>
      <c r="V2092" s="1369">
        <f t="shared" si="313"/>
        <v>0</v>
      </c>
      <c r="W2092" s="1766"/>
      <c r="X2092" s="1369"/>
    </row>
    <row r="2093" spans="1:24" x14ac:dyDescent="0.2">
      <c r="A2093" s="1648" t="s">
        <v>142</v>
      </c>
      <c r="B2093" s="1675">
        <f>SUM(H2092:H2098)</f>
        <v>36.81</v>
      </c>
      <c r="C2093" s="1378">
        <v>45181</v>
      </c>
      <c r="D2093" s="1379"/>
      <c r="E2093" s="1380"/>
      <c r="F2093" s="1813"/>
      <c r="G2093" s="1381"/>
      <c r="H2093" s="1382" t="str">
        <f>IFERROR(VLOOKUP(F2093,#REF!,10,FALSE),"")</f>
        <v/>
      </c>
      <c r="I2093" s="1383" t="str">
        <f t="shared" si="310"/>
        <v/>
      </c>
      <c r="J2093" s="1384"/>
      <c r="K2093" s="1741"/>
      <c r="L2093" s="1578"/>
      <c r="M2093" s="1602"/>
      <c r="N2093" s="1385" t="str">
        <f t="shared" si="314"/>
        <v/>
      </c>
      <c r="O2093" s="1386"/>
      <c r="P2093" s="1387" t="str">
        <f>IFERROR(VLOOKUP(F2093,#REF!,12,FALSE),"")</f>
        <v/>
      </c>
      <c r="Q2093" s="1388" t="s">
        <v>8</v>
      </c>
      <c r="R2093" s="1389" t="str">
        <f>IFERROR(VLOOKUP(F2093,#REF!,14,FALSE),"")</f>
        <v/>
      </c>
      <c r="S2093" s="1390" t="str">
        <f t="shared" si="315"/>
        <v/>
      </c>
      <c r="U2093" s="1728"/>
      <c r="V2093" s="1379">
        <f t="shared" si="313"/>
        <v>0</v>
      </c>
      <c r="W2093" s="1767"/>
      <c r="X2093" s="1379"/>
    </row>
    <row r="2094" spans="1:24" x14ac:dyDescent="0.2">
      <c r="A2094" s="1649" t="s">
        <v>144</v>
      </c>
      <c r="B2094" s="1676" t="e">
        <f>SUM(#REF!)</f>
        <v>#REF!</v>
      </c>
      <c r="C2094" s="1378">
        <v>45182</v>
      </c>
      <c r="D2094" s="1379">
        <v>140</v>
      </c>
      <c r="E2094" s="1380" t="s">
        <v>292</v>
      </c>
      <c r="F2094" s="15" t="s">
        <v>279</v>
      </c>
      <c r="G2094" s="1381">
        <v>3.7893518518518521E-2</v>
      </c>
      <c r="H2094" s="1382">
        <v>9.3000000000000007</v>
      </c>
      <c r="I2094" s="1383">
        <f t="shared" si="310"/>
        <v>4.0745718837116689E-3</v>
      </c>
      <c r="J2094" s="1384">
        <v>133</v>
      </c>
      <c r="K2094" s="1741">
        <v>47</v>
      </c>
      <c r="L2094" s="1578">
        <v>205</v>
      </c>
      <c r="M2094" s="1602">
        <v>20</v>
      </c>
      <c r="N2094" s="1385">
        <f t="shared" si="314"/>
        <v>1.0771465254373298</v>
      </c>
      <c r="O2094" s="1386" t="s">
        <v>340</v>
      </c>
      <c r="P2094" s="1387" t="str">
        <f>IFERROR(VLOOKUP(F2094,#REF!,12,FALSE),"")</f>
        <v/>
      </c>
      <c r="Q2094" s="1388" t="s">
        <v>8</v>
      </c>
      <c r="R2094" s="1389" t="str">
        <f>IFERROR(VLOOKUP(F2094,#REF!,14,FALSE),"")</f>
        <v/>
      </c>
      <c r="S2094" s="1390">
        <f t="shared" si="315"/>
        <v>1.5413533834586466</v>
      </c>
      <c r="U2094" s="1728"/>
      <c r="V2094" s="1379">
        <f t="shared" si="313"/>
        <v>0</v>
      </c>
      <c r="W2094" s="1767"/>
      <c r="X2094" s="1379"/>
    </row>
    <row r="2095" spans="1:24" x14ac:dyDescent="0.2">
      <c r="A2095" s="1649" t="s">
        <v>256</v>
      </c>
      <c r="B2095" s="1677" t="e">
        <f>AVERAGE(#REF!)</f>
        <v>#REF!</v>
      </c>
      <c r="C2095" s="1718">
        <v>45183</v>
      </c>
      <c r="D2095" s="1379"/>
      <c r="E2095" s="1380"/>
      <c r="F2095" s="1813"/>
      <c r="G2095" s="1381"/>
      <c r="H2095" s="1382" t="str">
        <f>IFERROR(VLOOKUP(F2095,#REF!,10,FALSE),"")</f>
        <v/>
      </c>
      <c r="I2095" s="1383" t="str">
        <f t="shared" si="310"/>
        <v/>
      </c>
      <c r="J2095" s="1384"/>
      <c r="K2095" s="1741"/>
      <c r="L2095" s="1578"/>
      <c r="M2095" s="1602"/>
      <c r="N2095" s="1385" t="str">
        <f t="shared" si="314"/>
        <v/>
      </c>
      <c r="O2095" s="1386"/>
      <c r="P2095" s="1387" t="str">
        <f>IFERROR(VLOOKUP(F2095,#REF!,12,FALSE),"")</f>
        <v/>
      </c>
      <c r="Q2095" s="1388" t="s">
        <v>8</v>
      </c>
      <c r="R2095" s="1389" t="str">
        <f>IFERROR(VLOOKUP(F2095,#REF!,14,FALSE),"")</f>
        <v/>
      </c>
      <c r="S2095" s="1390" t="str">
        <f t="shared" si="315"/>
        <v/>
      </c>
      <c r="U2095" s="1728"/>
      <c r="V2095" s="1379">
        <f t="shared" si="313"/>
        <v>0</v>
      </c>
      <c r="W2095" s="1767"/>
      <c r="X2095" s="1379"/>
    </row>
    <row r="2096" spans="1:24" x14ac:dyDescent="0.2">
      <c r="A2096" s="1649" t="s">
        <v>336</v>
      </c>
      <c r="B2096" s="1712">
        <f>IFERROR(AVERAGE(N2092:N2098),"")</f>
        <v>1.0712360248389918</v>
      </c>
      <c r="C2096" s="1718">
        <v>45184</v>
      </c>
      <c r="D2096" s="1379"/>
      <c r="E2096" s="1380"/>
      <c r="F2096" s="1813"/>
      <c r="G2096" s="1381"/>
      <c r="H2096" s="1382" t="str">
        <f>IFERROR(VLOOKUP(F2096,#REF!,10,FALSE),"")</f>
        <v/>
      </c>
      <c r="I2096" s="1383" t="str">
        <f t="shared" ref="I2096:I2159" si="316">IFERROR(G2096/H2096,"")</f>
        <v/>
      </c>
      <c r="J2096" s="1384"/>
      <c r="K2096" s="1741"/>
      <c r="L2096" s="1578"/>
      <c r="M2096" s="1602"/>
      <c r="N2096" s="1385" t="str">
        <f t="shared" si="314"/>
        <v/>
      </c>
      <c r="O2096" s="1386"/>
      <c r="P2096" s="1387" t="str">
        <f>IFERROR(VLOOKUP(F2096,#REF!,12,FALSE),"")</f>
        <v/>
      </c>
      <c r="Q2096" s="1388" t="s">
        <v>8</v>
      </c>
      <c r="R2096" s="1389" t="str">
        <f>IFERROR(VLOOKUP(F2096,#REF!,14,FALSE),"")</f>
        <v/>
      </c>
      <c r="S2096" s="1390" t="str">
        <f t="shared" si="315"/>
        <v/>
      </c>
      <c r="U2096" s="1728"/>
      <c r="V2096" s="1379">
        <f t="shared" si="313"/>
        <v>0</v>
      </c>
      <c r="W2096" s="1767"/>
      <c r="X2096" s="1379"/>
    </row>
    <row r="2097" spans="1:24" x14ac:dyDescent="0.2">
      <c r="A2097" s="1649" t="s">
        <v>337</v>
      </c>
      <c r="B2097" s="1677">
        <f>IFERROR(AVERAGE(S2092:S2098),"")</f>
        <v>1.5167703928209846</v>
      </c>
      <c r="C2097" s="1719">
        <v>45185</v>
      </c>
      <c r="D2097" s="1626"/>
      <c r="E2097" s="1627"/>
      <c r="F2097" s="15"/>
      <c r="G2097" s="1629"/>
      <c r="H2097" s="1630" t="str">
        <f>IFERROR(VLOOKUP(F2097,#REF!,10,FALSE),"")</f>
        <v/>
      </c>
      <c r="I2097" s="1631" t="str">
        <f t="shared" si="316"/>
        <v/>
      </c>
      <c r="J2097" s="1632"/>
      <c r="K2097" s="1741"/>
      <c r="L2097" s="1578"/>
      <c r="M2097" s="1632"/>
      <c r="N2097" s="1633" t="str">
        <f t="shared" si="314"/>
        <v/>
      </c>
      <c r="O2097" s="1634"/>
      <c r="P2097" s="1635" t="str">
        <f>IFERROR(VLOOKUP(F2097,#REF!,12,FALSE),"")</f>
        <v/>
      </c>
      <c r="Q2097" s="1636" t="s">
        <v>8</v>
      </c>
      <c r="R2097" s="1637" t="str">
        <f>IFERROR(VLOOKUP(F2097,#REF!,14,FALSE),"")</f>
        <v/>
      </c>
      <c r="S2097" s="1605" t="str">
        <f t="shared" si="315"/>
        <v/>
      </c>
      <c r="U2097" s="1728"/>
      <c r="V2097" s="1626">
        <f t="shared" si="313"/>
        <v>0</v>
      </c>
      <c r="W2097" s="1767"/>
      <c r="X2097" s="1626"/>
    </row>
    <row r="2098" spans="1:24" ht="16" thickBot="1" x14ac:dyDescent="0.25">
      <c r="A2098" s="1650" t="s">
        <v>5</v>
      </c>
      <c r="B2098" s="1678">
        <f>IFERROR(SUM(M2092:M2098),"")</f>
        <v>95</v>
      </c>
      <c r="C2098" s="1360">
        <v>45186</v>
      </c>
      <c r="D2098" s="683">
        <v>141</v>
      </c>
      <c r="E2098" s="684" t="s">
        <v>292</v>
      </c>
      <c r="F2098" s="1813" t="s">
        <v>273</v>
      </c>
      <c r="G2098" s="1721">
        <v>7.2210648148148149E-2</v>
      </c>
      <c r="H2098" s="1362">
        <v>17.36</v>
      </c>
      <c r="I2098" s="1631">
        <f>IFERROR(G2098/H2098,"")</f>
        <v>4.159599547704387E-3</v>
      </c>
      <c r="J2098" s="1364">
        <v>135</v>
      </c>
      <c r="K2098" s="1741">
        <v>82</v>
      </c>
      <c r="L2098" s="1583">
        <v>199</v>
      </c>
      <c r="M2098" s="1364">
        <v>44</v>
      </c>
      <c r="N2098" s="1365">
        <f t="shared" si="314"/>
        <v>1.0674401609464201</v>
      </c>
      <c r="O2098" s="1366" t="s">
        <v>327</v>
      </c>
      <c r="P2098" s="1367" t="str">
        <f>IFERROR(VLOOKUP(F2098,#REF!,12,FALSE),"")</f>
        <v/>
      </c>
      <c r="Q2098" s="19" t="s">
        <v>8</v>
      </c>
      <c r="R2098" s="20" t="str">
        <f>IFERROR(VLOOKUP(F2098,#REF!,14,FALSE),"")</f>
        <v/>
      </c>
      <c r="S2098" s="1191">
        <f t="shared" si="315"/>
        <v>1.4740740740740741</v>
      </c>
      <c r="U2098" s="1728"/>
      <c r="V2098" s="683">
        <f t="shared" si="313"/>
        <v>0</v>
      </c>
      <c r="W2098" s="1768"/>
      <c r="X2098" s="683"/>
    </row>
    <row r="2099" spans="1:24" ht="16" thickBot="1" x14ac:dyDescent="0.25">
      <c r="A2099" s="1962">
        <f>WEEKNUM(C2099,1)</f>
        <v>38</v>
      </c>
      <c r="B2099" s="1963"/>
      <c r="C2099" s="1368">
        <v>45187</v>
      </c>
      <c r="D2099" s="1369">
        <v>142</v>
      </c>
      <c r="E2099" s="1370" t="s">
        <v>293</v>
      </c>
      <c r="F2099" s="1813" t="s">
        <v>322</v>
      </c>
      <c r="G2099" s="1371">
        <v>3.6944444444444446E-2</v>
      </c>
      <c r="H2099" s="1372">
        <v>8.7100000000000009</v>
      </c>
      <c r="I2099" s="1373">
        <f t="shared" si="316"/>
        <v>4.241612450567674E-3</v>
      </c>
      <c r="J2099" s="1374">
        <v>124</v>
      </c>
      <c r="K2099" s="1741">
        <v>37</v>
      </c>
      <c r="L2099" s="1577">
        <v>193</v>
      </c>
      <c r="M2099" s="1374">
        <v>18</v>
      </c>
      <c r="N2099" s="1375">
        <f t="shared" si="314"/>
        <v>1.0556677005329267</v>
      </c>
      <c r="O2099" s="1376" t="s">
        <v>333</v>
      </c>
      <c r="P2099" s="795" t="str">
        <f>IFERROR(VLOOKUP(F2099,#REF!,12,FALSE),"")</f>
        <v/>
      </c>
      <c r="Q2099" s="32" t="s">
        <v>8</v>
      </c>
      <c r="R2099" s="1255" t="str">
        <f>IFERROR(VLOOKUP(F2099,#REF!,14,FALSE),"")</f>
        <v/>
      </c>
      <c r="S2099" s="1377">
        <f t="shared" si="315"/>
        <v>1.5564516129032258</v>
      </c>
      <c r="U2099" s="1728"/>
      <c r="V2099" s="1369">
        <f t="shared" si="313"/>
        <v>0</v>
      </c>
      <c r="W2099" s="1766"/>
      <c r="X2099" s="1369"/>
    </row>
    <row r="2100" spans="1:24" ht="16" thickBot="1" x14ac:dyDescent="0.25">
      <c r="A2100" s="1648" t="s">
        <v>142</v>
      </c>
      <c r="B2100" s="1675">
        <f>SUM(H2099:H2105)</f>
        <v>44.087000000000003</v>
      </c>
      <c r="C2100" s="1378">
        <v>45188</v>
      </c>
      <c r="D2100" s="1379"/>
      <c r="E2100" s="1380"/>
      <c r="F2100" s="1813"/>
      <c r="G2100" s="1381"/>
      <c r="H2100" s="1382" t="str">
        <f>IFERROR(VLOOKUP(F2100,#REF!,10,FALSE),"")</f>
        <v/>
      </c>
      <c r="I2100" s="1383" t="str">
        <f t="shared" si="316"/>
        <v/>
      </c>
      <c r="J2100" s="1384"/>
      <c r="K2100" s="1741"/>
      <c r="L2100" s="1578"/>
      <c r="M2100" s="1602"/>
      <c r="N2100" s="1385" t="str">
        <f t="shared" si="314"/>
        <v/>
      </c>
      <c r="O2100" s="1386"/>
      <c r="P2100" s="1387" t="str">
        <f>IFERROR(VLOOKUP(F2100,#REF!,12,FALSE),"")</f>
        <v/>
      </c>
      <c r="Q2100" s="1388" t="s">
        <v>8</v>
      </c>
      <c r="R2100" s="1389" t="str">
        <f>IFERROR(VLOOKUP(F2100,#REF!,14,FALSE),"")</f>
        <v/>
      </c>
      <c r="S2100" s="1390" t="str">
        <f t="shared" si="315"/>
        <v/>
      </c>
      <c r="U2100" s="1728"/>
      <c r="V2100" s="1379">
        <f t="shared" si="313"/>
        <v>0</v>
      </c>
      <c r="W2100" s="1767"/>
      <c r="X2100" s="1379"/>
    </row>
    <row r="2101" spans="1:24" x14ac:dyDescent="0.2">
      <c r="A2101" s="1649" t="s">
        <v>144</v>
      </c>
      <c r="B2101" s="1676" t="e">
        <f>SUM(#REF!)</f>
        <v>#REF!</v>
      </c>
      <c r="C2101" s="1378">
        <v>45189</v>
      </c>
      <c r="D2101" s="1379">
        <v>143</v>
      </c>
      <c r="E2101" s="1380" t="s">
        <v>293</v>
      </c>
      <c r="F2101" s="1810" t="s">
        <v>313</v>
      </c>
      <c r="G2101" s="1381">
        <v>4.2847222222222224E-2</v>
      </c>
      <c r="H2101" s="1382">
        <v>11.106999999999999</v>
      </c>
      <c r="I2101" s="1383">
        <f t="shared" si="316"/>
        <v>3.8576773406160283E-3</v>
      </c>
      <c r="J2101" s="1384">
        <v>140</v>
      </c>
      <c r="K2101" s="1741">
        <v>78</v>
      </c>
      <c r="L2101" s="1578">
        <v>212</v>
      </c>
      <c r="M2101" s="1602">
        <v>20</v>
      </c>
      <c r="N2101" s="1385">
        <f t="shared" si="314"/>
        <v>1.0546314076506815</v>
      </c>
      <c r="O2101" s="1386" t="s">
        <v>341</v>
      </c>
      <c r="P2101" s="1387" t="str">
        <f>IFERROR(VLOOKUP(F2101,#REF!,12,FALSE),"")</f>
        <v/>
      </c>
      <c r="Q2101" s="1388" t="s">
        <v>8</v>
      </c>
      <c r="R2101" s="1389" t="str">
        <f>IFERROR(VLOOKUP(F2101,#REF!,14,FALSE),"")</f>
        <v/>
      </c>
      <c r="S2101" s="1390">
        <f t="shared" si="315"/>
        <v>1.5142857142857142</v>
      </c>
      <c r="U2101" s="1728"/>
      <c r="V2101" s="1379">
        <f t="shared" si="313"/>
        <v>0</v>
      </c>
      <c r="W2101" s="1767"/>
      <c r="X2101" s="1379"/>
    </row>
    <row r="2102" spans="1:24" x14ac:dyDescent="0.2">
      <c r="A2102" s="1649" t="s">
        <v>256</v>
      </c>
      <c r="B2102" s="1677" t="e">
        <f>AVERAGE(#REF!)</f>
        <v>#REF!</v>
      </c>
      <c r="C2102" s="1378">
        <v>45190</v>
      </c>
      <c r="D2102" s="1379">
        <v>144</v>
      </c>
      <c r="E2102" s="1380" t="s">
        <v>293</v>
      </c>
      <c r="F2102" s="1811" t="s">
        <v>322</v>
      </c>
      <c r="G2102" s="1381">
        <v>3.2986111111111112E-2</v>
      </c>
      <c r="H2102" s="1382">
        <v>8.4600000000000009</v>
      </c>
      <c r="I2102" s="1383">
        <f t="shared" si="316"/>
        <v>3.8990675072235353E-3</v>
      </c>
      <c r="J2102" s="1384">
        <v>127</v>
      </c>
      <c r="K2102" s="1741">
        <v>47</v>
      </c>
      <c r="L2102" s="1578">
        <v>212</v>
      </c>
      <c r="M2102" s="1602">
        <v>22</v>
      </c>
      <c r="N2102" s="1385">
        <f t="shared" si="314"/>
        <v>1.0659468614374932</v>
      </c>
      <c r="O2102" s="1386" t="s">
        <v>340</v>
      </c>
      <c r="P2102" s="1387" t="str">
        <f>IFERROR(VLOOKUP(F2102,#REF!,12,FALSE),"")</f>
        <v/>
      </c>
      <c r="Q2102" s="1388" t="s">
        <v>8</v>
      </c>
      <c r="R2102" s="1389" t="str">
        <f>IFERROR(VLOOKUP(F2102,#REF!,14,FALSE),"")</f>
        <v/>
      </c>
      <c r="S2102" s="1390">
        <f t="shared" si="315"/>
        <v>1.6692913385826771</v>
      </c>
      <c r="U2102" s="1728"/>
      <c r="V2102" s="1379">
        <f t="shared" si="313"/>
        <v>0</v>
      </c>
      <c r="W2102" s="1767"/>
      <c r="X2102" s="1379"/>
    </row>
    <row r="2103" spans="1:24" x14ac:dyDescent="0.2">
      <c r="A2103" s="1649" t="s">
        <v>336</v>
      </c>
      <c r="B2103" s="1712">
        <f>IFERROR(AVERAGE(N2099:N2105),"")</f>
        <v>1.0587486565403672</v>
      </c>
      <c r="C2103" s="1378">
        <v>45191</v>
      </c>
      <c r="D2103" s="1379"/>
      <c r="E2103" s="1380"/>
      <c r="F2103" s="1811"/>
      <c r="G2103" s="1381"/>
      <c r="H2103" s="1382" t="str">
        <f>IFERROR(VLOOKUP(F2103,#REF!,10,FALSE),"")</f>
        <v/>
      </c>
      <c r="I2103" s="1383" t="str">
        <f t="shared" si="316"/>
        <v/>
      </c>
      <c r="J2103" s="1384"/>
      <c r="K2103" s="1741"/>
      <c r="L2103" s="1578"/>
      <c r="M2103" s="1602"/>
      <c r="N2103" s="1385" t="str">
        <f t="shared" si="314"/>
        <v/>
      </c>
      <c r="O2103" s="1386"/>
      <c r="P2103" s="1387" t="str">
        <f>IFERROR(VLOOKUP(F2103,#REF!,12,FALSE),"")</f>
        <v/>
      </c>
      <c r="Q2103" s="1388" t="s">
        <v>8</v>
      </c>
      <c r="R2103" s="1389" t="str">
        <f>IFERROR(VLOOKUP(F2103,#REF!,14,FALSE),"")</f>
        <v/>
      </c>
      <c r="S2103" s="1390" t="str">
        <f t="shared" si="315"/>
        <v/>
      </c>
      <c r="U2103" s="1728"/>
      <c r="V2103" s="1379">
        <f t="shared" si="313"/>
        <v>0</v>
      </c>
      <c r="W2103" s="1767"/>
      <c r="X2103" s="1379"/>
    </row>
    <row r="2104" spans="1:24" x14ac:dyDescent="0.2">
      <c r="A2104" s="1649" t="s">
        <v>337</v>
      </c>
      <c r="B2104" s="1677">
        <f>IFERROR(AVERAGE(S2099:S2105),"")</f>
        <v>1.5800095552572058</v>
      </c>
      <c r="C2104" s="1625">
        <v>45192</v>
      </c>
      <c r="D2104" s="1626"/>
      <c r="E2104" s="1627"/>
      <c r="F2104" s="1811"/>
      <c r="G2104" s="1629"/>
      <c r="H2104" s="1630" t="str">
        <f>IFERROR(VLOOKUP(F2104,#REF!,10,FALSE),"")</f>
        <v/>
      </c>
      <c r="I2104" s="1631" t="str">
        <f t="shared" si="316"/>
        <v/>
      </c>
      <c r="J2104" s="1632"/>
      <c r="K2104" s="1741"/>
      <c r="L2104" s="1578"/>
      <c r="M2104" s="1632"/>
      <c r="N2104" s="1633" t="str">
        <f t="shared" si="314"/>
        <v/>
      </c>
      <c r="O2104" s="1634"/>
      <c r="P2104" s="1635" t="str">
        <f>IFERROR(VLOOKUP(F2104,#REF!,12,FALSE),"")</f>
        <v/>
      </c>
      <c r="Q2104" s="1636" t="s">
        <v>8</v>
      </c>
      <c r="R2104" s="1637" t="str">
        <f>IFERROR(VLOOKUP(F2104,#REF!,14,FALSE),"")</f>
        <v/>
      </c>
      <c r="S2104" s="1605" t="str">
        <f t="shared" si="315"/>
        <v/>
      </c>
      <c r="U2104" s="1728"/>
      <c r="V2104" s="1626">
        <f t="shared" si="313"/>
        <v>0</v>
      </c>
      <c r="W2104" s="1767"/>
      <c r="X2104" s="1626"/>
    </row>
    <row r="2105" spans="1:24" ht="16" thickBot="1" x14ac:dyDescent="0.25">
      <c r="A2105" s="1650" t="s">
        <v>5</v>
      </c>
      <c r="B2105" s="1678">
        <f>IFERROR(SUM(M2099:M2105),"")</f>
        <v>723</v>
      </c>
      <c r="C2105" s="1360">
        <v>45193</v>
      </c>
      <c r="D2105" s="683">
        <v>145</v>
      </c>
      <c r="E2105" s="684" t="s">
        <v>293</v>
      </c>
      <c r="F2105" s="1811" t="s">
        <v>297</v>
      </c>
      <c r="G2105" s="1361">
        <v>9.043981481481482E-2</v>
      </c>
      <c r="H2105" s="1362">
        <v>15.81</v>
      </c>
      <c r="I2105" s="1363">
        <f t="shared" si="316"/>
        <v>5.7204183943589384E-3</v>
      </c>
      <c r="J2105" s="1364">
        <v>137</v>
      </c>
      <c r="K2105" s="1741">
        <v>83</v>
      </c>
      <c r="L2105" s="1583">
        <v>169</v>
      </c>
      <c r="M2105" s="1364">
        <v>663</v>
      </c>
      <c r="N2105" s="1365"/>
      <c r="O2105" s="1366" t="s">
        <v>342</v>
      </c>
      <c r="P2105" s="1367" t="str">
        <f>IFERROR(VLOOKUP(F2105,#REF!,12,FALSE),"")</f>
        <v/>
      </c>
      <c r="Q2105" s="19" t="s">
        <v>8</v>
      </c>
      <c r="R2105" s="20" t="str">
        <f>IFERROR(VLOOKUP(F2105,#REF!,14,FALSE),"")</f>
        <v/>
      </c>
      <c r="S2105" s="1191"/>
      <c r="U2105" s="1728"/>
      <c r="V2105" s="683">
        <f t="shared" si="313"/>
        <v>0</v>
      </c>
      <c r="W2105" s="1768"/>
      <c r="X2105" s="683"/>
    </row>
    <row r="2106" spans="1:24" ht="16" thickBot="1" x14ac:dyDescent="0.25">
      <c r="A2106" s="1962">
        <f>WEEKNUM(C2106,1)</f>
        <v>39</v>
      </c>
      <c r="B2106" s="1963"/>
      <c r="C2106" s="1368">
        <v>45194</v>
      </c>
      <c r="D2106" s="1369">
        <v>146</v>
      </c>
      <c r="E2106" s="1370" t="s">
        <v>293</v>
      </c>
      <c r="F2106" s="1811" t="s">
        <v>322</v>
      </c>
      <c r="G2106" s="1371">
        <v>2.5266203703703704E-2</v>
      </c>
      <c r="H2106" s="1372">
        <v>5.84</v>
      </c>
      <c r="I2106" s="1373">
        <f t="shared" si="316"/>
        <v>4.3264047437848807E-3</v>
      </c>
      <c r="J2106" s="1374">
        <v>118</v>
      </c>
      <c r="K2106" s="1741">
        <v>23</v>
      </c>
      <c r="L2106" s="1577">
        <v>188</v>
      </c>
      <c r="M2106" s="1374">
        <v>14</v>
      </c>
      <c r="N2106" s="1375">
        <f t="shared" ref="N2106:N2169" si="317">IFERROR((L2106/67)/(1/(I2106*24)/3.6),"")</f>
        <v>1.0488754855857698</v>
      </c>
      <c r="O2106" s="1376" t="s">
        <v>333</v>
      </c>
      <c r="P2106" s="795" t="str">
        <f>IFERROR(VLOOKUP(F2106,#REF!,12,FALSE),"")</f>
        <v/>
      </c>
      <c r="Q2106" s="32" t="s">
        <v>8</v>
      </c>
      <c r="R2106" s="1255" t="str">
        <f>IFERROR(VLOOKUP(F2106,#REF!,14,FALSE),"")</f>
        <v/>
      </c>
      <c r="S2106" s="1377">
        <f t="shared" ref="S2106:S2169" si="318">IFERROR(L2106/J2106,"")</f>
        <v>1.5932203389830508</v>
      </c>
      <c r="U2106" s="1728"/>
      <c r="V2106" s="1369">
        <f t="shared" ref="V2106:V2169" si="319">U2105-T2105</f>
        <v>0</v>
      </c>
      <c r="W2106" s="1766"/>
      <c r="X2106" s="1369"/>
    </row>
    <row r="2107" spans="1:24" x14ac:dyDescent="0.2">
      <c r="A2107" s="1648" t="s">
        <v>142</v>
      </c>
      <c r="B2107" s="1675">
        <f>SUM(H2106:H2112)</f>
        <v>16.899999999999999</v>
      </c>
      <c r="C2107" s="1378">
        <v>45195</v>
      </c>
      <c r="D2107" s="1379"/>
      <c r="E2107" s="1380"/>
      <c r="F2107" s="1811"/>
      <c r="G2107" s="1381"/>
      <c r="H2107" s="1382" t="str">
        <f>IFERROR(VLOOKUP(F2107,#REF!,10,FALSE),"")</f>
        <v/>
      </c>
      <c r="I2107" s="1383" t="str">
        <f t="shared" si="316"/>
        <v/>
      </c>
      <c r="J2107" s="1384"/>
      <c r="K2107" s="1741"/>
      <c r="L2107" s="1578"/>
      <c r="M2107" s="1602"/>
      <c r="N2107" s="1385" t="str">
        <f t="shared" si="317"/>
        <v/>
      </c>
      <c r="O2107" s="1386"/>
      <c r="P2107" s="1387" t="str">
        <f>IFERROR(VLOOKUP(F2107,#REF!,12,FALSE),"")</f>
        <v/>
      </c>
      <c r="Q2107" s="1388" t="s">
        <v>8</v>
      </c>
      <c r="R2107" s="1389" t="str">
        <f>IFERROR(VLOOKUP(F2107,#REF!,14,FALSE),"")</f>
        <v/>
      </c>
      <c r="S2107" s="1390" t="str">
        <f t="shared" si="318"/>
        <v/>
      </c>
      <c r="U2107" s="1728"/>
      <c r="V2107" s="1379">
        <f t="shared" si="319"/>
        <v>0</v>
      </c>
      <c r="W2107" s="1767"/>
      <c r="X2107" s="1379"/>
    </row>
    <row r="2108" spans="1:24" x14ac:dyDescent="0.2">
      <c r="A2108" s="1649" t="s">
        <v>144</v>
      </c>
      <c r="B2108" s="1676" t="e">
        <f>SUM(#REF!)</f>
        <v>#REF!</v>
      </c>
      <c r="C2108" s="1378">
        <v>45196</v>
      </c>
      <c r="D2108" s="1379">
        <v>147</v>
      </c>
      <c r="E2108" s="1380" t="s">
        <v>293</v>
      </c>
      <c r="F2108" s="1811" t="s">
        <v>322</v>
      </c>
      <c r="G2108" s="1381">
        <v>2.8912037037037038E-2</v>
      </c>
      <c r="H2108" s="1382">
        <v>6.84</v>
      </c>
      <c r="I2108" s="1383">
        <f t="shared" si="316"/>
        <v>4.2269059995668186E-3</v>
      </c>
      <c r="J2108" s="1384">
        <v>122</v>
      </c>
      <c r="K2108" s="1741">
        <v>30</v>
      </c>
      <c r="L2108" s="1578">
        <v>194</v>
      </c>
      <c r="M2108" s="1602">
        <v>19</v>
      </c>
      <c r="N2108" s="1385">
        <f t="shared" si="317"/>
        <v>1.0574583224229728</v>
      </c>
      <c r="O2108" s="1386" t="s">
        <v>340</v>
      </c>
      <c r="P2108" s="1387" t="str">
        <f>IFERROR(VLOOKUP(F2108,#REF!,12,FALSE),"")</f>
        <v/>
      </c>
      <c r="Q2108" s="1388" t="s">
        <v>8</v>
      </c>
      <c r="R2108" s="1389" t="str">
        <f>IFERROR(VLOOKUP(F2108,#REF!,14,FALSE),"")</f>
        <v/>
      </c>
      <c r="S2108" s="1390">
        <f t="shared" si="318"/>
        <v>1.5901639344262295</v>
      </c>
      <c r="U2108" s="1728"/>
      <c r="V2108" s="1379">
        <f t="shared" si="319"/>
        <v>0</v>
      </c>
      <c r="W2108" s="1767"/>
      <c r="X2108" s="1379"/>
    </row>
    <row r="2109" spans="1:24" ht="16" thickBot="1" x14ac:dyDescent="0.25">
      <c r="A2109" s="1649" t="s">
        <v>256</v>
      </c>
      <c r="B2109" s="1677" t="e">
        <f>AVERAGE(#REF!)</f>
        <v>#REF!</v>
      </c>
      <c r="C2109" s="1378">
        <v>45197</v>
      </c>
      <c r="D2109" s="1379"/>
      <c r="E2109" s="1380"/>
      <c r="F2109" s="1811"/>
      <c r="G2109" s="1381"/>
      <c r="H2109" s="1382" t="str">
        <f>IFERROR(VLOOKUP(F2109,#REF!,10,FALSE),"")</f>
        <v/>
      </c>
      <c r="I2109" s="1383" t="str">
        <f t="shared" si="316"/>
        <v/>
      </c>
      <c r="J2109" s="1384"/>
      <c r="K2109" s="1741"/>
      <c r="L2109" s="1578"/>
      <c r="M2109" s="1602"/>
      <c r="N2109" s="1385" t="str">
        <f t="shared" si="317"/>
        <v/>
      </c>
      <c r="O2109" s="1386"/>
      <c r="P2109" s="1387" t="str">
        <f>IFERROR(VLOOKUP(F2109,#REF!,12,FALSE),"")</f>
        <v/>
      </c>
      <c r="Q2109" s="1388" t="s">
        <v>8</v>
      </c>
      <c r="R2109" s="1389" t="str">
        <f>IFERROR(VLOOKUP(F2109,#REF!,14,FALSE),"")</f>
        <v/>
      </c>
      <c r="S2109" s="1390" t="str">
        <f t="shared" si="318"/>
        <v/>
      </c>
      <c r="U2109" s="1728"/>
      <c r="V2109" s="1379">
        <f t="shared" si="319"/>
        <v>0</v>
      </c>
      <c r="W2109" s="1767"/>
      <c r="X2109" s="1379"/>
    </row>
    <row r="2110" spans="1:24" x14ac:dyDescent="0.2">
      <c r="A2110" s="1649" t="s">
        <v>336</v>
      </c>
      <c r="B2110" s="1712">
        <f>IFERROR(AVERAGE(N2106:N2112),"")</f>
        <v>1.0592780421074626</v>
      </c>
      <c r="C2110" s="1378">
        <v>45198</v>
      </c>
      <c r="D2110" s="1379">
        <v>148</v>
      </c>
      <c r="E2110" s="1380" t="s">
        <v>292</v>
      </c>
      <c r="F2110" s="1815" t="s">
        <v>323</v>
      </c>
      <c r="G2110" s="1381">
        <v>1.9699074074074074E-2</v>
      </c>
      <c r="H2110" s="1382">
        <v>4.22</v>
      </c>
      <c r="I2110" s="1383">
        <f t="shared" si="316"/>
        <v>4.6680270317711074E-3</v>
      </c>
      <c r="J2110" s="1384">
        <v>128</v>
      </c>
      <c r="K2110" s="1741">
        <v>16</v>
      </c>
      <c r="L2110" s="1578">
        <v>178</v>
      </c>
      <c r="M2110" s="1602">
        <v>9</v>
      </c>
      <c r="N2110" s="1385">
        <f t="shared" si="317"/>
        <v>1.0715003183136449</v>
      </c>
      <c r="O2110" s="1386" t="s">
        <v>340</v>
      </c>
      <c r="P2110" s="1387" t="str">
        <f>IFERROR(VLOOKUP(F2110,#REF!,12,FALSE),"")</f>
        <v/>
      </c>
      <c r="Q2110" s="1388" t="s">
        <v>8</v>
      </c>
      <c r="R2110" s="1389" t="str">
        <f>IFERROR(VLOOKUP(F2110,#REF!,14,FALSE),"")</f>
        <v/>
      </c>
      <c r="S2110" s="1390">
        <f t="shared" si="318"/>
        <v>1.390625</v>
      </c>
      <c r="U2110" s="1728"/>
      <c r="V2110" s="1379">
        <f t="shared" si="319"/>
        <v>0</v>
      </c>
      <c r="W2110" s="1767"/>
      <c r="X2110" s="1379"/>
    </row>
    <row r="2111" spans="1:24" x14ac:dyDescent="0.2">
      <c r="A2111" s="1649" t="s">
        <v>337</v>
      </c>
      <c r="B2111" s="1677">
        <f>IFERROR(AVERAGE(S2106:S2112),"")</f>
        <v>1.5246697578030934</v>
      </c>
      <c r="C2111" s="1625">
        <v>45199</v>
      </c>
      <c r="D2111" s="1626"/>
      <c r="E2111" s="1627"/>
      <c r="F2111" s="1816"/>
      <c r="G2111" s="1629"/>
      <c r="H2111" s="1630" t="str">
        <f>IFERROR(VLOOKUP(F2111,#REF!,10,FALSE),"")</f>
        <v/>
      </c>
      <c r="I2111" s="1631" t="str">
        <f t="shared" si="316"/>
        <v/>
      </c>
      <c r="J2111" s="1632"/>
      <c r="K2111" s="1741"/>
      <c r="L2111" s="1578"/>
      <c r="M2111" s="1632"/>
      <c r="N2111" s="1633" t="str">
        <f t="shared" si="317"/>
        <v/>
      </c>
      <c r="O2111" s="1634"/>
      <c r="P2111" s="1635" t="str">
        <f>IFERROR(VLOOKUP(F2111,#REF!,12,FALSE),"")</f>
        <v/>
      </c>
      <c r="Q2111" s="1636" t="s">
        <v>8</v>
      </c>
      <c r="R2111" s="1637" t="str">
        <f>IFERROR(VLOOKUP(F2111,#REF!,14,FALSE),"")</f>
        <v/>
      </c>
      <c r="S2111" s="1605" t="str">
        <f t="shared" si="318"/>
        <v/>
      </c>
      <c r="U2111" s="1728"/>
      <c r="V2111" s="1626">
        <f t="shared" si="319"/>
        <v>0</v>
      </c>
      <c r="W2111" s="1767"/>
      <c r="X2111" s="1626"/>
    </row>
    <row r="2112" spans="1:24" ht="16" thickBot="1" x14ac:dyDescent="0.25">
      <c r="A2112" s="1650" t="s">
        <v>5</v>
      </c>
      <c r="B2112" s="1678">
        <f>IFERROR(SUM(M2106:M2112),"")</f>
        <v>42</v>
      </c>
      <c r="C2112" s="1360">
        <v>45200</v>
      </c>
      <c r="D2112" s="683"/>
      <c r="E2112" s="684"/>
      <c r="F2112" s="1817"/>
      <c r="G2112" s="1361"/>
      <c r="H2112" s="1362" t="str">
        <f>IFERROR(VLOOKUP(F2112,#REF!,10,FALSE),"")</f>
        <v/>
      </c>
      <c r="I2112" s="1363" t="str">
        <f t="shared" si="316"/>
        <v/>
      </c>
      <c r="J2112" s="1364"/>
      <c r="K2112" s="1741"/>
      <c r="L2112" s="1583"/>
      <c r="M2112" s="1364"/>
      <c r="N2112" s="1365" t="str">
        <f t="shared" si="317"/>
        <v/>
      </c>
      <c r="O2112" s="1366"/>
      <c r="P2112" s="1367" t="str">
        <f>IFERROR(VLOOKUP(F2112,#REF!,12,FALSE),"")</f>
        <v/>
      </c>
      <c r="Q2112" s="19" t="s">
        <v>8</v>
      </c>
      <c r="R2112" s="20" t="str">
        <f>IFERROR(VLOOKUP(F2112,#REF!,14,FALSE),"")</f>
        <v/>
      </c>
      <c r="S2112" s="1191" t="str">
        <f t="shared" si="318"/>
        <v/>
      </c>
      <c r="U2112" s="1728"/>
      <c r="V2112" s="683">
        <f t="shared" si="319"/>
        <v>0</v>
      </c>
      <c r="W2112" s="1768"/>
      <c r="X2112" s="683"/>
    </row>
    <row r="2113" spans="1:24" ht="16" thickBot="1" x14ac:dyDescent="0.25">
      <c r="A2113" s="1962">
        <f>WEEKNUM(C2113,1)</f>
        <v>40</v>
      </c>
      <c r="B2113" s="1963"/>
      <c r="C2113" s="1368">
        <v>45201</v>
      </c>
      <c r="D2113" s="1369">
        <v>149</v>
      </c>
      <c r="E2113" s="1370" t="s">
        <v>292</v>
      </c>
      <c r="F2113" s="1816" t="s">
        <v>279</v>
      </c>
      <c r="G2113" s="1371">
        <v>4.4618055555555557E-2</v>
      </c>
      <c r="H2113" s="1382">
        <v>10.81</v>
      </c>
      <c r="I2113" s="1373">
        <f t="shared" si="316"/>
        <v>4.1274796998663791E-3</v>
      </c>
      <c r="J2113" s="1374">
        <v>133</v>
      </c>
      <c r="K2113" s="1741">
        <v>53</v>
      </c>
      <c r="L2113" s="1577">
        <v>202</v>
      </c>
      <c r="M2113" s="1374">
        <v>35</v>
      </c>
      <c r="N2113" s="1375">
        <f t="shared" si="317"/>
        <v>1.0751653388929543</v>
      </c>
      <c r="O2113" s="1376" t="s">
        <v>340</v>
      </c>
      <c r="P2113" s="795" t="str">
        <f>IFERROR(VLOOKUP(F2113,#REF!,12,FALSE),"")</f>
        <v/>
      </c>
      <c r="Q2113" s="32" t="s">
        <v>8</v>
      </c>
      <c r="R2113" s="1255" t="str">
        <f>IFERROR(VLOOKUP(F2113,#REF!,14,FALSE),"")</f>
        <v/>
      </c>
      <c r="S2113" s="1377">
        <f t="shared" si="318"/>
        <v>1.518796992481203</v>
      </c>
      <c r="U2113" s="1728"/>
      <c r="V2113" s="1369">
        <f t="shared" si="319"/>
        <v>0</v>
      </c>
      <c r="W2113" s="1766"/>
      <c r="X2113" s="1369"/>
    </row>
    <row r="2114" spans="1:24" x14ac:dyDescent="0.2">
      <c r="A2114" s="1648" t="s">
        <v>142</v>
      </c>
      <c r="B2114" s="1675">
        <f>SUM(H2113:H2119)</f>
        <v>34.159999999999997</v>
      </c>
      <c r="C2114" s="1378">
        <v>45202</v>
      </c>
      <c r="D2114" s="1379">
        <v>150</v>
      </c>
      <c r="E2114" s="1380" t="s">
        <v>292</v>
      </c>
      <c r="F2114" s="1816" t="s">
        <v>279</v>
      </c>
      <c r="G2114" s="1381">
        <v>4.1354166666666664E-2</v>
      </c>
      <c r="H2114" s="1382">
        <v>10.119999999999999</v>
      </c>
      <c r="I2114" s="1383">
        <f t="shared" si="316"/>
        <v>4.0863801054018449E-3</v>
      </c>
      <c r="J2114" s="1384">
        <v>126</v>
      </c>
      <c r="K2114" s="1741">
        <v>49</v>
      </c>
      <c r="L2114" s="1578">
        <v>203</v>
      </c>
      <c r="M2114" s="1602">
        <v>28</v>
      </c>
      <c r="N2114" s="1385">
        <f t="shared" si="317"/>
        <v>1.0697289245472246</v>
      </c>
      <c r="O2114" s="1386" t="s">
        <v>340</v>
      </c>
      <c r="P2114" s="1387" t="str">
        <f>IFERROR(VLOOKUP(F2114,#REF!,12,FALSE),"")</f>
        <v/>
      </c>
      <c r="Q2114" s="1388" t="s">
        <v>8</v>
      </c>
      <c r="R2114" s="1389" t="str">
        <f>IFERROR(VLOOKUP(F2114,#REF!,14,FALSE),"")</f>
        <v/>
      </c>
      <c r="S2114" s="1390">
        <f t="shared" si="318"/>
        <v>1.6111111111111112</v>
      </c>
      <c r="U2114" s="1728"/>
      <c r="V2114" s="1379">
        <f t="shared" si="319"/>
        <v>0</v>
      </c>
      <c r="W2114" s="1767"/>
      <c r="X2114" s="1379"/>
    </row>
    <row r="2115" spans="1:24" x14ac:dyDescent="0.2">
      <c r="A2115" s="1649" t="s">
        <v>144</v>
      </c>
      <c r="B2115" s="1676" t="e">
        <f>SUM(#REF!)</f>
        <v>#REF!</v>
      </c>
      <c r="C2115" s="1378">
        <v>45203</v>
      </c>
      <c r="D2115" s="1379"/>
      <c r="E2115" s="1380"/>
      <c r="F2115" s="1817"/>
      <c r="G2115" s="1381"/>
      <c r="H2115" s="1382" t="str">
        <f>IFERROR(VLOOKUP(F2115,#REF!,10,FALSE),"")</f>
        <v/>
      </c>
      <c r="I2115" s="1383" t="str">
        <f t="shared" si="316"/>
        <v/>
      </c>
      <c r="J2115" s="1384"/>
      <c r="K2115" s="1741"/>
      <c r="L2115" s="1578"/>
      <c r="M2115" s="1602"/>
      <c r="N2115" s="1385" t="str">
        <f t="shared" si="317"/>
        <v/>
      </c>
      <c r="O2115" s="1386"/>
      <c r="P2115" s="1387" t="str">
        <f>IFERROR(VLOOKUP(F2115,#REF!,12,FALSE),"")</f>
        <v/>
      </c>
      <c r="Q2115" s="1388" t="s">
        <v>8</v>
      </c>
      <c r="R2115" s="1389" t="str">
        <f>IFERROR(VLOOKUP(F2115,#REF!,14,FALSE),"")</f>
        <v/>
      </c>
      <c r="S2115" s="1390" t="str">
        <f t="shared" si="318"/>
        <v/>
      </c>
      <c r="U2115" s="1728"/>
      <c r="V2115" s="1379">
        <f t="shared" si="319"/>
        <v>0</v>
      </c>
      <c r="W2115" s="1767"/>
      <c r="X2115" s="1379"/>
    </row>
    <row r="2116" spans="1:24" x14ac:dyDescent="0.2">
      <c r="A2116" s="1649" t="s">
        <v>256</v>
      </c>
      <c r="B2116" s="1677" t="e">
        <f>AVERAGE(#REF!)</f>
        <v>#REF!</v>
      </c>
      <c r="C2116" s="1378">
        <v>45204</v>
      </c>
      <c r="D2116" s="1379">
        <v>151</v>
      </c>
      <c r="E2116" s="1380" t="s">
        <v>292</v>
      </c>
      <c r="F2116" s="1816" t="s">
        <v>343</v>
      </c>
      <c r="G2116" s="1381">
        <v>3.3541666666666664E-2</v>
      </c>
      <c r="H2116" s="1382">
        <v>8.23</v>
      </c>
      <c r="I2116" s="1383">
        <f t="shared" si="316"/>
        <v>4.0755366545159981E-3</v>
      </c>
      <c r="J2116" s="1384">
        <v>124</v>
      </c>
      <c r="K2116" s="1741">
        <v>39</v>
      </c>
      <c r="L2116" s="1578">
        <v>202</v>
      </c>
      <c r="M2116" s="1602">
        <v>20</v>
      </c>
      <c r="N2116" s="1385">
        <f t="shared" si="317"/>
        <v>1.0616347182677137</v>
      </c>
      <c r="O2116" s="1386" t="s">
        <v>333</v>
      </c>
      <c r="P2116" s="1387" t="str">
        <f>IFERROR(VLOOKUP(F2116,#REF!,12,FALSE),"")</f>
        <v/>
      </c>
      <c r="Q2116" s="1388" t="s">
        <v>8</v>
      </c>
      <c r="R2116" s="1389" t="str">
        <f>IFERROR(VLOOKUP(F2116,#REF!,14,FALSE),"")</f>
        <v/>
      </c>
      <c r="S2116" s="1390">
        <f t="shared" si="318"/>
        <v>1.6290322580645162</v>
      </c>
      <c r="U2116" s="1728"/>
      <c r="V2116" s="1379">
        <f t="shared" si="319"/>
        <v>0</v>
      </c>
      <c r="W2116" s="1767"/>
      <c r="X2116" s="1379"/>
    </row>
    <row r="2117" spans="1:24" x14ac:dyDescent="0.2">
      <c r="A2117" s="1649" t="s">
        <v>336</v>
      </c>
      <c r="B2117" s="1712">
        <f>IFERROR(AVERAGE(N2113:N2119),"")</f>
        <v>1.0680897081135403</v>
      </c>
      <c r="C2117" s="1378">
        <v>45205</v>
      </c>
      <c r="D2117" s="1379"/>
      <c r="E2117" s="1380"/>
      <c r="F2117" s="1816"/>
      <c r="G2117" s="1381"/>
      <c r="H2117" s="1382" t="str">
        <f>IFERROR(VLOOKUP(F2117,#REF!,10,FALSE),"")</f>
        <v/>
      </c>
      <c r="I2117" s="1383" t="str">
        <f t="shared" si="316"/>
        <v/>
      </c>
      <c r="J2117" s="1384"/>
      <c r="K2117" s="1741"/>
      <c r="L2117" s="1578"/>
      <c r="M2117" s="1602"/>
      <c r="N2117" s="1385" t="str">
        <f t="shared" si="317"/>
        <v/>
      </c>
      <c r="O2117" s="1386"/>
      <c r="P2117" s="1387" t="str">
        <f>IFERROR(VLOOKUP(F2117,#REF!,12,FALSE),"")</f>
        <v/>
      </c>
      <c r="Q2117" s="1388" t="s">
        <v>8</v>
      </c>
      <c r="R2117" s="1389" t="str">
        <f>IFERROR(VLOOKUP(F2117,#REF!,14,FALSE),"")</f>
        <v/>
      </c>
      <c r="S2117" s="1390" t="str">
        <f t="shared" si="318"/>
        <v/>
      </c>
      <c r="U2117" s="1728"/>
      <c r="V2117" s="1379">
        <f t="shared" si="319"/>
        <v>0</v>
      </c>
      <c r="W2117" s="1767"/>
      <c r="X2117" s="1379"/>
    </row>
    <row r="2118" spans="1:24" ht="16" thickBot="1" x14ac:dyDescent="0.25">
      <c r="A2118" s="1649" t="s">
        <v>337</v>
      </c>
      <c r="B2118" s="1677">
        <f>IFERROR(AVERAGE(S2113:S2119),"")</f>
        <v>1.6044057490968424</v>
      </c>
      <c r="C2118" s="1625">
        <v>45206</v>
      </c>
      <c r="D2118" s="1626">
        <v>152</v>
      </c>
      <c r="E2118" s="1627" t="s">
        <v>293</v>
      </c>
      <c r="F2118" s="1818" t="s">
        <v>330</v>
      </c>
      <c r="G2118" s="1629">
        <v>1.4918981481481483E-2</v>
      </c>
      <c r="H2118" s="1630">
        <v>5</v>
      </c>
      <c r="I2118" s="1631">
        <f t="shared" si="316"/>
        <v>2.9837962962962965E-3</v>
      </c>
      <c r="J2118" s="1632">
        <v>167</v>
      </c>
      <c r="K2118" s="1741">
        <v>52</v>
      </c>
      <c r="L2118" s="1578">
        <v>277</v>
      </c>
      <c r="M2118" s="1632">
        <v>13</v>
      </c>
      <c r="N2118" s="1633">
        <f t="shared" si="317"/>
        <v>1.0658298507462685</v>
      </c>
      <c r="O2118" s="1634" t="s">
        <v>341</v>
      </c>
      <c r="P2118" s="1635">
        <v>260</v>
      </c>
      <c r="Q2118" s="1636" t="s">
        <v>8</v>
      </c>
      <c r="R2118" s="1637">
        <v>270</v>
      </c>
      <c r="S2118" s="1605">
        <f t="shared" si="318"/>
        <v>1.658682634730539</v>
      </c>
      <c r="U2118" s="1728"/>
      <c r="V2118" s="1626">
        <f t="shared" si="319"/>
        <v>0</v>
      </c>
      <c r="W2118" s="1767"/>
      <c r="X2118" s="1626"/>
    </row>
    <row r="2119" spans="1:24" ht="16" thickBot="1" x14ac:dyDescent="0.25">
      <c r="A2119" s="1650" t="s">
        <v>5</v>
      </c>
      <c r="B2119" s="1678">
        <f>IFERROR(SUM(M2113:M2119),"")</f>
        <v>96</v>
      </c>
      <c r="C2119" s="1360">
        <v>45207</v>
      </c>
      <c r="D2119" s="683"/>
      <c r="E2119" s="684"/>
      <c r="F2119" s="1815"/>
      <c r="G2119" s="1361"/>
      <c r="H2119" s="1362" t="str">
        <f>IFERROR(VLOOKUP(F2119,#REF!,10,FALSE),"")</f>
        <v/>
      </c>
      <c r="I2119" s="1363" t="str">
        <f t="shared" si="316"/>
        <v/>
      </c>
      <c r="J2119" s="1364"/>
      <c r="K2119" s="1796"/>
      <c r="L2119" s="1583"/>
      <c r="M2119" s="1364"/>
      <c r="N2119" s="1365" t="str">
        <f t="shared" si="317"/>
        <v/>
      </c>
      <c r="O2119" s="1366"/>
      <c r="P2119" s="1367" t="str">
        <f>IFERROR(VLOOKUP(F2119,#REF!,12,FALSE),"")</f>
        <v/>
      </c>
      <c r="Q2119" s="19" t="s">
        <v>8</v>
      </c>
      <c r="R2119" s="20" t="str">
        <f>IFERROR(VLOOKUP(F2119,#REF!,14,FALSE),"")</f>
        <v/>
      </c>
      <c r="S2119" s="1191" t="str">
        <f t="shared" si="318"/>
        <v/>
      </c>
      <c r="T2119" s="1737"/>
      <c r="U2119" s="1788"/>
      <c r="V2119" s="683">
        <f t="shared" si="319"/>
        <v>0</v>
      </c>
      <c r="W2119" s="1768"/>
      <c r="X2119" s="683"/>
    </row>
    <row r="2120" spans="1:24" ht="16" thickBot="1" x14ac:dyDescent="0.25">
      <c r="A2120" s="1962">
        <f>WEEKNUM(C2120,1)</f>
        <v>41</v>
      </c>
      <c r="B2120" s="1963"/>
      <c r="C2120" s="1368">
        <v>45208</v>
      </c>
      <c r="D2120" s="1369">
        <v>153</v>
      </c>
      <c r="E2120" s="1370" t="s">
        <v>293</v>
      </c>
      <c r="F2120" s="1816" t="s">
        <v>343</v>
      </c>
      <c r="G2120" s="1371">
        <v>2.9710648148148149E-2</v>
      </c>
      <c r="H2120" s="1372">
        <v>7.31</v>
      </c>
      <c r="I2120" s="1373">
        <f t="shared" si="316"/>
        <v>4.0643841515934547E-3</v>
      </c>
      <c r="J2120" s="1374">
        <v>120</v>
      </c>
      <c r="K2120" s="1745">
        <v>28</v>
      </c>
      <c r="L2120" s="1577">
        <v>202</v>
      </c>
      <c r="M2120" s="1374">
        <v>18</v>
      </c>
      <c r="N2120" s="1375">
        <f t="shared" si="317"/>
        <v>1.0587296077750783</v>
      </c>
      <c r="O2120" s="1376" t="s">
        <v>333</v>
      </c>
      <c r="P2120" s="795" t="str">
        <f>IFERROR(VLOOKUP(F2120,#REF!,12,FALSE),"")</f>
        <v/>
      </c>
      <c r="Q2120" s="32" t="s">
        <v>8</v>
      </c>
      <c r="R2120" s="1255" t="str">
        <f>IFERROR(VLOOKUP(F2120,#REF!,14,FALSE),"")</f>
        <v/>
      </c>
      <c r="S2120" s="1377">
        <f t="shared" si="318"/>
        <v>1.6833333333333333</v>
      </c>
      <c r="T2120" s="1369"/>
      <c r="U2120" s="1789"/>
      <c r="V2120" s="1369">
        <f t="shared" si="319"/>
        <v>0</v>
      </c>
      <c r="W2120" s="1766"/>
      <c r="X2120" s="1369"/>
    </row>
    <row r="2121" spans="1:24" x14ac:dyDescent="0.2">
      <c r="A2121" s="1648" t="s">
        <v>142</v>
      </c>
      <c r="B2121" s="1675">
        <f>SUM(H2120:H2126)</f>
        <v>62.07</v>
      </c>
      <c r="C2121" s="1378">
        <v>45209</v>
      </c>
      <c r="D2121" s="1379">
        <v>154</v>
      </c>
      <c r="E2121" s="1380" t="s">
        <v>293</v>
      </c>
      <c r="F2121" s="1817" t="s">
        <v>322</v>
      </c>
      <c r="G2121" s="1381">
        <v>3.380787037037037E-2</v>
      </c>
      <c r="H2121" s="1382">
        <v>8.57</v>
      </c>
      <c r="I2121" s="1383">
        <f t="shared" si="316"/>
        <v>3.9449090280478842E-3</v>
      </c>
      <c r="J2121" s="1384">
        <v>127</v>
      </c>
      <c r="K2121" s="1794">
        <v>37</v>
      </c>
      <c r="L2121" s="1578">
        <v>209</v>
      </c>
      <c r="M2121" s="1602">
        <v>20</v>
      </c>
      <c r="N2121" s="1385">
        <f t="shared" si="317"/>
        <v>1.0632177502220519</v>
      </c>
      <c r="O2121" s="1386" t="s">
        <v>340</v>
      </c>
      <c r="P2121" s="1387" t="str">
        <f>IFERROR(VLOOKUP(F2121,#REF!,12,FALSE),"")</f>
        <v/>
      </c>
      <c r="Q2121" s="1388" t="s">
        <v>8</v>
      </c>
      <c r="R2121" s="1389" t="str">
        <f>IFERROR(VLOOKUP(F2121,#REF!,14,FALSE),"")</f>
        <v/>
      </c>
      <c r="S2121" s="1390">
        <f t="shared" si="318"/>
        <v>1.6456692913385826</v>
      </c>
      <c r="T2121" s="1072"/>
      <c r="U2121" s="1790"/>
      <c r="V2121" s="1379">
        <f t="shared" si="319"/>
        <v>0</v>
      </c>
      <c r="W2121" s="1767"/>
      <c r="X2121" s="1379"/>
    </row>
    <row r="2122" spans="1:24" x14ac:dyDescent="0.2">
      <c r="A2122" s="1649" t="s">
        <v>144</v>
      </c>
      <c r="B2122" s="1676" t="e">
        <f>SUM(#REF!)</f>
        <v>#REF!</v>
      </c>
      <c r="C2122" s="1378">
        <v>45210</v>
      </c>
      <c r="D2122" s="1379">
        <v>155</v>
      </c>
      <c r="E2122" s="1380" t="s">
        <v>293</v>
      </c>
      <c r="F2122" s="1816" t="s">
        <v>314</v>
      </c>
      <c r="G2122" s="1381">
        <v>5.0416666666666665E-2</v>
      </c>
      <c r="H2122" s="1382">
        <v>13.22</v>
      </c>
      <c r="I2122" s="1383">
        <f t="shared" si="316"/>
        <v>3.8136661623802315E-3</v>
      </c>
      <c r="J2122" s="1384">
        <v>143</v>
      </c>
      <c r="K2122" s="1794">
        <v>79</v>
      </c>
      <c r="L2122" s="1578">
        <v>215</v>
      </c>
      <c r="M2122" s="1602">
        <v>17</v>
      </c>
      <c r="N2122" s="1385">
        <f t="shared" si="317"/>
        <v>1.0573531736175401</v>
      </c>
      <c r="O2122" s="1386" t="s">
        <v>341</v>
      </c>
      <c r="P2122" s="1387" t="str">
        <f>IFERROR(VLOOKUP(F2122,#REF!,12,FALSE),"")</f>
        <v/>
      </c>
      <c r="Q2122" s="1388" t="s">
        <v>8</v>
      </c>
      <c r="R2122" s="1389" t="str">
        <f>IFERROR(VLOOKUP(F2122,#REF!,14,FALSE),"")</f>
        <v/>
      </c>
      <c r="S2122" s="1390">
        <f t="shared" si="318"/>
        <v>1.5034965034965035</v>
      </c>
      <c r="T2122" s="1072"/>
      <c r="U2122" s="1790"/>
      <c r="V2122" s="1379">
        <f t="shared" si="319"/>
        <v>0</v>
      </c>
      <c r="W2122" s="1767"/>
      <c r="X2122" s="1379"/>
    </row>
    <row r="2123" spans="1:24" x14ac:dyDescent="0.2">
      <c r="A2123" s="1649" t="s">
        <v>256</v>
      </c>
      <c r="B2123" s="1677" t="e">
        <f>AVERAGE(#REF!)</f>
        <v>#REF!</v>
      </c>
      <c r="C2123" s="1378">
        <v>45211</v>
      </c>
      <c r="D2123" s="1379">
        <v>156</v>
      </c>
      <c r="E2123" s="1380" t="s">
        <v>293</v>
      </c>
      <c r="F2123" s="1816" t="s">
        <v>343</v>
      </c>
      <c r="G2123" s="1381">
        <v>3.2314814814814817E-2</v>
      </c>
      <c r="H2123" s="1382">
        <v>7.46</v>
      </c>
      <c r="I2123" s="1383">
        <f t="shared" si="316"/>
        <v>4.3317446132459542E-3</v>
      </c>
      <c r="J2123" s="1384">
        <v>135</v>
      </c>
      <c r="K2123" s="1794">
        <v>27</v>
      </c>
      <c r="L2123" s="1578">
        <v>189</v>
      </c>
      <c r="M2123" s="1602">
        <v>19</v>
      </c>
      <c r="N2123" s="1385">
        <f t="shared" si="317"/>
        <v>1.0557560721859871</v>
      </c>
      <c r="O2123" s="1386" t="s">
        <v>333</v>
      </c>
      <c r="P2123" s="1387" t="str">
        <f>IFERROR(VLOOKUP(F2123,#REF!,12,FALSE),"")</f>
        <v/>
      </c>
      <c r="Q2123" s="1388" t="s">
        <v>8</v>
      </c>
      <c r="R2123" s="1389" t="str">
        <f>IFERROR(VLOOKUP(F2123,#REF!,14,FALSE),"")</f>
        <v/>
      </c>
      <c r="S2123" s="1390">
        <f t="shared" si="318"/>
        <v>1.4</v>
      </c>
      <c r="T2123" s="1072"/>
      <c r="U2123" s="1790"/>
      <c r="V2123" s="1379">
        <f t="shared" si="319"/>
        <v>0</v>
      </c>
      <c r="W2123" s="1767"/>
      <c r="X2123" s="1379"/>
    </row>
    <row r="2124" spans="1:24" x14ac:dyDescent="0.2">
      <c r="A2124" s="1649" t="s">
        <v>336</v>
      </c>
      <c r="B2124" s="1712">
        <f>IFERROR(AVERAGE(N2120:N2126),"")</f>
        <v>1.0609622484570165</v>
      </c>
      <c r="C2124" s="1378">
        <v>45212</v>
      </c>
      <c r="D2124" s="1379">
        <v>157</v>
      </c>
      <c r="E2124" s="1380" t="s">
        <v>293</v>
      </c>
      <c r="F2124" s="1817" t="s">
        <v>322</v>
      </c>
      <c r="G2124" s="1381">
        <v>3.3761574074074076E-2</v>
      </c>
      <c r="H2124" s="1382">
        <v>8.18</v>
      </c>
      <c r="I2124" s="1383">
        <f t="shared" si="316"/>
        <v>4.1273317938965862E-3</v>
      </c>
      <c r="J2124" s="1384">
        <v>122</v>
      </c>
      <c r="K2124" s="1794">
        <v>32</v>
      </c>
      <c r="L2124" s="1578">
        <v>200</v>
      </c>
      <c r="M2124" s="1602">
        <v>18</v>
      </c>
      <c r="N2124" s="1385">
        <f t="shared" si="317"/>
        <v>1.0644819910228809</v>
      </c>
      <c r="O2124" s="1386" t="s">
        <v>340</v>
      </c>
      <c r="P2124" s="1387" t="str">
        <f>IFERROR(VLOOKUP(F2124,#REF!,12,FALSE),"")</f>
        <v/>
      </c>
      <c r="Q2124" s="1388" t="s">
        <v>8</v>
      </c>
      <c r="R2124" s="1389" t="str">
        <f>IFERROR(VLOOKUP(F2124,#REF!,14,FALSE),"")</f>
        <v/>
      </c>
      <c r="S2124" s="1390">
        <f t="shared" si="318"/>
        <v>1.639344262295082</v>
      </c>
      <c r="T2124" s="1072"/>
      <c r="U2124" s="1790"/>
      <c r="V2124" s="1379">
        <f t="shared" si="319"/>
        <v>0</v>
      </c>
      <c r="W2124" s="1767"/>
      <c r="X2124" s="1379"/>
    </row>
    <row r="2125" spans="1:24" x14ac:dyDescent="0.2">
      <c r="A2125" s="1649" t="s">
        <v>337</v>
      </c>
      <c r="B2125" s="1677">
        <f>IFERROR(AVERAGE(S2120:S2126),"")</f>
        <v>1.5746001610368461</v>
      </c>
      <c r="C2125" s="1625">
        <v>45213</v>
      </c>
      <c r="D2125" s="1626">
        <v>158</v>
      </c>
      <c r="E2125" s="1627" t="s">
        <v>292</v>
      </c>
      <c r="F2125" s="1816" t="s">
        <v>274</v>
      </c>
      <c r="G2125" s="1629">
        <v>6.8888888888888888E-2</v>
      </c>
      <c r="H2125" s="1630">
        <v>17.329999999999998</v>
      </c>
      <c r="I2125" s="1631">
        <f t="shared" si="316"/>
        <v>3.9751234211707386E-3</v>
      </c>
      <c r="J2125" s="1632">
        <v>132</v>
      </c>
      <c r="K2125" s="1794">
        <v>76</v>
      </c>
      <c r="L2125" s="1578">
        <v>208</v>
      </c>
      <c r="M2125" s="1632">
        <v>60</v>
      </c>
      <c r="N2125" s="1633">
        <f t="shared" si="317"/>
        <v>1.066234895918561</v>
      </c>
      <c r="O2125" s="1634" t="s">
        <v>327</v>
      </c>
      <c r="P2125" s="1635" t="str">
        <f>IFERROR(VLOOKUP(F2125,#REF!,12,FALSE),"")</f>
        <v/>
      </c>
      <c r="Q2125" s="1636" t="s">
        <v>8</v>
      </c>
      <c r="R2125" s="1637" t="str">
        <f>IFERROR(VLOOKUP(F2125,#REF!,14,FALSE),"")</f>
        <v/>
      </c>
      <c r="S2125" s="1605">
        <f t="shared" si="318"/>
        <v>1.5757575757575757</v>
      </c>
      <c r="T2125" s="1072"/>
      <c r="U2125" s="1790"/>
      <c r="V2125" s="1626">
        <f t="shared" si="319"/>
        <v>0</v>
      </c>
      <c r="W2125" s="1767"/>
      <c r="X2125" s="1626"/>
    </row>
    <row r="2126" spans="1:24" ht="16" thickBot="1" x14ac:dyDescent="0.25">
      <c r="A2126" s="1650" t="s">
        <v>5</v>
      </c>
      <c r="B2126" s="1678">
        <f>IFERROR(SUM(M2120:M2126),"")</f>
        <v>152</v>
      </c>
      <c r="C2126" s="1360">
        <v>45214</v>
      </c>
      <c r="D2126" s="683"/>
      <c r="E2126" s="684"/>
      <c r="F2126" s="1816"/>
      <c r="G2126" s="1361"/>
      <c r="H2126" s="1362" t="str">
        <f>IFERROR(VLOOKUP(F2126,#REF!,10,FALSE),"")</f>
        <v/>
      </c>
      <c r="I2126" s="1363" t="str">
        <f t="shared" si="316"/>
        <v/>
      </c>
      <c r="J2126" s="1364"/>
      <c r="K2126" s="1795"/>
      <c r="L2126" s="1583"/>
      <c r="M2126" s="1364"/>
      <c r="N2126" s="1365" t="str">
        <f t="shared" si="317"/>
        <v/>
      </c>
      <c r="O2126" s="1366"/>
      <c r="P2126" s="1367" t="str">
        <f>IFERROR(VLOOKUP(F2126,#REF!,12,FALSE),"")</f>
        <v/>
      </c>
      <c r="Q2126" s="19" t="s">
        <v>8</v>
      </c>
      <c r="R2126" s="20" t="str">
        <f>IFERROR(VLOOKUP(F2126,#REF!,14,FALSE),"")</f>
        <v/>
      </c>
      <c r="S2126" s="1191" t="str">
        <f t="shared" si="318"/>
        <v/>
      </c>
      <c r="T2126" s="1791"/>
      <c r="U2126" s="1792"/>
      <c r="V2126" s="683">
        <f t="shared" si="319"/>
        <v>0</v>
      </c>
      <c r="W2126" s="1768"/>
      <c r="X2126" s="683"/>
    </row>
    <row r="2127" spans="1:24" ht="16" thickBot="1" x14ac:dyDescent="0.25">
      <c r="A2127" s="1962">
        <f>WEEKNUM(C2127,1)</f>
        <v>42</v>
      </c>
      <c r="B2127" s="1963"/>
      <c r="C2127" s="1368">
        <v>45215</v>
      </c>
      <c r="D2127" s="1369">
        <v>159</v>
      </c>
      <c r="E2127" s="1370" t="s">
        <v>293</v>
      </c>
      <c r="F2127" s="1816" t="s">
        <v>322</v>
      </c>
      <c r="G2127" s="1371">
        <v>3.2731481481481479E-2</v>
      </c>
      <c r="H2127" s="1372">
        <v>8.07</v>
      </c>
      <c r="I2127" s="1373">
        <f t="shared" si="316"/>
        <v>4.0559456606544583E-3</v>
      </c>
      <c r="J2127" s="1374">
        <v>120</v>
      </c>
      <c r="K2127" s="1740">
        <v>33</v>
      </c>
      <c r="L2127" s="1577">
        <v>205</v>
      </c>
      <c r="M2127" s="1374">
        <v>18</v>
      </c>
      <c r="N2127" s="1375">
        <f t="shared" si="317"/>
        <v>1.072222530470325</v>
      </c>
      <c r="O2127" s="1376" t="s">
        <v>340</v>
      </c>
      <c r="P2127" s="795" t="str">
        <f>IFERROR(VLOOKUP(F2127,#REF!,12,FALSE),"")</f>
        <v/>
      </c>
      <c r="Q2127" s="32" t="s">
        <v>8</v>
      </c>
      <c r="R2127" s="1255" t="str">
        <f>IFERROR(VLOOKUP(F2127,#REF!,14,FALSE),"")</f>
        <v/>
      </c>
      <c r="S2127" s="1377">
        <f t="shared" si="318"/>
        <v>1.7083333333333333</v>
      </c>
      <c r="T2127" s="70"/>
      <c r="U2127" s="1727"/>
      <c r="V2127" s="1369">
        <f t="shared" si="319"/>
        <v>0</v>
      </c>
      <c r="W2127" s="1766"/>
      <c r="X2127" s="1369"/>
    </row>
    <row r="2128" spans="1:24" x14ac:dyDescent="0.2">
      <c r="A2128" s="1648" t="s">
        <v>142</v>
      </c>
      <c r="B2128" s="1675">
        <f>SUM(H2127:H2133)</f>
        <v>56.35</v>
      </c>
      <c r="C2128" s="1378">
        <v>45216</v>
      </c>
      <c r="D2128" s="1379"/>
      <c r="E2128" s="1380"/>
      <c r="F2128" s="1815"/>
      <c r="G2128" s="1381"/>
      <c r="H2128" s="1382" t="str">
        <f>IFERROR(VLOOKUP(F2128,#REF!,10,FALSE),"")</f>
        <v/>
      </c>
      <c r="I2128" s="1383" t="str">
        <f t="shared" si="316"/>
        <v/>
      </c>
      <c r="J2128" s="1384"/>
      <c r="K2128" s="1741"/>
      <c r="L2128" s="1578"/>
      <c r="M2128" s="1602"/>
      <c r="N2128" s="1385" t="str">
        <f t="shared" si="317"/>
        <v/>
      </c>
      <c r="O2128" s="1386"/>
      <c r="P2128" s="1387" t="str">
        <f>IFERROR(VLOOKUP(F2128,#REF!,12,FALSE),"")</f>
        <v/>
      </c>
      <c r="Q2128" s="1388" t="s">
        <v>8</v>
      </c>
      <c r="R2128" s="1389" t="str">
        <f>IFERROR(VLOOKUP(F2128,#REF!,14,FALSE),"")</f>
        <v/>
      </c>
      <c r="S2128" s="1390" t="str">
        <f t="shared" si="318"/>
        <v/>
      </c>
      <c r="U2128" s="1728"/>
      <c r="V2128" s="1379">
        <f t="shared" si="319"/>
        <v>0</v>
      </c>
      <c r="W2128" s="1767"/>
      <c r="X2128" s="1379"/>
    </row>
    <row r="2129" spans="1:24" x14ac:dyDescent="0.2">
      <c r="A2129" s="1649" t="s">
        <v>144</v>
      </c>
      <c r="B2129" s="1676" t="e">
        <f>SUM(#REF!)</f>
        <v>#REF!</v>
      </c>
      <c r="C2129" s="1378">
        <v>45217</v>
      </c>
      <c r="D2129" s="1379">
        <v>160</v>
      </c>
      <c r="E2129" s="1380" t="s">
        <v>293</v>
      </c>
      <c r="F2129" s="1816" t="s">
        <v>344</v>
      </c>
      <c r="G2129" s="1381">
        <v>4.763888888888889E-2</v>
      </c>
      <c r="H2129" s="1382">
        <v>13.55</v>
      </c>
      <c r="I2129" s="1383">
        <f t="shared" si="316"/>
        <v>3.5157851578515786E-3</v>
      </c>
      <c r="J2129" s="1384">
        <v>148</v>
      </c>
      <c r="K2129" s="1741">
        <v>90</v>
      </c>
      <c r="L2129" s="1578">
        <v>234</v>
      </c>
      <c r="M2129" s="1602">
        <v>40</v>
      </c>
      <c r="N2129" s="1385">
        <f t="shared" si="317"/>
        <v>1.0609065374235831</v>
      </c>
      <c r="O2129" s="1386" t="s">
        <v>280</v>
      </c>
      <c r="P2129" s="1387" t="str">
        <f>IFERROR(VLOOKUP(F2129,#REF!,12,FALSE),"")</f>
        <v/>
      </c>
      <c r="Q2129" s="1388" t="s">
        <v>8</v>
      </c>
      <c r="R2129" s="1389" t="str">
        <f>IFERROR(VLOOKUP(F2129,#REF!,14,FALSE),"")</f>
        <v/>
      </c>
      <c r="S2129" s="1390">
        <f t="shared" si="318"/>
        <v>1.5810810810810811</v>
      </c>
      <c r="U2129" s="1728"/>
      <c r="V2129" s="1379">
        <f t="shared" si="319"/>
        <v>0</v>
      </c>
      <c r="W2129" s="1767"/>
      <c r="X2129" s="1379"/>
    </row>
    <row r="2130" spans="1:24" x14ac:dyDescent="0.2">
      <c r="A2130" s="1649" t="s">
        <v>256</v>
      </c>
      <c r="B2130" s="1677" t="e">
        <f>AVERAGE(#REF!)</f>
        <v>#REF!</v>
      </c>
      <c r="C2130" s="1378">
        <v>45218</v>
      </c>
      <c r="D2130" s="1379">
        <v>161</v>
      </c>
      <c r="E2130" s="1380" t="s">
        <v>293</v>
      </c>
      <c r="F2130" s="1817" t="s">
        <v>343</v>
      </c>
      <c r="G2130" s="1381">
        <v>2.7615740740740743E-2</v>
      </c>
      <c r="H2130" s="1382">
        <v>6.84</v>
      </c>
      <c r="I2130" s="1383">
        <f t="shared" si="316"/>
        <v>4.0373889971843189E-3</v>
      </c>
      <c r="J2130" s="1384">
        <v>127</v>
      </c>
      <c r="K2130" s="1741">
        <v>26</v>
      </c>
      <c r="L2130" s="1578">
        <v>201</v>
      </c>
      <c r="M2130" s="1602">
        <v>21</v>
      </c>
      <c r="N2130" s="1385">
        <f t="shared" si="317"/>
        <v>1.0464912280701755</v>
      </c>
      <c r="O2130" s="1386" t="s">
        <v>333</v>
      </c>
      <c r="P2130" s="1387" t="str">
        <f>IFERROR(VLOOKUP(F2130,#REF!,12,FALSE),"")</f>
        <v/>
      </c>
      <c r="Q2130" s="1388" t="s">
        <v>8</v>
      </c>
      <c r="R2130" s="1389" t="str">
        <f>IFERROR(VLOOKUP(F2130,#REF!,14,FALSE),"")</f>
        <v/>
      </c>
      <c r="S2130" s="1390">
        <f t="shared" si="318"/>
        <v>1.5826771653543308</v>
      </c>
      <c r="U2130" s="1728"/>
      <c r="V2130" s="1379">
        <f t="shared" si="319"/>
        <v>0</v>
      </c>
      <c r="W2130" s="1767"/>
      <c r="X2130" s="1379"/>
    </row>
    <row r="2131" spans="1:24" x14ac:dyDescent="0.2">
      <c r="A2131" s="1649" t="s">
        <v>336</v>
      </c>
      <c r="B2131" s="1712">
        <f>IFERROR(AVERAGE(N2127:N2133),"")</f>
        <v>1.0626484630867201</v>
      </c>
      <c r="C2131" s="1378">
        <v>45219</v>
      </c>
      <c r="D2131" s="1379">
        <v>162</v>
      </c>
      <c r="E2131" s="1380" t="s">
        <v>293</v>
      </c>
      <c r="F2131" s="1816" t="s">
        <v>322</v>
      </c>
      <c r="G2131" s="1381">
        <v>3.2893518518518523E-2</v>
      </c>
      <c r="H2131" s="1630">
        <v>8.35</v>
      </c>
      <c r="I2131" s="1383">
        <f t="shared" si="316"/>
        <v>3.939343535151919E-3</v>
      </c>
      <c r="J2131" s="1384">
        <v>128</v>
      </c>
      <c r="K2131" s="1741">
        <v>37</v>
      </c>
      <c r="L2131" s="1578">
        <v>210</v>
      </c>
      <c r="M2131" s="1602">
        <v>18</v>
      </c>
      <c r="N2131" s="1385">
        <f t="shared" si="317"/>
        <v>1.0667977477880064</v>
      </c>
      <c r="O2131" s="1386" t="s">
        <v>340</v>
      </c>
      <c r="P2131" s="1387" t="str">
        <f>IFERROR(VLOOKUP(F2131,#REF!,12,FALSE),"")</f>
        <v/>
      </c>
      <c r="Q2131" s="1388" t="s">
        <v>8</v>
      </c>
      <c r="R2131" s="1389" t="str">
        <f>IFERROR(VLOOKUP(F2131,#REF!,14,FALSE),"")</f>
        <v/>
      </c>
      <c r="S2131" s="1390">
        <f t="shared" si="318"/>
        <v>1.640625</v>
      </c>
      <c r="U2131" s="1728"/>
      <c r="V2131" s="1379">
        <f t="shared" si="319"/>
        <v>0</v>
      </c>
      <c r="W2131" s="1767"/>
      <c r="X2131" s="1379"/>
    </row>
    <row r="2132" spans="1:24" x14ac:dyDescent="0.2">
      <c r="A2132" s="1649" t="s">
        <v>337</v>
      </c>
      <c r="B2132" s="1677">
        <f>IFERROR(AVERAGE(S2127:S2133),"")</f>
        <v>1.6155204151903901</v>
      </c>
      <c r="C2132" s="1625">
        <v>45220</v>
      </c>
      <c r="D2132" s="1626"/>
      <c r="E2132" s="1627"/>
      <c r="F2132" s="1816"/>
      <c r="G2132" s="1629"/>
      <c r="H2132" s="1630" t="str">
        <f>IFERROR(VLOOKUP(F2132,#REF!,10,FALSE),"")</f>
        <v/>
      </c>
      <c r="I2132" s="1631" t="str">
        <f t="shared" si="316"/>
        <v/>
      </c>
      <c r="J2132" s="1632"/>
      <c r="K2132" s="1741"/>
      <c r="L2132" s="1578"/>
      <c r="M2132" s="1632"/>
      <c r="N2132" s="1633" t="str">
        <f t="shared" si="317"/>
        <v/>
      </c>
      <c r="O2132" s="1634"/>
      <c r="P2132" s="1635" t="str">
        <f>IFERROR(VLOOKUP(F2132,#REF!,12,FALSE),"")</f>
        <v/>
      </c>
      <c r="Q2132" s="1636" t="s">
        <v>8</v>
      </c>
      <c r="R2132" s="1637" t="str">
        <f>IFERROR(VLOOKUP(F2132,#REF!,14,FALSE),"")</f>
        <v/>
      </c>
      <c r="S2132" s="1605" t="str">
        <f t="shared" si="318"/>
        <v/>
      </c>
      <c r="U2132" s="1728"/>
      <c r="V2132" s="1626">
        <f t="shared" si="319"/>
        <v>0</v>
      </c>
      <c r="W2132" s="1767"/>
      <c r="X2132" s="1626"/>
    </row>
    <row r="2133" spans="1:24" ht="16" thickBot="1" x14ac:dyDescent="0.25">
      <c r="A2133" s="1650" t="s">
        <v>5</v>
      </c>
      <c r="B2133" s="1678">
        <f>IFERROR(SUM(M2127:M2133),"")</f>
        <v>175</v>
      </c>
      <c r="C2133" s="1360">
        <v>45221</v>
      </c>
      <c r="D2133" s="683">
        <v>163</v>
      </c>
      <c r="E2133" s="684" t="s">
        <v>292</v>
      </c>
      <c r="F2133" s="1817" t="s">
        <v>275</v>
      </c>
      <c r="G2133" s="1361">
        <v>7.885416666666667E-2</v>
      </c>
      <c r="H2133" s="1362">
        <v>19.54</v>
      </c>
      <c r="I2133" s="1363">
        <f t="shared" si="316"/>
        <v>4.0355254179460934E-3</v>
      </c>
      <c r="J2133" s="1364">
        <v>131</v>
      </c>
      <c r="K2133" s="1744">
        <v>83</v>
      </c>
      <c r="L2133" s="1583">
        <v>205</v>
      </c>
      <c r="M2133" s="1364">
        <v>78</v>
      </c>
      <c r="N2133" s="1365">
        <f t="shared" si="317"/>
        <v>1.0668242716815106</v>
      </c>
      <c r="O2133" s="1366" t="s">
        <v>327</v>
      </c>
      <c r="P2133" s="1367" t="str">
        <f>IFERROR(VLOOKUP(F2133,#REF!,12,FALSE),"")</f>
        <v/>
      </c>
      <c r="Q2133" s="19" t="s">
        <v>8</v>
      </c>
      <c r="R2133" s="20" t="str">
        <f>IFERROR(VLOOKUP(F2133,#REF!,14,FALSE),"")</f>
        <v/>
      </c>
      <c r="S2133" s="1191">
        <f t="shared" si="318"/>
        <v>1.5648854961832062</v>
      </c>
      <c r="T2133" s="1737"/>
      <c r="U2133" s="1788"/>
      <c r="V2133" s="683">
        <f t="shared" si="319"/>
        <v>0</v>
      </c>
      <c r="W2133" s="1768"/>
      <c r="X2133" s="683"/>
    </row>
    <row r="2134" spans="1:24" ht="16" thickBot="1" x14ac:dyDescent="0.25">
      <c r="A2134" s="1962">
        <f>WEEKNUM(C2134,1)</f>
        <v>43</v>
      </c>
      <c r="B2134" s="1963"/>
      <c r="C2134" s="1368">
        <v>45222</v>
      </c>
      <c r="D2134" s="1369">
        <v>164</v>
      </c>
      <c r="E2134" s="1370" t="s">
        <v>292</v>
      </c>
      <c r="F2134" s="1816" t="s">
        <v>343</v>
      </c>
      <c r="G2134" s="1371">
        <v>2.7060185185185187E-2</v>
      </c>
      <c r="H2134" s="1372">
        <v>6.31</v>
      </c>
      <c r="I2134" s="1373">
        <f t="shared" si="316"/>
        <v>4.2884604096965432E-3</v>
      </c>
      <c r="J2134" s="1374">
        <v>117</v>
      </c>
      <c r="K2134" s="1745">
        <v>22</v>
      </c>
      <c r="L2134" s="1577">
        <v>191</v>
      </c>
      <c r="M2134" s="1374">
        <v>11</v>
      </c>
      <c r="N2134" s="1375">
        <f t="shared" si="317"/>
        <v>1.0562670009697948</v>
      </c>
      <c r="O2134" s="1376" t="s">
        <v>333</v>
      </c>
      <c r="P2134" s="795" t="str">
        <f>IFERROR(VLOOKUP(F2134,#REF!,12,FALSE),"")</f>
        <v/>
      </c>
      <c r="Q2134" s="32" t="s">
        <v>8</v>
      </c>
      <c r="R2134" s="1255" t="str">
        <f>IFERROR(VLOOKUP(F2134,#REF!,14,FALSE),"")</f>
        <v/>
      </c>
      <c r="S2134" s="1377">
        <f t="shared" si="318"/>
        <v>1.6324786324786325</v>
      </c>
      <c r="T2134" s="1369"/>
      <c r="U2134" s="1789"/>
      <c r="V2134" s="1369">
        <f t="shared" si="319"/>
        <v>0</v>
      </c>
      <c r="W2134" s="1766"/>
      <c r="X2134" s="1369"/>
    </row>
    <row r="2135" spans="1:24" x14ac:dyDescent="0.2">
      <c r="A2135" s="1648" t="s">
        <v>142</v>
      </c>
      <c r="B2135" s="1675">
        <f>SUM(H2134:H2140)</f>
        <v>18.32</v>
      </c>
      <c r="C2135" s="1378">
        <v>45223</v>
      </c>
      <c r="D2135" s="1379"/>
      <c r="E2135" s="1380"/>
      <c r="F2135" s="1816"/>
      <c r="G2135" s="1381"/>
      <c r="H2135" s="1382" t="str">
        <f>IFERROR(VLOOKUP(F2135,#REF!,10,FALSE),"")</f>
        <v/>
      </c>
      <c r="I2135" s="1383" t="str">
        <f t="shared" si="316"/>
        <v/>
      </c>
      <c r="J2135" s="1384"/>
      <c r="K2135" s="1746"/>
      <c r="L2135" s="1578"/>
      <c r="M2135" s="1602"/>
      <c r="N2135" s="1385" t="str">
        <f t="shared" si="317"/>
        <v/>
      </c>
      <c r="O2135" s="1386"/>
      <c r="P2135" s="1387" t="str">
        <f>IFERROR(VLOOKUP(F2135,#REF!,12,FALSE),"")</f>
        <v/>
      </c>
      <c r="Q2135" s="1388" t="s">
        <v>8</v>
      </c>
      <c r="R2135" s="1389" t="str">
        <f>IFERROR(VLOOKUP(F2135,#REF!,14,FALSE),"")</f>
        <v/>
      </c>
      <c r="S2135" s="1390" t="str">
        <f t="shared" si="318"/>
        <v/>
      </c>
      <c r="T2135" s="1072"/>
      <c r="U2135" s="1790"/>
      <c r="V2135" s="1379">
        <f t="shared" si="319"/>
        <v>0</v>
      </c>
      <c r="W2135" s="1767"/>
      <c r="X2135" s="1379"/>
    </row>
    <row r="2136" spans="1:24" ht="16" thickBot="1" x14ac:dyDescent="0.25">
      <c r="A2136" s="1649" t="s">
        <v>144</v>
      </c>
      <c r="B2136" s="1676" t="e">
        <f>SUM(#REF!)</f>
        <v>#REF!</v>
      </c>
      <c r="C2136" s="1378">
        <v>45224</v>
      </c>
      <c r="D2136" s="1379">
        <v>165</v>
      </c>
      <c r="E2136" s="1380" t="s">
        <v>293</v>
      </c>
      <c r="F2136" s="1816" t="s">
        <v>303</v>
      </c>
      <c r="G2136" s="1381">
        <v>4.3611111111111107E-2</v>
      </c>
      <c r="H2136" s="1382">
        <v>12.01</v>
      </c>
      <c r="I2136" s="1383">
        <f t="shared" si="316"/>
        <v>3.6312332315662872E-3</v>
      </c>
      <c r="J2136" s="1384">
        <v>143</v>
      </c>
      <c r="K2136" s="1746">
        <v>73</v>
      </c>
      <c r="L2136" s="1578">
        <v>229</v>
      </c>
      <c r="M2136" s="1602">
        <v>35</v>
      </c>
      <c r="N2136" s="1385">
        <f t="shared" si="317"/>
        <v>1.0723302720369841</v>
      </c>
      <c r="O2136" s="1386" t="s">
        <v>280</v>
      </c>
      <c r="P2136" s="1387" t="str">
        <f>IFERROR(VLOOKUP(F2136,#REF!,12,FALSE),"")</f>
        <v/>
      </c>
      <c r="Q2136" s="1388" t="s">
        <v>8</v>
      </c>
      <c r="R2136" s="1389" t="str">
        <f>IFERROR(VLOOKUP(F2136,#REF!,14,FALSE),"")</f>
        <v/>
      </c>
      <c r="S2136" s="1390">
        <f t="shared" si="318"/>
        <v>1.6013986013986015</v>
      </c>
      <c r="T2136" s="1072"/>
      <c r="U2136" s="1790"/>
      <c r="V2136" s="1379">
        <f t="shared" si="319"/>
        <v>0</v>
      </c>
      <c r="W2136" s="1767"/>
      <c r="X2136" s="1379"/>
    </row>
    <row r="2137" spans="1:24" x14ac:dyDescent="0.2">
      <c r="A2137" s="1649" t="s">
        <v>256</v>
      </c>
      <c r="B2137" s="1677" t="e">
        <f>AVERAGE(#REF!)</f>
        <v>#REF!</v>
      </c>
      <c r="C2137" s="1378">
        <v>45225</v>
      </c>
      <c r="D2137" s="1379"/>
      <c r="E2137" s="1690"/>
      <c r="F2137" s="1819"/>
      <c r="G2137" s="1693"/>
      <c r="H2137" s="1382" t="str">
        <f>IFERROR(VLOOKUP(F2137,#REF!,10,FALSE),"")</f>
        <v/>
      </c>
      <c r="I2137" s="1383" t="str">
        <f t="shared" si="316"/>
        <v/>
      </c>
      <c r="J2137" s="1384"/>
      <c r="K2137" s="1746"/>
      <c r="L2137" s="1578"/>
      <c r="M2137" s="1602"/>
      <c r="N2137" s="1385" t="str">
        <f t="shared" si="317"/>
        <v/>
      </c>
      <c r="O2137" s="1386"/>
      <c r="P2137" s="1387" t="str">
        <f>IFERROR(VLOOKUP(F2137,#REF!,12,FALSE),"")</f>
        <v/>
      </c>
      <c r="Q2137" s="1388" t="s">
        <v>8</v>
      </c>
      <c r="R2137" s="1389" t="str">
        <f>IFERROR(VLOOKUP(F2137,#REF!,14,FALSE),"")</f>
        <v/>
      </c>
      <c r="S2137" s="1390" t="str">
        <f t="shared" si="318"/>
        <v/>
      </c>
      <c r="T2137" s="1072"/>
      <c r="U2137" s="1790"/>
      <c r="V2137" s="1379">
        <f t="shared" si="319"/>
        <v>0</v>
      </c>
      <c r="W2137" s="1767"/>
      <c r="X2137" s="1379"/>
    </row>
    <row r="2138" spans="1:24" x14ac:dyDescent="0.2">
      <c r="A2138" s="1649" t="s">
        <v>336</v>
      </c>
      <c r="B2138" s="1712">
        <f>IFERROR(AVERAGE(N2134:N2140),"")</f>
        <v>1.0642986365033895</v>
      </c>
      <c r="C2138" s="1378">
        <v>45226</v>
      </c>
      <c r="D2138" s="1379"/>
      <c r="E2138" s="1690"/>
      <c r="F2138" s="1820"/>
      <c r="G2138" s="1693"/>
      <c r="H2138" s="1382" t="str">
        <f>IFERROR(VLOOKUP(F2138,#REF!,10,FALSE),"")</f>
        <v/>
      </c>
      <c r="I2138" s="1383" t="str">
        <f t="shared" si="316"/>
        <v/>
      </c>
      <c r="J2138" s="1384"/>
      <c r="K2138" s="1746"/>
      <c r="L2138" s="1578"/>
      <c r="M2138" s="1602"/>
      <c r="N2138" s="1385" t="str">
        <f t="shared" si="317"/>
        <v/>
      </c>
      <c r="O2138" s="1386"/>
      <c r="P2138" s="1387" t="str">
        <f>IFERROR(VLOOKUP(F2138,#REF!,12,FALSE),"")</f>
        <v/>
      </c>
      <c r="Q2138" s="1388" t="s">
        <v>8</v>
      </c>
      <c r="R2138" s="1389" t="str">
        <f>IFERROR(VLOOKUP(F2138,#REF!,14,FALSE),"")</f>
        <v/>
      </c>
      <c r="S2138" s="1390" t="str">
        <f t="shared" si="318"/>
        <v/>
      </c>
      <c r="T2138" s="1072"/>
      <c r="U2138" s="1790"/>
      <c r="V2138" s="1379">
        <f t="shared" si="319"/>
        <v>0</v>
      </c>
      <c r="W2138" s="1767"/>
      <c r="X2138" s="1379"/>
    </row>
    <row r="2139" spans="1:24" x14ac:dyDescent="0.2">
      <c r="A2139" s="1649" t="s">
        <v>337</v>
      </c>
      <c r="B2139" s="1677">
        <f>IFERROR(AVERAGE(S2134:S2140),"")</f>
        <v>1.6169386169386168</v>
      </c>
      <c r="C2139" s="1625">
        <v>45227</v>
      </c>
      <c r="D2139" s="1626"/>
      <c r="E2139" s="1690"/>
      <c r="F2139" s="1820"/>
      <c r="G2139" s="1693"/>
      <c r="H2139" s="1630" t="str">
        <f>IFERROR(VLOOKUP(F2139,#REF!,10,FALSE),"")</f>
        <v/>
      </c>
      <c r="I2139" s="1631" t="str">
        <f t="shared" si="316"/>
        <v/>
      </c>
      <c r="J2139" s="1632"/>
      <c r="K2139" s="1746"/>
      <c r="L2139" s="1578"/>
      <c r="M2139" s="1632"/>
      <c r="N2139" s="1633" t="str">
        <f t="shared" si="317"/>
        <v/>
      </c>
      <c r="O2139" s="1634"/>
      <c r="P2139" s="1635" t="str">
        <f>IFERROR(VLOOKUP(F2139,#REF!,12,FALSE),"")</f>
        <v/>
      </c>
      <c r="Q2139" s="1636" t="s">
        <v>8</v>
      </c>
      <c r="R2139" s="1637" t="str">
        <f>IFERROR(VLOOKUP(F2139,#REF!,14,FALSE),"")</f>
        <v/>
      </c>
      <c r="S2139" s="1605" t="str">
        <f t="shared" si="318"/>
        <v/>
      </c>
      <c r="T2139" s="1072"/>
      <c r="U2139" s="1790"/>
      <c r="V2139" s="1626">
        <f t="shared" si="319"/>
        <v>0</v>
      </c>
      <c r="W2139" s="1767"/>
      <c r="X2139" s="1626"/>
    </row>
    <row r="2140" spans="1:24" ht="16" thickBot="1" x14ac:dyDescent="0.25">
      <c r="A2140" s="1650" t="s">
        <v>5</v>
      </c>
      <c r="B2140" s="1678">
        <f>IFERROR(SUM(M2134:M2140),"")</f>
        <v>46</v>
      </c>
      <c r="C2140" s="1360">
        <v>45228</v>
      </c>
      <c r="D2140" s="683"/>
      <c r="E2140" s="1715"/>
      <c r="F2140" s="1820"/>
      <c r="G2140" s="1716"/>
      <c r="H2140" s="1362"/>
      <c r="I2140" s="1363" t="str">
        <f t="shared" si="316"/>
        <v/>
      </c>
      <c r="J2140" s="1364"/>
      <c r="K2140" s="1747"/>
      <c r="L2140" s="1583"/>
      <c r="M2140" s="1364"/>
      <c r="N2140" s="1365" t="str">
        <f t="shared" si="317"/>
        <v/>
      </c>
      <c r="O2140" s="1366"/>
      <c r="P2140" s="1367"/>
      <c r="Q2140" s="19" t="s">
        <v>8</v>
      </c>
      <c r="R2140" s="20"/>
      <c r="S2140" s="1191" t="str">
        <f t="shared" si="318"/>
        <v/>
      </c>
      <c r="T2140" s="1791"/>
      <c r="U2140" s="1792"/>
      <c r="V2140" s="683">
        <f t="shared" si="319"/>
        <v>0</v>
      </c>
      <c r="W2140" s="1768"/>
      <c r="X2140" s="683"/>
    </row>
    <row r="2141" spans="1:24" ht="16" thickBot="1" x14ac:dyDescent="0.25">
      <c r="A2141" s="1962">
        <f>WEEKNUM(C2141,1)</f>
        <v>44</v>
      </c>
      <c r="B2141" s="1963"/>
      <c r="C2141" s="1368">
        <v>45229</v>
      </c>
      <c r="D2141" s="1369"/>
      <c r="E2141" s="1689"/>
      <c r="F2141" s="1820"/>
      <c r="G2141" s="1692"/>
      <c r="H2141" s="1372" t="str">
        <f>IFERROR(VLOOKUP(F2141,#REF!,10,FALSE),"")</f>
        <v/>
      </c>
      <c r="I2141" s="1373" t="str">
        <f t="shared" si="316"/>
        <v/>
      </c>
      <c r="J2141" s="1374"/>
      <c r="K2141" s="1740"/>
      <c r="L2141" s="1577"/>
      <c r="M2141" s="1374"/>
      <c r="N2141" s="1375" t="str">
        <f t="shared" si="317"/>
        <v/>
      </c>
      <c r="O2141" s="1376"/>
      <c r="P2141" s="795" t="str">
        <f>IFERROR(VLOOKUP(F2141,#REF!,12,FALSE),"")</f>
        <v/>
      </c>
      <c r="Q2141" s="32" t="s">
        <v>8</v>
      </c>
      <c r="R2141" s="1255" t="str">
        <f>IFERROR(VLOOKUP(F2141,#REF!,14,FALSE),"")</f>
        <v/>
      </c>
      <c r="S2141" s="1377" t="str">
        <f t="shared" si="318"/>
        <v/>
      </c>
      <c r="T2141" s="70"/>
      <c r="U2141" s="70"/>
      <c r="V2141" s="1369">
        <f t="shared" si="319"/>
        <v>0</v>
      </c>
      <c r="W2141" s="1766"/>
      <c r="X2141" s="1369"/>
    </row>
    <row r="2142" spans="1:24" ht="16" thickBot="1" x14ac:dyDescent="0.25">
      <c r="A2142" s="1648" t="s">
        <v>142</v>
      </c>
      <c r="B2142" s="1675">
        <f>SUM(H2141:H2147)</f>
        <v>0</v>
      </c>
      <c r="C2142" s="1378">
        <v>45230</v>
      </c>
      <c r="D2142" s="1379"/>
      <c r="E2142" s="1690"/>
      <c r="F2142" s="1820"/>
      <c r="G2142" s="1693"/>
      <c r="H2142" s="1382" t="str">
        <f>IFERROR(VLOOKUP(F2142,#REF!,10,FALSE),"")</f>
        <v/>
      </c>
      <c r="I2142" s="1383" t="str">
        <f t="shared" si="316"/>
        <v/>
      </c>
      <c r="J2142" s="1384"/>
      <c r="K2142" s="1741"/>
      <c r="L2142" s="1578"/>
      <c r="M2142" s="1602"/>
      <c r="N2142" s="1385" t="str">
        <f t="shared" si="317"/>
        <v/>
      </c>
      <c r="O2142" s="1386"/>
      <c r="P2142" s="1387" t="str">
        <f>IFERROR(VLOOKUP(F2142,#REF!,12,FALSE),"")</f>
        <v/>
      </c>
      <c r="Q2142" s="1388" t="s">
        <v>8</v>
      </c>
      <c r="R2142" s="1389" t="str">
        <f>IFERROR(VLOOKUP(F2142,#REF!,14,FALSE),"")</f>
        <v/>
      </c>
      <c r="S2142" s="1390" t="str">
        <f t="shared" si="318"/>
        <v/>
      </c>
      <c r="U2142" s="1730"/>
      <c r="V2142" s="1379">
        <f t="shared" si="319"/>
        <v>0</v>
      </c>
      <c r="W2142" s="1767"/>
      <c r="X2142" s="1379"/>
    </row>
    <row r="2143" spans="1:24" ht="16" thickBot="1" x14ac:dyDescent="0.25">
      <c r="A2143" s="1649" t="s">
        <v>144</v>
      </c>
      <c r="B2143" s="1676" t="e">
        <f>SUM(#REF!)</f>
        <v>#REF!</v>
      </c>
      <c r="C2143" s="1378">
        <v>45231</v>
      </c>
      <c r="D2143" s="1379"/>
      <c r="E2143" s="1690"/>
      <c r="F2143" s="1821"/>
      <c r="G2143" s="1693"/>
      <c r="H2143" s="1382"/>
      <c r="I2143" s="1383" t="str">
        <f t="shared" si="316"/>
        <v/>
      </c>
      <c r="J2143" s="1384"/>
      <c r="K2143" s="1741"/>
      <c r="L2143" s="1578"/>
      <c r="M2143" s="1602"/>
      <c r="N2143" s="1385" t="str">
        <f t="shared" si="317"/>
        <v/>
      </c>
      <c r="O2143" s="1386"/>
      <c r="P2143" s="1387" t="str">
        <f>IFERROR(VLOOKUP(F2143,#REF!,12,FALSE),"")</f>
        <v/>
      </c>
      <c r="Q2143" s="1388" t="s">
        <v>8</v>
      </c>
      <c r="R2143" s="1389" t="str">
        <f>IFERROR(VLOOKUP(F2143,#REF!,14,FALSE),"")</f>
        <v/>
      </c>
      <c r="S2143" s="1390" t="str">
        <f t="shared" si="318"/>
        <v/>
      </c>
      <c r="U2143" s="1730"/>
      <c r="V2143" s="1379">
        <f t="shared" si="319"/>
        <v>0</v>
      </c>
      <c r="W2143" s="1767"/>
      <c r="X2143" s="1379"/>
    </row>
    <row r="2144" spans="1:24" x14ac:dyDescent="0.2">
      <c r="A2144" s="1649" t="s">
        <v>256</v>
      </c>
      <c r="B2144" s="1677" t="e">
        <f>AVERAGE(#REF!)</f>
        <v>#REF!</v>
      </c>
      <c r="C2144" s="1378">
        <v>45232</v>
      </c>
      <c r="D2144" s="1379"/>
      <c r="E2144" s="1380"/>
      <c r="F2144" s="1549"/>
      <c r="G2144" s="1381"/>
      <c r="H2144" s="1382" t="str">
        <f>IFERROR(VLOOKUP(F2144,#REF!,10,FALSE),"")</f>
        <v/>
      </c>
      <c r="I2144" s="1383" t="str">
        <f t="shared" si="316"/>
        <v/>
      </c>
      <c r="J2144" s="1384"/>
      <c r="K2144" s="1741"/>
      <c r="L2144" s="1578"/>
      <c r="M2144" s="1602"/>
      <c r="N2144" s="1385" t="str">
        <f t="shared" si="317"/>
        <v/>
      </c>
      <c r="O2144" s="1386"/>
      <c r="P2144" s="1387" t="str">
        <f>IFERROR(VLOOKUP(F2144,#REF!,12,FALSE),"")</f>
        <v/>
      </c>
      <c r="Q2144" s="1388" t="s">
        <v>8</v>
      </c>
      <c r="R2144" s="1389" t="str">
        <f>IFERROR(VLOOKUP(F2144,#REF!,14,FALSE),"")</f>
        <v/>
      </c>
      <c r="S2144" s="1390" t="str">
        <f t="shared" si="318"/>
        <v/>
      </c>
      <c r="U2144" s="1730"/>
      <c r="V2144" s="1379">
        <f t="shared" si="319"/>
        <v>0</v>
      </c>
      <c r="W2144" s="1767"/>
      <c r="X2144" s="1379"/>
    </row>
    <row r="2145" spans="1:24" x14ac:dyDescent="0.2">
      <c r="A2145" s="1649" t="s">
        <v>336</v>
      </c>
      <c r="B2145" s="1712" t="str">
        <f>IFERROR(AVERAGE(N2141:N2147),"")</f>
        <v/>
      </c>
      <c r="C2145" s="1378">
        <v>45233</v>
      </c>
      <c r="D2145" s="1379"/>
      <c r="E2145" s="1380"/>
      <c r="F2145" s="1550"/>
      <c r="G2145" s="1381"/>
      <c r="H2145" s="1382" t="str">
        <f>IFERROR(VLOOKUP(F2145,#REF!,10,FALSE),"")</f>
        <v/>
      </c>
      <c r="I2145" s="1383" t="str">
        <f t="shared" si="316"/>
        <v/>
      </c>
      <c r="J2145" s="1384"/>
      <c r="K2145" s="1741"/>
      <c r="L2145" s="1578"/>
      <c r="M2145" s="1602"/>
      <c r="N2145" s="1385" t="str">
        <f t="shared" si="317"/>
        <v/>
      </c>
      <c r="O2145" s="1386"/>
      <c r="P2145" s="1387" t="str">
        <f>IFERROR(VLOOKUP(F2145,#REF!,12,FALSE),"")</f>
        <v/>
      </c>
      <c r="Q2145" s="1388" t="s">
        <v>8</v>
      </c>
      <c r="R2145" s="1389" t="str">
        <f>IFERROR(VLOOKUP(F2145,#REF!,14,FALSE),"")</f>
        <v/>
      </c>
      <c r="S2145" s="1390" t="str">
        <f t="shared" si="318"/>
        <v/>
      </c>
      <c r="U2145" s="1730"/>
      <c r="V2145" s="1379">
        <f t="shared" si="319"/>
        <v>0</v>
      </c>
      <c r="W2145" s="1767"/>
      <c r="X2145" s="1379"/>
    </row>
    <row r="2146" spans="1:24" x14ac:dyDescent="0.2">
      <c r="A2146" s="1649" t="s">
        <v>337</v>
      </c>
      <c r="B2146" s="1677" t="str">
        <f>IFERROR(AVERAGE(S2141:S2147),"")</f>
        <v/>
      </c>
      <c r="C2146" s="1625">
        <v>45234</v>
      </c>
      <c r="D2146" s="1626"/>
      <c r="E2146" s="1627"/>
      <c r="F2146" s="1628"/>
      <c r="G2146" s="1629"/>
      <c r="H2146" s="1630" t="str">
        <f>IFERROR(VLOOKUP(F2146,#REF!,10,FALSE),"")</f>
        <v/>
      </c>
      <c r="I2146" s="1631" t="str">
        <f t="shared" si="316"/>
        <v/>
      </c>
      <c r="J2146" s="1632"/>
      <c r="K2146" s="1741"/>
      <c r="L2146" s="1578"/>
      <c r="M2146" s="1632"/>
      <c r="N2146" s="1633" t="str">
        <f t="shared" si="317"/>
        <v/>
      </c>
      <c r="O2146" s="1634"/>
      <c r="P2146" s="1635" t="str">
        <f>IFERROR(VLOOKUP(F2146,#REF!,12,FALSE),"")</f>
        <v/>
      </c>
      <c r="Q2146" s="1636" t="s">
        <v>8</v>
      </c>
      <c r="R2146" s="1637" t="str">
        <f>IFERROR(VLOOKUP(F2146,#REF!,14,FALSE),"")</f>
        <v/>
      </c>
      <c r="S2146" s="1605" t="str">
        <f t="shared" si="318"/>
        <v/>
      </c>
      <c r="U2146" s="1730"/>
      <c r="V2146" s="1626">
        <f t="shared" si="319"/>
        <v>0</v>
      </c>
      <c r="W2146" s="1767"/>
      <c r="X2146" s="1626"/>
    </row>
    <row r="2147" spans="1:24" ht="16" thickBot="1" x14ac:dyDescent="0.25">
      <c r="A2147" s="1650" t="s">
        <v>5</v>
      </c>
      <c r="B2147" s="1678">
        <f>IFERROR(SUM(M2141:M2147),"")</f>
        <v>0</v>
      </c>
      <c r="C2147" s="1360">
        <v>45235</v>
      </c>
      <c r="D2147" s="683"/>
      <c r="E2147" s="684"/>
      <c r="F2147" s="1538"/>
      <c r="G2147" s="1361"/>
      <c r="H2147" s="1362" t="str">
        <f>IFERROR(VLOOKUP(F2147,#REF!,10,FALSE),"")</f>
        <v/>
      </c>
      <c r="I2147" s="1363" t="str">
        <f t="shared" si="316"/>
        <v/>
      </c>
      <c r="J2147" s="1364"/>
      <c r="K2147" s="1748"/>
      <c r="L2147" s="1583"/>
      <c r="M2147" s="1364"/>
      <c r="N2147" s="1365" t="str">
        <f t="shared" si="317"/>
        <v/>
      </c>
      <c r="O2147" s="1366"/>
      <c r="P2147" s="1367" t="str">
        <f>IFERROR(VLOOKUP(F2147,#REF!,12,FALSE),"")</f>
        <v/>
      </c>
      <c r="Q2147" s="19" t="s">
        <v>8</v>
      </c>
      <c r="R2147" s="20" t="str">
        <f>IFERROR(VLOOKUP(F2147,#REF!,14,FALSE),"")</f>
        <v/>
      </c>
      <c r="S2147" s="1191" t="str">
        <f t="shared" si="318"/>
        <v/>
      </c>
      <c r="T2147" s="1732"/>
      <c r="U2147" s="1732"/>
      <c r="V2147" s="683">
        <f t="shared" si="319"/>
        <v>0</v>
      </c>
      <c r="W2147" s="1768"/>
      <c r="X2147" s="683"/>
    </row>
    <row r="2148" spans="1:24" ht="16" thickBot="1" x14ac:dyDescent="0.25">
      <c r="A2148" s="1962">
        <f>WEEKNUM(C2148,1)</f>
        <v>45</v>
      </c>
      <c r="B2148" s="1963"/>
      <c r="C2148" s="1368">
        <v>45236</v>
      </c>
      <c r="D2148" s="1369"/>
      <c r="E2148" s="1370"/>
      <c r="F2148" s="1536"/>
      <c r="G2148" s="1371"/>
      <c r="H2148" s="1372" t="str">
        <f>IFERROR(VLOOKUP(F2148,#REF!,10,FALSE),"")</f>
        <v/>
      </c>
      <c r="I2148" s="1373" t="str">
        <f t="shared" si="316"/>
        <v/>
      </c>
      <c r="J2148" s="1374"/>
      <c r="K2148" s="1749"/>
      <c r="L2148" s="1577"/>
      <c r="M2148" s="1374"/>
      <c r="N2148" s="1375" t="str">
        <f t="shared" si="317"/>
        <v/>
      </c>
      <c r="O2148" s="1376"/>
      <c r="P2148" s="795" t="str">
        <f>IFERROR(VLOOKUP(F2148,#REF!,12,FALSE),"")</f>
        <v/>
      </c>
      <c r="Q2148" s="32" t="s">
        <v>8</v>
      </c>
      <c r="R2148" s="1255" t="str">
        <f>IFERROR(VLOOKUP(F2148,#REF!,14,FALSE),"")</f>
        <v/>
      </c>
      <c r="S2148" s="1377" t="str">
        <f t="shared" si="318"/>
        <v/>
      </c>
      <c r="T2148" s="1369">
        <v>7.0309837098649659</v>
      </c>
      <c r="U2148" s="914">
        <v>27.927317299711632</v>
      </c>
      <c r="V2148" s="1369">
        <v>20.405657052016608</v>
      </c>
      <c r="W2148" s="1766"/>
      <c r="X2148" s="1369"/>
    </row>
    <row r="2149" spans="1:24" x14ac:dyDescent="0.2">
      <c r="A2149" s="1648" t="s">
        <v>142</v>
      </c>
      <c r="B2149" s="1675">
        <f>SUM(H2148:H2154)</f>
        <v>11.92</v>
      </c>
      <c r="C2149" s="1378">
        <v>45237</v>
      </c>
      <c r="D2149" s="1379">
        <v>166</v>
      </c>
      <c r="E2149" s="1380" t="s">
        <v>293</v>
      </c>
      <c r="F2149" s="1534" t="s">
        <v>343</v>
      </c>
      <c r="G2149" s="1381">
        <v>2.417824074074074E-2</v>
      </c>
      <c r="H2149" s="1382">
        <v>5.85</v>
      </c>
      <c r="I2149" s="1383">
        <f t="shared" si="316"/>
        <v>4.1330326052548272E-3</v>
      </c>
      <c r="J2149" s="1384">
        <v>125</v>
      </c>
      <c r="K2149" s="1750">
        <v>21</v>
      </c>
      <c r="L2149" s="1578">
        <v>197</v>
      </c>
      <c r="M2149" s="1602">
        <v>13</v>
      </c>
      <c r="N2149" s="1385">
        <f t="shared" si="317"/>
        <v>1.0499630054853935</v>
      </c>
      <c r="O2149" s="1386" t="s">
        <v>333</v>
      </c>
      <c r="P2149" s="1387" t="str">
        <f>IFERROR(VLOOKUP(F2149,#REF!,12,FALSE),"")</f>
        <v/>
      </c>
      <c r="Q2149" s="1388" t="s">
        <v>8</v>
      </c>
      <c r="R2149" s="1389" t="str">
        <f>IFERROR(VLOOKUP(F2149,#REF!,14,FALSE),"")</f>
        <v/>
      </c>
      <c r="S2149" s="1390">
        <f t="shared" si="318"/>
        <v>1.5760000000000001</v>
      </c>
      <c r="T2149" s="1730">
        <f>T2148+(K2149-T2148)/7</f>
        <v>9.0265574655985414</v>
      </c>
      <c r="U2149" s="1733">
        <f>U2148+(K2149-U2148)/42</f>
        <v>27.76238117352802</v>
      </c>
      <c r="V2149" s="1379">
        <f>U2148-T2148</f>
        <v>20.896333589846666</v>
      </c>
      <c r="W2149" s="1767">
        <f>T2149/U2149</f>
        <v>0.32513628457077531</v>
      </c>
      <c r="X2149" s="1379"/>
    </row>
    <row r="2150" spans="1:24" x14ac:dyDescent="0.2">
      <c r="A2150" s="1649" t="s">
        <v>144</v>
      </c>
      <c r="B2150" s="1676" t="e">
        <f>SUM(#REF!)</f>
        <v>#REF!</v>
      </c>
      <c r="C2150" s="1378">
        <v>45238</v>
      </c>
      <c r="D2150" s="1379"/>
      <c r="E2150" s="1380"/>
      <c r="F2150" s="1534"/>
      <c r="G2150" s="1381"/>
      <c r="H2150" s="1382" t="str">
        <f>IFERROR(VLOOKUP(F2150,#REF!,10,FALSE),"")</f>
        <v/>
      </c>
      <c r="I2150" s="1383" t="str">
        <f t="shared" si="316"/>
        <v/>
      </c>
      <c r="J2150" s="1384"/>
      <c r="K2150" s="1750"/>
      <c r="L2150" s="1578"/>
      <c r="M2150" s="1602"/>
      <c r="N2150" s="1385" t="str">
        <f t="shared" si="317"/>
        <v/>
      </c>
      <c r="O2150" s="1386"/>
      <c r="P2150" s="1387" t="str">
        <f>IFERROR(VLOOKUP(F2150,#REF!,12,FALSE),"")</f>
        <v/>
      </c>
      <c r="Q2150" s="1388" t="s">
        <v>8</v>
      </c>
      <c r="R2150" s="1389" t="str">
        <f>IFERROR(VLOOKUP(F2150,#REF!,14,FALSE),"")</f>
        <v/>
      </c>
      <c r="S2150" s="1390" t="str">
        <f t="shared" si="318"/>
        <v/>
      </c>
      <c r="T2150" s="1730">
        <f t="shared" ref="T2150:T2213" si="320">T2149+(K2150-T2149)/7</f>
        <v>7.737049256227321</v>
      </c>
      <c r="U2150" s="1733">
        <f t="shared" ref="U2150:U2213" si="321">U2149+(K2150-U2149)/42</f>
        <v>27.101372097967829</v>
      </c>
      <c r="V2150" s="1379">
        <f t="shared" si="319"/>
        <v>18.735823707929477</v>
      </c>
      <c r="W2150" s="1767">
        <f t="shared" ref="W2150:W2212" si="322">T2150/U2150</f>
        <v>0.28548551815970513</v>
      </c>
      <c r="X2150" s="1379"/>
    </row>
    <row r="2151" spans="1:24" x14ac:dyDescent="0.2">
      <c r="A2151" s="1649" t="s">
        <v>256</v>
      </c>
      <c r="B2151" s="1677" t="e">
        <f>AVERAGE(#REF!)</f>
        <v>#REF!</v>
      </c>
      <c r="C2151" s="1378">
        <v>45239</v>
      </c>
      <c r="D2151" s="1379"/>
      <c r="E2151" s="1380"/>
      <c r="F2151" s="1534"/>
      <c r="G2151" s="1381"/>
      <c r="H2151" s="1382" t="str">
        <f>IFERROR(VLOOKUP(F2151,#REF!,10,FALSE),"")</f>
        <v/>
      </c>
      <c r="I2151" s="1383" t="str">
        <f t="shared" si="316"/>
        <v/>
      </c>
      <c r="J2151" s="1384"/>
      <c r="K2151" s="1750"/>
      <c r="L2151" s="1578"/>
      <c r="M2151" s="1602"/>
      <c r="N2151" s="1385" t="str">
        <f t="shared" si="317"/>
        <v/>
      </c>
      <c r="O2151" s="1386"/>
      <c r="P2151" s="1387" t="str">
        <f>IFERROR(VLOOKUP(F2151,#REF!,12,FALSE),"")</f>
        <v/>
      </c>
      <c r="Q2151" s="1388" t="s">
        <v>8</v>
      </c>
      <c r="R2151" s="1389" t="str">
        <f>IFERROR(VLOOKUP(F2151,#REF!,14,FALSE),"")</f>
        <v/>
      </c>
      <c r="S2151" s="1390" t="str">
        <f t="shared" si="318"/>
        <v/>
      </c>
      <c r="T2151" s="1730">
        <f t="shared" si="320"/>
        <v>6.6317565053377034</v>
      </c>
      <c r="U2151" s="1733">
        <f t="shared" si="321"/>
        <v>26.456101333730501</v>
      </c>
      <c r="V2151" s="1379">
        <f t="shared" si="319"/>
        <v>19.36432284174051</v>
      </c>
      <c r="W2151" s="1767">
        <f t="shared" si="322"/>
        <v>0.25067021106705817</v>
      </c>
      <c r="X2151" s="1379"/>
    </row>
    <row r="2152" spans="1:24" x14ac:dyDescent="0.2">
      <c r="A2152" s="1649" t="s">
        <v>336</v>
      </c>
      <c r="B2152" s="1712">
        <f>IFERROR(AVERAGE(N2148:N2154),"")</f>
        <v>1.095602860533643</v>
      </c>
      <c r="C2152" s="1378">
        <v>45240</v>
      </c>
      <c r="D2152" s="1379"/>
      <c r="E2152" s="1380"/>
      <c r="F2152" s="1550"/>
      <c r="G2152" s="1381"/>
      <c r="H2152" s="1382" t="str">
        <f>IFERROR(VLOOKUP(F2152,#REF!,10,FALSE),"")</f>
        <v/>
      </c>
      <c r="I2152" s="1383" t="str">
        <f t="shared" si="316"/>
        <v/>
      </c>
      <c r="J2152" s="1384"/>
      <c r="K2152" s="1750"/>
      <c r="L2152" s="1578"/>
      <c r="M2152" s="1602"/>
      <c r="N2152" s="1385" t="str">
        <f t="shared" si="317"/>
        <v/>
      </c>
      <c r="O2152" s="1386"/>
      <c r="P2152" s="1387" t="str">
        <f>IFERROR(VLOOKUP(F2152,#REF!,12,FALSE),"")</f>
        <v/>
      </c>
      <c r="Q2152" s="1388" t="s">
        <v>8</v>
      </c>
      <c r="R2152" s="1389" t="str">
        <f>IFERROR(VLOOKUP(F2152,#REF!,14,FALSE),"")</f>
        <v/>
      </c>
      <c r="S2152" s="1390" t="str">
        <f t="shared" si="318"/>
        <v/>
      </c>
      <c r="T2152" s="1730">
        <f t="shared" si="320"/>
        <v>5.6843627188608883</v>
      </c>
      <c r="U2152" s="1733">
        <f t="shared" si="321"/>
        <v>25.826194159117872</v>
      </c>
      <c r="V2152" s="1379">
        <f t="shared" si="319"/>
        <v>19.824344828392796</v>
      </c>
      <c r="W2152" s="1767">
        <f t="shared" si="322"/>
        <v>0.22010067313205103</v>
      </c>
      <c r="X2152" s="1379"/>
    </row>
    <row r="2153" spans="1:24" x14ac:dyDescent="0.2">
      <c r="A2153" s="1649" t="s">
        <v>337</v>
      </c>
      <c r="B2153" s="1677">
        <f>IFERROR(AVERAGE(S2148:S2154),"")</f>
        <v>1.5515658914728683</v>
      </c>
      <c r="C2153" s="1625">
        <v>45241</v>
      </c>
      <c r="D2153" s="1626"/>
      <c r="E2153" s="1627"/>
      <c r="F2153" s="1628"/>
      <c r="G2153" s="1629"/>
      <c r="H2153" s="1382" t="str">
        <f>IFERROR(VLOOKUP(F2153,#REF!,10,FALSE),"")</f>
        <v/>
      </c>
      <c r="I2153" s="1631" t="str">
        <f t="shared" si="316"/>
        <v/>
      </c>
      <c r="J2153" s="1632"/>
      <c r="K2153" s="1750"/>
      <c r="L2153" s="1578"/>
      <c r="M2153" s="1632"/>
      <c r="N2153" s="1633" t="str">
        <f t="shared" si="317"/>
        <v/>
      </c>
      <c r="O2153" s="1634"/>
      <c r="P2153" s="1635" t="str">
        <f>IFERROR(VLOOKUP(F2153,#REF!,12,FALSE),"")</f>
        <v/>
      </c>
      <c r="Q2153" s="1636" t="s">
        <v>8</v>
      </c>
      <c r="R2153" s="1637" t="str">
        <f>IFERROR(VLOOKUP(F2153,#REF!,14,FALSE),"")</f>
        <v/>
      </c>
      <c r="S2153" s="1605" t="str">
        <f t="shared" si="318"/>
        <v/>
      </c>
      <c r="T2153" s="1730">
        <f t="shared" si="320"/>
        <v>4.8723109018807618</v>
      </c>
      <c r="U2153" s="1733">
        <f t="shared" si="321"/>
        <v>25.211284774376971</v>
      </c>
      <c r="V2153" s="1626">
        <f t="shared" si="319"/>
        <v>20.141831440256983</v>
      </c>
      <c r="W2153" s="1767">
        <f t="shared" si="322"/>
        <v>0.19325912762814237</v>
      </c>
      <c r="X2153" s="1626"/>
    </row>
    <row r="2154" spans="1:24" ht="16" thickBot="1" x14ac:dyDescent="0.25">
      <c r="A2154" s="1650" t="s">
        <v>5</v>
      </c>
      <c r="B2154" s="1678">
        <f>IFERROR(SUM(M2148:M2154),"")</f>
        <v>32</v>
      </c>
      <c r="C2154" s="1360">
        <v>45242</v>
      </c>
      <c r="D2154" s="683">
        <v>167</v>
      </c>
      <c r="E2154" s="684" t="s">
        <v>292</v>
      </c>
      <c r="F2154" s="1538" t="s">
        <v>343</v>
      </c>
      <c r="G2154" s="1361">
        <v>2.7268518518518515E-2</v>
      </c>
      <c r="H2154" s="1382">
        <v>6.07</v>
      </c>
      <c r="I2154" s="1363">
        <f t="shared" si="316"/>
        <v>4.4923424247971192E-3</v>
      </c>
      <c r="J2154" s="1364">
        <v>129</v>
      </c>
      <c r="K2154" s="1751">
        <v>11</v>
      </c>
      <c r="L2154" s="1583">
        <v>197</v>
      </c>
      <c r="M2154" s="1364">
        <v>19</v>
      </c>
      <c r="N2154" s="1365">
        <f t="shared" si="317"/>
        <v>1.1412427155818925</v>
      </c>
      <c r="O2154" s="1366" t="s">
        <v>333</v>
      </c>
      <c r="P2154" s="1367" t="str">
        <f>IFERROR(VLOOKUP(F2154,#REF!,12,FALSE),"")</f>
        <v/>
      </c>
      <c r="Q2154" s="19" t="s">
        <v>8</v>
      </c>
      <c r="R2154" s="20" t="str">
        <f>IFERROR(VLOOKUP(F2154,#REF!,14,FALSE),"")</f>
        <v/>
      </c>
      <c r="S2154" s="1191">
        <f t="shared" si="318"/>
        <v>1.5271317829457365</v>
      </c>
      <c r="T2154" s="1731">
        <f t="shared" si="320"/>
        <v>5.7476950587549389</v>
      </c>
      <c r="U2154" s="1734">
        <f t="shared" si="321"/>
        <v>24.872920851177518</v>
      </c>
      <c r="V2154" s="683">
        <f t="shared" si="319"/>
        <v>20.338973872496208</v>
      </c>
      <c r="W2154" s="1768">
        <f t="shared" si="322"/>
        <v>0.23108243270443388</v>
      </c>
      <c r="X2154" s="683"/>
    </row>
    <row r="2155" spans="1:24" ht="16" thickBot="1" x14ac:dyDescent="0.25">
      <c r="A2155" s="1962">
        <f>WEEKNUM(C2155,1)</f>
        <v>46</v>
      </c>
      <c r="B2155" s="1963"/>
      <c r="C2155" s="1368">
        <v>45243</v>
      </c>
      <c r="D2155" s="1369"/>
      <c r="E2155" s="1370"/>
      <c r="F2155" s="1536"/>
      <c r="G2155" s="1371"/>
      <c r="H2155" s="1372" t="str">
        <f>IFERROR(VLOOKUP(F2155,#REF!,10,FALSE),"")</f>
        <v/>
      </c>
      <c r="I2155" s="1373" t="str">
        <f t="shared" si="316"/>
        <v/>
      </c>
      <c r="J2155" s="1374"/>
      <c r="K2155" s="1740"/>
      <c r="L2155" s="1577"/>
      <c r="M2155" s="1374"/>
      <c r="N2155" s="1375" t="str">
        <f t="shared" si="317"/>
        <v/>
      </c>
      <c r="O2155" s="1376"/>
      <c r="P2155" s="795" t="str">
        <f>IFERROR(VLOOKUP(F2155,#REF!,12,FALSE),"")</f>
        <v/>
      </c>
      <c r="Q2155" s="32" t="s">
        <v>8</v>
      </c>
      <c r="R2155" s="1255" t="str">
        <f>IFERROR(VLOOKUP(F2155,#REF!,14,FALSE),"")</f>
        <v/>
      </c>
      <c r="S2155" s="1377" t="str">
        <f t="shared" si="318"/>
        <v/>
      </c>
      <c r="T2155" s="1369">
        <f t="shared" si="320"/>
        <v>4.9265957646470904</v>
      </c>
      <c r="U2155" s="1369">
        <f t="shared" si="321"/>
        <v>24.280708449959008</v>
      </c>
      <c r="V2155" s="1369">
        <f t="shared" si="319"/>
        <v>19.125225792422579</v>
      </c>
      <c r="W2155" s="1766">
        <f t="shared" si="322"/>
        <v>0.20290164822828338</v>
      </c>
      <c r="X2155" s="1369"/>
    </row>
    <row r="2156" spans="1:24" x14ac:dyDescent="0.2">
      <c r="A2156" s="1648" t="s">
        <v>142</v>
      </c>
      <c r="B2156" s="1675">
        <f>SUM(H2155:H2161)</f>
        <v>0</v>
      </c>
      <c r="C2156" s="1378">
        <v>45244</v>
      </c>
      <c r="D2156" s="1379"/>
      <c r="E2156" s="1380"/>
      <c r="F2156" s="1534"/>
      <c r="G2156" s="1381"/>
      <c r="H2156" s="1382" t="str">
        <f>IFERROR(VLOOKUP(F2156,#REF!,10,FALSE),"")</f>
        <v/>
      </c>
      <c r="I2156" s="1383" t="str">
        <f t="shared" si="316"/>
        <v/>
      </c>
      <c r="J2156" s="1384"/>
      <c r="K2156" s="1741"/>
      <c r="L2156" s="1578"/>
      <c r="M2156" s="1602"/>
      <c r="N2156" s="1385" t="str">
        <f t="shared" si="317"/>
        <v/>
      </c>
      <c r="O2156" s="1386"/>
      <c r="P2156" s="1387" t="str">
        <f>IFERROR(VLOOKUP(F2156,#REF!,12,FALSE),"")</f>
        <v/>
      </c>
      <c r="Q2156" s="1388" t="s">
        <v>8</v>
      </c>
      <c r="R2156" s="1389" t="str">
        <f>IFERROR(VLOOKUP(F2156,#REF!,14,FALSE),"")</f>
        <v/>
      </c>
      <c r="S2156" s="1390" t="str">
        <f t="shared" si="318"/>
        <v/>
      </c>
      <c r="T2156" s="1730">
        <f t="shared" si="320"/>
        <v>4.2227963696975062</v>
      </c>
      <c r="U2156" s="1730">
        <f t="shared" si="321"/>
        <v>23.702596344007603</v>
      </c>
      <c r="V2156" s="1379">
        <f t="shared" si="319"/>
        <v>19.354112685311918</v>
      </c>
      <c r="W2156" s="1767">
        <f t="shared" si="322"/>
        <v>0.17815754478580981</v>
      </c>
      <c r="X2156" s="1379"/>
    </row>
    <row r="2157" spans="1:24" x14ac:dyDescent="0.2">
      <c r="A2157" s="1649" t="s">
        <v>144</v>
      </c>
      <c r="B2157" s="1676" t="e">
        <f>SUM(#REF!)</f>
        <v>#REF!</v>
      </c>
      <c r="C2157" s="1378">
        <v>45245</v>
      </c>
      <c r="D2157" s="1379"/>
      <c r="E2157" s="1380"/>
      <c r="F2157" s="1534"/>
      <c r="G2157" s="1381"/>
      <c r="H2157" s="1382" t="str">
        <f>IFERROR(VLOOKUP(F2157,#REF!,10,FALSE),"")</f>
        <v/>
      </c>
      <c r="I2157" s="1383" t="str">
        <f t="shared" si="316"/>
        <v/>
      </c>
      <c r="J2157" s="1384"/>
      <c r="K2157" s="1741"/>
      <c r="L2157" s="1578"/>
      <c r="M2157" s="1602"/>
      <c r="N2157" s="1385" t="str">
        <f t="shared" si="317"/>
        <v/>
      </c>
      <c r="O2157" s="1386"/>
      <c r="P2157" s="1387" t="str">
        <f>IFERROR(VLOOKUP(F2157,#REF!,12,FALSE),"")</f>
        <v/>
      </c>
      <c r="Q2157" s="1388" t="s">
        <v>8</v>
      </c>
      <c r="R2157" s="1389" t="str">
        <f>IFERROR(VLOOKUP(F2157,#REF!,14,FALSE),"")</f>
        <v/>
      </c>
      <c r="S2157" s="1390" t="str">
        <f t="shared" si="318"/>
        <v/>
      </c>
      <c r="T2157" s="1730">
        <f t="shared" si="320"/>
        <v>3.6195397454550053</v>
      </c>
      <c r="U2157" s="1730">
        <f t="shared" si="321"/>
        <v>23.138248812007422</v>
      </c>
      <c r="V2157" s="1379">
        <f t="shared" si="319"/>
        <v>19.479799974310097</v>
      </c>
      <c r="W2157" s="1767">
        <f t="shared" si="322"/>
        <v>0.15643101493388178</v>
      </c>
      <c r="X2157" s="1379"/>
    </row>
    <row r="2158" spans="1:24" x14ac:dyDescent="0.2">
      <c r="A2158" s="1649" t="s">
        <v>256</v>
      </c>
      <c r="B2158" s="1677" t="e">
        <f>AVERAGE(#REF!)</f>
        <v>#REF!</v>
      </c>
      <c r="C2158" s="1378">
        <v>45246</v>
      </c>
      <c r="D2158" s="1379"/>
      <c r="E2158" s="1380"/>
      <c r="F2158" s="1534"/>
      <c r="G2158" s="1381"/>
      <c r="H2158" s="1382" t="str">
        <f>IFERROR(VLOOKUP(F2158,#REF!,10,FALSE),"")</f>
        <v/>
      </c>
      <c r="I2158" s="1383" t="str">
        <f t="shared" si="316"/>
        <v/>
      </c>
      <c r="J2158" s="1384"/>
      <c r="K2158" s="1741"/>
      <c r="L2158" s="1578"/>
      <c r="M2158" s="1602"/>
      <c r="N2158" s="1385" t="str">
        <f t="shared" si="317"/>
        <v/>
      </c>
      <c r="O2158" s="1386"/>
      <c r="P2158" s="1387" t="str">
        <f>IFERROR(VLOOKUP(F2158,#REF!,12,FALSE),"")</f>
        <v/>
      </c>
      <c r="Q2158" s="1388" t="s">
        <v>8</v>
      </c>
      <c r="R2158" s="1389" t="str">
        <f>IFERROR(VLOOKUP(F2158,#REF!,14,FALSE),"")</f>
        <v/>
      </c>
      <c r="S2158" s="1390" t="str">
        <f t="shared" si="318"/>
        <v/>
      </c>
      <c r="T2158" s="1730">
        <f t="shared" si="320"/>
        <v>3.1024626389614332</v>
      </c>
      <c r="U2158" s="1730">
        <f t="shared" si="321"/>
        <v>22.587338126007246</v>
      </c>
      <c r="V2158" s="1379">
        <f t="shared" si="319"/>
        <v>19.518709066552418</v>
      </c>
      <c r="W2158" s="1767">
        <f t="shared" si="322"/>
        <v>0.13735406189316449</v>
      </c>
      <c r="X2158" s="1379"/>
    </row>
    <row r="2159" spans="1:24" x14ac:dyDescent="0.2">
      <c r="A2159" s="1649" t="s">
        <v>336</v>
      </c>
      <c r="B2159" s="1712" t="str">
        <f>IFERROR(AVERAGE(N2155:N2161),"")</f>
        <v/>
      </c>
      <c r="C2159" s="1378">
        <v>45247</v>
      </c>
      <c r="D2159" s="1379"/>
      <c r="E2159" s="1380"/>
      <c r="F2159" s="1550"/>
      <c r="G2159" s="1381"/>
      <c r="H2159" s="1382" t="str">
        <f>IFERROR(VLOOKUP(F2159,#REF!,10,FALSE),"")</f>
        <v/>
      </c>
      <c r="I2159" s="1383" t="str">
        <f t="shared" si="316"/>
        <v/>
      </c>
      <c r="J2159" s="1384"/>
      <c r="K2159" s="1741"/>
      <c r="L2159" s="1578"/>
      <c r="M2159" s="1602"/>
      <c r="N2159" s="1385" t="str">
        <f t="shared" si="317"/>
        <v/>
      </c>
      <c r="O2159" s="1386"/>
      <c r="P2159" s="1387" t="str">
        <f>IFERROR(VLOOKUP(F2159,#REF!,12,FALSE),"")</f>
        <v/>
      </c>
      <c r="Q2159" s="1388" t="s">
        <v>8</v>
      </c>
      <c r="R2159" s="1389" t="str">
        <f>IFERROR(VLOOKUP(F2159,#REF!,14,FALSE),"")</f>
        <v/>
      </c>
      <c r="S2159" s="1390" t="str">
        <f t="shared" si="318"/>
        <v/>
      </c>
      <c r="T2159" s="1730">
        <f t="shared" si="320"/>
        <v>2.6592536905383715</v>
      </c>
      <c r="U2159" s="1730">
        <f t="shared" si="321"/>
        <v>22.049544361102313</v>
      </c>
      <c r="V2159" s="1379">
        <f t="shared" si="319"/>
        <v>19.484875487045812</v>
      </c>
      <c r="W2159" s="1767">
        <f t="shared" si="322"/>
        <v>0.12060356654033955</v>
      </c>
      <c r="X2159" s="1379"/>
    </row>
    <row r="2160" spans="1:24" x14ac:dyDescent="0.2">
      <c r="A2160" s="1649" t="s">
        <v>337</v>
      </c>
      <c r="B2160" s="1677" t="str">
        <f>IFERROR(AVERAGE(S2155:S2161),"")</f>
        <v/>
      </c>
      <c r="C2160" s="1625">
        <v>45248</v>
      </c>
      <c r="D2160" s="1626"/>
      <c r="E2160" s="1627"/>
      <c r="F2160" s="1628"/>
      <c r="G2160" s="1629"/>
      <c r="H2160" s="1630" t="str">
        <f>IFERROR(VLOOKUP(F2160,#REF!,10,FALSE),"")</f>
        <v/>
      </c>
      <c r="I2160" s="1631" t="str">
        <f t="shared" ref="I2160:I2203" si="323">IFERROR(G2160/H2160,"")</f>
        <v/>
      </c>
      <c r="J2160" s="1632"/>
      <c r="K2160" s="1741"/>
      <c r="L2160" s="1578"/>
      <c r="M2160" s="1632"/>
      <c r="N2160" s="1633" t="str">
        <f t="shared" si="317"/>
        <v/>
      </c>
      <c r="O2160" s="1634"/>
      <c r="P2160" s="1635" t="str">
        <f>IFERROR(VLOOKUP(F2160,#REF!,12,FALSE),"")</f>
        <v/>
      </c>
      <c r="Q2160" s="1636" t="s">
        <v>8</v>
      </c>
      <c r="R2160" s="1637" t="str">
        <f>IFERROR(VLOOKUP(F2160,#REF!,14,FALSE),"")</f>
        <v/>
      </c>
      <c r="S2160" s="1605" t="str">
        <f t="shared" si="318"/>
        <v/>
      </c>
      <c r="T2160" s="1730">
        <f t="shared" si="320"/>
        <v>2.279360306175747</v>
      </c>
      <c r="U2160" s="1730">
        <f t="shared" si="321"/>
        <v>21.524555209647495</v>
      </c>
      <c r="V2160" s="1626">
        <f t="shared" si="319"/>
        <v>19.390290670563942</v>
      </c>
      <c r="W2160" s="1767">
        <f t="shared" si="322"/>
        <v>0.10589581452322498</v>
      </c>
      <c r="X2160" s="1626"/>
    </row>
    <row r="2161" spans="1:24" ht="16" thickBot="1" x14ac:dyDescent="0.25">
      <c r="A2161" s="1650" t="s">
        <v>5</v>
      </c>
      <c r="B2161" s="1678">
        <f>IFERROR(SUM(M2155:M2161),"")</f>
        <v>0</v>
      </c>
      <c r="C2161" s="1360">
        <v>45249</v>
      </c>
      <c r="D2161" s="683"/>
      <c r="E2161" s="684"/>
      <c r="F2161" s="1538"/>
      <c r="G2161" s="1361"/>
      <c r="H2161" s="1362" t="str">
        <f>IFERROR(VLOOKUP(F2161,#REF!,10,FALSE),"")</f>
        <v/>
      </c>
      <c r="I2161" s="1363" t="str">
        <f t="shared" si="323"/>
        <v/>
      </c>
      <c r="J2161" s="1364"/>
      <c r="K2161" s="1748"/>
      <c r="L2161" s="1583"/>
      <c r="M2161" s="1364"/>
      <c r="N2161" s="1365" t="str">
        <f t="shared" si="317"/>
        <v/>
      </c>
      <c r="O2161" s="1366"/>
      <c r="P2161" s="1367" t="str">
        <f>IFERROR(VLOOKUP(F2161,#REF!,12,FALSE),"")</f>
        <v/>
      </c>
      <c r="Q2161" s="19" t="s">
        <v>8</v>
      </c>
      <c r="R2161" s="20" t="str">
        <f>IFERROR(VLOOKUP(F2161,#REF!,14,FALSE),"")</f>
        <v/>
      </c>
      <c r="S2161" s="1191" t="str">
        <f t="shared" si="318"/>
        <v/>
      </c>
      <c r="T2161" s="1731">
        <f t="shared" si="320"/>
        <v>1.9537374052934975</v>
      </c>
      <c r="U2161" s="1731">
        <f t="shared" si="321"/>
        <v>21.012065799893982</v>
      </c>
      <c r="V2161" s="683">
        <f t="shared" si="319"/>
        <v>19.245194903471749</v>
      </c>
      <c r="W2161" s="1768">
        <f t="shared" si="322"/>
        <v>9.2981690800880479E-2</v>
      </c>
      <c r="X2161" s="683"/>
    </row>
    <row r="2162" spans="1:24" ht="16" thickBot="1" x14ac:dyDescent="0.25">
      <c r="A2162" s="1962">
        <f>WEEKNUM(C2162,1)</f>
        <v>47</v>
      </c>
      <c r="B2162" s="1963"/>
      <c r="C2162" s="1368">
        <v>45250</v>
      </c>
      <c r="D2162" s="1369"/>
      <c r="E2162" s="1370"/>
      <c r="F2162" s="1536"/>
      <c r="G2162" s="1371"/>
      <c r="H2162" s="1372" t="str">
        <f>IFERROR(VLOOKUP(F2162,#REF!,10,FALSE),"")</f>
        <v/>
      </c>
      <c r="I2162" s="1373" t="str">
        <f t="shared" si="323"/>
        <v/>
      </c>
      <c r="J2162" s="1374"/>
      <c r="K2162" s="1749"/>
      <c r="L2162" s="1577"/>
      <c r="M2162" s="1374"/>
      <c r="N2162" s="1375" t="str">
        <f t="shared" si="317"/>
        <v/>
      </c>
      <c r="O2162" s="1376"/>
      <c r="P2162" s="795" t="str">
        <f>IFERROR(VLOOKUP(F2162,#REF!,12,FALSE),"")</f>
        <v/>
      </c>
      <c r="Q2162" s="32" t="s">
        <v>8</v>
      </c>
      <c r="R2162" s="1255" t="str">
        <f>IFERROR(VLOOKUP(F2162,#REF!,14,FALSE),"")</f>
        <v/>
      </c>
      <c r="S2162" s="1377" t="str">
        <f t="shared" si="318"/>
        <v/>
      </c>
      <c r="T2162" s="70">
        <f t="shared" si="320"/>
        <v>1.6746320616801407</v>
      </c>
      <c r="U2162" s="70">
        <f t="shared" si="321"/>
        <v>20.511778518944126</v>
      </c>
      <c r="V2162" s="1369">
        <f t="shared" si="319"/>
        <v>19.058328394600483</v>
      </c>
      <c r="W2162" s="1766">
        <f t="shared" si="322"/>
        <v>8.1642460215407234E-2</v>
      </c>
      <c r="X2162" s="1369"/>
    </row>
    <row r="2163" spans="1:24" x14ac:dyDescent="0.2">
      <c r="A2163" s="1648" t="s">
        <v>142</v>
      </c>
      <c r="B2163" s="1675">
        <f>SUM(H2162:H2168)</f>
        <v>0</v>
      </c>
      <c r="C2163" s="1378">
        <v>45251</v>
      </c>
      <c r="D2163" s="1379"/>
      <c r="E2163" s="1380"/>
      <c r="F2163" s="1534"/>
      <c r="G2163" s="1381"/>
      <c r="H2163" s="1382" t="str">
        <f>IFERROR(VLOOKUP(F2163,#REF!,10,FALSE),"")</f>
        <v/>
      </c>
      <c r="I2163" s="1383" t="str">
        <f t="shared" si="323"/>
        <v/>
      </c>
      <c r="J2163" s="1384"/>
      <c r="K2163" s="1750"/>
      <c r="L2163" s="1578"/>
      <c r="M2163" s="1602"/>
      <c r="N2163" s="1385" t="str">
        <f t="shared" si="317"/>
        <v/>
      </c>
      <c r="O2163" s="1386"/>
      <c r="P2163" s="1387" t="str">
        <f>IFERROR(VLOOKUP(F2163,#REF!,12,FALSE),"")</f>
        <v/>
      </c>
      <c r="Q2163" s="1388" t="s">
        <v>8</v>
      </c>
      <c r="R2163" s="1389" t="str">
        <f>IFERROR(VLOOKUP(F2163,#REF!,14,FALSE),"")</f>
        <v/>
      </c>
      <c r="S2163" s="1390" t="str">
        <f t="shared" si="318"/>
        <v/>
      </c>
      <c r="T2163" s="1379">
        <f t="shared" si="320"/>
        <v>1.4353989100115492</v>
      </c>
      <c r="U2163" s="1379">
        <f t="shared" si="321"/>
        <v>20.023402839921648</v>
      </c>
      <c r="V2163" s="1379">
        <f t="shared" si="319"/>
        <v>18.837146457263987</v>
      </c>
      <c r="W2163" s="1767">
        <f t="shared" si="322"/>
        <v>7.1686062628162447E-2</v>
      </c>
      <c r="X2163" s="1379"/>
    </row>
    <row r="2164" spans="1:24" x14ac:dyDescent="0.2">
      <c r="A2164" s="1649" t="s">
        <v>144</v>
      </c>
      <c r="B2164" s="1676" t="e">
        <f>SUM(#REF!)</f>
        <v>#REF!</v>
      </c>
      <c r="C2164" s="1378">
        <v>45252</v>
      </c>
      <c r="D2164" s="1379"/>
      <c r="E2164" s="1380"/>
      <c r="F2164" s="1534"/>
      <c r="G2164" s="1381"/>
      <c r="H2164" s="1382" t="str">
        <f>IFERROR(VLOOKUP(F2164,#REF!,10,FALSE),"")</f>
        <v/>
      </c>
      <c r="I2164" s="1383" t="str">
        <f t="shared" si="323"/>
        <v/>
      </c>
      <c r="J2164" s="1384"/>
      <c r="K2164" s="1750"/>
      <c r="L2164" s="1578"/>
      <c r="M2164" s="1602"/>
      <c r="N2164" s="1385" t="str">
        <f t="shared" si="317"/>
        <v/>
      </c>
      <c r="O2164" s="1386"/>
      <c r="P2164" s="1387" t="str">
        <f>IFERROR(VLOOKUP(F2164,#REF!,12,FALSE),"")</f>
        <v/>
      </c>
      <c r="Q2164" s="1388" t="s">
        <v>8</v>
      </c>
      <c r="R2164" s="1389" t="str">
        <f>IFERROR(VLOOKUP(F2164,#REF!,14,FALSE),"")</f>
        <v/>
      </c>
      <c r="S2164" s="1390" t="str">
        <f t="shared" si="318"/>
        <v/>
      </c>
      <c r="T2164" s="1379">
        <f t="shared" si="320"/>
        <v>1.2303419228670422</v>
      </c>
      <c r="U2164" s="1379">
        <f t="shared" si="321"/>
        <v>19.546655153256847</v>
      </c>
      <c r="V2164" s="1379">
        <f t="shared" si="319"/>
        <v>18.588003929910098</v>
      </c>
      <c r="W2164" s="1767">
        <f t="shared" si="322"/>
        <v>6.294385986863045E-2</v>
      </c>
      <c r="X2164" s="1379"/>
    </row>
    <row r="2165" spans="1:24" x14ac:dyDescent="0.2">
      <c r="A2165" s="1649" t="s">
        <v>256</v>
      </c>
      <c r="B2165" s="1677" t="e">
        <f>AVERAGE(#REF!)</f>
        <v>#REF!</v>
      </c>
      <c r="C2165" s="1378">
        <v>45253</v>
      </c>
      <c r="D2165" s="1379"/>
      <c r="E2165" s="1380"/>
      <c r="F2165" s="1534"/>
      <c r="G2165" s="1381"/>
      <c r="H2165" s="1382" t="str">
        <f>IFERROR(VLOOKUP(F2165,#REF!,10,FALSE),"")</f>
        <v/>
      </c>
      <c r="I2165" s="1383" t="str">
        <f t="shared" si="323"/>
        <v/>
      </c>
      <c r="J2165" s="1384"/>
      <c r="K2165" s="1750"/>
      <c r="L2165" s="1578"/>
      <c r="M2165" s="1602"/>
      <c r="N2165" s="1385" t="str">
        <f t="shared" si="317"/>
        <v/>
      </c>
      <c r="O2165" s="1386"/>
      <c r="P2165" s="1387" t="str">
        <f>IFERROR(VLOOKUP(F2165,#REF!,12,FALSE),"")</f>
        <v/>
      </c>
      <c r="Q2165" s="1388" t="s">
        <v>8</v>
      </c>
      <c r="R2165" s="1389" t="str">
        <f>IFERROR(VLOOKUP(F2165,#REF!,14,FALSE),"")</f>
        <v/>
      </c>
      <c r="S2165" s="1390" t="str">
        <f t="shared" si="318"/>
        <v/>
      </c>
      <c r="T2165" s="1379">
        <f t="shared" si="320"/>
        <v>1.0545787910288933</v>
      </c>
      <c r="U2165" s="1379">
        <f t="shared" si="321"/>
        <v>19.081258601988825</v>
      </c>
      <c r="V2165" s="1379">
        <f t="shared" si="319"/>
        <v>18.316313230389806</v>
      </c>
      <c r="W2165" s="1767">
        <f t="shared" si="322"/>
        <v>5.5267779396846253E-2</v>
      </c>
      <c r="X2165" s="1379"/>
    </row>
    <row r="2166" spans="1:24" x14ac:dyDescent="0.2">
      <c r="A2166" s="1649" t="s">
        <v>336</v>
      </c>
      <c r="B2166" s="1712" t="str">
        <f>IFERROR(AVERAGE(N2162:N2168),"")</f>
        <v/>
      </c>
      <c r="C2166" s="1378">
        <v>45254</v>
      </c>
      <c r="D2166" s="1379"/>
      <c r="E2166" s="1380"/>
      <c r="F2166" s="1550"/>
      <c r="G2166" s="1381"/>
      <c r="H2166" s="1382" t="str">
        <f>IFERROR(VLOOKUP(F2166,#REF!,10,FALSE),"")</f>
        <v/>
      </c>
      <c r="I2166" s="1383" t="str">
        <f t="shared" si="323"/>
        <v/>
      </c>
      <c r="J2166" s="1384"/>
      <c r="K2166" s="1750"/>
      <c r="L2166" s="1578"/>
      <c r="M2166" s="1602"/>
      <c r="N2166" s="1385" t="str">
        <f t="shared" si="317"/>
        <v/>
      </c>
      <c r="O2166" s="1386"/>
      <c r="P2166" s="1387" t="str">
        <f>IFERROR(VLOOKUP(F2166,#REF!,12,FALSE),"")</f>
        <v/>
      </c>
      <c r="Q2166" s="1388" t="s">
        <v>8</v>
      </c>
      <c r="R2166" s="1389" t="str">
        <f>IFERROR(VLOOKUP(F2166,#REF!,14,FALSE),"")</f>
        <v/>
      </c>
      <c r="S2166" s="1390" t="str">
        <f t="shared" si="318"/>
        <v/>
      </c>
      <c r="T2166" s="1379">
        <f t="shared" si="320"/>
        <v>0.90392467802476562</v>
      </c>
      <c r="U2166" s="1379">
        <f t="shared" si="321"/>
        <v>18.626942920989091</v>
      </c>
      <c r="V2166" s="1379">
        <f t="shared" si="319"/>
        <v>18.026679810959934</v>
      </c>
      <c r="W2166" s="1767">
        <f t="shared" si="322"/>
        <v>4.8527806299669879E-2</v>
      </c>
      <c r="X2166" s="1379"/>
    </row>
    <row r="2167" spans="1:24" x14ac:dyDescent="0.2">
      <c r="A2167" s="1649" t="s">
        <v>337</v>
      </c>
      <c r="B2167" s="1677" t="str">
        <f>IFERROR(AVERAGE(S2162:S2168),"")</f>
        <v/>
      </c>
      <c r="C2167" s="1625">
        <v>45255</v>
      </c>
      <c r="D2167" s="1626"/>
      <c r="E2167" s="1627"/>
      <c r="F2167" s="1628"/>
      <c r="G2167" s="1629"/>
      <c r="H2167" s="1630" t="str">
        <f>IFERROR(VLOOKUP(F2167,#REF!,10,FALSE),"")</f>
        <v/>
      </c>
      <c r="I2167" s="1631" t="str">
        <f t="shared" si="323"/>
        <v/>
      </c>
      <c r="J2167" s="1632"/>
      <c r="K2167" s="1750"/>
      <c r="L2167" s="1578"/>
      <c r="M2167" s="1632"/>
      <c r="N2167" s="1633" t="str">
        <f t="shared" si="317"/>
        <v/>
      </c>
      <c r="O2167" s="1634"/>
      <c r="P2167" s="1635" t="str">
        <f>IFERROR(VLOOKUP(F2167,#REF!,12,FALSE),"")</f>
        <v/>
      </c>
      <c r="Q2167" s="1636" t="s">
        <v>8</v>
      </c>
      <c r="R2167" s="1637" t="str">
        <f>IFERROR(VLOOKUP(F2167,#REF!,14,FALSE),"")</f>
        <v/>
      </c>
      <c r="S2167" s="1605" t="str">
        <f t="shared" si="318"/>
        <v/>
      </c>
      <c r="T2167" s="1379">
        <f t="shared" si="320"/>
        <v>0.77479258116408478</v>
      </c>
      <c r="U2167" s="1379">
        <f t="shared" si="321"/>
        <v>18.183444280013159</v>
      </c>
      <c r="V2167" s="1626">
        <f t="shared" si="319"/>
        <v>17.723018242964326</v>
      </c>
      <c r="W2167" s="1767">
        <f t="shared" si="322"/>
        <v>4.2609781141173551E-2</v>
      </c>
      <c r="X2167" s="1626"/>
    </row>
    <row r="2168" spans="1:24" ht="16" thickBot="1" x14ac:dyDescent="0.25">
      <c r="A2168" s="1650" t="s">
        <v>5</v>
      </c>
      <c r="B2168" s="1678">
        <f>IFERROR(SUM(M2162:M2168),"")</f>
        <v>0</v>
      </c>
      <c r="C2168" s="1360">
        <v>45256</v>
      </c>
      <c r="D2168" s="683"/>
      <c r="E2168" s="684"/>
      <c r="F2168" s="1538"/>
      <c r="G2168" s="1361"/>
      <c r="H2168" s="1362" t="str">
        <f>IFERROR(VLOOKUP(F2168,#REF!,10,FALSE),"")</f>
        <v/>
      </c>
      <c r="I2168" s="1363" t="str">
        <f t="shared" si="323"/>
        <v/>
      </c>
      <c r="J2168" s="1364"/>
      <c r="K2168" s="1751"/>
      <c r="L2168" s="1583"/>
      <c r="M2168" s="1364"/>
      <c r="N2168" s="1365" t="str">
        <f t="shared" si="317"/>
        <v/>
      </c>
      <c r="O2168" s="1366"/>
      <c r="P2168" s="1367" t="str">
        <f>IFERROR(VLOOKUP(F2168,#REF!,12,FALSE),"")</f>
        <v/>
      </c>
      <c r="Q2168" s="19" t="s">
        <v>8</v>
      </c>
      <c r="R2168" s="20" t="str">
        <f>IFERROR(VLOOKUP(F2168,#REF!,14,FALSE),"")</f>
        <v/>
      </c>
      <c r="S2168" s="1191" t="str">
        <f t="shared" si="318"/>
        <v/>
      </c>
      <c r="T2168" s="1732">
        <f t="shared" si="320"/>
        <v>0.66410792671207264</v>
      </c>
      <c r="U2168" s="1732">
        <f t="shared" si="321"/>
        <v>17.750505130489035</v>
      </c>
      <c r="V2168" s="683">
        <f t="shared" si="319"/>
        <v>17.408651698849074</v>
      </c>
      <c r="W2168" s="1768">
        <f t="shared" si="322"/>
        <v>3.74134663678597E-2</v>
      </c>
      <c r="X2168" s="683"/>
    </row>
    <row r="2169" spans="1:24" ht="16" thickBot="1" x14ac:dyDescent="0.25">
      <c r="A2169" s="1962">
        <f>WEEKNUM(C2169,1)</f>
        <v>48</v>
      </c>
      <c r="B2169" s="1963"/>
      <c r="C2169" s="1368">
        <v>45257</v>
      </c>
      <c r="D2169" s="1369"/>
      <c r="E2169" s="1370"/>
      <c r="F2169" s="1536"/>
      <c r="G2169" s="1371"/>
      <c r="H2169" s="1372" t="str">
        <f>IFERROR(VLOOKUP(F2169,#REF!,10,FALSE),"")</f>
        <v/>
      </c>
      <c r="I2169" s="1373" t="str">
        <f t="shared" si="323"/>
        <v/>
      </c>
      <c r="J2169" s="1374"/>
      <c r="K2169" s="1740"/>
      <c r="L2169" s="1577"/>
      <c r="M2169" s="1374"/>
      <c r="N2169" s="1375" t="str">
        <f t="shared" si="317"/>
        <v/>
      </c>
      <c r="O2169" s="1376"/>
      <c r="P2169" s="795" t="str">
        <f>IFERROR(VLOOKUP(F2169,#REF!,12,FALSE),"")</f>
        <v/>
      </c>
      <c r="Q2169" s="32" t="s">
        <v>8</v>
      </c>
      <c r="R2169" s="1255" t="str">
        <f>IFERROR(VLOOKUP(F2169,#REF!,14,FALSE),"")</f>
        <v/>
      </c>
      <c r="S2169" s="1377" t="str">
        <f t="shared" si="318"/>
        <v/>
      </c>
      <c r="T2169" s="1369">
        <f t="shared" si="320"/>
        <v>0.5692353657532051</v>
      </c>
      <c r="U2169" s="1369">
        <f t="shared" si="321"/>
        <v>17.327874055953583</v>
      </c>
      <c r="V2169" s="1369">
        <f t="shared" si="319"/>
        <v>17.086397203776961</v>
      </c>
      <c r="W2169" s="1766">
        <f t="shared" si="322"/>
        <v>3.2850848518120715E-2</v>
      </c>
      <c r="X2169" s="1369"/>
    </row>
    <row r="2170" spans="1:24" x14ac:dyDescent="0.2">
      <c r="A2170" s="1648" t="s">
        <v>142</v>
      </c>
      <c r="B2170" s="1675">
        <f>SUM(H2169:H2175)</f>
        <v>0</v>
      </c>
      <c r="C2170" s="1378">
        <v>45258</v>
      </c>
      <c r="D2170" s="1379"/>
      <c r="E2170" s="1380"/>
      <c r="F2170" s="1534"/>
      <c r="G2170" s="1381"/>
      <c r="H2170" s="1382" t="str">
        <f>IFERROR(VLOOKUP(F2170,#REF!,10,FALSE),"")</f>
        <v/>
      </c>
      <c r="I2170" s="1383" t="str">
        <f t="shared" si="323"/>
        <v/>
      </c>
      <c r="J2170" s="1384"/>
      <c r="K2170" s="1741"/>
      <c r="L2170" s="1578"/>
      <c r="M2170" s="1602"/>
      <c r="N2170" s="1385" t="str">
        <f t="shared" ref="N2170:N2233" si="324">IFERROR((L2170/67)/(1/(I2170*24)/3.6),"")</f>
        <v/>
      </c>
      <c r="O2170" s="1386"/>
      <c r="P2170" s="1387" t="str">
        <f>IFERROR(VLOOKUP(F2170,#REF!,12,FALSE),"")</f>
        <v/>
      </c>
      <c r="Q2170" s="1388" t="s">
        <v>8</v>
      </c>
      <c r="R2170" s="1389" t="str">
        <f>IFERROR(VLOOKUP(F2170,#REF!,14,FALSE),"")</f>
        <v/>
      </c>
      <c r="S2170" s="1390" t="str">
        <f t="shared" ref="S2170:S2233" si="325">IFERROR(L2170/J2170,"")</f>
        <v/>
      </c>
      <c r="T2170" s="1730">
        <f t="shared" si="320"/>
        <v>0.48791602778846155</v>
      </c>
      <c r="U2170" s="1730">
        <f t="shared" si="321"/>
        <v>16.915305626049925</v>
      </c>
      <c r="V2170" s="1379">
        <f t="shared" ref="V2170:V2233" si="326">U2169-T2169</f>
        <v>16.758638690200378</v>
      </c>
      <c r="W2170" s="1767">
        <f t="shared" si="322"/>
        <v>2.8844647479325507E-2</v>
      </c>
      <c r="X2170" s="1379"/>
    </row>
    <row r="2171" spans="1:24" x14ac:dyDescent="0.2">
      <c r="A2171" s="1649" t="s">
        <v>144</v>
      </c>
      <c r="B2171" s="1676" t="e">
        <f>SUM(#REF!)</f>
        <v>#REF!</v>
      </c>
      <c r="C2171" s="1378">
        <v>45259</v>
      </c>
      <c r="D2171" s="1379"/>
      <c r="E2171" s="1380"/>
      <c r="F2171" s="1534"/>
      <c r="G2171" s="1381"/>
      <c r="H2171" s="1382" t="str">
        <f>IFERROR(VLOOKUP(F2171,#REF!,10,FALSE),"")</f>
        <v/>
      </c>
      <c r="I2171" s="1383" t="str">
        <f t="shared" si="323"/>
        <v/>
      </c>
      <c r="J2171" s="1384"/>
      <c r="K2171" s="1741"/>
      <c r="L2171" s="1578"/>
      <c r="M2171" s="1602"/>
      <c r="N2171" s="1385" t="str">
        <f t="shared" si="324"/>
        <v/>
      </c>
      <c r="O2171" s="1386"/>
      <c r="P2171" s="1387" t="str">
        <f>IFERROR(VLOOKUP(F2171,#REF!,12,FALSE),"")</f>
        <v/>
      </c>
      <c r="Q2171" s="1388" t="s">
        <v>8</v>
      </c>
      <c r="R2171" s="1389" t="str">
        <f>IFERROR(VLOOKUP(F2171,#REF!,14,FALSE),"")</f>
        <v/>
      </c>
      <c r="S2171" s="1390" t="str">
        <f t="shared" si="325"/>
        <v/>
      </c>
      <c r="T2171" s="1730">
        <f t="shared" si="320"/>
        <v>0.4182137381043956</v>
      </c>
      <c r="U2171" s="1730">
        <f t="shared" si="321"/>
        <v>16.512560254001116</v>
      </c>
      <c r="V2171" s="1379">
        <f t="shared" si="326"/>
        <v>16.427389598261463</v>
      </c>
      <c r="W2171" s="1767">
        <f t="shared" si="322"/>
        <v>2.53270075428224E-2</v>
      </c>
      <c r="X2171" s="1379"/>
    </row>
    <row r="2172" spans="1:24" x14ac:dyDescent="0.2">
      <c r="A2172" s="1649" t="s">
        <v>256</v>
      </c>
      <c r="B2172" s="1677" t="e">
        <f>AVERAGE(#REF!)</f>
        <v>#REF!</v>
      </c>
      <c r="C2172" s="1378">
        <v>45260</v>
      </c>
      <c r="D2172" s="1379"/>
      <c r="E2172" s="1380"/>
      <c r="F2172" s="1534"/>
      <c r="G2172" s="1381"/>
      <c r="H2172" s="1382" t="str">
        <f>IFERROR(VLOOKUP(F2172,#REF!,10,FALSE),"")</f>
        <v/>
      </c>
      <c r="I2172" s="1383" t="str">
        <f t="shared" si="323"/>
        <v/>
      </c>
      <c r="J2172" s="1384"/>
      <c r="K2172" s="1741"/>
      <c r="L2172" s="1578"/>
      <c r="M2172" s="1602"/>
      <c r="N2172" s="1385" t="str">
        <f t="shared" si="324"/>
        <v/>
      </c>
      <c r="O2172" s="1386"/>
      <c r="P2172" s="1387" t="str">
        <f>IFERROR(VLOOKUP(F2172,#REF!,12,FALSE),"")</f>
        <v/>
      </c>
      <c r="Q2172" s="1388" t="s">
        <v>8</v>
      </c>
      <c r="R2172" s="1389" t="str">
        <f>IFERROR(VLOOKUP(F2172,#REF!,14,FALSE),"")</f>
        <v/>
      </c>
      <c r="S2172" s="1390" t="str">
        <f t="shared" si="325"/>
        <v/>
      </c>
      <c r="T2172" s="1730">
        <f t="shared" si="320"/>
        <v>0.35846891837519623</v>
      </c>
      <c r="U2172" s="1730">
        <f t="shared" si="321"/>
        <v>16.119404057477279</v>
      </c>
      <c r="V2172" s="1379">
        <f t="shared" si="326"/>
        <v>16.094346515896721</v>
      </c>
      <c r="W2172" s="1767">
        <f t="shared" si="322"/>
        <v>2.2238348086380644E-2</v>
      </c>
      <c r="X2172" s="1379"/>
    </row>
    <row r="2173" spans="1:24" x14ac:dyDescent="0.2">
      <c r="A2173" s="1649" t="s">
        <v>336</v>
      </c>
      <c r="B2173" s="1712" t="str">
        <f>IFERROR(AVERAGE(N2169:N2175),"")</f>
        <v/>
      </c>
      <c r="C2173" s="1378">
        <v>45261</v>
      </c>
      <c r="D2173" s="1379"/>
      <c r="E2173" s="1380"/>
      <c r="F2173" s="1550"/>
      <c r="G2173" s="1381"/>
      <c r="H2173" s="1382" t="str">
        <f>IFERROR(VLOOKUP(F2173,#REF!,10,FALSE),"")</f>
        <v/>
      </c>
      <c r="I2173" s="1383" t="str">
        <f t="shared" si="323"/>
        <v/>
      </c>
      <c r="J2173" s="1384"/>
      <c r="K2173" s="1741"/>
      <c r="L2173" s="1578"/>
      <c r="M2173" s="1602"/>
      <c r="N2173" s="1385" t="str">
        <f t="shared" si="324"/>
        <v/>
      </c>
      <c r="O2173" s="1386"/>
      <c r="P2173" s="1387" t="str">
        <f>IFERROR(VLOOKUP(F2173,#REF!,12,FALSE),"")</f>
        <v/>
      </c>
      <c r="Q2173" s="1388" t="s">
        <v>8</v>
      </c>
      <c r="R2173" s="1389" t="str">
        <f>IFERROR(VLOOKUP(F2173,#REF!,14,FALSE),"")</f>
        <v/>
      </c>
      <c r="S2173" s="1390" t="str">
        <f t="shared" si="325"/>
        <v/>
      </c>
      <c r="T2173" s="1730">
        <f t="shared" si="320"/>
        <v>0.30725907289302534</v>
      </c>
      <c r="U2173" s="1730">
        <f t="shared" si="321"/>
        <v>15.735608722775439</v>
      </c>
      <c r="V2173" s="1379">
        <f t="shared" si="326"/>
        <v>15.760935139102083</v>
      </c>
      <c r="W2173" s="1767">
        <f t="shared" si="322"/>
        <v>1.9526354417309835E-2</v>
      </c>
      <c r="X2173" s="1379"/>
    </row>
    <row r="2174" spans="1:24" x14ac:dyDescent="0.2">
      <c r="A2174" s="1649" t="s">
        <v>337</v>
      </c>
      <c r="B2174" s="1677" t="str">
        <f>IFERROR(AVERAGE(S2169:S2175),"")</f>
        <v/>
      </c>
      <c r="C2174" s="1625">
        <v>45262</v>
      </c>
      <c r="D2174" s="1626"/>
      <c r="E2174" s="1627"/>
      <c r="F2174" s="1628"/>
      <c r="G2174" s="1629"/>
      <c r="H2174" s="1630" t="str">
        <f>IFERROR(VLOOKUP(F2174,#REF!,10,FALSE),"")</f>
        <v/>
      </c>
      <c r="I2174" s="1631" t="str">
        <f t="shared" si="323"/>
        <v/>
      </c>
      <c r="J2174" s="1632"/>
      <c r="K2174" s="1741"/>
      <c r="L2174" s="1578"/>
      <c r="M2174" s="1632"/>
      <c r="N2174" s="1633" t="str">
        <f t="shared" si="324"/>
        <v/>
      </c>
      <c r="O2174" s="1634"/>
      <c r="P2174" s="1635" t="str">
        <f>IFERROR(VLOOKUP(F2174,#REF!,12,FALSE),"")</f>
        <v/>
      </c>
      <c r="Q2174" s="1636" t="s">
        <v>8</v>
      </c>
      <c r="R2174" s="1637" t="str">
        <f>IFERROR(VLOOKUP(F2174,#REF!,14,FALSE),"")</f>
        <v/>
      </c>
      <c r="S2174" s="1605" t="str">
        <f t="shared" si="325"/>
        <v/>
      </c>
      <c r="T2174" s="1730">
        <f t="shared" si="320"/>
        <v>0.26336491962259317</v>
      </c>
      <c r="U2174" s="1730">
        <f t="shared" si="321"/>
        <v>15.360951372233167</v>
      </c>
      <c r="V2174" s="1626">
        <f t="shared" si="326"/>
        <v>15.428349649882414</v>
      </c>
      <c r="W2174" s="1767">
        <f t="shared" si="322"/>
        <v>1.7145091683491563E-2</v>
      </c>
      <c r="X2174" s="1626"/>
    </row>
    <row r="2175" spans="1:24" ht="16" thickBot="1" x14ac:dyDescent="0.25">
      <c r="A2175" s="1650" t="s">
        <v>5</v>
      </c>
      <c r="B2175" s="1678">
        <f>IFERROR(SUM(M2169:M2175),"")</f>
        <v>0</v>
      </c>
      <c r="C2175" s="1360">
        <v>45263</v>
      </c>
      <c r="D2175" s="683"/>
      <c r="E2175" s="684"/>
      <c r="F2175" s="1538"/>
      <c r="G2175" s="1361"/>
      <c r="H2175" s="1362" t="str">
        <f>IFERROR(VLOOKUP(F2175,#REF!,10,FALSE),"")</f>
        <v/>
      </c>
      <c r="I2175" s="1363" t="str">
        <f t="shared" si="323"/>
        <v/>
      </c>
      <c r="J2175" s="1364"/>
      <c r="K2175" s="1748"/>
      <c r="L2175" s="1583"/>
      <c r="M2175" s="1364"/>
      <c r="N2175" s="1365" t="str">
        <f t="shared" si="324"/>
        <v/>
      </c>
      <c r="O2175" s="1366"/>
      <c r="P2175" s="1367" t="str">
        <f>IFERROR(VLOOKUP(F2175,#REF!,12,FALSE),"")</f>
        <v/>
      </c>
      <c r="Q2175" s="19" t="s">
        <v>8</v>
      </c>
      <c r="R2175" s="20" t="str">
        <f>IFERROR(VLOOKUP(F2175,#REF!,14,FALSE),"")</f>
        <v/>
      </c>
      <c r="S2175" s="1191" t="str">
        <f t="shared" si="325"/>
        <v/>
      </c>
      <c r="T2175" s="1731">
        <f t="shared" si="320"/>
        <v>0.22574135967650844</v>
      </c>
      <c r="U2175" s="1731">
        <f t="shared" si="321"/>
        <v>14.995214434799044</v>
      </c>
      <c r="V2175" s="683">
        <f t="shared" si="326"/>
        <v>15.097586452610575</v>
      </c>
      <c r="W2175" s="1768">
        <f t="shared" si="322"/>
        <v>1.5054226844041372E-2</v>
      </c>
      <c r="X2175" s="683"/>
    </row>
    <row r="2176" spans="1:24" ht="16" thickBot="1" x14ac:dyDescent="0.25">
      <c r="A2176" s="1962">
        <f>WEEKNUM(C2176,1)</f>
        <v>49</v>
      </c>
      <c r="B2176" s="1963"/>
      <c r="C2176" s="1368">
        <v>45264</v>
      </c>
      <c r="D2176" s="1369"/>
      <c r="E2176" s="1370"/>
      <c r="F2176" s="1536"/>
      <c r="G2176" s="1371"/>
      <c r="H2176" s="1372" t="str">
        <f>IFERROR(VLOOKUP(F2176,#REF!,10,FALSE),"")</f>
        <v/>
      </c>
      <c r="I2176" s="1373" t="str">
        <f t="shared" si="323"/>
        <v/>
      </c>
      <c r="J2176" s="1374"/>
      <c r="K2176" s="1749"/>
      <c r="L2176" s="1577"/>
      <c r="M2176" s="1374"/>
      <c r="N2176" s="1375" t="str">
        <f t="shared" si="324"/>
        <v/>
      </c>
      <c r="O2176" s="1376"/>
      <c r="P2176" s="795" t="str">
        <f>IFERROR(VLOOKUP(F2176,#REF!,12,FALSE),"")</f>
        <v/>
      </c>
      <c r="Q2176" s="32" t="s">
        <v>8</v>
      </c>
      <c r="R2176" s="1255" t="str">
        <f>IFERROR(VLOOKUP(F2176,#REF!,14,FALSE),"")</f>
        <v/>
      </c>
      <c r="S2176" s="1377" t="str">
        <f t="shared" si="325"/>
        <v/>
      </c>
      <c r="T2176" s="70">
        <f t="shared" si="320"/>
        <v>0.1934925940084358</v>
      </c>
      <c r="U2176" s="70">
        <f t="shared" si="321"/>
        <v>14.638185519684781</v>
      </c>
      <c r="V2176" s="1369">
        <f t="shared" si="326"/>
        <v>14.769473075122535</v>
      </c>
      <c r="W2176" s="1766">
        <f t="shared" si="322"/>
        <v>1.3218345521597303E-2</v>
      </c>
      <c r="X2176" s="1369"/>
    </row>
    <row r="2177" spans="1:24" x14ac:dyDescent="0.2">
      <c r="A2177" s="1648" t="s">
        <v>142</v>
      </c>
      <c r="B2177" s="1675">
        <f>SUM(H2176:H2182)</f>
        <v>0</v>
      </c>
      <c r="C2177" s="1378">
        <v>45265</v>
      </c>
      <c r="D2177" s="1379"/>
      <c r="E2177" s="1380"/>
      <c r="F2177" s="1534"/>
      <c r="G2177" s="1381"/>
      <c r="H2177" s="1382" t="str">
        <f>IFERROR(VLOOKUP(F2177,#REF!,10,FALSE),"")</f>
        <v/>
      </c>
      <c r="I2177" s="1383" t="str">
        <f t="shared" si="323"/>
        <v/>
      </c>
      <c r="J2177" s="1384"/>
      <c r="K2177" s="1750"/>
      <c r="L2177" s="1578"/>
      <c r="M2177" s="1602"/>
      <c r="N2177" s="1385" t="str">
        <f t="shared" si="324"/>
        <v/>
      </c>
      <c r="O2177" s="1386"/>
      <c r="P2177" s="1387" t="str">
        <f>IFERROR(VLOOKUP(F2177,#REF!,12,FALSE),"")</f>
        <v/>
      </c>
      <c r="Q2177" s="1388" t="s">
        <v>8</v>
      </c>
      <c r="R2177" s="1389" t="str">
        <f>IFERROR(VLOOKUP(F2177,#REF!,14,FALSE),"")</f>
        <v/>
      </c>
      <c r="S2177" s="1390" t="str">
        <f t="shared" si="325"/>
        <v/>
      </c>
      <c r="T2177" s="1379">
        <f t="shared" si="320"/>
        <v>0.16585079486437354</v>
      </c>
      <c r="U2177" s="1379">
        <f t="shared" si="321"/>
        <v>14.28965729302562</v>
      </c>
      <c r="V2177" s="1379">
        <f t="shared" si="326"/>
        <v>14.444692925676344</v>
      </c>
      <c r="W2177" s="1767">
        <f t="shared" si="322"/>
        <v>1.1606352165304947E-2</v>
      </c>
      <c r="X2177" s="1379"/>
    </row>
    <row r="2178" spans="1:24" x14ac:dyDescent="0.2">
      <c r="A2178" s="1649" t="s">
        <v>144</v>
      </c>
      <c r="B2178" s="1676" t="e">
        <f>SUM(#REF!)</f>
        <v>#REF!</v>
      </c>
      <c r="C2178" s="1378">
        <v>45266</v>
      </c>
      <c r="D2178" s="1379"/>
      <c r="E2178" s="1380"/>
      <c r="F2178" s="1534"/>
      <c r="G2178" s="1381"/>
      <c r="H2178" s="1382" t="str">
        <f>IFERROR(VLOOKUP(F2178,#REF!,10,FALSE),"")</f>
        <v/>
      </c>
      <c r="I2178" s="1383" t="str">
        <f t="shared" si="323"/>
        <v/>
      </c>
      <c r="J2178" s="1384"/>
      <c r="K2178" s="1750"/>
      <c r="L2178" s="1578"/>
      <c r="M2178" s="1602"/>
      <c r="N2178" s="1385" t="str">
        <f t="shared" si="324"/>
        <v/>
      </c>
      <c r="O2178" s="1386"/>
      <c r="P2178" s="1387" t="str">
        <f>IFERROR(VLOOKUP(F2178,#REF!,12,FALSE),"")</f>
        <v/>
      </c>
      <c r="Q2178" s="1388" t="s">
        <v>8</v>
      </c>
      <c r="R2178" s="1389" t="str">
        <f>IFERROR(VLOOKUP(F2178,#REF!,14,FALSE),"")</f>
        <v/>
      </c>
      <c r="S2178" s="1390" t="str">
        <f t="shared" si="325"/>
        <v/>
      </c>
      <c r="T2178" s="1379">
        <f t="shared" si="320"/>
        <v>0.14215782416946304</v>
      </c>
      <c r="U2178" s="1379">
        <f t="shared" si="321"/>
        <v>13.94942735747739</v>
      </c>
      <c r="V2178" s="1379">
        <f t="shared" si="326"/>
        <v>14.123806498161246</v>
      </c>
      <c r="W2178" s="1767">
        <f t="shared" si="322"/>
        <v>1.0190943364658004E-2</v>
      </c>
      <c r="X2178" s="1379"/>
    </row>
    <row r="2179" spans="1:24" x14ac:dyDescent="0.2">
      <c r="A2179" s="1649" t="s">
        <v>256</v>
      </c>
      <c r="B2179" s="1677" t="e">
        <f>AVERAGE(#REF!)</f>
        <v>#REF!</v>
      </c>
      <c r="C2179" s="1378">
        <v>45267</v>
      </c>
      <c r="D2179" s="1379"/>
      <c r="E2179" s="1380"/>
      <c r="F2179" s="1534"/>
      <c r="G2179" s="1381"/>
      <c r="H2179" s="1382" t="str">
        <f>IFERROR(VLOOKUP(F2179,#REF!,10,FALSE),"")</f>
        <v/>
      </c>
      <c r="I2179" s="1383" t="str">
        <f t="shared" si="323"/>
        <v/>
      </c>
      <c r="J2179" s="1384"/>
      <c r="K2179" s="1750"/>
      <c r="L2179" s="1578"/>
      <c r="M2179" s="1602"/>
      <c r="N2179" s="1385" t="str">
        <f t="shared" si="324"/>
        <v/>
      </c>
      <c r="O2179" s="1386"/>
      <c r="P2179" s="1387" t="str">
        <f>IFERROR(VLOOKUP(F2179,#REF!,12,FALSE),"")</f>
        <v/>
      </c>
      <c r="Q2179" s="1388" t="s">
        <v>8</v>
      </c>
      <c r="R2179" s="1389" t="str">
        <f>IFERROR(VLOOKUP(F2179,#REF!,14,FALSE),"")</f>
        <v/>
      </c>
      <c r="S2179" s="1390" t="str">
        <f t="shared" si="325"/>
        <v/>
      </c>
      <c r="T2179" s="1379">
        <f t="shared" si="320"/>
        <v>0.12184956357382547</v>
      </c>
      <c r="U2179" s="1379">
        <f t="shared" si="321"/>
        <v>13.617298134680309</v>
      </c>
      <c r="V2179" s="1379">
        <f t="shared" si="326"/>
        <v>13.807269533307927</v>
      </c>
      <c r="W2179" s="1767">
        <f t="shared" si="322"/>
        <v>8.9481453933582481E-3</v>
      </c>
      <c r="X2179" s="1379"/>
    </row>
    <row r="2180" spans="1:24" x14ac:dyDescent="0.2">
      <c r="A2180" s="1649" t="s">
        <v>336</v>
      </c>
      <c r="B2180" s="1712" t="str">
        <f>IFERROR(AVERAGE(N2176:N2182),"")</f>
        <v/>
      </c>
      <c r="C2180" s="1378">
        <v>45268</v>
      </c>
      <c r="D2180" s="1379"/>
      <c r="E2180" s="1380"/>
      <c r="F2180" s="1550"/>
      <c r="G2180" s="1381"/>
      <c r="H2180" s="1382" t="str">
        <f>IFERROR(VLOOKUP(F2180,#REF!,10,FALSE),"")</f>
        <v/>
      </c>
      <c r="I2180" s="1383" t="str">
        <f t="shared" si="323"/>
        <v/>
      </c>
      <c r="J2180" s="1384"/>
      <c r="K2180" s="1750"/>
      <c r="L2180" s="1578"/>
      <c r="M2180" s="1602"/>
      <c r="N2180" s="1385" t="str">
        <f t="shared" si="324"/>
        <v/>
      </c>
      <c r="O2180" s="1386"/>
      <c r="P2180" s="1387" t="str">
        <f>IFERROR(VLOOKUP(F2180,#REF!,12,FALSE),"")</f>
        <v/>
      </c>
      <c r="Q2180" s="1388" t="s">
        <v>8</v>
      </c>
      <c r="R2180" s="1389" t="str">
        <f>IFERROR(VLOOKUP(F2180,#REF!,14,FALSE),"")</f>
        <v/>
      </c>
      <c r="S2180" s="1390" t="str">
        <f t="shared" si="325"/>
        <v/>
      </c>
      <c r="T2180" s="1379">
        <f t="shared" si="320"/>
        <v>0.10444248306327897</v>
      </c>
      <c r="U2180" s="1379">
        <f t="shared" si="321"/>
        <v>13.293076750521255</v>
      </c>
      <c r="V2180" s="1379">
        <f t="shared" si="326"/>
        <v>13.495448571106484</v>
      </c>
      <c r="W2180" s="1767">
        <f t="shared" si="322"/>
        <v>7.8569081502657782E-3</v>
      </c>
      <c r="X2180" s="1379"/>
    </row>
    <row r="2181" spans="1:24" x14ac:dyDescent="0.2">
      <c r="A2181" s="1649" t="s">
        <v>337</v>
      </c>
      <c r="B2181" s="1677" t="str">
        <f>IFERROR(AVERAGE(S2176:S2182),"")</f>
        <v/>
      </c>
      <c r="C2181" s="1625">
        <v>45269</v>
      </c>
      <c r="D2181" s="1626"/>
      <c r="E2181" s="1627"/>
      <c r="F2181" s="1628"/>
      <c r="G2181" s="1629"/>
      <c r="H2181" s="1630" t="str">
        <f>IFERROR(VLOOKUP(F2181,#REF!,10,FALSE),"")</f>
        <v/>
      </c>
      <c r="I2181" s="1631" t="str">
        <f t="shared" si="323"/>
        <v/>
      </c>
      <c r="J2181" s="1632"/>
      <c r="K2181" s="1750"/>
      <c r="L2181" s="1578"/>
      <c r="M2181" s="1632"/>
      <c r="N2181" s="1633" t="str">
        <f t="shared" si="324"/>
        <v/>
      </c>
      <c r="O2181" s="1634"/>
      <c r="P2181" s="1635" t="str">
        <f>IFERROR(VLOOKUP(F2181,#REF!,12,FALSE),"")</f>
        <v/>
      </c>
      <c r="Q2181" s="1636" t="s">
        <v>8</v>
      </c>
      <c r="R2181" s="1637" t="str">
        <f>IFERROR(VLOOKUP(F2181,#REF!,14,FALSE),"")</f>
        <v/>
      </c>
      <c r="S2181" s="1605" t="str">
        <f t="shared" si="325"/>
        <v/>
      </c>
      <c r="T2181" s="1379">
        <f t="shared" si="320"/>
        <v>8.9522128339953405E-2</v>
      </c>
      <c r="U2181" s="1379">
        <f t="shared" si="321"/>
        <v>12.976574923127892</v>
      </c>
      <c r="V2181" s="1626">
        <f t="shared" si="326"/>
        <v>13.188634267457976</v>
      </c>
      <c r="W2181" s="1767">
        <f t="shared" si="322"/>
        <v>6.898748619745561E-3</v>
      </c>
      <c r="X2181" s="1626"/>
    </row>
    <row r="2182" spans="1:24" ht="16" thickBot="1" x14ac:dyDescent="0.25">
      <c r="A2182" s="1650" t="s">
        <v>5</v>
      </c>
      <c r="B2182" s="1678">
        <f>IFERROR(SUM(M2176:M2182),"")</f>
        <v>0</v>
      </c>
      <c r="C2182" s="1360">
        <v>45270</v>
      </c>
      <c r="D2182" s="683"/>
      <c r="E2182" s="684"/>
      <c r="F2182" s="1538"/>
      <c r="G2182" s="1361"/>
      <c r="H2182" s="1362" t="str">
        <f>IFERROR(VLOOKUP(F2182,#REF!,10,FALSE),"")</f>
        <v/>
      </c>
      <c r="I2182" s="1363" t="str">
        <f t="shared" si="323"/>
        <v/>
      </c>
      <c r="J2182" s="1364"/>
      <c r="K2182" s="1751"/>
      <c r="L2182" s="1583"/>
      <c r="M2182" s="1364"/>
      <c r="N2182" s="1365" t="str">
        <f t="shared" si="324"/>
        <v/>
      </c>
      <c r="O2182" s="1366"/>
      <c r="P2182" s="1367" t="str">
        <f>IFERROR(VLOOKUP(F2182,#REF!,12,FALSE),"")</f>
        <v/>
      </c>
      <c r="Q2182" s="19" t="s">
        <v>8</v>
      </c>
      <c r="R2182" s="20" t="str">
        <f>IFERROR(VLOOKUP(F2182,#REF!,14,FALSE),"")</f>
        <v/>
      </c>
      <c r="S2182" s="1191" t="str">
        <f t="shared" si="325"/>
        <v/>
      </c>
      <c r="T2182" s="1732">
        <f t="shared" si="320"/>
        <v>7.6733252862817208E-2</v>
      </c>
      <c r="U2182" s="1732">
        <f t="shared" si="321"/>
        <v>12.667608853529609</v>
      </c>
      <c r="V2182" s="683">
        <f t="shared" si="326"/>
        <v>12.887052794787939</v>
      </c>
      <c r="W2182" s="1768">
        <f t="shared" si="322"/>
        <v>6.0574378124595169E-3</v>
      </c>
      <c r="X2182" s="683"/>
    </row>
    <row r="2183" spans="1:24" ht="16" thickBot="1" x14ac:dyDescent="0.25">
      <c r="A2183" s="1962">
        <f>WEEKNUM(C2183,1)</f>
        <v>50</v>
      </c>
      <c r="B2183" s="1963"/>
      <c r="C2183" s="1368">
        <v>45271</v>
      </c>
      <c r="D2183" s="1369"/>
      <c r="E2183" s="1370"/>
      <c r="F2183" s="1536"/>
      <c r="G2183" s="1371"/>
      <c r="H2183" s="1372" t="str">
        <f>IFERROR(VLOOKUP(F2183,#REF!,10,FALSE),"")</f>
        <v/>
      </c>
      <c r="I2183" s="1373" t="str">
        <f t="shared" si="323"/>
        <v/>
      </c>
      <c r="J2183" s="1374"/>
      <c r="K2183" s="1740"/>
      <c r="L2183" s="1577"/>
      <c r="M2183" s="1374"/>
      <c r="N2183" s="1375" t="str">
        <f t="shared" si="324"/>
        <v/>
      </c>
      <c r="O2183" s="1376"/>
      <c r="P2183" s="795" t="str">
        <f>IFERROR(VLOOKUP(F2183,#REF!,12,FALSE),"")</f>
        <v/>
      </c>
      <c r="Q2183" s="32" t="s">
        <v>8</v>
      </c>
      <c r="R2183" s="1255" t="str">
        <f>IFERROR(VLOOKUP(F2183,#REF!,14,FALSE),"")</f>
        <v/>
      </c>
      <c r="S2183" s="1377" t="str">
        <f t="shared" si="325"/>
        <v/>
      </c>
      <c r="T2183" s="1369">
        <f t="shared" si="320"/>
        <v>6.5771359596700468E-2</v>
      </c>
      <c r="U2183" s="1369">
        <f t="shared" si="321"/>
        <v>12.365999118921762</v>
      </c>
      <c r="V2183" s="1369">
        <f t="shared" si="326"/>
        <v>12.590875600666791</v>
      </c>
      <c r="W2183" s="1766">
        <f t="shared" si="322"/>
        <v>5.3187258841107957E-3</v>
      </c>
      <c r="X2183" s="1369"/>
    </row>
    <row r="2184" spans="1:24" x14ac:dyDescent="0.2">
      <c r="A2184" s="1648" t="s">
        <v>142</v>
      </c>
      <c r="B2184" s="1675">
        <f>SUM(H2183:H2189)</f>
        <v>3.99</v>
      </c>
      <c r="C2184" s="1378">
        <v>45272</v>
      </c>
      <c r="D2184" s="1379">
        <v>168</v>
      </c>
      <c r="E2184" s="1380" t="s">
        <v>293</v>
      </c>
      <c r="F2184" s="1534" t="s">
        <v>323</v>
      </c>
      <c r="G2184" s="1381">
        <v>1.7326388888888888E-2</v>
      </c>
      <c r="H2184" s="1382">
        <v>3.99</v>
      </c>
      <c r="I2184" s="1383">
        <f t="shared" si="323"/>
        <v>4.3424533556112501E-3</v>
      </c>
      <c r="J2184" s="1384">
        <v>129</v>
      </c>
      <c r="K2184" s="1741">
        <v>14</v>
      </c>
      <c r="L2184" s="1578">
        <v>190</v>
      </c>
      <c r="M2184" s="1602">
        <v>12</v>
      </c>
      <c r="N2184" s="1385">
        <f t="shared" si="324"/>
        <v>1.0639658848614073</v>
      </c>
      <c r="O2184" s="1386" t="s">
        <v>340</v>
      </c>
      <c r="P2184" s="1387" t="str">
        <f>IFERROR(VLOOKUP(F2184,#REF!,12,FALSE),"")</f>
        <v/>
      </c>
      <c r="Q2184" s="1388" t="s">
        <v>8</v>
      </c>
      <c r="R2184" s="1389" t="str">
        <f>IFERROR(VLOOKUP(F2184,#REF!,14,FALSE),"")</f>
        <v/>
      </c>
      <c r="S2184" s="1390">
        <f t="shared" si="325"/>
        <v>1.4728682170542635</v>
      </c>
      <c r="T2184" s="1730">
        <f t="shared" si="320"/>
        <v>2.0563754510828862</v>
      </c>
      <c r="U2184" s="1730">
        <f t="shared" si="321"/>
        <v>12.404903901804577</v>
      </c>
      <c r="V2184" s="1379">
        <f t="shared" si="326"/>
        <v>12.300227759325061</v>
      </c>
      <c r="W2184" s="1767">
        <f t="shared" si="322"/>
        <v>0.16577117141421299</v>
      </c>
      <c r="X2184" s="1379"/>
    </row>
    <row r="2185" spans="1:24" x14ac:dyDescent="0.2">
      <c r="A2185" s="1649" t="s">
        <v>144</v>
      </c>
      <c r="B2185" s="1676" t="e">
        <f>SUM(#REF!)</f>
        <v>#REF!</v>
      </c>
      <c r="C2185" s="1378">
        <v>45273</v>
      </c>
      <c r="D2185" s="1379"/>
      <c r="E2185" s="1380"/>
      <c r="F2185" s="1534"/>
      <c r="G2185" s="1381"/>
      <c r="H2185" s="1382" t="str">
        <f>IFERROR(VLOOKUP(F2185,#REF!,10,FALSE),"")</f>
        <v/>
      </c>
      <c r="I2185" s="1383" t="str">
        <f t="shared" si="323"/>
        <v/>
      </c>
      <c r="J2185" s="1384"/>
      <c r="K2185" s="1741"/>
      <c r="L2185" s="1578"/>
      <c r="M2185" s="1602"/>
      <c r="N2185" s="1385" t="str">
        <f t="shared" si="324"/>
        <v/>
      </c>
      <c r="O2185" s="1386"/>
      <c r="P2185" s="1387" t="str">
        <f>IFERROR(VLOOKUP(F2185,#REF!,12,FALSE),"")</f>
        <v/>
      </c>
      <c r="Q2185" s="1388" t="s">
        <v>8</v>
      </c>
      <c r="R2185" s="1389" t="str">
        <f>IFERROR(VLOOKUP(F2185,#REF!,14,FALSE),"")</f>
        <v/>
      </c>
      <c r="S2185" s="1390" t="str">
        <f t="shared" si="325"/>
        <v/>
      </c>
      <c r="T2185" s="1730">
        <f t="shared" si="320"/>
        <v>1.7626075294996166</v>
      </c>
      <c r="U2185" s="1730">
        <f t="shared" si="321"/>
        <v>12.109549046999707</v>
      </c>
      <c r="V2185" s="1379">
        <f t="shared" si="326"/>
        <v>10.348528450721691</v>
      </c>
      <c r="W2185" s="1767">
        <f t="shared" si="322"/>
        <v>0.14555517490028458</v>
      </c>
      <c r="X2185" s="1379"/>
    </row>
    <row r="2186" spans="1:24" x14ac:dyDescent="0.2">
      <c r="A2186" s="1649" t="s">
        <v>256</v>
      </c>
      <c r="B2186" s="1677" t="e">
        <f>AVERAGE(#REF!)</f>
        <v>#REF!</v>
      </c>
      <c r="C2186" s="1378">
        <v>45274</v>
      </c>
      <c r="D2186" s="1379"/>
      <c r="E2186" s="1380"/>
      <c r="F2186" s="1534"/>
      <c r="G2186" s="1381"/>
      <c r="H2186" s="1382" t="str">
        <f>IFERROR(VLOOKUP(F2186,#REF!,10,FALSE),"")</f>
        <v/>
      </c>
      <c r="I2186" s="1383" t="str">
        <f t="shared" si="323"/>
        <v/>
      </c>
      <c r="J2186" s="1384"/>
      <c r="K2186" s="1741"/>
      <c r="L2186" s="1578"/>
      <c r="M2186" s="1602"/>
      <c r="N2186" s="1385" t="str">
        <f t="shared" si="324"/>
        <v/>
      </c>
      <c r="O2186" s="1386"/>
      <c r="P2186" s="1387" t="str">
        <f>IFERROR(VLOOKUP(F2186,#REF!,12,FALSE),"")</f>
        <v/>
      </c>
      <c r="Q2186" s="1388" t="s">
        <v>8</v>
      </c>
      <c r="R2186" s="1389" t="str">
        <f>IFERROR(VLOOKUP(F2186,#REF!,14,FALSE),"")</f>
        <v/>
      </c>
      <c r="S2186" s="1390" t="str">
        <f t="shared" si="325"/>
        <v/>
      </c>
      <c r="T2186" s="1730">
        <f t="shared" si="320"/>
        <v>1.5108064538568142</v>
      </c>
      <c r="U2186" s="1730">
        <f t="shared" si="321"/>
        <v>11.821226450642571</v>
      </c>
      <c r="V2186" s="1379">
        <f t="shared" si="326"/>
        <v>10.34694151750009</v>
      </c>
      <c r="W2186" s="1767">
        <f t="shared" si="322"/>
        <v>0.12780454381488401</v>
      </c>
      <c r="X2186" s="1379"/>
    </row>
    <row r="2187" spans="1:24" x14ac:dyDescent="0.2">
      <c r="A2187" s="1649" t="s">
        <v>336</v>
      </c>
      <c r="B2187" s="1712">
        <f>IFERROR(AVERAGE(N2183:N2189),"")</f>
        <v>1.0639658848614073</v>
      </c>
      <c r="C2187" s="1378">
        <v>45275</v>
      </c>
      <c r="D2187" s="1379"/>
      <c r="E2187" s="1380"/>
      <c r="F2187" s="1550"/>
      <c r="G2187" s="1381"/>
      <c r="H2187" s="1382" t="str">
        <f>IFERROR(VLOOKUP(F2187,#REF!,10,FALSE),"")</f>
        <v/>
      </c>
      <c r="I2187" s="1383" t="str">
        <f t="shared" si="323"/>
        <v/>
      </c>
      <c r="J2187" s="1384"/>
      <c r="K2187" s="1741"/>
      <c r="L2187" s="1578"/>
      <c r="M2187" s="1602"/>
      <c r="N2187" s="1385" t="str">
        <f t="shared" si="324"/>
        <v/>
      </c>
      <c r="O2187" s="1386"/>
      <c r="P2187" s="1387" t="str">
        <f>IFERROR(VLOOKUP(F2187,#REF!,12,FALSE),"")</f>
        <v/>
      </c>
      <c r="Q2187" s="1388" t="s">
        <v>8</v>
      </c>
      <c r="R2187" s="1389" t="str">
        <f>IFERROR(VLOOKUP(F2187,#REF!,14,FALSE),"")</f>
        <v/>
      </c>
      <c r="S2187" s="1390" t="str">
        <f t="shared" si="325"/>
        <v/>
      </c>
      <c r="T2187" s="1730">
        <f t="shared" si="320"/>
        <v>1.2949769604486978</v>
      </c>
      <c r="U2187" s="1730">
        <f t="shared" si="321"/>
        <v>11.539768678008224</v>
      </c>
      <c r="V2187" s="1379">
        <f t="shared" si="326"/>
        <v>10.310419996785757</v>
      </c>
      <c r="W2187" s="1767">
        <f t="shared" si="322"/>
        <v>0.11221862383745912</v>
      </c>
      <c r="X2187" s="1379"/>
    </row>
    <row r="2188" spans="1:24" x14ac:dyDescent="0.2">
      <c r="A2188" s="1649" t="s">
        <v>337</v>
      </c>
      <c r="B2188" s="1677">
        <f>IFERROR(AVERAGE(S2183:S2189),"")</f>
        <v>1.4728682170542635</v>
      </c>
      <c r="C2188" s="1625">
        <v>45276</v>
      </c>
      <c r="D2188" s="1626"/>
      <c r="E2188" s="1627"/>
      <c r="F2188" s="1628"/>
      <c r="G2188" s="1629"/>
      <c r="H2188" s="1630" t="str">
        <f>IFERROR(VLOOKUP(F2188,#REF!,10,FALSE),"")</f>
        <v/>
      </c>
      <c r="I2188" s="1631" t="str">
        <f t="shared" si="323"/>
        <v/>
      </c>
      <c r="J2188" s="1632"/>
      <c r="K2188" s="1741"/>
      <c r="L2188" s="1578"/>
      <c r="M2188" s="1632"/>
      <c r="N2188" s="1633" t="str">
        <f t="shared" si="324"/>
        <v/>
      </c>
      <c r="O2188" s="1634"/>
      <c r="P2188" s="1635" t="str">
        <f>IFERROR(VLOOKUP(F2188,#REF!,12,FALSE),"")</f>
        <v/>
      </c>
      <c r="Q2188" s="1636" t="s">
        <v>8</v>
      </c>
      <c r="R2188" s="1637" t="str">
        <f>IFERROR(VLOOKUP(F2188,#REF!,14,FALSE),"")</f>
        <v/>
      </c>
      <c r="S2188" s="1605" t="str">
        <f t="shared" si="325"/>
        <v/>
      </c>
      <c r="T2188" s="1730">
        <f t="shared" si="320"/>
        <v>1.1099802518131696</v>
      </c>
      <c r="U2188" s="1730">
        <f t="shared" si="321"/>
        <v>11.26501228091279</v>
      </c>
      <c r="V2188" s="1626">
        <f t="shared" si="326"/>
        <v>10.244791717559526</v>
      </c>
      <c r="W2188" s="1767">
        <f t="shared" si="322"/>
        <v>9.8533425808500691E-2</v>
      </c>
      <c r="X2188" s="1626"/>
    </row>
    <row r="2189" spans="1:24" ht="16" thickBot="1" x14ac:dyDescent="0.25">
      <c r="A2189" s="1650" t="s">
        <v>5</v>
      </c>
      <c r="B2189" s="1678">
        <f>IFERROR(SUM(M2183:M2189),"")</f>
        <v>12</v>
      </c>
      <c r="C2189" s="1360">
        <v>45277</v>
      </c>
      <c r="D2189" s="683"/>
      <c r="E2189" s="684"/>
      <c r="F2189" s="1538"/>
      <c r="G2189" s="1361"/>
      <c r="H2189" s="1362" t="str">
        <f>IFERROR(VLOOKUP(F2189,#REF!,10,FALSE),"")</f>
        <v/>
      </c>
      <c r="I2189" s="1363" t="str">
        <f t="shared" si="323"/>
        <v/>
      </c>
      <c r="J2189" s="1364"/>
      <c r="K2189" s="1748"/>
      <c r="L2189" s="1583"/>
      <c r="M2189" s="1364"/>
      <c r="N2189" s="1365" t="str">
        <f t="shared" si="324"/>
        <v/>
      </c>
      <c r="O2189" s="1366"/>
      <c r="P2189" s="1367" t="str">
        <f>IFERROR(VLOOKUP(F2189,#REF!,12,FALSE),"")</f>
        <v/>
      </c>
      <c r="Q2189" s="19" t="s">
        <v>8</v>
      </c>
      <c r="R2189" s="20" t="str">
        <f>IFERROR(VLOOKUP(F2189,#REF!,14,FALSE),"")</f>
        <v/>
      </c>
      <c r="S2189" s="1191" t="str">
        <f t="shared" si="325"/>
        <v/>
      </c>
      <c r="T2189" s="1731">
        <f t="shared" si="320"/>
        <v>0.95141164441128823</v>
      </c>
      <c r="U2189" s="1731">
        <f t="shared" si="321"/>
        <v>10.996797702795819</v>
      </c>
      <c r="V2189" s="683">
        <f t="shared" si="326"/>
        <v>10.155032029099621</v>
      </c>
      <c r="W2189" s="1768">
        <f t="shared" si="322"/>
        <v>8.6517154368439639E-2</v>
      </c>
      <c r="X2189" s="683"/>
    </row>
    <row r="2190" spans="1:24" ht="16" thickBot="1" x14ac:dyDescent="0.25">
      <c r="A2190" s="1962">
        <f>WEEKNUM(C2190,1)</f>
        <v>51</v>
      </c>
      <c r="B2190" s="1963"/>
      <c r="C2190" s="1368">
        <v>45278</v>
      </c>
      <c r="D2190" s="1369"/>
      <c r="E2190" s="1370"/>
      <c r="F2190" s="1536"/>
      <c r="G2190" s="1371"/>
      <c r="H2190" s="1372" t="str">
        <f>IFERROR(VLOOKUP(F2190,#REF!,10,FALSE),"")</f>
        <v/>
      </c>
      <c r="I2190" s="1373" t="str">
        <f t="shared" si="323"/>
        <v/>
      </c>
      <c r="J2190" s="1374"/>
      <c r="K2190" s="1749"/>
      <c r="L2190" s="1577"/>
      <c r="M2190" s="1374"/>
      <c r="N2190" s="1375" t="str">
        <f t="shared" si="324"/>
        <v/>
      </c>
      <c r="O2190" s="1376"/>
      <c r="P2190" s="795" t="str">
        <f>IFERROR(VLOOKUP(F2190,#REF!,12,FALSE),"")</f>
        <v/>
      </c>
      <c r="Q2190" s="32" t="s">
        <v>8</v>
      </c>
      <c r="R2190" s="1255" t="str">
        <f>IFERROR(VLOOKUP(F2190,#REF!,14,FALSE),"")</f>
        <v/>
      </c>
      <c r="S2190" s="1377" t="str">
        <f t="shared" si="325"/>
        <v/>
      </c>
      <c r="T2190" s="70">
        <f t="shared" si="320"/>
        <v>0.81549569520967569</v>
      </c>
      <c r="U2190" s="70">
        <f t="shared" si="321"/>
        <v>10.734969186062585</v>
      </c>
      <c r="V2190" s="1369">
        <f t="shared" si="326"/>
        <v>10.04538605838453</v>
      </c>
      <c r="W2190" s="1766">
        <f t="shared" si="322"/>
        <v>7.596628188448358E-2</v>
      </c>
      <c r="X2190" s="1369"/>
    </row>
    <row r="2191" spans="1:24" x14ac:dyDescent="0.2">
      <c r="A2191" s="1648" t="s">
        <v>142</v>
      </c>
      <c r="B2191" s="1675">
        <f>SUM(H2190:H2196)</f>
        <v>0</v>
      </c>
      <c r="C2191" s="1378">
        <v>45279</v>
      </c>
      <c r="D2191" s="1379"/>
      <c r="E2191" s="1380"/>
      <c r="F2191" s="1534"/>
      <c r="G2191" s="1381"/>
      <c r="H2191" s="1382" t="str">
        <f>IFERROR(VLOOKUP(F2191,#REF!,10,FALSE),"")</f>
        <v/>
      </c>
      <c r="I2191" s="1383" t="str">
        <f t="shared" si="323"/>
        <v/>
      </c>
      <c r="J2191" s="1384"/>
      <c r="K2191" s="1750"/>
      <c r="L2191" s="1578"/>
      <c r="M2191" s="1602"/>
      <c r="N2191" s="1385" t="str">
        <f t="shared" si="324"/>
        <v/>
      </c>
      <c r="O2191" s="1386"/>
      <c r="P2191" s="1387" t="str">
        <f>IFERROR(VLOOKUP(F2191,#REF!,12,FALSE),"")</f>
        <v/>
      </c>
      <c r="Q2191" s="1388" t="s">
        <v>8</v>
      </c>
      <c r="R2191" s="1389" t="str">
        <f>IFERROR(VLOOKUP(F2191,#REF!,14,FALSE),"")</f>
        <v/>
      </c>
      <c r="S2191" s="1390" t="str">
        <f t="shared" si="325"/>
        <v/>
      </c>
      <c r="T2191" s="1379">
        <f t="shared" si="320"/>
        <v>0.69899631017972197</v>
      </c>
      <c r="U2191" s="1379">
        <f t="shared" si="321"/>
        <v>10.479374681632525</v>
      </c>
      <c r="V2191" s="1379">
        <f t="shared" si="326"/>
        <v>9.9194734908529103</v>
      </c>
      <c r="W2191" s="1767">
        <f t="shared" si="322"/>
        <v>6.6702101166863634E-2</v>
      </c>
      <c r="X2191" s="1379"/>
    </row>
    <row r="2192" spans="1:24" x14ac:dyDescent="0.2">
      <c r="A2192" s="1649" t="s">
        <v>144</v>
      </c>
      <c r="B2192" s="1676" t="e">
        <f>SUM(#REF!)</f>
        <v>#REF!</v>
      </c>
      <c r="C2192" s="1378">
        <v>45280</v>
      </c>
      <c r="D2192" s="1379"/>
      <c r="E2192" s="1380"/>
      <c r="F2192" s="1534"/>
      <c r="G2192" s="1381"/>
      <c r="H2192" s="1382" t="str">
        <f>IFERROR(VLOOKUP(F2192,#REF!,10,FALSE),"")</f>
        <v/>
      </c>
      <c r="I2192" s="1383" t="str">
        <f t="shared" si="323"/>
        <v/>
      </c>
      <c r="J2192" s="1384"/>
      <c r="K2192" s="1750"/>
      <c r="L2192" s="1578"/>
      <c r="M2192" s="1602"/>
      <c r="N2192" s="1385" t="str">
        <f t="shared" si="324"/>
        <v/>
      </c>
      <c r="O2192" s="1386"/>
      <c r="P2192" s="1387" t="str">
        <f>IFERROR(VLOOKUP(F2192,#REF!,12,FALSE),"")</f>
        <v/>
      </c>
      <c r="Q2192" s="1388" t="s">
        <v>8</v>
      </c>
      <c r="R2192" s="1389" t="str">
        <f>IFERROR(VLOOKUP(F2192,#REF!,14,FALSE),"")</f>
        <v/>
      </c>
      <c r="S2192" s="1390" t="str">
        <f t="shared" si="325"/>
        <v/>
      </c>
      <c r="T2192" s="1379">
        <f t="shared" si="320"/>
        <v>0.59913969443976167</v>
      </c>
      <c r="U2192" s="1379">
        <f t="shared" si="321"/>
        <v>10.229865760641275</v>
      </c>
      <c r="V2192" s="1379">
        <f t="shared" si="326"/>
        <v>9.7803783714528034</v>
      </c>
      <c r="W2192" s="1767">
        <f t="shared" si="322"/>
        <v>5.8567698585538792E-2</v>
      </c>
      <c r="X2192" s="1379"/>
    </row>
    <row r="2193" spans="1:24" x14ac:dyDescent="0.2">
      <c r="A2193" s="1649" t="s">
        <v>256</v>
      </c>
      <c r="B2193" s="1677" t="e">
        <f>AVERAGE(#REF!)</f>
        <v>#REF!</v>
      </c>
      <c r="C2193" s="1378">
        <v>45281</v>
      </c>
      <c r="D2193" s="1379"/>
      <c r="E2193" s="1380"/>
      <c r="F2193" s="1534"/>
      <c r="G2193" s="1381"/>
      <c r="H2193" s="1382" t="str">
        <f>IFERROR(VLOOKUP(F2193,#REF!,10,FALSE),"")</f>
        <v/>
      </c>
      <c r="I2193" s="1383" t="str">
        <f t="shared" si="323"/>
        <v/>
      </c>
      <c r="J2193" s="1384"/>
      <c r="K2193" s="1750"/>
      <c r="L2193" s="1578"/>
      <c r="M2193" s="1602"/>
      <c r="N2193" s="1385" t="str">
        <f t="shared" si="324"/>
        <v/>
      </c>
      <c r="O2193" s="1386"/>
      <c r="P2193" s="1387" t="str">
        <f>IFERROR(VLOOKUP(F2193,#REF!,12,FALSE),"")</f>
        <v/>
      </c>
      <c r="Q2193" s="1388" t="s">
        <v>8</v>
      </c>
      <c r="R2193" s="1389" t="str">
        <f>IFERROR(VLOOKUP(F2193,#REF!,14,FALSE),"")</f>
        <v/>
      </c>
      <c r="S2193" s="1390" t="str">
        <f t="shared" si="325"/>
        <v/>
      </c>
      <c r="T2193" s="1379">
        <f t="shared" si="320"/>
        <v>0.51354830951979569</v>
      </c>
      <c r="U2193" s="1379">
        <f t="shared" si="321"/>
        <v>9.9862975282450535</v>
      </c>
      <c r="V2193" s="1379">
        <f t="shared" si="326"/>
        <v>9.6307260662015128</v>
      </c>
      <c r="W2193" s="1767">
        <f t="shared" si="322"/>
        <v>5.1425296319009668E-2</v>
      </c>
      <c r="X2193" s="1379"/>
    </row>
    <row r="2194" spans="1:24" x14ac:dyDescent="0.2">
      <c r="A2194" s="1649" t="s">
        <v>336</v>
      </c>
      <c r="B2194" s="1712" t="str">
        <f>IFERROR(AVERAGE(N2190:N2196),"")</f>
        <v/>
      </c>
      <c r="C2194" s="1378">
        <v>45282</v>
      </c>
      <c r="D2194" s="1379"/>
      <c r="E2194" s="1380"/>
      <c r="F2194" s="1550"/>
      <c r="G2194" s="1381"/>
      <c r="H2194" s="1382" t="str">
        <f>IFERROR(VLOOKUP(F2194,#REF!,10,FALSE),"")</f>
        <v/>
      </c>
      <c r="I2194" s="1383" t="str">
        <f t="shared" si="323"/>
        <v/>
      </c>
      <c r="J2194" s="1384"/>
      <c r="K2194" s="1750"/>
      <c r="L2194" s="1578"/>
      <c r="M2194" s="1602"/>
      <c r="N2194" s="1385" t="str">
        <f t="shared" si="324"/>
        <v/>
      </c>
      <c r="O2194" s="1386"/>
      <c r="P2194" s="1387" t="str">
        <f>IFERROR(VLOOKUP(F2194,#REF!,12,FALSE),"")</f>
        <v/>
      </c>
      <c r="Q2194" s="1388" t="s">
        <v>8</v>
      </c>
      <c r="R2194" s="1389" t="str">
        <f>IFERROR(VLOOKUP(F2194,#REF!,14,FALSE),"")</f>
        <v/>
      </c>
      <c r="S2194" s="1390" t="str">
        <f t="shared" si="325"/>
        <v/>
      </c>
      <c r="T2194" s="1379">
        <f t="shared" si="320"/>
        <v>0.44018426530268201</v>
      </c>
      <c r="U2194" s="1379">
        <f t="shared" si="321"/>
        <v>9.7485285394773147</v>
      </c>
      <c r="V2194" s="1379">
        <f t="shared" si="326"/>
        <v>9.4727492187252587</v>
      </c>
      <c r="W2194" s="1767">
        <f t="shared" si="322"/>
        <v>4.5153918719130437E-2</v>
      </c>
      <c r="X2194" s="1379"/>
    </row>
    <row r="2195" spans="1:24" x14ac:dyDescent="0.2">
      <c r="A2195" s="1649" t="s">
        <v>337</v>
      </c>
      <c r="B2195" s="1677" t="str">
        <f>IFERROR(AVERAGE(S2190:S2196),"")</f>
        <v/>
      </c>
      <c r="C2195" s="1625">
        <v>45283</v>
      </c>
      <c r="D2195" s="1626"/>
      <c r="E2195" s="1627"/>
      <c r="F2195" s="1628"/>
      <c r="G2195" s="1629"/>
      <c r="H2195" s="1630" t="str">
        <f>IFERROR(VLOOKUP(F2195,#REF!,10,FALSE),"")</f>
        <v/>
      </c>
      <c r="I2195" s="1631" t="str">
        <f t="shared" si="323"/>
        <v/>
      </c>
      <c r="J2195" s="1632"/>
      <c r="K2195" s="1750"/>
      <c r="L2195" s="1578"/>
      <c r="M2195" s="1632"/>
      <c r="N2195" s="1633" t="str">
        <f t="shared" si="324"/>
        <v/>
      </c>
      <c r="O2195" s="1634"/>
      <c r="P2195" s="1635" t="str">
        <f>IFERROR(VLOOKUP(F2195,#REF!,12,FALSE),"")</f>
        <v/>
      </c>
      <c r="Q2195" s="1636" t="s">
        <v>8</v>
      </c>
      <c r="R2195" s="1637" t="str">
        <f>IFERROR(VLOOKUP(F2195,#REF!,14,FALSE),"")</f>
        <v/>
      </c>
      <c r="S2195" s="1605" t="str">
        <f t="shared" si="325"/>
        <v/>
      </c>
      <c r="T2195" s="1379">
        <f t="shared" si="320"/>
        <v>0.37730079883087031</v>
      </c>
      <c r="U2195" s="1379">
        <f t="shared" si="321"/>
        <v>9.516420717108808</v>
      </c>
      <c r="V2195" s="1626">
        <f t="shared" si="326"/>
        <v>9.3083442741746332</v>
      </c>
      <c r="W2195" s="1767">
        <f t="shared" si="322"/>
        <v>3.9647343265577943E-2</v>
      </c>
      <c r="X2195" s="1626"/>
    </row>
    <row r="2196" spans="1:24" ht="16" thickBot="1" x14ac:dyDescent="0.25">
      <c r="A2196" s="1650" t="s">
        <v>5</v>
      </c>
      <c r="B2196" s="1678">
        <f>IFERROR(SUM(M2190:M2196),"")</f>
        <v>0</v>
      </c>
      <c r="C2196" s="1360">
        <v>45284</v>
      </c>
      <c r="D2196" s="683"/>
      <c r="E2196" s="684"/>
      <c r="F2196" s="1538"/>
      <c r="G2196" s="1361"/>
      <c r="H2196" s="1362" t="str">
        <f>IFERROR(VLOOKUP(F2196,#REF!,10,FALSE),"")</f>
        <v/>
      </c>
      <c r="I2196" s="1363" t="str">
        <f t="shared" si="323"/>
        <v/>
      </c>
      <c r="J2196" s="1364"/>
      <c r="K2196" s="1751"/>
      <c r="L2196" s="1583"/>
      <c r="M2196" s="1364"/>
      <c r="N2196" s="1365" t="str">
        <f t="shared" si="324"/>
        <v/>
      </c>
      <c r="O2196" s="1366"/>
      <c r="P2196" s="1367" t="str">
        <f>IFERROR(VLOOKUP(F2196,#REF!,12,FALSE),"")</f>
        <v/>
      </c>
      <c r="Q2196" s="19" t="s">
        <v>8</v>
      </c>
      <c r="R2196" s="20" t="str">
        <f>IFERROR(VLOOKUP(F2196,#REF!,14,FALSE),"")</f>
        <v/>
      </c>
      <c r="S2196" s="1191" t="str">
        <f t="shared" si="325"/>
        <v/>
      </c>
      <c r="T2196" s="1732">
        <f t="shared" si="320"/>
        <v>0.32340068471217454</v>
      </c>
      <c r="U2196" s="1379">
        <f t="shared" si="321"/>
        <v>9.2898392714633609</v>
      </c>
      <c r="V2196" s="683">
        <f t="shared" si="326"/>
        <v>9.1391199182779381</v>
      </c>
      <c r="W2196" s="1768">
        <f t="shared" si="322"/>
        <v>3.4812301403922094E-2</v>
      </c>
      <c r="X2196" s="683"/>
    </row>
    <row r="2197" spans="1:24" ht="16" thickBot="1" x14ac:dyDescent="0.25">
      <c r="A2197" s="1962">
        <f>WEEKNUM(C2197,1)</f>
        <v>52</v>
      </c>
      <c r="B2197" s="1963"/>
      <c r="C2197" s="1368">
        <v>45285</v>
      </c>
      <c r="D2197" s="1369"/>
      <c r="E2197" s="1370"/>
      <c r="F2197" s="1536"/>
      <c r="G2197" s="1371"/>
      <c r="H2197" s="1372" t="str">
        <f>IFERROR(VLOOKUP(F2197,#REF!,10,FALSE),"")</f>
        <v/>
      </c>
      <c r="I2197" s="1373" t="str">
        <f t="shared" si="323"/>
        <v/>
      </c>
      <c r="J2197" s="1374"/>
      <c r="K2197" s="1740"/>
      <c r="L2197" s="1577"/>
      <c r="M2197" s="1374"/>
      <c r="N2197" s="1375" t="str">
        <f t="shared" si="324"/>
        <v/>
      </c>
      <c r="O2197" s="1376"/>
      <c r="P2197" s="795" t="str">
        <f>IFERROR(VLOOKUP(F2197,#REF!,12,FALSE),"")</f>
        <v/>
      </c>
      <c r="Q2197" s="1254" t="s">
        <v>8</v>
      </c>
      <c r="R2197" s="1694" t="str">
        <f>IFERROR(VLOOKUP(F2197,#REF!,14,FALSE),"")</f>
        <v/>
      </c>
      <c r="S2197" s="1377" t="str">
        <f t="shared" si="325"/>
        <v/>
      </c>
      <c r="T2197" s="1369">
        <f t="shared" si="320"/>
        <v>0.27720058689614963</v>
      </c>
      <c r="U2197" s="1369">
        <f t="shared" si="321"/>
        <v>9.068652622142805</v>
      </c>
      <c r="V2197" s="1369">
        <f t="shared" si="326"/>
        <v>8.9664385867511864</v>
      </c>
      <c r="W2197" s="1766">
        <f t="shared" si="322"/>
        <v>3.0566898793687691E-2</v>
      </c>
      <c r="X2197" s="1369"/>
    </row>
    <row r="2198" spans="1:24" x14ac:dyDescent="0.2">
      <c r="A2198" s="1648" t="s">
        <v>142</v>
      </c>
      <c r="B2198" s="1675">
        <f>SUM(H2197:H2203)</f>
        <v>18.09</v>
      </c>
      <c r="C2198" s="1651">
        <v>45286</v>
      </c>
      <c r="D2198" s="1695"/>
      <c r="E2198" s="1696"/>
      <c r="F2198" s="1534"/>
      <c r="G2198" s="1697"/>
      <c r="H2198" s="1698" t="str">
        <f>IFERROR(VLOOKUP(F2198,#REF!,10,FALSE),"")</f>
        <v/>
      </c>
      <c r="I2198" s="1699" t="str">
        <f t="shared" si="323"/>
        <v/>
      </c>
      <c r="J2198" s="1700"/>
      <c r="K2198" s="1741"/>
      <c r="L2198" s="1578"/>
      <c r="M2198" s="1700"/>
      <c r="N2198" s="1701" t="str">
        <f t="shared" si="324"/>
        <v/>
      </c>
      <c r="O2198" s="1702"/>
      <c r="P2198" s="1635" t="str">
        <f>IFERROR(VLOOKUP(F2198,#REF!,12,FALSE),"")</f>
        <v/>
      </c>
      <c r="Q2198" s="1636" t="s">
        <v>8</v>
      </c>
      <c r="R2198" s="1703" t="str">
        <f>IFERROR(VLOOKUP(F2198,#REF!,14,FALSE),"")</f>
        <v/>
      </c>
      <c r="S2198" s="1704" t="str">
        <f t="shared" si="325"/>
        <v/>
      </c>
      <c r="T2198" s="1730">
        <f t="shared" si="320"/>
        <v>0.23760050305384253</v>
      </c>
      <c r="U2198" s="1730">
        <f t="shared" si="321"/>
        <v>8.852732321615596</v>
      </c>
      <c r="V2198" s="1695">
        <f t="shared" si="326"/>
        <v>8.791452035246655</v>
      </c>
      <c r="W2198" s="1767">
        <f t="shared" si="322"/>
        <v>2.6839228209091629E-2</v>
      </c>
      <c r="X2198" s="1695"/>
    </row>
    <row r="2199" spans="1:24" x14ac:dyDescent="0.2">
      <c r="A2199" s="1649" t="s">
        <v>144</v>
      </c>
      <c r="B2199" s="1676" t="e">
        <f>SUM(#REF!)</f>
        <v>#REF!</v>
      </c>
      <c r="C2199" s="1724">
        <v>45287</v>
      </c>
      <c r="D2199" s="1695">
        <v>169</v>
      </c>
      <c r="E2199" s="1696" t="s">
        <v>293</v>
      </c>
      <c r="F2199" s="1534" t="s">
        <v>323</v>
      </c>
      <c r="G2199" s="1697">
        <v>2.162037037037037E-2</v>
      </c>
      <c r="H2199" s="1698">
        <v>5.37</v>
      </c>
      <c r="I2199" s="1699">
        <f t="shared" si="323"/>
        <v>4.026139733774743E-3</v>
      </c>
      <c r="J2199" s="1700">
        <v>139</v>
      </c>
      <c r="K2199" s="1741">
        <v>25</v>
      </c>
      <c r="L2199" s="1578">
        <v>207</v>
      </c>
      <c r="M2199" s="1700">
        <v>16</v>
      </c>
      <c r="N2199" s="1701">
        <f t="shared" si="324"/>
        <v>1.0747269240390227</v>
      </c>
      <c r="O2199" s="1702" t="s">
        <v>339</v>
      </c>
      <c r="P2199" s="1635" t="str">
        <f>IFERROR(VLOOKUP(F2199,#REF!,12,FALSE),"")</f>
        <v/>
      </c>
      <c r="Q2199" s="1636" t="s">
        <v>8</v>
      </c>
      <c r="R2199" s="1703" t="str">
        <f>IFERROR(VLOOKUP(F2199,#REF!,14,FALSE),"")</f>
        <v/>
      </c>
      <c r="S2199" s="1704">
        <f t="shared" si="325"/>
        <v>1.4892086330935252</v>
      </c>
      <c r="T2199" s="1730">
        <f t="shared" si="320"/>
        <v>3.7750861454747224</v>
      </c>
      <c r="U2199" s="1730">
        <f t="shared" si="321"/>
        <v>9.2371910758628442</v>
      </c>
      <c r="V2199" s="1695">
        <f t="shared" si="326"/>
        <v>8.6151318185617534</v>
      </c>
      <c r="W2199" s="1767">
        <f t="shared" si="322"/>
        <v>0.40868334480372243</v>
      </c>
      <c r="X2199" s="1695"/>
    </row>
    <row r="2200" spans="1:24" x14ac:dyDescent="0.2">
      <c r="A2200" s="1649" t="s">
        <v>256</v>
      </c>
      <c r="B2200" s="1677">
        <f>AVERAGE(W2197:W2203)</f>
        <v>0.3933410193065518</v>
      </c>
      <c r="C2200" s="1724">
        <v>45288</v>
      </c>
      <c r="D2200" s="1695"/>
      <c r="E2200" s="1696"/>
      <c r="F2200" s="1534"/>
      <c r="G2200" s="1697"/>
      <c r="H2200" s="1698" t="str">
        <f>IFERROR(VLOOKUP(F2200,#REF!,10,FALSE),"")</f>
        <v/>
      </c>
      <c r="I2200" s="1699" t="str">
        <f t="shared" si="323"/>
        <v/>
      </c>
      <c r="J2200" s="1700"/>
      <c r="K2200" s="1741"/>
      <c r="L2200" s="1578"/>
      <c r="M2200" s="1700"/>
      <c r="N2200" s="1701" t="str">
        <f t="shared" si="324"/>
        <v/>
      </c>
      <c r="O2200" s="1702"/>
      <c r="P2200" s="1635" t="str">
        <f>IFERROR(VLOOKUP(F2200,#REF!,12,FALSE),"")</f>
        <v/>
      </c>
      <c r="Q2200" s="1636" t="s">
        <v>8</v>
      </c>
      <c r="R2200" s="1703" t="str">
        <f>IFERROR(VLOOKUP(F2200,#REF!,14,FALSE),"")</f>
        <v/>
      </c>
      <c r="S2200" s="1704" t="str">
        <f t="shared" si="325"/>
        <v/>
      </c>
      <c r="T2200" s="1730">
        <f t="shared" si="320"/>
        <v>3.2357881246926192</v>
      </c>
      <c r="U2200" s="1730">
        <f t="shared" si="321"/>
        <v>9.0172579550089669</v>
      </c>
      <c r="V2200" s="1695">
        <f t="shared" si="326"/>
        <v>5.4621049303881222</v>
      </c>
      <c r="W2200" s="1767">
        <f t="shared" si="322"/>
        <v>0.35884391251058556</v>
      </c>
      <c r="X2200" s="1695"/>
    </row>
    <row r="2201" spans="1:24" x14ac:dyDescent="0.2">
      <c r="A2201" s="1649" t="s">
        <v>336</v>
      </c>
      <c r="B2201" s="1712">
        <f>IFERROR(AVERAGE(N2197:N2203),"")</f>
        <v>1.0652275417413284</v>
      </c>
      <c r="C2201" s="1724">
        <v>45289</v>
      </c>
      <c r="D2201" s="1695">
        <v>170</v>
      </c>
      <c r="E2201" s="1696" t="s">
        <v>292</v>
      </c>
      <c r="F2201" s="1550" t="s">
        <v>323</v>
      </c>
      <c r="G2201" s="1697">
        <v>2.2141203703703705E-2</v>
      </c>
      <c r="H2201" s="1698">
        <v>4.8600000000000003</v>
      </c>
      <c r="I2201" s="1699">
        <f t="shared" si="323"/>
        <v>4.5558032312147537E-3</v>
      </c>
      <c r="J2201" s="1700">
        <v>122</v>
      </c>
      <c r="K2201" s="1741">
        <v>17</v>
      </c>
      <c r="L2201" s="1578">
        <v>179</v>
      </c>
      <c r="M2201" s="1700">
        <v>17</v>
      </c>
      <c r="N2201" s="1701">
        <f t="shared" si="324"/>
        <v>1.0516153798906702</v>
      </c>
      <c r="O2201" s="1702" t="s">
        <v>340</v>
      </c>
      <c r="P2201" s="1635" t="str">
        <f>IFERROR(VLOOKUP(F2201,#REF!,12,FALSE),"")</f>
        <v/>
      </c>
      <c r="Q2201" s="1636" t="s">
        <v>8</v>
      </c>
      <c r="R2201" s="1703" t="str">
        <f>IFERROR(VLOOKUP(F2201,#REF!,14,FALSE),"")</f>
        <v/>
      </c>
      <c r="S2201" s="1704">
        <f t="shared" si="325"/>
        <v>1.4672131147540983</v>
      </c>
      <c r="T2201" s="1730">
        <f t="shared" si="320"/>
        <v>5.2021041068793883</v>
      </c>
      <c r="U2201" s="1730">
        <f t="shared" si="321"/>
        <v>9.2073232417944677</v>
      </c>
      <c r="V2201" s="1695">
        <f t="shared" si="326"/>
        <v>5.7814698303163476</v>
      </c>
      <c r="W2201" s="1767">
        <f t="shared" si="322"/>
        <v>0.56499635890544886</v>
      </c>
      <c r="X2201" s="1695"/>
    </row>
    <row r="2202" spans="1:24" x14ac:dyDescent="0.2">
      <c r="A2202" s="1649" t="s">
        <v>337</v>
      </c>
      <c r="B2202" s="1677">
        <f>IFERROR(AVERAGE(S2197:S2203),"")</f>
        <v>1.4459055706254669</v>
      </c>
      <c r="C2202" s="1724">
        <v>45290</v>
      </c>
      <c r="D2202" s="1695"/>
      <c r="E2202" s="1696"/>
      <c r="F2202" s="1628"/>
      <c r="G2202" s="1697"/>
      <c r="H2202" s="1698" t="str">
        <f>IFERROR(VLOOKUP(F2202,#REF!,10,FALSE),"")</f>
        <v/>
      </c>
      <c r="I2202" s="1699" t="str">
        <f t="shared" si="323"/>
        <v/>
      </c>
      <c r="J2202" s="1700"/>
      <c r="K2202" s="1741"/>
      <c r="L2202" s="1578"/>
      <c r="M2202" s="1700"/>
      <c r="N2202" s="1701" t="str">
        <f t="shared" si="324"/>
        <v/>
      </c>
      <c r="O2202" s="1702"/>
      <c r="P2202" s="1635" t="str">
        <f>IFERROR(VLOOKUP(F2202,#REF!,12,FALSE),"")</f>
        <v/>
      </c>
      <c r="Q2202" s="1636" t="s">
        <v>8</v>
      </c>
      <c r="R2202" s="1703" t="str">
        <f>IFERROR(VLOOKUP(F2202,#REF!,14,FALSE),"")</f>
        <v/>
      </c>
      <c r="S2202" s="1704" t="str">
        <f t="shared" si="325"/>
        <v/>
      </c>
      <c r="T2202" s="1730">
        <f t="shared" si="320"/>
        <v>4.4589463773251898</v>
      </c>
      <c r="U2202" s="1730">
        <f t="shared" si="321"/>
        <v>8.9881012598469798</v>
      </c>
      <c r="V2202" s="1695">
        <f t="shared" si="326"/>
        <v>4.0052191349150794</v>
      </c>
      <c r="W2202" s="1767">
        <f t="shared" si="322"/>
        <v>0.49609436391697953</v>
      </c>
      <c r="X2202" s="1695"/>
    </row>
    <row r="2203" spans="1:24" ht="16" thickBot="1" x14ac:dyDescent="0.25">
      <c r="A2203" s="1650" t="s">
        <v>5</v>
      </c>
      <c r="B2203" s="1678">
        <f>IFERROR(SUM(M2197:M2203),"")</f>
        <v>49</v>
      </c>
      <c r="C2203" s="1686">
        <v>45291</v>
      </c>
      <c r="D2203" s="683">
        <v>171</v>
      </c>
      <c r="E2203" s="684" t="s">
        <v>293</v>
      </c>
      <c r="F2203" s="1538" t="s">
        <v>343</v>
      </c>
      <c r="G2203" s="1361">
        <v>3.394675925925926E-2</v>
      </c>
      <c r="H2203" s="1362">
        <v>7.86</v>
      </c>
      <c r="I2203" s="1363">
        <f t="shared" si="323"/>
        <v>4.3189261144095745E-3</v>
      </c>
      <c r="J2203" s="1364">
        <v>139</v>
      </c>
      <c r="K2203" s="1752">
        <v>31</v>
      </c>
      <c r="L2203" s="1705">
        <v>192</v>
      </c>
      <c r="M2203" s="1364">
        <v>16</v>
      </c>
      <c r="N2203" s="1365">
        <f t="shared" si="324"/>
        <v>1.0693403212942918</v>
      </c>
      <c r="O2203" s="1366" t="s">
        <v>340</v>
      </c>
      <c r="P2203" s="1706" t="str">
        <f>IFERROR(VLOOKUP(F2203,#REF!,12,FALSE),"")</f>
        <v/>
      </c>
      <c r="Q2203" s="1707" t="s">
        <v>8</v>
      </c>
      <c r="R2203" s="1708" t="str">
        <f>IFERROR(VLOOKUP(F2203,#REF!,14,FALSE),"")</f>
        <v/>
      </c>
      <c r="S2203" s="1191">
        <f t="shared" si="325"/>
        <v>1.3812949640287771</v>
      </c>
      <c r="T2203" s="1731">
        <f t="shared" si="320"/>
        <v>8.2505254662787344</v>
      </c>
      <c r="U2203" s="1731">
        <f t="shared" si="321"/>
        <v>9.51219408699348</v>
      </c>
      <c r="V2203" s="683">
        <f t="shared" si="326"/>
        <v>4.52915488252179</v>
      </c>
      <c r="W2203" s="1768">
        <f t="shared" si="322"/>
        <v>0.86736302800634701</v>
      </c>
      <c r="X2203" s="683"/>
    </row>
    <row r="2204" spans="1:24" ht="16" thickBot="1" x14ac:dyDescent="0.25">
      <c r="A2204" s="1962">
        <f>WEEKNUM(C2204,1)</f>
        <v>1</v>
      </c>
      <c r="B2204" s="1963"/>
      <c r="C2204" s="1687">
        <v>45292</v>
      </c>
      <c r="D2204" s="1369"/>
      <c r="E2204" s="1689"/>
      <c r="F2204" s="1536"/>
      <c r="G2204" s="1692"/>
      <c r="H2204" s="1372" t="str">
        <f>IFERROR(VLOOKUP(F2204,#REF!,10,FALSE),"")</f>
        <v/>
      </c>
      <c r="I2204" s="1373" t="str">
        <f t="shared" ref="I2204:I2267" si="327">IFERROR(G2204/H2204,"")</f>
        <v/>
      </c>
      <c r="J2204" s="1374"/>
      <c r="K2204" s="1740"/>
      <c r="L2204" s="1577"/>
      <c r="M2204" s="1374"/>
      <c r="N2204" s="1375" t="str">
        <f t="shared" si="324"/>
        <v/>
      </c>
      <c r="O2204" s="1376"/>
      <c r="P2204" s="795" t="str">
        <f>IFERROR(VLOOKUP(F2204,#REF!,12,FALSE),"")</f>
        <v/>
      </c>
      <c r="Q2204" s="1254" t="s">
        <v>8</v>
      </c>
      <c r="R2204" s="1694" t="str">
        <f>IFERROR(VLOOKUP(F2204,#REF!,14,FALSE),"")</f>
        <v/>
      </c>
      <c r="S2204" s="1377" t="str">
        <f t="shared" si="325"/>
        <v/>
      </c>
      <c r="T2204" s="70">
        <f t="shared" si="320"/>
        <v>7.0718789710960586</v>
      </c>
      <c r="U2204" s="70">
        <f t="shared" si="321"/>
        <v>9.2857132753983969</v>
      </c>
      <c r="V2204" s="881">
        <f t="shared" si="326"/>
        <v>1.2616686207147456</v>
      </c>
      <c r="W2204" s="1766">
        <f t="shared" si="322"/>
        <v>0.76158704898118279</v>
      </c>
      <c r="X2204" s="1763">
        <v>241</v>
      </c>
    </row>
    <row r="2205" spans="1:24" x14ac:dyDescent="0.2">
      <c r="A2205" s="1648" t="s">
        <v>142</v>
      </c>
      <c r="B2205" s="1679">
        <f>SUM(H2204:H2210)</f>
        <v>14.05</v>
      </c>
      <c r="C2205" s="1724">
        <v>45293</v>
      </c>
      <c r="D2205" s="1695"/>
      <c r="E2205" s="1690"/>
      <c r="F2205" s="1534"/>
      <c r="G2205" s="1693"/>
      <c r="H2205" s="1698" t="str">
        <f>IFERROR(VLOOKUP(F2205,#REF!,10,FALSE),"")</f>
        <v/>
      </c>
      <c r="I2205" s="1699" t="str">
        <f t="shared" si="327"/>
        <v/>
      </c>
      <c r="J2205" s="1700"/>
      <c r="K2205" s="1741"/>
      <c r="L2205" s="1578"/>
      <c r="M2205" s="1700"/>
      <c r="N2205" s="1701" t="str">
        <f t="shared" si="324"/>
        <v/>
      </c>
      <c r="O2205" s="1702"/>
      <c r="P2205" s="1635" t="str">
        <f>IFERROR(VLOOKUP(F2205,#REF!,12,FALSE),"")</f>
        <v/>
      </c>
      <c r="Q2205" s="1636" t="s">
        <v>8</v>
      </c>
      <c r="R2205" s="1703" t="str">
        <f>IFERROR(VLOOKUP(F2205,#REF!,14,FALSE),"")</f>
        <v/>
      </c>
      <c r="S2205" s="1704" t="str">
        <f t="shared" si="325"/>
        <v/>
      </c>
      <c r="T2205" s="1379">
        <f t="shared" si="320"/>
        <v>6.061610546653764</v>
      </c>
      <c r="U2205" s="1379">
        <f t="shared" si="321"/>
        <v>9.0646248640793878</v>
      </c>
      <c r="V2205" s="1761">
        <f t="shared" si="326"/>
        <v>2.2138343043023383</v>
      </c>
      <c r="W2205" s="1767">
        <f t="shared" si="322"/>
        <v>0.66871057959323366</v>
      </c>
      <c r="X2205" s="1764">
        <v>241</v>
      </c>
    </row>
    <row r="2206" spans="1:24" x14ac:dyDescent="0.2">
      <c r="A2206" s="1649" t="s">
        <v>347</v>
      </c>
      <c r="B2206" s="1680">
        <f>SUM(K2204:K2210)</f>
        <v>80</v>
      </c>
      <c r="C2206" s="1724">
        <v>45294</v>
      </c>
      <c r="D2206" s="1695">
        <v>1</v>
      </c>
      <c r="E2206" s="1690" t="s">
        <v>293</v>
      </c>
      <c r="F2206" s="1534" t="s">
        <v>322</v>
      </c>
      <c r="G2206" s="1693">
        <v>3.1319444444444448E-2</v>
      </c>
      <c r="H2206" s="1698">
        <v>8.1</v>
      </c>
      <c r="I2206" s="1699">
        <f t="shared" si="327"/>
        <v>3.8665980795610433E-3</v>
      </c>
      <c r="J2206" s="1700">
        <v>139</v>
      </c>
      <c r="K2206" s="1741">
        <v>47</v>
      </c>
      <c r="L2206" s="1578">
        <v>219</v>
      </c>
      <c r="M2206" s="1700">
        <v>32</v>
      </c>
      <c r="N2206" s="1701">
        <f t="shared" si="324"/>
        <v>1.0919734660033167</v>
      </c>
      <c r="O2206" s="1702" t="s">
        <v>340</v>
      </c>
      <c r="P2206" s="1635" t="str">
        <f>IFERROR(VLOOKUP(F2206,#REF!,12,FALSE),"")</f>
        <v/>
      </c>
      <c r="Q2206" s="1636" t="s">
        <v>8</v>
      </c>
      <c r="R2206" s="1703" t="str">
        <f>IFERROR(VLOOKUP(F2206,#REF!,14,FALSE),"")</f>
        <v/>
      </c>
      <c r="S2206" s="1704">
        <f t="shared" si="325"/>
        <v>1.5755395683453237</v>
      </c>
      <c r="T2206" s="1379">
        <f t="shared" si="320"/>
        <v>11.909951897131798</v>
      </c>
      <c r="U2206" s="1379">
        <f t="shared" si="321"/>
        <v>9.9678480816013071</v>
      </c>
      <c r="V2206" s="1761">
        <f t="shared" si="326"/>
        <v>3.0030143174256239</v>
      </c>
      <c r="W2206" s="1767">
        <f t="shared" si="322"/>
        <v>1.1948368193045833</v>
      </c>
      <c r="X2206" s="1764">
        <v>241</v>
      </c>
    </row>
    <row r="2207" spans="1:24" x14ac:dyDescent="0.2">
      <c r="A2207" s="1649" t="s">
        <v>256</v>
      </c>
      <c r="B2207" s="1677">
        <f>AVERAGE(W2204:W2210)</f>
        <v>0.9822936168755273</v>
      </c>
      <c r="C2207" s="1724">
        <v>45295</v>
      </c>
      <c r="D2207" s="1695"/>
      <c r="E2207" s="1690"/>
      <c r="F2207" s="1534"/>
      <c r="G2207" s="1693"/>
      <c r="H2207" s="1698" t="str">
        <f>IFERROR(VLOOKUP(F2207,#REF!,10,FALSE),"")</f>
        <v/>
      </c>
      <c r="I2207" s="1699" t="str">
        <f t="shared" si="327"/>
        <v/>
      </c>
      <c r="J2207" s="1700"/>
      <c r="K2207" s="1741"/>
      <c r="L2207" s="1578"/>
      <c r="M2207" s="1700"/>
      <c r="N2207" s="1701" t="str">
        <f t="shared" si="324"/>
        <v/>
      </c>
      <c r="O2207" s="1702"/>
      <c r="P2207" s="1635" t="str">
        <f>IFERROR(VLOOKUP(F2207,#REF!,12,FALSE),"")</f>
        <v/>
      </c>
      <c r="Q2207" s="1636" t="s">
        <v>8</v>
      </c>
      <c r="R2207" s="1703" t="str">
        <f>IFERROR(VLOOKUP(F2207,#REF!,14,FALSE),"")</f>
        <v/>
      </c>
      <c r="S2207" s="1704" t="str">
        <f t="shared" si="325"/>
        <v/>
      </c>
      <c r="T2207" s="1379">
        <f t="shared" si="320"/>
        <v>10.20853019754154</v>
      </c>
      <c r="U2207" s="1379">
        <f t="shared" si="321"/>
        <v>9.7305183653727045</v>
      </c>
      <c r="V2207" s="1761">
        <f t="shared" si="326"/>
        <v>-1.9421038155304906</v>
      </c>
      <c r="W2207" s="1767">
        <f t="shared" si="322"/>
        <v>1.049125012072317</v>
      </c>
      <c r="X2207" s="1764">
        <v>241</v>
      </c>
    </row>
    <row r="2208" spans="1:24" x14ac:dyDescent="0.2">
      <c r="A2208" s="1649" t="s">
        <v>336</v>
      </c>
      <c r="B2208" s="1713">
        <f>IFERROR(AVERAGE(N2204:N2210),"")</f>
        <v>1.0737805370904581</v>
      </c>
      <c r="C2208" s="1724">
        <v>45296</v>
      </c>
      <c r="D2208" s="1695"/>
      <c r="E2208" s="1690"/>
      <c r="F2208" s="1550"/>
      <c r="G2208" s="1693"/>
      <c r="H2208" s="1698" t="str">
        <f>IFERROR(VLOOKUP(F2208,#REF!,10,FALSE),"")</f>
        <v/>
      </c>
      <c r="I2208" s="1699" t="str">
        <f t="shared" si="327"/>
        <v/>
      </c>
      <c r="J2208" s="1700"/>
      <c r="K2208" s="1741"/>
      <c r="L2208" s="1578"/>
      <c r="M2208" s="1700"/>
      <c r="N2208" s="1701" t="str">
        <f t="shared" si="324"/>
        <v/>
      </c>
      <c r="O2208" s="1702"/>
      <c r="P2208" s="1635" t="str">
        <f>IFERROR(VLOOKUP(F2208,#REF!,12,FALSE),"")</f>
        <v/>
      </c>
      <c r="Q2208" s="1636" t="s">
        <v>8</v>
      </c>
      <c r="R2208" s="1703" t="str">
        <f>IFERROR(VLOOKUP(F2208,#REF!,14,FALSE),"")</f>
        <v/>
      </c>
      <c r="S2208" s="1704" t="str">
        <f t="shared" si="325"/>
        <v/>
      </c>
      <c r="T2208" s="1379">
        <f t="shared" si="320"/>
        <v>8.750168740749892</v>
      </c>
      <c r="U2208" s="1379">
        <f t="shared" si="321"/>
        <v>9.4988393566733542</v>
      </c>
      <c r="V2208" s="1761">
        <f t="shared" si="326"/>
        <v>-0.47801183216883558</v>
      </c>
      <c r="W2208" s="1767">
        <f t="shared" si="322"/>
        <v>0.92118293742935153</v>
      </c>
      <c r="X2208" s="1764">
        <v>241</v>
      </c>
    </row>
    <row r="2209" spans="1:24" x14ac:dyDescent="0.2">
      <c r="A2209" s="1649" t="s">
        <v>337</v>
      </c>
      <c r="B2209" s="1681">
        <f>IFERROR(AVERAGE(S2204:S2210),"")</f>
        <v>1.5320445933329672</v>
      </c>
      <c r="C2209" s="1724">
        <v>45297</v>
      </c>
      <c r="D2209" s="1695">
        <v>2</v>
      </c>
      <c r="E2209" s="1690" t="s">
        <v>292</v>
      </c>
      <c r="F2209" s="1628" t="s">
        <v>322</v>
      </c>
      <c r="G2209" s="1693">
        <v>2.4976851851851851E-2</v>
      </c>
      <c r="H2209" s="1698">
        <v>5.95</v>
      </c>
      <c r="I2209" s="1699">
        <f t="shared" si="327"/>
        <v>4.1977902272019915E-3</v>
      </c>
      <c r="J2209" s="1700">
        <v>131</v>
      </c>
      <c r="K2209" s="1741">
        <v>33</v>
      </c>
      <c r="L2209" s="1578">
        <v>195</v>
      </c>
      <c r="M2209" s="1700">
        <v>14</v>
      </c>
      <c r="N2209" s="1701">
        <f t="shared" si="324"/>
        <v>1.0555876081775994</v>
      </c>
      <c r="O2209" s="1702" t="s">
        <v>333</v>
      </c>
      <c r="P2209" s="1635" t="str">
        <f>IFERROR(VLOOKUP(F2209,#REF!,12,FALSE),"")</f>
        <v/>
      </c>
      <c r="Q2209" s="1636" t="s">
        <v>8</v>
      </c>
      <c r="R2209" s="1703" t="str">
        <f>IFERROR(VLOOKUP(F2209,#REF!,14,FALSE),"")</f>
        <v/>
      </c>
      <c r="S2209" s="1704">
        <f t="shared" si="325"/>
        <v>1.4885496183206106</v>
      </c>
      <c r="T2209" s="1379">
        <f t="shared" si="320"/>
        <v>12.214430349214194</v>
      </c>
      <c r="U2209" s="1379">
        <f t="shared" si="321"/>
        <v>10.058390800562083</v>
      </c>
      <c r="V2209" s="1761">
        <f t="shared" si="326"/>
        <v>0.74867061592346218</v>
      </c>
      <c r="W2209" s="1767">
        <f t="shared" si="322"/>
        <v>1.2143523344242726</v>
      </c>
      <c r="X2209" s="1764">
        <v>241</v>
      </c>
    </row>
    <row r="2210" spans="1:24" ht="16" thickBot="1" x14ac:dyDescent="0.25">
      <c r="A2210" s="1650" t="s">
        <v>5</v>
      </c>
      <c r="B2210" s="1678">
        <f>IFERROR(SUM(M2204:M2210),"")</f>
        <v>46</v>
      </c>
      <c r="C2210" s="1686">
        <v>45298</v>
      </c>
      <c r="D2210" s="683"/>
      <c r="E2210" s="1720"/>
      <c r="F2210" s="1538"/>
      <c r="G2210" s="1716"/>
      <c r="H2210" s="1362" t="str">
        <f>IFERROR(VLOOKUP(F2210,#REF!,10,FALSE),"")</f>
        <v/>
      </c>
      <c r="I2210" s="1363" t="str">
        <f t="shared" si="327"/>
        <v/>
      </c>
      <c r="J2210" s="1364"/>
      <c r="K2210" s="1753"/>
      <c r="L2210" s="1705"/>
      <c r="M2210" s="1364"/>
      <c r="N2210" s="1365" t="str">
        <f t="shared" si="324"/>
        <v/>
      </c>
      <c r="O2210" s="1366"/>
      <c r="P2210" s="1706" t="str">
        <f>IFERROR(VLOOKUP(F2210,#REF!,12,FALSE),"")</f>
        <v/>
      </c>
      <c r="Q2210" s="1707" t="s">
        <v>8</v>
      </c>
      <c r="R2210" s="1708" t="str">
        <f>IFERROR(VLOOKUP(F2210,#REF!,14,FALSE),"")</f>
        <v/>
      </c>
      <c r="S2210" s="1191" t="str">
        <f t="shared" si="325"/>
        <v/>
      </c>
      <c r="T2210" s="1732">
        <f t="shared" si="320"/>
        <v>10.46951172789788</v>
      </c>
      <c r="U2210" s="1732">
        <f t="shared" si="321"/>
        <v>9.8189053053106061</v>
      </c>
      <c r="V2210" s="1762">
        <f t="shared" si="326"/>
        <v>-2.1560395486521102</v>
      </c>
      <c r="W2210" s="1768">
        <f t="shared" si="322"/>
        <v>1.0662605863237513</v>
      </c>
      <c r="X2210" s="1765">
        <v>241</v>
      </c>
    </row>
    <row r="2211" spans="1:24" ht="16" thickBot="1" x14ac:dyDescent="0.25">
      <c r="A2211" s="1962">
        <f>WEEKNUM(C2211,1)</f>
        <v>2</v>
      </c>
      <c r="B2211" s="1963"/>
      <c r="C2211" s="1687">
        <v>45299</v>
      </c>
      <c r="D2211" s="1369">
        <v>3</v>
      </c>
      <c r="E2211" s="1689" t="s">
        <v>293</v>
      </c>
      <c r="F2211" s="1536" t="s">
        <v>343</v>
      </c>
      <c r="G2211" s="1692">
        <v>2.8877314814814817E-2</v>
      </c>
      <c r="H2211" s="1372">
        <v>6.95</v>
      </c>
      <c r="I2211" s="1373">
        <f t="shared" si="327"/>
        <v>4.1550093258726356E-3</v>
      </c>
      <c r="J2211" s="1374">
        <v>124</v>
      </c>
      <c r="K2211" s="1754">
        <v>37</v>
      </c>
      <c r="L2211" s="1577">
        <v>196</v>
      </c>
      <c r="M2211" s="1374">
        <v>21</v>
      </c>
      <c r="N2211" s="1375">
        <f t="shared" si="324"/>
        <v>1.0501879093739936</v>
      </c>
      <c r="O2211" s="1376" t="s">
        <v>333</v>
      </c>
      <c r="P2211" s="795" t="str">
        <f>IFERROR(VLOOKUP(F2211,#REF!,12,FALSE),"")</f>
        <v/>
      </c>
      <c r="Q2211" s="1254" t="s">
        <v>8</v>
      </c>
      <c r="R2211" s="1694" t="str">
        <f>IFERROR(VLOOKUP(F2211,#REF!,14,FALSE),"")</f>
        <v/>
      </c>
      <c r="S2211" s="1377">
        <f t="shared" si="325"/>
        <v>1.5806451612903225</v>
      </c>
      <c r="T2211" s="1369">
        <f t="shared" si="320"/>
        <v>14.259581481055324</v>
      </c>
      <c r="U2211" s="1369">
        <f t="shared" si="321"/>
        <v>10.466074226612735</v>
      </c>
      <c r="V2211" s="1369">
        <f t="shared" si="326"/>
        <v>-0.65060642258727341</v>
      </c>
      <c r="W2211" s="1766">
        <f t="shared" si="322"/>
        <v>1.3624575148527616</v>
      </c>
      <c r="X2211" s="1369">
        <v>241</v>
      </c>
    </row>
    <row r="2212" spans="1:24" x14ac:dyDescent="0.2">
      <c r="A2212" s="1648" t="s">
        <v>142</v>
      </c>
      <c r="B2212" s="1679">
        <f>SUM(H2211:H2217)</f>
        <v>18.599999999999998</v>
      </c>
      <c r="C2212" s="1724">
        <v>45300</v>
      </c>
      <c r="D2212" s="1695"/>
      <c r="E2212" s="1690"/>
      <c r="F2212" s="1534"/>
      <c r="G2212" s="1693"/>
      <c r="H2212" s="1698" t="str">
        <f>IFERROR(VLOOKUP(F2212,#REF!,10,FALSE),"")</f>
        <v/>
      </c>
      <c r="I2212" s="1699" t="str">
        <f t="shared" si="327"/>
        <v/>
      </c>
      <c r="J2212" s="1700"/>
      <c r="K2212" s="1741"/>
      <c r="L2212" s="1578"/>
      <c r="M2212" s="1700"/>
      <c r="N2212" s="1701" t="str">
        <f t="shared" si="324"/>
        <v/>
      </c>
      <c r="O2212" s="1702"/>
      <c r="P2212" s="1635" t="str">
        <f>IFERROR(VLOOKUP(F2212,#REF!,12,FALSE),"")</f>
        <v/>
      </c>
      <c r="Q2212" s="1636" t="s">
        <v>8</v>
      </c>
      <c r="R2212" s="1703" t="str">
        <f>IFERROR(VLOOKUP(F2212,#REF!,14,FALSE),"")</f>
        <v/>
      </c>
      <c r="S2212" s="1704" t="str">
        <f t="shared" si="325"/>
        <v/>
      </c>
      <c r="T2212" s="1730">
        <f t="shared" si="320"/>
        <v>12.222498412333135</v>
      </c>
      <c r="U2212" s="1730">
        <f t="shared" si="321"/>
        <v>10.216881983121954</v>
      </c>
      <c r="V2212" s="1695">
        <f t="shared" si="326"/>
        <v>-3.7935072544425896</v>
      </c>
      <c r="W2212" s="1767">
        <f t="shared" si="322"/>
        <v>1.1963041593829127</v>
      </c>
      <c r="X2212" s="1695">
        <v>241</v>
      </c>
    </row>
    <row r="2213" spans="1:24" x14ac:dyDescent="0.2">
      <c r="A2213" s="1649" t="s">
        <v>347</v>
      </c>
      <c r="B2213" s="1680">
        <f>SUM(K2211:K2217)</f>
        <v>95</v>
      </c>
      <c r="C2213" s="1724">
        <v>45301</v>
      </c>
      <c r="D2213" s="1695">
        <v>4</v>
      </c>
      <c r="E2213" s="1690" t="s">
        <v>293</v>
      </c>
      <c r="F2213" s="1534" t="s">
        <v>343</v>
      </c>
      <c r="G2213" s="1693">
        <v>2.4560185185185185E-2</v>
      </c>
      <c r="H2213" s="1698">
        <v>5.93</v>
      </c>
      <c r="I2213" s="1699">
        <f t="shared" si="327"/>
        <v>4.1416838423583785E-3</v>
      </c>
      <c r="J2213" s="1700">
        <v>141</v>
      </c>
      <c r="K2213" s="1741">
        <v>32</v>
      </c>
      <c r="L2213" s="1578">
        <v>198</v>
      </c>
      <c r="M2213" s="1700">
        <v>18</v>
      </c>
      <c r="N2213" s="1701">
        <f t="shared" si="324"/>
        <v>1.0575016989252726</v>
      </c>
      <c r="O2213" s="1702" t="s">
        <v>345</v>
      </c>
      <c r="P2213" s="1635" t="str">
        <f>IFERROR(VLOOKUP(F2213,#REF!,12,FALSE),"")</f>
        <v/>
      </c>
      <c r="Q2213" s="1636" t="s">
        <v>8</v>
      </c>
      <c r="R2213" s="1703" t="str">
        <f>IFERROR(VLOOKUP(F2213,#REF!,14,FALSE),"")</f>
        <v/>
      </c>
      <c r="S2213" s="1704">
        <f t="shared" si="325"/>
        <v>1.4042553191489362</v>
      </c>
      <c r="T2213" s="1730">
        <f t="shared" si="320"/>
        <v>15.047855781999829</v>
      </c>
      <c r="U2213" s="1730">
        <f t="shared" si="321"/>
        <v>10.735527650190479</v>
      </c>
      <c r="V2213" s="1695">
        <f t="shared" si="326"/>
        <v>-2.0056164292111802</v>
      </c>
      <c r="W2213" s="1767">
        <f>T2213/U2213</f>
        <v>1.40168758092974</v>
      </c>
      <c r="X2213" s="1695">
        <v>241</v>
      </c>
    </row>
    <row r="2214" spans="1:24" x14ac:dyDescent="0.2">
      <c r="A2214" s="1649" t="s">
        <v>256</v>
      </c>
      <c r="B2214" s="1677">
        <f>AVERAGE(W2211:W2217)</f>
        <v>1.1946258474822413</v>
      </c>
      <c r="C2214" s="1724">
        <v>45302</v>
      </c>
      <c r="D2214" s="1695"/>
      <c r="E2214" s="1690"/>
      <c r="F2214" s="1534"/>
      <c r="G2214" s="1693"/>
      <c r="H2214" s="1698" t="str">
        <f>IFERROR(VLOOKUP(F2214,#REF!,10,FALSE),"")</f>
        <v/>
      </c>
      <c r="I2214" s="1699" t="str">
        <f t="shared" si="327"/>
        <v/>
      </c>
      <c r="J2214" s="1700"/>
      <c r="K2214" s="1741"/>
      <c r="L2214" s="1578"/>
      <c r="M2214" s="1700"/>
      <c r="N2214" s="1701" t="str">
        <f t="shared" si="324"/>
        <v/>
      </c>
      <c r="O2214" s="1702"/>
      <c r="P2214" s="1635" t="str">
        <f>IFERROR(VLOOKUP(F2214,#REF!,12,FALSE),"")</f>
        <v/>
      </c>
      <c r="Q2214" s="1636" t="s">
        <v>8</v>
      </c>
      <c r="R2214" s="1703" t="str">
        <f>IFERROR(VLOOKUP(F2214,#REF!,14,FALSE),"")</f>
        <v/>
      </c>
      <c r="S2214" s="1704" t="str">
        <f t="shared" si="325"/>
        <v/>
      </c>
      <c r="T2214" s="1730">
        <f t="shared" ref="T2214:T2277" si="328">T2213+(K2214-T2213)/7</f>
        <v>12.898162098856996</v>
      </c>
      <c r="U2214" s="1730">
        <f t="shared" ref="U2214:U2277" si="329">U2213+(K2214-U2213)/42</f>
        <v>10.479919848995467</v>
      </c>
      <c r="V2214" s="1695">
        <f t="shared" si="326"/>
        <v>-4.31232813180935</v>
      </c>
      <c r="W2214" s="1767">
        <f t="shared" ref="W2214:W2277" si="330">T2214/U2214</f>
        <v>1.2307500710602597</v>
      </c>
      <c r="X2214" s="1695">
        <v>241</v>
      </c>
    </row>
    <row r="2215" spans="1:24" x14ac:dyDescent="0.2">
      <c r="A2215" s="1649" t="s">
        <v>336</v>
      </c>
      <c r="B2215" s="1713">
        <f>IFERROR(AVERAGE(N2211:N2217),"")</f>
        <v>1.0628074361449837</v>
      </c>
      <c r="C2215" s="1724">
        <v>45303</v>
      </c>
      <c r="D2215" s="1695"/>
      <c r="E2215" s="1690"/>
      <c r="F2215" s="1550"/>
      <c r="G2215" s="1693"/>
      <c r="H2215" s="1698" t="str">
        <f>IFERROR(VLOOKUP(F2215,#REF!,10,FALSE),"")</f>
        <v/>
      </c>
      <c r="I2215" s="1699" t="str">
        <f t="shared" si="327"/>
        <v/>
      </c>
      <c r="J2215" s="1700"/>
      <c r="K2215" s="1741"/>
      <c r="L2215" s="1578"/>
      <c r="M2215" s="1700"/>
      <c r="N2215" s="1701" t="str">
        <f t="shared" si="324"/>
        <v/>
      </c>
      <c r="O2215" s="1702"/>
      <c r="P2215" s="1635" t="str">
        <f>IFERROR(VLOOKUP(F2215,#REF!,12,FALSE),"")</f>
        <v/>
      </c>
      <c r="Q2215" s="1636" t="s">
        <v>8</v>
      </c>
      <c r="R2215" s="1703" t="str">
        <f>IFERROR(VLOOKUP(F2215,#REF!,14,FALSE),"")</f>
        <v/>
      </c>
      <c r="S2215" s="1704" t="str">
        <f t="shared" si="325"/>
        <v/>
      </c>
      <c r="T2215" s="1730">
        <f t="shared" si="328"/>
        <v>11.055567513305997</v>
      </c>
      <c r="U2215" s="1730">
        <f t="shared" si="329"/>
        <v>10.230397947828909</v>
      </c>
      <c r="V2215" s="1695">
        <f t="shared" si="326"/>
        <v>-2.4182422498615299</v>
      </c>
      <c r="W2215" s="1767">
        <f t="shared" si="330"/>
        <v>1.0806585989797401</v>
      </c>
      <c r="X2215" s="1695">
        <v>241</v>
      </c>
    </row>
    <row r="2216" spans="1:24" x14ac:dyDescent="0.2">
      <c r="A2216" s="1649" t="s">
        <v>337</v>
      </c>
      <c r="B2216" s="1681">
        <f>IFERROR(AVERAGE(S2211:S2217),"")</f>
        <v>1.4565052883515477</v>
      </c>
      <c r="C2216" s="1724">
        <v>45304</v>
      </c>
      <c r="D2216" s="1695"/>
      <c r="E2216" s="1690"/>
      <c r="F2216" s="1628"/>
      <c r="G2216" s="1693"/>
      <c r="H2216" s="1698"/>
      <c r="I2216" s="1699" t="str">
        <f t="shared" si="327"/>
        <v/>
      </c>
      <c r="J2216" s="1700"/>
      <c r="K2216" s="1741"/>
      <c r="L2216" s="1578"/>
      <c r="M2216" s="1700"/>
      <c r="N2216" s="1701" t="str">
        <f t="shared" si="324"/>
        <v/>
      </c>
      <c r="O2216" s="1702"/>
      <c r="P2216" s="1635" t="str">
        <f>IFERROR(VLOOKUP(F2216,#REF!,12,FALSE),"")</f>
        <v/>
      </c>
      <c r="Q2216" s="1636" t="s">
        <v>8</v>
      </c>
      <c r="R2216" s="1703" t="str">
        <f>IFERROR(VLOOKUP(F2216,#REF!,14,FALSE),"")</f>
        <v/>
      </c>
      <c r="S2216" s="1704" t="str">
        <f t="shared" si="325"/>
        <v/>
      </c>
      <c r="T2216" s="1730">
        <f t="shared" si="328"/>
        <v>9.4762007256908536</v>
      </c>
      <c r="U2216" s="1730">
        <f t="shared" si="329"/>
        <v>9.9868170443091735</v>
      </c>
      <c r="V2216" s="1695">
        <f t="shared" si="326"/>
        <v>-0.82516956547708809</v>
      </c>
      <c r="W2216" s="1767">
        <f t="shared" si="330"/>
        <v>0.94887096495782042</v>
      </c>
      <c r="X2216" s="1695">
        <v>241</v>
      </c>
    </row>
    <row r="2217" spans="1:24" ht="16" thickBot="1" x14ac:dyDescent="0.25">
      <c r="A2217" s="1650" t="s">
        <v>5</v>
      </c>
      <c r="B2217" s="1678">
        <f>IFERROR(SUM(M2211:M2217),"")</f>
        <v>57</v>
      </c>
      <c r="C2217" s="1686">
        <v>45305</v>
      </c>
      <c r="D2217" s="683">
        <v>5</v>
      </c>
      <c r="E2217" s="684" t="s">
        <v>292</v>
      </c>
      <c r="F2217" s="1538" t="s">
        <v>322</v>
      </c>
      <c r="G2217" s="1361">
        <v>2.6631944444444444E-2</v>
      </c>
      <c r="H2217" s="1362">
        <v>5.72</v>
      </c>
      <c r="I2217" s="1363">
        <f t="shared" si="327"/>
        <v>4.6559343434343439E-3</v>
      </c>
      <c r="J2217" s="1364">
        <v>130</v>
      </c>
      <c r="K2217" s="1752">
        <v>26</v>
      </c>
      <c r="L2217" s="1705">
        <v>180</v>
      </c>
      <c r="M2217" s="1364">
        <v>18</v>
      </c>
      <c r="N2217" s="1365">
        <f t="shared" si="324"/>
        <v>1.0807327001356855</v>
      </c>
      <c r="O2217" s="1366" t="s">
        <v>346</v>
      </c>
      <c r="P2217" s="1706" t="str">
        <f>IFERROR(VLOOKUP(F2217,#REF!,12,FALSE),"")</f>
        <v/>
      </c>
      <c r="Q2217" s="1707" t="s">
        <v>8</v>
      </c>
      <c r="R2217" s="1708" t="str">
        <f>IFERROR(VLOOKUP(F2217,#REF!,14,FALSE),"")</f>
        <v/>
      </c>
      <c r="S2217" s="1191">
        <f t="shared" si="325"/>
        <v>1.3846153846153846</v>
      </c>
      <c r="T2217" s="1731">
        <f t="shared" si="328"/>
        <v>11.836743479163589</v>
      </c>
      <c r="U2217" s="1731">
        <f t="shared" si="329"/>
        <v>10.368083305158954</v>
      </c>
      <c r="V2217" s="683">
        <f t="shared" si="326"/>
        <v>0.51061631861831991</v>
      </c>
      <c r="W2217" s="1768">
        <f t="shared" si="330"/>
        <v>1.1416520422124559</v>
      </c>
      <c r="X2217" s="683">
        <v>241</v>
      </c>
    </row>
    <row r="2218" spans="1:24" ht="16" thickBot="1" x14ac:dyDescent="0.25">
      <c r="A2218" s="1962">
        <f>WEEKNUM(C2218,1)</f>
        <v>3</v>
      </c>
      <c r="B2218" s="1963"/>
      <c r="C2218" s="1687">
        <v>45306</v>
      </c>
      <c r="D2218" s="1369">
        <v>6</v>
      </c>
      <c r="E2218" s="1370" t="s">
        <v>293</v>
      </c>
      <c r="F2218" s="1536" t="s">
        <v>323</v>
      </c>
      <c r="G2218" s="1371">
        <v>2.3136574074074077E-2</v>
      </c>
      <c r="H2218" s="1372">
        <v>5.34</v>
      </c>
      <c r="I2218" s="1373">
        <f t="shared" si="327"/>
        <v>4.3326917741711756E-3</v>
      </c>
      <c r="J2218" s="1374">
        <v>121</v>
      </c>
      <c r="K2218" s="1740">
        <v>27</v>
      </c>
      <c r="L2218" s="1577">
        <v>190</v>
      </c>
      <c r="M2218" s="1374">
        <v>20</v>
      </c>
      <c r="N2218" s="1375">
        <f t="shared" si="324"/>
        <v>1.0615741517133437</v>
      </c>
      <c r="O2218" s="1376" t="s">
        <v>346</v>
      </c>
      <c r="P2218" s="795" t="str">
        <f>IFERROR(VLOOKUP(F2218,#REF!,12,FALSE),"")</f>
        <v/>
      </c>
      <c r="Q2218" s="1254" t="s">
        <v>8</v>
      </c>
      <c r="R2218" s="1694" t="str">
        <f>IFERROR(VLOOKUP(F2218,#REF!,14,FALSE),"")</f>
        <v/>
      </c>
      <c r="S2218" s="1377">
        <f t="shared" si="325"/>
        <v>1.5702479338842976</v>
      </c>
      <c r="T2218" s="70">
        <f t="shared" si="328"/>
        <v>14.00292298214022</v>
      </c>
      <c r="U2218" s="70">
        <f t="shared" si="329"/>
        <v>10.76408132170279</v>
      </c>
      <c r="V2218" s="1369">
        <f t="shared" si="326"/>
        <v>-1.4686601740046346</v>
      </c>
      <c r="W2218" s="1766">
        <f t="shared" si="330"/>
        <v>1.3008934588692862</v>
      </c>
      <c r="X2218" s="1369">
        <v>241</v>
      </c>
    </row>
    <row r="2219" spans="1:24" x14ac:dyDescent="0.2">
      <c r="A2219" s="1648" t="s">
        <v>142</v>
      </c>
      <c r="B2219" s="1679">
        <f>SUM(H2218:H2224)</f>
        <v>20.420000000000002</v>
      </c>
      <c r="C2219" s="1724">
        <v>45307</v>
      </c>
      <c r="D2219" s="1695"/>
      <c r="E2219" s="1696"/>
      <c r="F2219" s="1534"/>
      <c r="G2219" s="1697"/>
      <c r="H2219" s="1698" t="str">
        <f>IFERROR(VLOOKUP(F2219,#REF!,10,FALSE),"")</f>
        <v/>
      </c>
      <c r="I2219" s="1699" t="str">
        <f t="shared" si="327"/>
        <v/>
      </c>
      <c r="J2219" s="1700"/>
      <c r="K2219" s="1741"/>
      <c r="L2219" s="1578"/>
      <c r="M2219" s="1700"/>
      <c r="N2219" s="1701" t="str">
        <f t="shared" si="324"/>
        <v/>
      </c>
      <c r="O2219" s="1702"/>
      <c r="P2219" s="1635" t="str">
        <f>IFERROR(VLOOKUP(F2219,#REF!,12,FALSE),"")</f>
        <v/>
      </c>
      <c r="Q2219" s="1636" t="s">
        <v>8</v>
      </c>
      <c r="R2219" s="1703" t="str">
        <f>IFERROR(VLOOKUP(F2219,#REF!,14,FALSE),"")</f>
        <v/>
      </c>
      <c r="S2219" s="1704" t="str">
        <f t="shared" si="325"/>
        <v/>
      </c>
      <c r="T2219" s="1379">
        <f t="shared" si="328"/>
        <v>12.002505413263044</v>
      </c>
      <c r="U2219" s="1379">
        <f t="shared" si="329"/>
        <v>10.507793671186057</v>
      </c>
      <c r="V2219" s="1695">
        <f t="shared" si="326"/>
        <v>-3.2388416604374299</v>
      </c>
      <c r="W2219" s="1767">
        <f t="shared" si="330"/>
        <v>1.1422479151047389</v>
      </c>
      <c r="X2219" s="1695">
        <v>231</v>
      </c>
    </row>
    <row r="2220" spans="1:24" x14ac:dyDescent="0.2">
      <c r="A2220" s="1649" t="s">
        <v>347</v>
      </c>
      <c r="B2220" s="1680">
        <f>SUM(K2218:K2224)</f>
        <v>138</v>
      </c>
      <c r="C2220" s="1724">
        <v>45308</v>
      </c>
      <c r="D2220" s="1695">
        <v>7</v>
      </c>
      <c r="E2220" s="1696" t="s">
        <v>293</v>
      </c>
      <c r="F2220" s="1534" t="s">
        <v>323</v>
      </c>
      <c r="G2220" s="1697">
        <v>2.3182870370370371E-2</v>
      </c>
      <c r="H2220" s="1698">
        <v>5.48</v>
      </c>
      <c r="I2220" s="1699">
        <f t="shared" si="327"/>
        <v>4.2304507975128407E-3</v>
      </c>
      <c r="J2220" s="1700">
        <v>130</v>
      </c>
      <c r="K2220" s="1741">
        <v>36</v>
      </c>
      <c r="L2220" s="1578">
        <v>198</v>
      </c>
      <c r="M2220" s="1700">
        <v>25</v>
      </c>
      <c r="N2220" s="1701">
        <f t="shared" si="324"/>
        <v>1.0801666848240548</v>
      </c>
      <c r="O2220" s="1702" t="s">
        <v>342</v>
      </c>
      <c r="P2220" s="1635" t="str">
        <f>IFERROR(VLOOKUP(F2220,#REF!,12,FALSE),"")</f>
        <v/>
      </c>
      <c r="Q2220" s="1636" t="s">
        <v>8</v>
      </c>
      <c r="R2220" s="1703" t="str">
        <f>IFERROR(VLOOKUP(F2220,#REF!,14,FALSE),"")</f>
        <v/>
      </c>
      <c r="S2220" s="1704">
        <f t="shared" si="325"/>
        <v>1.523076923076923</v>
      </c>
      <c r="T2220" s="1379">
        <f t="shared" si="328"/>
        <v>15.430718925654038</v>
      </c>
      <c r="U2220" s="1379">
        <f t="shared" si="329"/>
        <v>11.114750964729247</v>
      </c>
      <c r="V2220" s="1695">
        <f t="shared" si="326"/>
        <v>-1.4947117420769871</v>
      </c>
      <c r="W2220" s="1767">
        <f t="shared" si="330"/>
        <v>1.3883099112720361</v>
      </c>
      <c r="X2220" s="1695">
        <v>231</v>
      </c>
    </row>
    <row r="2221" spans="1:24" x14ac:dyDescent="0.2">
      <c r="A2221" s="1649" t="s">
        <v>256</v>
      </c>
      <c r="B2221" s="1677">
        <f>AVERAGE(W2218:W2224)</f>
        <v>1.3195652912325693</v>
      </c>
      <c r="C2221" s="1724">
        <v>45309</v>
      </c>
      <c r="D2221" s="1695">
        <v>8</v>
      </c>
      <c r="E2221" s="1696" t="s">
        <v>293</v>
      </c>
      <c r="F2221" s="1534" t="s">
        <v>143</v>
      </c>
      <c r="G2221" s="1697">
        <v>1.3356481481481483E-2</v>
      </c>
      <c r="H2221" s="1698">
        <v>3.19</v>
      </c>
      <c r="I2221" s="1699">
        <f t="shared" si="327"/>
        <v>4.1869847904330666E-3</v>
      </c>
      <c r="J2221" s="1700">
        <v>146</v>
      </c>
      <c r="K2221" s="1741">
        <v>26</v>
      </c>
      <c r="L2221" s="1578">
        <v>193</v>
      </c>
      <c r="M2221" s="1700">
        <v>0</v>
      </c>
      <c r="N2221" s="1701">
        <f t="shared" si="324"/>
        <v>1.0420717727974547</v>
      </c>
      <c r="O2221" s="1702" t="s">
        <v>345</v>
      </c>
      <c r="P2221" s="1635" t="str">
        <f>IFERROR(VLOOKUP(F2221,#REF!,12,FALSE),"")</f>
        <v/>
      </c>
      <c r="Q2221" s="1636" t="s">
        <v>8</v>
      </c>
      <c r="R2221" s="1703" t="str">
        <f>IFERROR(VLOOKUP(F2221,#REF!,14,FALSE),"")</f>
        <v/>
      </c>
      <c r="S2221" s="1704">
        <f t="shared" si="325"/>
        <v>1.321917808219178</v>
      </c>
      <c r="T2221" s="1379">
        <f t="shared" si="328"/>
        <v>16.940616221989174</v>
      </c>
      <c r="U2221" s="1379">
        <f t="shared" si="329"/>
        <v>11.469161656045216</v>
      </c>
      <c r="V2221" s="1695">
        <f t="shared" si="326"/>
        <v>-4.315967960924791</v>
      </c>
      <c r="W2221" s="1767">
        <f t="shared" si="330"/>
        <v>1.4770579341394181</v>
      </c>
      <c r="X2221" s="1695">
        <v>231</v>
      </c>
    </row>
    <row r="2222" spans="1:24" x14ac:dyDescent="0.2">
      <c r="A2222" s="1649" t="s">
        <v>336</v>
      </c>
      <c r="B2222" s="1713">
        <f>IFERROR(AVERAGE(N2218:N2224),"")</f>
        <v>1.06957005223359</v>
      </c>
      <c r="C2222" s="1724">
        <v>45310</v>
      </c>
      <c r="D2222" s="1695"/>
      <c r="E2222" s="1696"/>
      <c r="F2222" s="1550"/>
      <c r="G2222" s="1697"/>
      <c r="H2222" s="1698" t="str">
        <f>IFERROR(VLOOKUP(F2222,#REF!,10,FALSE),"")</f>
        <v/>
      </c>
      <c r="I2222" s="1699" t="str">
        <f t="shared" si="327"/>
        <v/>
      </c>
      <c r="J2222" s="1700"/>
      <c r="K2222" s="1741"/>
      <c r="L2222" s="1578"/>
      <c r="M2222" s="1700"/>
      <c r="N2222" s="1701" t="str">
        <f t="shared" si="324"/>
        <v/>
      </c>
      <c r="O2222" s="1702"/>
      <c r="P2222" s="1635" t="str">
        <f>IFERROR(VLOOKUP(F2222,#REF!,12,FALSE),"")</f>
        <v/>
      </c>
      <c r="Q2222" s="1636" t="s">
        <v>8</v>
      </c>
      <c r="R2222" s="1703" t="str">
        <f>IFERROR(VLOOKUP(F2222,#REF!,14,FALSE),"")</f>
        <v/>
      </c>
      <c r="S2222" s="1704" t="str">
        <f t="shared" si="325"/>
        <v/>
      </c>
      <c r="T2222" s="1379">
        <f t="shared" si="328"/>
        <v>14.520528190276435</v>
      </c>
      <c r="U2222" s="1379">
        <f t="shared" si="329"/>
        <v>11.196086378520331</v>
      </c>
      <c r="V2222" s="1695">
        <f t="shared" si="326"/>
        <v>-5.471454565943958</v>
      </c>
      <c r="W2222" s="1767">
        <f t="shared" si="330"/>
        <v>1.2969289177809524</v>
      </c>
      <c r="X2222" s="1695">
        <v>231</v>
      </c>
    </row>
    <row r="2223" spans="1:24" x14ac:dyDescent="0.2">
      <c r="A2223" s="1649" t="s">
        <v>337</v>
      </c>
      <c r="B2223" s="1681">
        <f>IFERROR(AVERAGE(S2218:S2224),"")</f>
        <v>1.4851975276089684</v>
      </c>
      <c r="C2223" s="1724">
        <v>45311</v>
      </c>
      <c r="D2223" s="1695"/>
      <c r="E2223" s="1696"/>
      <c r="F2223" s="1628"/>
      <c r="G2223" s="1697"/>
      <c r="H2223" s="1698" t="str">
        <f>IFERROR(VLOOKUP(F2223,#REF!,10,FALSE),"")</f>
        <v/>
      </c>
      <c r="I2223" s="1699" t="str">
        <f t="shared" si="327"/>
        <v/>
      </c>
      <c r="J2223" s="1700"/>
      <c r="K2223" s="1741"/>
      <c r="L2223" s="1578"/>
      <c r="M2223" s="1700"/>
      <c r="N2223" s="1701" t="str">
        <f t="shared" si="324"/>
        <v/>
      </c>
      <c r="O2223" s="1702"/>
      <c r="P2223" s="1635" t="str">
        <f>IFERROR(VLOOKUP(F2223,#REF!,12,FALSE),"")</f>
        <v/>
      </c>
      <c r="Q2223" s="1636" t="s">
        <v>8</v>
      </c>
      <c r="R2223" s="1703" t="str">
        <f>IFERROR(VLOOKUP(F2223,#REF!,14,FALSE),"")</f>
        <v/>
      </c>
      <c r="S2223" s="1704" t="str">
        <f t="shared" si="325"/>
        <v/>
      </c>
      <c r="T2223" s="1379">
        <f t="shared" si="328"/>
        <v>12.446167020236945</v>
      </c>
      <c r="U2223" s="1379">
        <f t="shared" si="329"/>
        <v>10.929512893317465</v>
      </c>
      <c r="V2223" s="1695">
        <f t="shared" si="326"/>
        <v>-3.3244418117561043</v>
      </c>
      <c r="W2223" s="1767">
        <f t="shared" si="330"/>
        <v>1.1387668546369341</v>
      </c>
      <c r="X2223" s="1695">
        <v>231</v>
      </c>
    </row>
    <row r="2224" spans="1:24" ht="16" thickBot="1" x14ac:dyDescent="0.25">
      <c r="A2224" s="1650" t="s">
        <v>5</v>
      </c>
      <c r="B2224" s="1678">
        <f>IFERROR(SUM(M2218:M2224),"")</f>
        <v>68</v>
      </c>
      <c r="C2224" s="1686">
        <v>45312</v>
      </c>
      <c r="D2224" s="683">
        <v>9</v>
      </c>
      <c r="E2224" s="684" t="s">
        <v>293</v>
      </c>
      <c r="F2224" s="1538" t="s">
        <v>343</v>
      </c>
      <c r="G2224" s="1361">
        <v>2.6030092592592594E-2</v>
      </c>
      <c r="H2224" s="1362">
        <v>6.41</v>
      </c>
      <c r="I2224" s="1363">
        <f t="shared" si="327"/>
        <v>4.0608568787195935E-3</v>
      </c>
      <c r="J2224" s="1364">
        <v>137</v>
      </c>
      <c r="K2224" s="1753">
        <v>49</v>
      </c>
      <c r="L2224" s="1705">
        <v>209</v>
      </c>
      <c r="M2224" s="1364">
        <v>23</v>
      </c>
      <c r="N2224" s="1365">
        <f t="shared" si="324"/>
        <v>1.0944675995995063</v>
      </c>
      <c r="O2224" s="1366" t="s">
        <v>346</v>
      </c>
      <c r="P2224" s="1706" t="str">
        <f>IFERROR(VLOOKUP(F2224,#REF!,12,FALSE),"")</f>
        <v/>
      </c>
      <c r="Q2224" s="1707" t="s">
        <v>8</v>
      </c>
      <c r="R2224" s="1708" t="str">
        <f>IFERROR(VLOOKUP(F2224,#REF!,14,FALSE),"")</f>
        <v/>
      </c>
      <c r="S2224" s="1191">
        <f t="shared" si="325"/>
        <v>1.5255474452554745</v>
      </c>
      <c r="T2224" s="1732">
        <f t="shared" si="328"/>
        <v>17.668143160203098</v>
      </c>
      <c r="U2224" s="1732">
        <f t="shared" si="329"/>
        <v>11.835953062524192</v>
      </c>
      <c r="V2224" s="683">
        <f t="shared" si="326"/>
        <v>-1.5166541269194802</v>
      </c>
      <c r="W2224" s="1768">
        <f t="shared" si="330"/>
        <v>1.4927520468246183</v>
      </c>
      <c r="X2224" s="683">
        <v>231</v>
      </c>
    </row>
    <row r="2225" spans="1:24" ht="16" thickBot="1" x14ac:dyDescent="0.25">
      <c r="A2225" s="1962">
        <f>WEEKNUM(C2225,1)</f>
        <v>4</v>
      </c>
      <c r="B2225" s="1963"/>
      <c r="C2225" s="1687">
        <v>45313</v>
      </c>
      <c r="D2225" s="1369">
        <v>10</v>
      </c>
      <c r="E2225" s="1370" t="s">
        <v>293</v>
      </c>
      <c r="F2225" s="1536" t="s">
        <v>323</v>
      </c>
      <c r="G2225" s="1371">
        <v>2.3356481481481482E-2</v>
      </c>
      <c r="H2225" s="1372">
        <v>5.48</v>
      </c>
      <c r="I2225" s="1373">
        <f t="shared" si="327"/>
        <v>4.2621316572046498E-3</v>
      </c>
      <c r="J2225" s="1374">
        <v>123</v>
      </c>
      <c r="K2225" s="1754">
        <v>21</v>
      </c>
      <c r="L2225" s="1577">
        <v>195</v>
      </c>
      <c r="M2225" s="1374">
        <v>24</v>
      </c>
      <c r="N2225" s="1375">
        <f t="shared" si="324"/>
        <v>1.0717670770236407</v>
      </c>
      <c r="O2225" s="1376" t="s">
        <v>340</v>
      </c>
      <c r="P2225" s="795" t="str">
        <f>IFERROR(VLOOKUP(F2225,#REF!,12,FALSE),"")</f>
        <v/>
      </c>
      <c r="Q2225" s="1254" t="s">
        <v>8</v>
      </c>
      <c r="R2225" s="1694" t="str">
        <f>IFERROR(VLOOKUP(F2225,#REF!,14,FALSE),"")</f>
        <v/>
      </c>
      <c r="S2225" s="1377">
        <f t="shared" si="325"/>
        <v>1.5853658536585367</v>
      </c>
      <c r="T2225" s="1369">
        <f t="shared" si="328"/>
        <v>18.144122708745513</v>
      </c>
      <c r="U2225" s="1369">
        <f t="shared" si="329"/>
        <v>12.054144656273616</v>
      </c>
      <c r="V2225" s="1369">
        <f t="shared" si="326"/>
        <v>-5.8321900976789056</v>
      </c>
      <c r="W2225" s="1766">
        <f t="shared" si="330"/>
        <v>1.5052185970990775</v>
      </c>
      <c r="X2225" s="1369">
        <v>231</v>
      </c>
    </row>
    <row r="2226" spans="1:24" x14ac:dyDescent="0.2">
      <c r="A2226" s="1648" t="s">
        <v>142</v>
      </c>
      <c r="B2226" s="1679">
        <f>SUM(H2225:H2231)</f>
        <v>28.519999999999996</v>
      </c>
      <c r="C2226" s="1724">
        <v>45314</v>
      </c>
      <c r="D2226" s="1695">
        <v>11</v>
      </c>
      <c r="E2226" s="1696" t="s">
        <v>293</v>
      </c>
      <c r="F2226" s="1534" t="s">
        <v>143</v>
      </c>
      <c r="G2226" s="1697">
        <v>2.837962962962963E-2</v>
      </c>
      <c r="H2226" s="1698">
        <v>7.17</v>
      </c>
      <c r="I2226" s="1699">
        <f t="shared" si="327"/>
        <v>3.9581073402551788E-3</v>
      </c>
      <c r="J2226" s="1700">
        <v>140</v>
      </c>
      <c r="K2226" s="1741">
        <v>60</v>
      </c>
      <c r="L2226" s="1578">
        <v>210</v>
      </c>
      <c r="M2226" s="1700">
        <v>27</v>
      </c>
      <c r="N2226" s="1701">
        <f t="shared" si="324"/>
        <v>1.0718790982326862</v>
      </c>
      <c r="O2226" s="1702" t="s">
        <v>345</v>
      </c>
      <c r="P2226" s="1635" t="str">
        <f>IFERROR(VLOOKUP(F2226,#REF!,12,FALSE),"")</f>
        <v/>
      </c>
      <c r="Q2226" s="1636" t="s">
        <v>8</v>
      </c>
      <c r="R2226" s="1703" t="str">
        <f>IFERROR(VLOOKUP(F2226,#REF!,14,FALSE),"")</f>
        <v/>
      </c>
      <c r="S2226" s="1704">
        <f t="shared" si="325"/>
        <v>1.5</v>
      </c>
      <c r="T2226" s="1739">
        <f t="shared" si="328"/>
        <v>24.123533750353296</v>
      </c>
      <c r="U2226" s="1739">
        <f t="shared" si="329"/>
        <v>13.195712640648054</v>
      </c>
      <c r="V2226" s="1695">
        <f t="shared" si="326"/>
        <v>-6.0899780524718974</v>
      </c>
      <c r="W2226" s="1767">
        <f t="shared" si="330"/>
        <v>1.8281342135356295</v>
      </c>
      <c r="X2226" s="1695">
        <v>215</v>
      </c>
    </row>
    <row r="2227" spans="1:24" x14ac:dyDescent="0.2">
      <c r="A2227" s="1649" t="s">
        <v>347</v>
      </c>
      <c r="B2227" s="1680">
        <f>SUM(K2225:K2231)</f>
        <v>238</v>
      </c>
      <c r="C2227" s="1724">
        <v>45315</v>
      </c>
      <c r="D2227" s="1695"/>
      <c r="E2227" s="1696"/>
      <c r="F2227" s="1534"/>
      <c r="G2227" s="1697"/>
      <c r="H2227" s="1698" t="str">
        <f>IFERROR(VLOOKUP(F2227,#REF!,10,FALSE),"")</f>
        <v/>
      </c>
      <c r="I2227" s="1699" t="str">
        <f t="shared" si="327"/>
        <v/>
      </c>
      <c r="J2227" s="1700"/>
      <c r="K2227" s="1741"/>
      <c r="L2227" s="1578"/>
      <c r="M2227" s="1700"/>
      <c r="N2227" s="1701" t="str">
        <f t="shared" si="324"/>
        <v/>
      </c>
      <c r="O2227" s="1702"/>
      <c r="P2227" s="1635" t="str">
        <f>IFERROR(VLOOKUP(F2227,#REF!,12,FALSE),"")</f>
        <v/>
      </c>
      <c r="Q2227" s="1636" t="s">
        <v>8</v>
      </c>
      <c r="R2227" s="1703" t="str">
        <f>IFERROR(VLOOKUP(F2227,#REF!,14,FALSE),"")</f>
        <v/>
      </c>
      <c r="S2227" s="1704" t="str">
        <f t="shared" si="325"/>
        <v/>
      </c>
      <c r="T2227" s="1739">
        <f t="shared" si="328"/>
        <v>20.677314643159967</v>
      </c>
      <c r="U2227" s="1739">
        <f t="shared" si="329"/>
        <v>12.881529006346909</v>
      </c>
      <c r="V2227" s="1695">
        <f t="shared" si="326"/>
        <v>-10.927821109705242</v>
      </c>
      <c r="W2227" s="1767">
        <f t="shared" si="330"/>
        <v>1.6051910167629919</v>
      </c>
      <c r="X2227" s="1695">
        <v>215</v>
      </c>
    </row>
    <row r="2228" spans="1:24" x14ac:dyDescent="0.2">
      <c r="A2228" s="1649" t="s">
        <v>256</v>
      </c>
      <c r="B2228" s="1677">
        <f>AVERAGE(W2225:W2231)</f>
        <v>1.7539176824650038</v>
      </c>
      <c r="C2228" s="1724">
        <v>45316</v>
      </c>
      <c r="D2228" s="1695">
        <v>12</v>
      </c>
      <c r="E2228" s="1696" t="s">
        <v>293</v>
      </c>
      <c r="F2228" s="1534" t="s">
        <v>323</v>
      </c>
      <c r="G2228" s="1697">
        <v>2.314814814814815E-2</v>
      </c>
      <c r="H2228" s="1698">
        <v>5.5</v>
      </c>
      <c r="I2228" s="1699">
        <f t="shared" si="327"/>
        <v>4.2087542087542095E-3</v>
      </c>
      <c r="J2228" s="1700">
        <v>126</v>
      </c>
      <c r="K2228" s="1741">
        <v>42</v>
      </c>
      <c r="L2228" s="1578">
        <v>193</v>
      </c>
      <c r="M2228" s="1700">
        <v>21</v>
      </c>
      <c r="N2228" s="1701">
        <f t="shared" si="324"/>
        <v>1.0474898236092267</v>
      </c>
      <c r="O2228" s="1702" t="s">
        <v>333</v>
      </c>
      <c r="P2228" s="1635" t="str">
        <f>IFERROR(VLOOKUP(F2228,#REF!,12,FALSE),"")</f>
        <v/>
      </c>
      <c r="Q2228" s="1636" t="s">
        <v>8</v>
      </c>
      <c r="R2228" s="1703" t="str">
        <f>IFERROR(VLOOKUP(F2228,#REF!,14,FALSE),"")</f>
        <v/>
      </c>
      <c r="S2228" s="1704">
        <f t="shared" si="325"/>
        <v>1.5317460317460319</v>
      </c>
      <c r="T2228" s="1739">
        <f t="shared" si="328"/>
        <v>23.723412551279971</v>
      </c>
      <c r="U2228" s="1739">
        <f t="shared" si="329"/>
        <v>13.574825934767221</v>
      </c>
      <c r="V2228" s="1695">
        <f t="shared" si="326"/>
        <v>-7.7957856368130578</v>
      </c>
      <c r="W2228" s="1767">
        <f t="shared" si="330"/>
        <v>1.7476034437038825</v>
      </c>
      <c r="X2228" s="1695">
        <v>215</v>
      </c>
    </row>
    <row r="2229" spans="1:24" x14ac:dyDescent="0.2">
      <c r="A2229" s="1649" t="s">
        <v>336</v>
      </c>
      <c r="B2229" s="1713">
        <f>IFERROR(AVERAGE(N2225:N2231),"")</f>
        <v>1.0641493763049981</v>
      </c>
      <c r="C2229" s="1724">
        <v>45317</v>
      </c>
      <c r="D2229" s="1695"/>
      <c r="E2229" s="1696"/>
      <c r="F2229" s="1550"/>
      <c r="G2229" s="1697"/>
      <c r="H2229" s="1698" t="str">
        <f>IFERROR(VLOOKUP(F2229,#REF!,10,FALSE),"")</f>
        <v/>
      </c>
      <c r="I2229" s="1699" t="str">
        <f t="shared" si="327"/>
        <v/>
      </c>
      <c r="J2229" s="1700"/>
      <c r="K2229" s="1741"/>
      <c r="L2229" s="1578"/>
      <c r="M2229" s="1700"/>
      <c r="N2229" s="1701" t="str">
        <f t="shared" si="324"/>
        <v/>
      </c>
      <c r="O2229" s="1702"/>
      <c r="P2229" s="1635" t="str">
        <f>IFERROR(VLOOKUP(F2229,#REF!,12,FALSE),"")</f>
        <v/>
      </c>
      <c r="Q2229" s="1636" t="s">
        <v>8</v>
      </c>
      <c r="R2229" s="1703" t="str">
        <f>IFERROR(VLOOKUP(F2229,#REF!,14,FALSE),"")</f>
        <v/>
      </c>
      <c r="S2229" s="1704" t="str">
        <f t="shared" si="325"/>
        <v/>
      </c>
      <c r="T2229" s="1739">
        <f t="shared" si="328"/>
        <v>20.334353615382831</v>
      </c>
      <c r="U2229" s="1739">
        <f t="shared" si="329"/>
        <v>13.251615793463239</v>
      </c>
      <c r="V2229" s="1695">
        <f t="shared" si="326"/>
        <v>-10.14858661651275</v>
      </c>
      <c r="W2229" s="1767">
        <f t="shared" si="330"/>
        <v>1.534481072520482</v>
      </c>
      <c r="X2229" s="1695">
        <v>215</v>
      </c>
    </row>
    <row r="2230" spans="1:24" x14ac:dyDescent="0.2">
      <c r="A2230" s="1649" t="s">
        <v>337</v>
      </c>
      <c r="B2230" s="1681">
        <f>IFERROR(AVERAGE(S2225:S2231),"")</f>
        <v>1.5104423549127861</v>
      </c>
      <c r="C2230" s="1651">
        <v>45318</v>
      </c>
      <c r="D2230" s="1695">
        <v>13</v>
      </c>
      <c r="E2230" s="1696" t="s">
        <v>293</v>
      </c>
      <c r="F2230" s="1628" t="s">
        <v>143</v>
      </c>
      <c r="G2230" s="1697">
        <v>4.1192129629629634E-2</v>
      </c>
      <c r="H2230" s="1698">
        <v>10.37</v>
      </c>
      <c r="I2230" s="1699">
        <f t="shared" si="327"/>
        <v>3.9722400800028578E-3</v>
      </c>
      <c r="J2230" s="1700">
        <v>146</v>
      </c>
      <c r="K2230" s="1741">
        <v>115</v>
      </c>
      <c r="L2230" s="1578">
        <v>208</v>
      </c>
      <c r="M2230" s="1700">
        <v>30</v>
      </c>
      <c r="N2230" s="1701">
        <f t="shared" si="324"/>
        <v>1.0654615063544384</v>
      </c>
      <c r="O2230" s="1702" t="s">
        <v>345</v>
      </c>
      <c r="P2230" s="1635" t="str">
        <f>IFERROR(VLOOKUP(F2230,#REF!,12,FALSE),"")</f>
        <v/>
      </c>
      <c r="Q2230" s="1636" t="s">
        <v>8</v>
      </c>
      <c r="R2230" s="1703" t="str">
        <f>IFERROR(VLOOKUP(F2230,#REF!,14,FALSE),"")</f>
        <v/>
      </c>
      <c r="S2230" s="1704">
        <f t="shared" si="325"/>
        <v>1.4246575342465753</v>
      </c>
      <c r="T2230" s="1739">
        <f t="shared" si="328"/>
        <v>33.858017384613852</v>
      </c>
      <c r="U2230" s="1739">
        <f t="shared" si="329"/>
        <v>15.674196369809351</v>
      </c>
      <c r="V2230" s="1695">
        <f t="shared" si="326"/>
        <v>-7.0827378219195918</v>
      </c>
      <c r="W2230" s="1767">
        <f t="shared" si="330"/>
        <v>2.1601118542720972</v>
      </c>
      <c r="X2230" s="1695">
        <v>254</v>
      </c>
    </row>
    <row r="2231" spans="1:24" ht="16" thickBot="1" x14ac:dyDescent="0.25">
      <c r="A2231" s="1650" t="s">
        <v>5</v>
      </c>
      <c r="B2231" s="1678">
        <f>IFERROR(SUM(M2225:M2231),"")</f>
        <v>102</v>
      </c>
      <c r="C2231" s="1360">
        <v>45319</v>
      </c>
      <c r="D2231" s="683"/>
      <c r="E2231" s="684"/>
      <c r="F2231" s="1538"/>
      <c r="G2231" s="1361"/>
      <c r="H2231" s="1362" t="str">
        <f>IFERROR(VLOOKUP(F2231,#REF!,10,FALSE),"")</f>
        <v/>
      </c>
      <c r="I2231" s="1363" t="str">
        <f t="shared" si="327"/>
        <v/>
      </c>
      <c r="J2231" s="1364"/>
      <c r="K2231" s="1752"/>
      <c r="L2231" s="1705"/>
      <c r="M2231" s="1364"/>
      <c r="N2231" s="1365" t="str">
        <f t="shared" si="324"/>
        <v/>
      </c>
      <c r="O2231" s="1366"/>
      <c r="P2231" s="1706" t="str">
        <f>IFERROR(VLOOKUP(F2231,#REF!,12,FALSE),"")</f>
        <v/>
      </c>
      <c r="Q2231" s="1707" t="s">
        <v>8</v>
      </c>
      <c r="R2231" s="1708" t="str">
        <f>IFERROR(VLOOKUP(F2231,#REF!,14,FALSE),"")</f>
        <v/>
      </c>
      <c r="S2231" s="1191" t="str">
        <f t="shared" si="325"/>
        <v/>
      </c>
      <c r="T2231" s="1731">
        <f t="shared" si="328"/>
        <v>29.021157758240445</v>
      </c>
      <c r="U2231" s="1731">
        <f t="shared" si="329"/>
        <v>15.301001218147224</v>
      </c>
      <c r="V2231" s="683">
        <f t="shared" si="326"/>
        <v>-18.183821014804501</v>
      </c>
      <c r="W2231" s="1768">
        <f>T2231/U2231</f>
        <v>1.8966835793608658</v>
      </c>
      <c r="X2231" s="683">
        <v>254</v>
      </c>
    </row>
    <row r="2232" spans="1:24" ht="16" thickBot="1" x14ac:dyDescent="0.25">
      <c r="A2232" s="1962">
        <f>WEEKNUM(C2232,1)</f>
        <v>5</v>
      </c>
      <c r="B2232" s="1963"/>
      <c r="C2232" s="1368">
        <v>45320</v>
      </c>
      <c r="D2232" s="1369">
        <v>14</v>
      </c>
      <c r="E2232" s="1370" t="s">
        <v>293</v>
      </c>
      <c r="F2232" s="1536" t="s">
        <v>323</v>
      </c>
      <c r="G2232" s="1371">
        <v>2.3460648148148147E-2</v>
      </c>
      <c r="H2232" s="1372">
        <v>5.47</v>
      </c>
      <c r="I2232" s="1373">
        <f t="shared" si="327"/>
        <v>4.2889667546888756E-3</v>
      </c>
      <c r="J2232" s="1374">
        <v>119</v>
      </c>
      <c r="K2232" s="1740">
        <v>24</v>
      </c>
      <c r="L2232" s="1577">
        <v>193</v>
      </c>
      <c r="M2232" s="1374">
        <v>18</v>
      </c>
      <c r="N2232" s="1375">
        <f t="shared" si="324"/>
        <v>1.0674534093699692</v>
      </c>
      <c r="O2232" s="1376" t="s">
        <v>333</v>
      </c>
      <c r="P2232" s="795" t="str">
        <f>IFERROR(VLOOKUP(F2232,#REF!,12,FALSE),"")</f>
        <v/>
      </c>
      <c r="Q2232" s="1254" t="s">
        <v>8</v>
      </c>
      <c r="R2232" s="1694" t="str">
        <f>IFERROR(VLOOKUP(F2232,#REF!,14,FALSE),"")</f>
        <v/>
      </c>
      <c r="S2232" s="1377">
        <f t="shared" si="325"/>
        <v>1.6218487394957983</v>
      </c>
      <c r="T2232" s="70">
        <f t="shared" si="328"/>
        <v>28.303849507063237</v>
      </c>
      <c r="U2232" s="70">
        <f t="shared" si="329"/>
        <v>15.508120236762766</v>
      </c>
      <c r="V2232" s="1369">
        <f t="shared" si="326"/>
        <v>-13.720156540093221</v>
      </c>
      <c r="W2232" s="1766">
        <f t="shared" si="330"/>
        <v>1.8250986628261729</v>
      </c>
      <c r="X2232" s="1369">
        <v>254</v>
      </c>
    </row>
    <row r="2233" spans="1:24" x14ac:dyDescent="0.2">
      <c r="A2233" s="1648" t="s">
        <v>142</v>
      </c>
      <c r="B2233" s="1679">
        <f>SUM(H2232:H2238)</f>
        <v>26.980000000000004</v>
      </c>
      <c r="C2233" s="1651">
        <v>45321</v>
      </c>
      <c r="D2233" s="1695">
        <v>15</v>
      </c>
      <c r="E2233" s="1696" t="s">
        <v>293</v>
      </c>
      <c r="F2233" s="1534" t="s">
        <v>323</v>
      </c>
      <c r="G2233" s="1697">
        <v>2.3703703703703703E-2</v>
      </c>
      <c r="H2233" s="1698">
        <v>5.49</v>
      </c>
      <c r="I2233" s="1699">
        <f t="shared" si="327"/>
        <v>4.3176145179788161E-3</v>
      </c>
      <c r="J2233" s="1700">
        <v>125</v>
      </c>
      <c r="K2233" s="1741">
        <v>23</v>
      </c>
      <c r="L2233" s="1578">
        <v>192</v>
      </c>
      <c r="M2233" s="1700">
        <v>24</v>
      </c>
      <c r="N2233" s="1701">
        <f t="shared" si="324"/>
        <v>1.0690155778484625</v>
      </c>
      <c r="O2233" s="1702" t="s">
        <v>340</v>
      </c>
      <c r="P2233" s="1635" t="str">
        <f>IFERROR(VLOOKUP(F2233,#REF!,12,FALSE),"")</f>
        <v/>
      </c>
      <c r="Q2233" s="1636" t="s">
        <v>8</v>
      </c>
      <c r="R2233" s="1703" t="str">
        <f>IFERROR(VLOOKUP(F2233,#REF!,14,FALSE),"")</f>
        <v/>
      </c>
      <c r="S2233" s="1704">
        <f t="shared" si="325"/>
        <v>1.536</v>
      </c>
      <c r="T2233" s="1379">
        <f t="shared" si="328"/>
        <v>27.546156720339919</v>
      </c>
      <c r="U2233" s="1379">
        <f t="shared" si="329"/>
        <v>15.686498326363653</v>
      </c>
      <c r="V2233" s="1695">
        <f t="shared" si="326"/>
        <v>-12.795729270300471</v>
      </c>
      <c r="W2233" s="1767">
        <f t="shared" si="330"/>
        <v>1.7560424351714128</v>
      </c>
      <c r="X2233" s="1695">
        <v>254</v>
      </c>
    </row>
    <row r="2234" spans="1:24" x14ac:dyDescent="0.2">
      <c r="A2234" s="1649" t="s">
        <v>347</v>
      </c>
      <c r="B2234" s="1680">
        <f>SUM(K2232:K2238)</f>
        <v>137</v>
      </c>
      <c r="C2234" s="1651">
        <v>45322</v>
      </c>
      <c r="D2234" s="1695">
        <v>16</v>
      </c>
      <c r="E2234" s="1696" t="s">
        <v>293</v>
      </c>
      <c r="F2234" s="1534" t="s">
        <v>348</v>
      </c>
      <c r="G2234" s="1697">
        <v>4.0752314814814811E-2</v>
      </c>
      <c r="H2234" s="1698">
        <v>10.56</v>
      </c>
      <c r="I2234" s="1699">
        <f t="shared" si="327"/>
        <v>3.859120721099887E-3</v>
      </c>
      <c r="J2234" s="1700">
        <v>140</v>
      </c>
      <c r="K2234" s="1741">
        <v>65</v>
      </c>
      <c r="L2234" s="1578">
        <v>213</v>
      </c>
      <c r="M2234" s="1700">
        <v>32</v>
      </c>
      <c r="N2234" s="1701">
        <f t="shared" ref="N2234:N2297" si="331">IFERROR((L2234/67)/(1/(I2234*24)/3.6),"")</f>
        <v>1.0600025440976932</v>
      </c>
      <c r="O2234" s="1702" t="s">
        <v>345</v>
      </c>
      <c r="P2234" s="1635" t="str">
        <f>IFERROR(VLOOKUP(F2234,#REF!,12,FALSE),"")</f>
        <v/>
      </c>
      <c r="Q2234" s="1636" t="s">
        <v>8</v>
      </c>
      <c r="R2234" s="1703" t="str">
        <f>IFERROR(VLOOKUP(F2234,#REF!,14,FALSE),"")</f>
        <v/>
      </c>
      <c r="S2234" s="1704">
        <f t="shared" ref="S2234:S2297" si="332">IFERROR(L2234/J2234,"")</f>
        <v>1.5214285714285714</v>
      </c>
      <c r="T2234" s="1379">
        <f t="shared" si="328"/>
        <v>32.896705760291361</v>
      </c>
      <c r="U2234" s="1379">
        <f t="shared" si="329"/>
        <v>16.860629318593091</v>
      </c>
      <c r="V2234" s="1695">
        <f t="shared" ref="V2234:V2297" si="333">U2233-T2233</f>
        <v>-11.859658393976266</v>
      </c>
      <c r="W2234" s="1767">
        <f t="shared" si="330"/>
        <v>1.9510959608141349</v>
      </c>
      <c r="X2234" s="1695">
        <v>254</v>
      </c>
    </row>
    <row r="2235" spans="1:24" x14ac:dyDescent="0.2">
      <c r="A2235" s="1649" t="s">
        <v>256</v>
      </c>
      <c r="B2235" s="1677">
        <f>AVERAGE(W2232:W2238)</f>
        <v>1.6650832263716704</v>
      </c>
      <c r="C2235" s="1651">
        <v>45323</v>
      </c>
      <c r="D2235" s="1695"/>
      <c r="E2235" s="1696"/>
      <c r="F2235" s="1534"/>
      <c r="G2235" s="1697"/>
      <c r="H2235" s="1698" t="str">
        <f>IFERROR(VLOOKUP(F2235,#REF!,10,FALSE),"")</f>
        <v/>
      </c>
      <c r="I2235" s="1699" t="str">
        <f t="shared" si="327"/>
        <v/>
      </c>
      <c r="J2235" s="1700"/>
      <c r="K2235" s="1741"/>
      <c r="L2235" s="1578"/>
      <c r="M2235" s="1700"/>
      <c r="N2235" s="1701" t="str">
        <f t="shared" si="331"/>
        <v/>
      </c>
      <c r="O2235" s="1702"/>
      <c r="P2235" s="1635" t="str">
        <f>IFERROR(VLOOKUP(F2235,#REF!,12,FALSE),"")</f>
        <v/>
      </c>
      <c r="Q2235" s="1636" t="s">
        <v>8</v>
      </c>
      <c r="R2235" s="1703" t="str">
        <f>IFERROR(VLOOKUP(F2235,#REF!,14,FALSE),"")</f>
        <v/>
      </c>
      <c r="S2235" s="1704" t="str">
        <f t="shared" si="332"/>
        <v/>
      </c>
      <c r="T2235" s="1379">
        <f t="shared" si="328"/>
        <v>28.197176365964026</v>
      </c>
      <c r="U2235" s="1379">
        <f t="shared" si="329"/>
        <v>16.459185763388493</v>
      </c>
      <c r="V2235" s="1695">
        <f t="shared" si="333"/>
        <v>-16.03607644169827</v>
      </c>
      <c r="W2235" s="1767">
        <f t="shared" si="330"/>
        <v>1.7131574290075333</v>
      </c>
      <c r="X2235" s="1695">
        <v>254</v>
      </c>
    </row>
    <row r="2236" spans="1:24" x14ac:dyDescent="0.2">
      <c r="A2236" s="1649" t="s">
        <v>336</v>
      </c>
      <c r="B2236" s="1713">
        <f>IFERROR(AVERAGE(N2232:N2238),"")</f>
        <v>1.0636434691829759</v>
      </c>
      <c r="C2236" s="1651">
        <v>45324</v>
      </c>
      <c r="D2236" s="1695">
        <v>17</v>
      </c>
      <c r="E2236" s="1696" t="s">
        <v>293</v>
      </c>
      <c r="F2236" s="1534" t="s">
        <v>323</v>
      </c>
      <c r="G2236" s="1697">
        <v>2.297453703703704E-2</v>
      </c>
      <c r="H2236" s="1698">
        <v>5.46</v>
      </c>
      <c r="I2236" s="1699">
        <f t="shared" si="327"/>
        <v>4.207790666124E-3</v>
      </c>
      <c r="J2236" s="1700">
        <v>122</v>
      </c>
      <c r="K2236" s="1741">
        <v>25</v>
      </c>
      <c r="L2236" s="1578">
        <v>195</v>
      </c>
      <c r="M2236" s="1700">
        <v>21</v>
      </c>
      <c r="N2236" s="1701">
        <f t="shared" si="331"/>
        <v>1.0581023454157785</v>
      </c>
      <c r="O2236" s="1702" t="s">
        <v>340</v>
      </c>
      <c r="P2236" s="1635" t="str">
        <f>IFERROR(VLOOKUP(F2236,#REF!,12,FALSE),"")</f>
        <v/>
      </c>
      <c r="Q2236" s="1636" t="s">
        <v>8</v>
      </c>
      <c r="R2236" s="1703" t="str">
        <f>IFERROR(VLOOKUP(F2236,#REF!,14,FALSE),"")</f>
        <v/>
      </c>
      <c r="S2236" s="1704">
        <f t="shared" si="332"/>
        <v>1.598360655737705</v>
      </c>
      <c r="T2236" s="1379">
        <f t="shared" si="328"/>
        <v>27.740436885112022</v>
      </c>
      <c r="U2236" s="1379">
        <f t="shared" si="329"/>
        <v>16.662538483307817</v>
      </c>
      <c r="V2236" s="1695">
        <f t="shared" si="333"/>
        <v>-11.737990602575533</v>
      </c>
      <c r="W2236" s="1767">
        <f t="shared" si="330"/>
        <v>1.6648385786416524</v>
      </c>
      <c r="X2236" s="1695">
        <v>254</v>
      </c>
    </row>
    <row r="2237" spans="1:24" x14ac:dyDescent="0.2">
      <c r="A2237" s="1649" t="s">
        <v>337</v>
      </c>
      <c r="B2237" s="1681">
        <f>IFERROR(AVERAGE(S2232:S2238),"")</f>
        <v>1.5694094916655188</v>
      </c>
      <c r="C2237" s="1651">
        <v>45325</v>
      </c>
      <c r="D2237" s="1695"/>
      <c r="E2237" s="1696"/>
      <c r="F2237" s="1628"/>
      <c r="G2237" s="1697"/>
      <c r="H2237" s="1698"/>
      <c r="I2237" s="1699" t="str">
        <f t="shared" si="327"/>
        <v/>
      </c>
      <c r="J2237" s="1700"/>
      <c r="K2237" s="1741"/>
      <c r="L2237" s="1578"/>
      <c r="M2237" s="1700"/>
      <c r="N2237" s="1701" t="str">
        <f t="shared" si="331"/>
        <v/>
      </c>
      <c r="O2237" s="1702"/>
      <c r="P2237" s="1635" t="str">
        <f>IFERROR(VLOOKUP(F2237,#REF!,12,FALSE),"")</f>
        <v/>
      </c>
      <c r="Q2237" s="1636" t="s">
        <v>8</v>
      </c>
      <c r="R2237" s="1703" t="str">
        <f>IFERROR(VLOOKUP(F2237,#REF!,14,FALSE),"")</f>
        <v/>
      </c>
      <c r="S2237" s="1704" t="str">
        <f t="shared" si="332"/>
        <v/>
      </c>
      <c r="T2237" s="1379">
        <f t="shared" si="328"/>
        <v>23.777517330096018</v>
      </c>
      <c r="U2237" s="1379">
        <f t="shared" si="329"/>
        <v>16.265811376562393</v>
      </c>
      <c r="V2237" s="1695">
        <f t="shared" si="333"/>
        <v>-11.077898401804205</v>
      </c>
      <c r="W2237" s="1767">
        <f t="shared" si="330"/>
        <v>1.4618094836853532</v>
      </c>
      <c r="X2237" s="1695">
        <v>254</v>
      </c>
    </row>
    <row r="2238" spans="1:24" ht="16" thickBot="1" x14ac:dyDescent="0.25">
      <c r="A2238" s="1650" t="s">
        <v>5</v>
      </c>
      <c r="B2238" s="1678">
        <f>IFERROR(SUM(M2232:M2238),"")</f>
        <v>95</v>
      </c>
      <c r="C2238" s="1360">
        <v>45326</v>
      </c>
      <c r="D2238" s="683"/>
      <c r="E2238" s="684"/>
      <c r="F2238" s="1538"/>
      <c r="G2238" s="1361"/>
      <c r="H2238" s="1362" t="str">
        <f>IFERROR(VLOOKUP(F2238,#REF!,10,FALSE),"")</f>
        <v/>
      </c>
      <c r="I2238" s="1363" t="str">
        <f t="shared" si="327"/>
        <v/>
      </c>
      <c r="J2238" s="1364"/>
      <c r="K2238" s="1753"/>
      <c r="L2238" s="1705"/>
      <c r="M2238" s="1364"/>
      <c r="N2238" s="1365" t="str">
        <f t="shared" si="331"/>
        <v/>
      </c>
      <c r="O2238" s="1366"/>
      <c r="P2238" s="1706" t="str">
        <f>IFERROR(VLOOKUP(F2238,#REF!,12,FALSE),"")</f>
        <v/>
      </c>
      <c r="Q2238" s="1707" t="s">
        <v>8</v>
      </c>
      <c r="R2238" s="1708" t="str">
        <f>IFERROR(VLOOKUP(F2238,#REF!,14,FALSE),"")</f>
        <v/>
      </c>
      <c r="S2238" s="1191" t="str">
        <f t="shared" si="332"/>
        <v/>
      </c>
      <c r="T2238" s="1732">
        <f t="shared" si="328"/>
        <v>20.380729140082302</v>
      </c>
      <c r="U2238" s="1732">
        <f t="shared" si="329"/>
        <v>15.878530153310907</v>
      </c>
      <c r="V2238" s="683">
        <f t="shared" si="333"/>
        <v>-7.5117059535336246</v>
      </c>
      <c r="W2238" s="1768">
        <f t="shared" si="330"/>
        <v>1.2835400344554322</v>
      </c>
      <c r="X2238" s="683">
        <v>254</v>
      </c>
    </row>
    <row r="2239" spans="1:24" ht="16" thickBot="1" x14ac:dyDescent="0.25">
      <c r="A2239" s="1962">
        <f>WEEKNUM(C2239,1)</f>
        <v>6</v>
      </c>
      <c r="B2239" s="1963"/>
      <c r="C2239" s="1368">
        <v>45327</v>
      </c>
      <c r="D2239" s="1369">
        <v>18</v>
      </c>
      <c r="E2239" s="1370" t="s">
        <v>293</v>
      </c>
      <c r="F2239" s="1534" t="s">
        <v>343</v>
      </c>
      <c r="G2239" s="1371">
        <v>2.6678240740740738E-2</v>
      </c>
      <c r="H2239" s="1372">
        <v>6.33</v>
      </c>
      <c r="I2239" s="1373">
        <f t="shared" si="327"/>
        <v>4.2145719969574622E-3</v>
      </c>
      <c r="J2239" s="1374">
        <v>123</v>
      </c>
      <c r="K2239" s="1754">
        <v>32</v>
      </c>
      <c r="L2239" s="1577">
        <v>202</v>
      </c>
      <c r="M2239" s="1374">
        <v>15</v>
      </c>
      <c r="N2239" s="1375">
        <f t="shared" si="331"/>
        <v>1.0978519723656597</v>
      </c>
      <c r="O2239" s="1376" t="s">
        <v>346</v>
      </c>
      <c r="P2239" s="795" t="str">
        <f>IFERROR(VLOOKUP(F2239,#REF!,12,FALSE),"")</f>
        <v/>
      </c>
      <c r="Q2239" s="1254" t="s">
        <v>8</v>
      </c>
      <c r="R2239" s="1694" t="str">
        <f>IFERROR(VLOOKUP(F2239,#REF!,14,FALSE),"")</f>
        <v/>
      </c>
      <c r="S2239" s="1377">
        <f t="shared" si="332"/>
        <v>1.6422764227642277</v>
      </c>
      <c r="T2239" s="1369">
        <f t="shared" si="328"/>
        <v>22.040624977213401</v>
      </c>
      <c r="U2239" s="1369">
        <f t="shared" si="329"/>
        <v>16.26237467347017</v>
      </c>
      <c r="V2239" s="1369">
        <f t="shared" si="333"/>
        <v>-4.5021989867713952</v>
      </c>
      <c r="W2239" s="1766">
        <f t="shared" si="330"/>
        <v>1.3553140558967476</v>
      </c>
      <c r="X2239" s="1369">
        <v>254</v>
      </c>
    </row>
    <row r="2240" spans="1:24" x14ac:dyDescent="0.2">
      <c r="A2240" s="1648" t="s">
        <v>142</v>
      </c>
      <c r="B2240" s="1679">
        <f>SUM(H2239:H2245)</f>
        <v>40.270000000000003</v>
      </c>
      <c r="C2240" s="1651">
        <v>45328</v>
      </c>
      <c r="D2240" s="1695">
        <v>19</v>
      </c>
      <c r="E2240" s="1696" t="s">
        <v>293</v>
      </c>
      <c r="F2240" s="1534" t="s">
        <v>323</v>
      </c>
      <c r="G2240" s="1697">
        <v>2.3113425925925926E-2</v>
      </c>
      <c r="H2240" s="1698">
        <v>5.42</v>
      </c>
      <c r="I2240" s="1699">
        <f t="shared" si="327"/>
        <v>4.264469728030614E-3</v>
      </c>
      <c r="J2240" s="1700">
        <v>141</v>
      </c>
      <c r="K2240" s="1741">
        <v>24</v>
      </c>
      <c r="L2240" s="1578">
        <v>195</v>
      </c>
      <c r="M2240" s="1700">
        <v>20</v>
      </c>
      <c r="N2240" s="1701">
        <f t="shared" si="331"/>
        <v>1.0723550145949221</v>
      </c>
      <c r="O2240" s="1702" t="s">
        <v>340</v>
      </c>
      <c r="P2240" s="1635" t="str">
        <f>IFERROR(VLOOKUP(F2240,#REF!,12,FALSE),"")</f>
        <v/>
      </c>
      <c r="Q2240" s="1636" t="s">
        <v>8</v>
      </c>
      <c r="R2240" s="1703" t="str">
        <f>IFERROR(VLOOKUP(F2240,#REF!,14,FALSE),"")</f>
        <v/>
      </c>
      <c r="S2240" s="1704">
        <f t="shared" si="332"/>
        <v>1.3829787234042554</v>
      </c>
      <c r="T2240" s="1730">
        <f t="shared" si="328"/>
        <v>22.320535694754344</v>
      </c>
      <c r="U2240" s="1730">
        <f t="shared" si="329"/>
        <v>16.446603847911355</v>
      </c>
      <c r="V2240" s="1695">
        <f t="shared" si="333"/>
        <v>-5.7782503037432313</v>
      </c>
      <c r="W2240" s="1767">
        <f t="shared" si="330"/>
        <v>1.3571516588568497</v>
      </c>
      <c r="X2240" s="1695">
        <v>254</v>
      </c>
    </row>
    <row r="2241" spans="1:24" x14ac:dyDescent="0.2">
      <c r="A2241" s="1649" t="s">
        <v>347</v>
      </c>
      <c r="B2241" s="1680">
        <f>SUM(K2239:K2245)</f>
        <v>202</v>
      </c>
      <c r="C2241" s="1651">
        <v>45329</v>
      </c>
      <c r="D2241" s="1695">
        <v>20</v>
      </c>
      <c r="E2241" s="1696" t="s">
        <v>293</v>
      </c>
      <c r="F2241" s="1534" t="s">
        <v>351</v>
      </c>
      <c r="G2241" s="1697">
        <v>3.6527777777777777E-2</v>
      </c>
      <c r="H2241" s="1698">
        <v>9.25</v>
      </c>
      <c r="I2241" s="1699">
        <f t="shared" si="327"/>
        <v>3.9489489489489488E-3</v>
      </c>
      <c r="J2241" s="1700">
        <v>138</v>
      </c>
      <c r="K2241" s="1741">
        <v>57</v>
      </c>
      <c r="L2241" s="1578">
        <v>212</v>
      </c>
      <c r="M2241" s="1700">
        <v>27</v>
      </c>
      <c r="N2241" s="1701">
        <f t="shared" si="331"/>
        <v>1.0795837031060911</v>
      </c>
      <c r="O2241" s="1702" t="s">
        <v>345</v>
      </c>
      <c r="P2241" s="1635" t="str">
        <f>IFERROR(VLOOKUP(F2241,#REF!,12,FALSE),"")</f>
        <v/>
      </c>
      <c r="Q2241" s="1636" t="s">
        <v>8</v>
      </c>
      <c r="R2241" s="1703" t="str">
        <f>IFERROR(VLOOKUP(F2241,#REF!,14,FALSE),"")</f>
        <v/>
      </c>
      <c r="S2241" s="1704">
        <f t="shared" si="332"/>
        <v>1.536231884057971</v>
      </c>
      <c r="T2241" s="1730">
        <f t="shared" si="328"/>
        <v>27.274744881218009</v>
      </c>
      <c r="U2241" s="1730">
        <f t="shared" si="329"/>
        <v>17.412160899151562</v>
      </c>
      <c r="V2241" s="1695">
        <f t="shared" si="333"/>
        <v>-5.8739318468429893</v>
      </c>
      <c r="W2241" s="1767">
        <f t="shared" si="330"/>
        <v>1.5664192996601023</v>
      </c>
      <c r="X2241" s="1695">
        <v>254</v>
      </c>
    </row>
    <row r="2242" spans="1:24" x14ac:dyDescent="0.2">
      <c r="A2242" s="1649" t="s">
        <v>256</v>
      </c>
      <c r="B2242" s="1677">
        <f>AVERAGE(W2239:W2245)</f>
        <v>1.4346572923501231</v>
      </c>
      <c r="C2242" s="1651">
        <v>45330</v>
      </c>
      <c r="D2242" s="1695"/>
      <c r="E2242" s="1696"/>
      <c r="F2242" s="1534"/>
      <c r="G2242" s="1697"/>
      <c r="H2242" s="1698" t="str">
        <f>IFERROR(VLOOKUP(F2242,#REF!,10,FALSE),"")</f>
        <v/>
      </c>
      <c r="I2242" s="1699" t="str">
        <f t="shared" si="327"/>
        <v/>
      </c>
      <c r="J2242" s="1700"/>
      <c r="K2242" s="1741"/>
      <c r="L2242" s="1578"/>
      <c r="M2242" s="1700"/>
      <c r="N2242" s="1701" t="str">
        <f t="shared" si="331"/>
        <v/>
      </c>
      <c r="O2242" s="1702"/>
      <c r="P2242" s="1635" t="str">
        <f>IFERROR(VLOOKUP(F2242,#REF!,12,FALSE),"")</f>
        <v/>
      </c>
      <c r="Q2242" s="1636" t="s">
        <v>8</v>
      </c>
      <c r="R2242" s="1703" t="str">
        <f>IFERROR(VLOOKUP(F2242,#REF!,14,FALSE),"")</f>
        <v/>
      </c>
      <c r="S2242" s="1704" t="str">
        <f t="shared" si="332"/>
        <v/>
      </c>
      <c r="T2242" s="1730">
        <f t="shared" si="328"/>
        <v>23.378352755329722</v>
      </c>
      <c r="U2242" s="1730">
        <f t="shared" si="329"/>
        <v>16.997585639647955</v>
      </c>
      <c r="V2242" s="1695">
        <f t="shared" si="333"/>
        <v>-9.8625839820664467</v>
      </c>
      <c r="W2242" s="1767">
        <f t="shared" si="330"/>
        <v>1.3753925557991142</v>
      </c>
      <c r="X2242" s="1695">
        <v>254</v>
      </c>
    </row>
    <row r="2243" spans="1:24" x14ac:dyDescent="0.2">
      <c r="A2243" s="1649" t="s">
        <v>336</v>
      </c>
      <c r="B2243" s="1713">
        <f>IFERROR(AVERAGE(N2239:N2245),"")</f>
        <v>1.0808951899081163</v>
      </c>
      <c r="C2243" s="1651">
        <v>45331</v>
      </c>
      <c r="D2243" s="1695">
        <v>21</v>
      </c>
      <c r="E2243" s="1696" t="s">
        <v>293</v>
      </c>
      <c r="F2243" s="1534" t="s">
        <v>323</v>
      </c>
      <c r="G2243" s="1697">
        <v>2.4918981481481483E-2</v>
      </c>
      <c r="H2243" s="1698">
        <v>5.89</v>
      </c>
      <c r="I2243" s="1699">
        <f t="shared" si="327"/>
        <v>4.2307269068729177E-3</v>
      </c>
      <c r="J2243" s="1700">
        <v>127</v>
      </c>
      <c r="K2243" s="1741">
        <v>25</v>
      </c>
      <c r="L2243" s="1578">
        <v>193</v>
      </c>
      <c r="M2243" s="1700">
        <v>21</v>
      </c>
      <c r="N2243" s="1701">
        <f t="shared" si="331"/>
        <v>1.0529584674251831</v>
      </c>
      <c r="O2243" s="1702" t="s">
        <v>333</v>
      </c>
      <c r="P2243" s="1635" t="str">
        <f>IFERROR(VLOOKUP(F2243,#REF!,12,FALSE),"")</f>
        <v/>
      </c>
      <c r="Q2243" s="1636" t="s">
        <v>8</v>
      </c>
      <c r="R2243" s="1703" t="str">
        <f>IFERROR(VLOOKUP(F2243,#REF!,14,FALSE),"")</f>
        <v/>
      </c>
      <c r="S2243" s="1704">
        <f t="shared" si="332"/>
        <v>1.5196850393700787</v>
      </c>
      <c r="T2243" s="1730">
        <f t="shared" si="328"/>
        <v>23.610016647425475</v>
      </c>
      <c r="U2243" s="1730">
        <f t="shared" si="329"/>
        <v>17.188119314894433</v>
      </c>
      <c r="V2243" s="1695">
        <f t="shared" si="333"/>
        <v>-6.3807671156817669</v>
      </c>
      <c r="W2243" s="1767">
        <f t="shared" si="330"/>
        <v>1.3736242002326644</v>
      </c>
      <c r="X2243" s="1695">
        <v>254</v>
      </c>
    </row>
    <row r="2244" spans="1:24" x14ac:dyDescent="0.2">
      <c r="A2244" s="1649" t="s">
        <v>337</v>
      </c>
      <c r="B2244" s="1681">
        <f>IFERROR(AVERAGE(S2239:S2245),"")</f>
        <v>1.4914117188838456</v>
      </c>
      <c r="C2244" s="1651">
        <v>45332</v>
      </c>
      <c r="D2244" s="1695">
        <v>22</v>
      </c>
      <c r="E2244" s="1696" t="s">
        <v>292</v>
      </c>
      <c r="F2244" s="1628" t="s">
        <v>349</v>
      </c>
      <c r="G2244" s="1697">
        <v>5.8923611111111107E-2</v>
      </c>
      <c r="H2244" s="1698">
        <v>13.38</v>
      </c>
      <c r="I2244" s="1699">
        <f t="shared" si="327"/>
        <v>4.403857332668991E-3</v>
      </c>
      <c r="J2244" s="1700">
        <v>141</v>
      </c>
      <c r="K2244" s="1741">
        <v>64</v>
      </c>
      <c r="L2244" s="1578">
        <v>194</v>
      </c>
      <c r="M2244" s="1700">
        <v>50</v>
      </c>
      <c r="N2244" s="1701">
        <f t="shared" si="331"/>
        <v>1.1017267920487248</v>
      </c>
      <c r="O2244" s="1702" t="s">
        <v>346</v>
      </c>
      <c r="P2244" s="1635" t="str">
        <f>IFERROR(VLOOKUP(F2244,#REF!,12,FALSE),"")</f>
        <v/>
      </c>
      <c r="Q2244" s="1636" t="s">
        <v>8</v>
      </c>
      <c r="R2244" s="1703" t="str">
        <f>IFERROR(VLOOKUP(F2244,#REF!,14,FALSE),"")</f>
        <v/>
      </c>
      <c r="S2244" s="1704">
        <f t="shared" si="332"/>
        <v>1.375886524822695</v>
      </c>
      <c r="T2244" s="1730">
        <f t="shared" si="328"/>
        <v>29.380014269221835</v>
      </c>
      <c r="U2244" s="1730">
        <f t="shared" si="329"/>
        <v>18.302687902635043</v>
      </c>
      <c r="V2244" s="1695">
        <f t="shared" si="333"/>
        <v>-6.4218973325310422</v>
      </c>
      <c r="W2244" s="1767">
        <f t="shared" si="330"/>
        <v>1.6052294846262436</v>
      </c>
      <c r="X2244" s="1695">
        <v>254</v>
      </c>
    </row>
    <row r="2245" spans="1:24" ht="16" thickBot="1" x14ac:dyDescent="0.25">
      <c r="A2245" s="1650" t="s">
        <v>5</v>
      </c>
      <c r="B2245" s="1678">
        <f>IFERROR(SUM(M2239:M2245),"")</f>
        <v>133</v>
      </c>
      <c r="C2245" s="1360">
        <v>45333</v>
      </c>
      <c r="D2245" s="683"/>
      <c r="E2245" s="684"/>
      <c r="F2245" s="1538"/>
      <c r="G2245" s="1361"/>
      <c r="H2245" s="1362"/>
      <c r="I2245" s="1363" t="str">
        <f t="shared" si="327"/>
        <v/>
      </c>
      <c r="J2245" s="1364"/>
      <c r="K2245" s="1752"/>
      <c r="L2245" s="1705"/>
      <c r="M2245" s="1364"/>
      <c r="N2245" s="1365" t="str">
        <f t="shared" si="331"/>
        <v/>
      </c>
      <c r="O2245" s="1366"/>
      <c r="P2245" s="1706" t="str">
        <f>IFERROR(VLOOKUP(F2245,#REF!,12,FALSE),"")</f>
        <v/>
      </c>
      <c r="Q2245" s="1707" t="s">
        <v>8</v>
      </c>
      <c r="R2245" s="1708" t="str">
        <f>IFERROR(VLOOKUP(F2245,#REF!,14,FALSE),"")</f>
        <v/>
      </c>
      <c r="S2245" s="1191" t="str">
        <f t="shared" si="332"/>
        <v/>
      </c>
      <c r="T2245" s="1731">
        <f t="shared" si="328"/>
        <v>25.182869373618715</v>
      </c>
      <c r="U2245" s="1731">
        <f t="shared" si="329"/>
        <v>17.866909619238971</v>
      </c>
      <c r="V2245" s="683">
        <f t="shared" si="333"/>
        <v>-11.077326366586792</v>
      </c>
      <c r="W2245" s="1768">
        <f t="shared" si="330"/>
        <v>1.4094697913791407</v>
      </c>
      <c r="X2245" s="683">
        <v>254</v>
      </c>
    </row>
    <row r="2246" spans="1:24" ht="16" thickBot="1" x14ac:dyDescent="0.25">
      <c r="A2246" s="1962">
        <f>WEEKNUM(C2246,1)</f>
        <v>7</v>
      </c>
      <c r="B2246" s="1963"/>
      <c r="C2246" s="1368">
        <v>45334</v>
      </c>
      <c r="D2246" s="1369"/>
      <c r="E2246" s="1370"/>
      <c r="F2246" s="1536"/>
      <c r="G2246" s="1371"/>
      <c r="H2246" s="1698"/>
      <c r="I2246" s="1373" t="str">
        <f t="shared" si="327"/>
        <v/>
      </c>
      <c r="J2246" s="1374"/>
      <c r="K2246" s="1740"/>
      <c r="L2246" s="1577"/>
      <c r="M2246" s="1374"/>
      <c r="N2246" s="1375" t="str">
        <f t="shared" si="331"/>
        <v/>
      </c>
      <c r="O2246" s="1376"/>
      <c r="P2246" s="795" t="str">
        <f>IFERROR(VLOOKUP(F2246,#REF!,12,FALSE),"")</f>
        <v/>
      </c>
      <c r="Q2246" s="1254" t="s">
        <v>8</v>
      </c>
      <c r="R2246" s="1694" t="str">
        <f>IFERROR(VLOOKUP(F2246,#REF!,14,FALSE),"")</f>
        <v/>
      </c>
      <c r="S2246" s="1377" t="str">
        <f t="shared" si="332"/>
        <v/>
      </c>
      <c r="T2246" s="70">
        <f t="shared" si="328"/>
        <v>21.585316605958898</v>
      </c>
      <c r="U2246" s="70">
        <f t="shared" si="329"/>
        <v>17.441507009257091</v>
      </c>
      <c r="V2246" s="1369">
        <f t="shared" si="333"/>
        <v>-7.3159597543797439</v>
      </c>
      <c r="W2246" s="1766">
        <f t="shared" si="330"/>
        <v>1.2375832314548552</v>
      </c>
      <c r="X2246" s="1369">
        <v>254</v>
      </c>
    </row>
    <row r="2247" spans="1:24" x14ac:dyDescent="0.2">
      <c r="A2247" s="1648" t="s">
        <v>142</v>
      </c>
      <c r="B2247" s="1679">
        <f>SUM(H2246:H2252)</f>
        <v>11.52</v>
      </c>
      <c r="C2247" s="1651">
        <v>45335</v>
      </c>
      <c r="D2247" s="1695"/>
      <c r="E2247" s="1696"/>
      <c r="F2247" s="1534"/>
      <c r="G2247" s="1697"/>
      <c r="H2247" s="1698"/>
      <c r="I2247" s="1699" t="str">
        <f t="shared" si="327"/>
        <v/>
      </c>
      <c r="J2247" s="1700"/>
      <c r="K2247" s="1741"/>
      <c r="L2247" s="1578"/>
      <c r="M2247" s="1700"/>
      <c r="N2247" s="1701" t="str">
        <f t="shared" si="331"/>
        <v/>
      </c>
      <c r="O2247" s="1702"/>
      <c r="P2247" s="1635" t="str">
        <f>IFERROR(VLOOKUP(F2247,#REF!,12,FALSE),"")</f>
        <v/>
      </c>
      <c r="Q2247" s="1636" t="s">
        <v>8</v>
      </c>
      <c r="R2247" s="1703" t="str">
        <f>IFERROR(VLOOKUP(F2247,#REF!,14,FALSE),"")</f>
        <v/>
      </c>
      <c r="S2247" s="1704" t="str">
        <f t="shared" si="332"/>
        <v/>
      </c>
      <c r="T2247" s="1379">
        <f t="shared" si="328"/>
        <v>18.50169994796477</v>
      </c>
      <c r="U2247" s="1379">
        <f t="shared" si="329"/>
        <v>17.026233032846207</v>
      </c>
      <c r="V2247" s="1695">
        <f t="shared" si="333"/>
        <v>-4.1438095967018072</v>
      </c>
      <c r="W2247" s="1767">
        <f t="shared" si="330"/>
        <v>1.0866584471310925</v>
      </c>
      <c r="X2247" s="1695">
        <v>254</v>
      </c>
    </row>
    <row r="2248" spans="1:24" x14ac:dyDescent="0.2">
      <c r="A2248" s="1649" t="s">
        <v>347</v>
      </c>
      <c r="B2248" s="1680">
        <f>SUM(K2246:K2252)</f>
        <v>62</v>
      </c>
      <c r="C2248" s="1651">
        <v>45336</v>
      </c>
      <c r="D2248" s="1695"/>
      <c r="E2248" s="1696"/>
      <c r="F2248" s="1534"/>
      <c r="G2248" s="1697"/>
      <c r="H2248" s="1698"/>
      <c r="I2248" s="1699" t="str">
        <f t="shared" si="327"/>
        <v/>
      </c>
      <c r="J2248" s="1700"/>
      <c r="K2248" s="1741"/>
      <c r="L2248" s="1578"/>
      <c r="M2248" s="1700"/>
      <c r="N2248" s="1701" t="str">
        <f t="shared" si="331"/>
        <v/>
      </c>
      <c r="O2248" s="1702"/>
      <c r="P2248" s="1635" t="str">
        <f>IFERROR(VLOOKUP(F2248,#REF!,12,FALSE),"")</f>
        <v/>
      </c>
      <c r="Q2248" s="1636" t="s">
        <v>8</v>
      </c>
      <c r="R2248" s="1703" t="str">
        <f>IFERROR(VLOOKUP(F2248,#REF!,14,FALSE),"")</f>
        <v/>
      </c>
      <c r="S2248" s="1704" t="str">
        <f t="shared" si="332"/>
        <v/>
      </c>
      <c r="T2248" s="1379">
        <f t="shared" si="328"/>
        <v>15.858599955398375</v>
      </c>
      <c r="U2248" s="1379">
        <f t="shared" si="329"/>
        <v>16.620846532064153</v>
      </c>
      <c r="V2248" s="1695">
        <f t="shared" si="333"/>
        <v>-1.4754669151185631</v>
      </c>
      <c r="W2248" s="1767">
        <f t="shared" si="330"/>
        <v>0.95413912431022763</v>
      </c>
      <c r="X2248" s="1695">
        <v>254</v>
      </c>
    </row>
    <row r="2249" spans="1:24" x14ac:dyDescent="0.2">
      <c r="A2249" s="1649" t="s">
        <v>256</v>
      </c>
      <c r="B2249" s="1677">
        <f>AVERAGE(W2246:W2252)</f>
        <v>0.93554621729980458</v>
      </c>
      <c r="C2249" s="1651">
        <v>45337</v>
      </c>
      <c r="D2249" s="1695"/>
      <c r="E2249" s="1696"/>
      <c r="F2249" s="1534"/>
      <c r="G2249" s="1697"/>
      <c r="H2249" s="1698" t="str">
        <f>IFERROR(VLOOKUP(F2249,#REF!,10,FALSE),"")</f>
        <v/>
      </c>
      <c r="I2249" s="1699" t="str">
        <f t="shared" si="327"/>
        <v/>
      </c>
      <c r="J2249" s="1700"/>
      <c r="K2249" s="1741"/>
      <c r="L2249" s="1578"/>
      <c r="M2249" s="1700"/>
      <c r="N2249" s="1701" t="str">
        <f t="shared" si="331"/>
        <v/>
      </c>
      <c r="O2249" s="1702"/>
      <c r="P2249" s="1635" t="str">
        <f>IFERROR(VLOOKUP(F2249,#REF!,12,FALSE),"")</f>
        <v/>
      </c>
      <c r="Q2249" s="1636" t="s">
        <v>8</v>
      </c>
      <c r="R2249" s="1703" t="str">
        <f>IFERROR(VLOOKUP(F2249,#REF!,14,FALSE),"")</f>
        <v/>
      </c>
      <c r="S2249" s="1704" t="str">
        <f t="shared" si="332"/>
        <v/>
      </c>
      <c r="T2249" s="1379">
        <f t="shared" si="328"/>
        <v>13.59308567605575</v>
      </c>
      <c r="U2249" s="1379">
        <f t="shared" si="329"/>
        <v>16.225112090824531</v>
      </c>
      <c r="V2249" s="1695">
        <f t="shared" si="333"/>
        <v>0.76224657666577755</v>
      </c>
      <c r="W2249" s="1767">
        <f t="shared" si="330"/>
        <v>0.83778069451629744</v>
      </c>
      <c r="X2249" s="1695">
        <v>254</v>
      </c>
    </row>
    <row r="2250" spans="1:24" x14ac:dyDescent="0.2">
      <c r="A2250" s="1649" t="s">
        <v>336</v>
      </c>
      <c r="B2250" s="1713">
        <f>IFERROR(AVERAGE(N2246:N2252),"")</f>
        <v>1.0954601990049755</v>
      </c>
      <c r="C2250" s="1651">
        <v>45338</v>
      </c>
      <c r="D2250" s="1695"/>
      <c r="E2250" s="1696"/>
      <c r="F2250" s="1534"/>
      <c r="G2250" s="1697"/>
      <c r="H2250" s="1698" t="str">
        <f>IFERROR(VLOOKUP(F2250,#REF!,10,FALSE),"")</f>
        <v/>
      </c>
      <c r="I2250" s="1699" t="str">
        <f t="shared" si="327"/>
        <v/>
      </c>
      <c r="J2250" s="1700"/>
      <c r="K2250" s="1741"/>
      <c r="L2250" s="1578"/>
      <c r="M2250" s="1700"/>
      <c r="N2250" s="1701" t="str">
        <f t="shared" si="331"/>
        <v/>
      </c>
      <c r="O2250" s="1702"/>
      <c r="P2250" s="1635" t="str">
        <f>IFERROR(VLOOKUP(F2250,#REF!,12,FALSE),"")</f>
        <v/>
      </c>
      <c r="Q2250" s="1636" t="s">
        <v>8</v>
      </c>
      <c r="R2250" s="1703" t="str">
        <f>IFERROR(VLOOKUP(F2250,#REF!,14,FALSE),"")</f>
        <v/>
      </c>
      <c r="S2250" s="1704" t="str">
        <f t="shared" si="332"/>
        <v/>
      </c>
      <c r="T2250" s="1379">
        <f t="shared" si="328"/>
        <v>11.651216293762072</v>
      </c>
      <c r="U2250" s="1379">
        <f t="shared" si="329"/>
        <v>15.838799898185853</v>
      </c>
      <c r="V2250" s="1695">
        <f t="shared" si="333"/>
        <v>2.6320264147687809</v>
      </c>
      <c r="W2250" s="1767">
        <f t="shared" si="330"/>
        <v>0.73561231713626118</v>
      </c>
      <c r="X2250" s="1695">
        <v>254</v>
      </c>
    </row>
    <row r="2251" spans="1:24" x14ac:dyDescent="0.2">
      <c r="A2251" s="1649" t="s">
        <v>337</v>
      </c>
      <c r="B2251" s="1681">
        <f>IFERROR(AVERAGE(S2246:S2252),"")</f>
        <v>1.4857142857142858</v>
      </c>
      <c r="C2251" s="1651">
        <v>45339</v>
      </c>
      <c r="D2251" s="1695"/>
      <c r="E2251" s="1696"/>
      <c r="F2251" s="1628"/>
      <c r="G2251" s="1697"/>
      <c r="H2251" s="1698"/>
      <c r="I2251" s="1699" t="str">
        <f t="shared" si="327"/>
        <v/>
      </c>
      <c r="J2251" s="1700"/>
      <c r="K2251" s="1741"/>
      <c r="L2251" s="1578"/>
      <c r="M2251" s="1700"/>
      <c r="N2251" s="1701" t="str">
        <f t="shared" si="331"/>
        <v/>
      </c>
      <c r="O2251" s="1702"/>
      <c r="P2251" s="1635" t="str">
        <f>IFERROR(VLOOKUP(F2251,#REF!,12,FALSE),"")</f>
        <v/>
      </c>
      <c r="Q2251" s="1636" t="s">
        <v>8</v>
      </c>
      <c r="R2251" s="1703" t="str">
        <f>IFERROR(VLOOKUP(F2251,#REF!,14,FALSE),"")</f>
        <v/>
      </c>
      <c r="S2251" s="1704" t="str">
        <f t="shared" si="332"/>
        <v/>
      </c>
      <c r="T2251" s="1379">
        <f t="shared" si="328"/>
        <v>9.9867568232246331</v>
      </c>
      <c r="U2251" s="1379">
        <f t="shared" si="329"/>
        <v>15.461685614895714</v>
      </c>
      <c r="V2251" s="1695">
        <f t="shared" si="333"/>
        <v>4.1875836044237804</v>
      </c>
      <c r="W2251" s="1767">
        <f t="shared" si="330"/>
        <v>0.64590349797330238</v>
      </c>
      <c r="X2251" s="1695">
        <v>254</v>
      </c>
    </row>
    <row r="2252" spans="1:24" ht="16" thickBot="1" x14ac:dyDescent="0.25">
      <c r="A2252" s="1650" t="s">
        <v>5</v>
      </c>
      <c r="B2252" s="1678">
        <f>IFERROR(SUM(M2246:M2252),"")</f>
        <v>49</v>
      </c>
      <c r="C2252" s="1360">
        <v>45340</v>
      </c>
      <c r="D2252" s="683">
        <v>23</v>
      </c>
      <c r="E2252" s="684" t="s">
        <v>293</v>
      </c>
      <c r="F2252" s="1538" t="s">
        <v>308</v>
      </c>
      <c r="G2252" s="1361">
        <v>4.704861111111111E-2</v>
      </c>
      <c r="H2252" s="1362">
        <v>11.52</v>
      </c>
      <c r="I2252" s="1363">
        <f t="shared" si="327"/>
        <v>4.0840808256172841E-3</v>
      </c>
      <c r="J2252" s="1364">
        <v>140</v>
      </c>
      <c r="K2252" s="1744">
        <v>62</v>
      </c>
      <c r="L2252" s="1705">
        <v>208</v>
      </c>
      <c r="M2252" s="1364">
        <v>49</v>
      </c>
      <c r="N2252" s="1365">
        <f t="shared" si="331"/>
        <v>1.0954601990049755</v>
      </c>
      <c r="O2252" s="1366" t="s">
        <v>346</v>
      </c>
      <c r="P2252" s="1706" t="str">
        <f>IFERROR(VLOOKUP(F2252,#REF!,12,FALSE),"")</f>
        <v/>
      </c>
      <c r="Q2252" s="1707" t="s">
        <v>8</v>
      </c>
      <c r="R2252" s="1708" t="str">
        <f>IFERROR(VLOOKUP(F2252,#REF!,14,FALSE),"")</f>
        <v/>
      </c>
      <c r="S2252" s="1191">
        <f t="shared" si="332"/>
        <v>1.4857142857142858</v>
      </c>
      <c r="T2252" s="1732">
        <f t="shared" si="328"/>
        <v>17.417220134192544</v>
      </c>
      <c r="U2252" s="1732">
        <f t="shared" si="329"/>
        <v>16.56974071930296</v>
      </c>
      <c r="V2252" s="683">
        <f>U2251-T2251</f>
        <v>5.4749287916710809</v>
      </c>
      <c r="W2252" s="1768">
        <f t="shared" si="330"/>
        <v>1.0511462085765959</v>
      </c>
      <c r="X2252" s="683">
        <v>254</v>
      </c>
    </row>
    <row r="2253" spans="1:24" ht="16" thickBot="1" x14ac:dyDescent="0.25">
      <c r="A2253" s="1962">
        <f>WEEKNUM(C2253,1)</f>
        <v>8</v>
      </c>
      <c r="B2253" s="1963"/>
      <c r="C2253" s="1368">
        <v>45341</v>
      </c>
      <c r="D2253" s="1369"/>
      <c r="E2253" s="1370"/>
      <c r="F2253" s="1534"/>
      <c r="G2253" s="1371"/>
      <c r="H2253" s="1372"/>
      <c r="I2253" s="1373" t="str">
        <f t="shared" si="327"/>
        <v/>
      </c>
      <c r="J2253" s="1374"/>
      <c r="K2253" s="1754"/>
      <c r="L2253" s="1577"/>
      <c r="M2253" s="1374"/>
      <c r="N2253" s="1375" t="str">
        <f t="shared" si="331"/>
        <v/>
      </c>
      <c r="O2253" s="1376"/>
      <c r="P2253" s="795" t="str">
        <f>IFERROR(VLOOKUP(F2253,#REF!,12,FALSE),"")</f>
        <v/>
      </c>
      <c r="Q2253" s="1254" t="s">
        <v>8</v>
      </c>
      <c r="R2253" s="1694" t="str">
        <f>IFERROR(VLOOKUP(F2253,#REF!,14,FALSE),"")</f>
        <v/>
      </c>
      <c r="S2253" s="1377" t="str">
        <f t="shared" si="332"/>
        <v/>
      </c>
      <c r="T2253" s="1369">
        <f t="shared" si="328"/>
        <v>14.929045829307896</v>
      </c>
      <c r="U2253" s="1369">
        <f t="shared" si="329"/>
        <v>16.17522308312908</v>
      </c>
      <c r="V2253" s="1369">
        <f>U2252-T2252</f>
        <v>-0.84747941488958389</v>
      </c>
      <c r="W2253" s="1766">
        <f>T2253/U2253</f>
        <v>0.92295764655505996</v>
      </c>
      <c r="X2253" s="1369">
        <v>254</v>
      </c>
    </row>
    <row r="2254" spans="1:24" x14ac:dyDescent="0.2">
      <c r="A2254" s="1648" t="s">
        <v>142</v>
      </c>
      <c r="B2254" s="1679">
        <f>SUM(H2253:H2259)</f>
        <v>27.72</v>
      </c>
      <c r="C2254" s="1651">
        <v>45342</v>
      </c>
      <c r="D2254" s="1695">
        <v>24</v>
      </c>
      <c r="E2254" s="1696" t="s">
        <v>293</v>
      </c>
      <c r="F2254" s="1534" t="s">
        <v>323</v>
      </c>
      <c r="G2254" s="1697">
        <v>2.5277777777777777E-2</v>
      </c>
      <c r="H2254" s="1698">
        <v>6.16</v>
      </c>
      <c r="I2254" s="1699">
        <f t="shared" si="327"/>
        <v>4.1035353535353531E-3</v>
      </c>
      <c r="J2254" s="1700">
        <v>138</v>
      </c>
      <c r="K2254" s="1741">
        <v>30</v>
      </c>
      <c r="L2254" s="1578">
        <v>201</v>
      </c>
      <c r="M2254" s="1700">
        <v>23</v>
      </c>
      <c r="N2254" s="1701">
        <f t="shared" si="331"/>
        <v>1.0636363636363635</v>
      </c>
      <c r="O2254" s="1702" t="s">
        <v>333</v>
      </c>
      <c r="P2254" s="1635" t="str">
        <f>IFERROR(VLOOKUP(F2254,#REF!,12,FALSE),"")</f>
        <v/>
      </c>
      <c r="Q2254" s="1636" t="s">
        <v>8</v>
      </c>
      <c r="R2254" s="1703" t="str">
        <f>IFERROR(VLOOKUP(F2254,#REF!,14,FALSE),"")</f>
        <v/>
      </c>
      <c r="S2254" s="1704">
        <f t="shared" si="332"/>
        <v>1.4565217391304348</v>
      </c>
      <c r="T2254" s="1735">
        <f t="shared" si="328"/>
        <v>17.08203928226391</v>
      </c>
      <c r="U2254" s="1735">
        <f t="shared" si="329"/>
        <v>16.504384438292671</v>
      </c>
      <c r="V2254" s="1695">
        <f t="shared" si="333"/>
        <v>1.2461772538211839</v>
      </c>
      <c r="W2254" s="1767">
        <f t="shared" si="330"/>
        <v>1.035000084137097</v>
      </c>
      <c r="X2254" s="1695">
        <v>254</v>
      </c>
    </row>
    <row r="2255" spans="1:24" x14ac:dyDescent="0.2">
      <c r="A2255" s="1649" t="s">
        <v>347</v>
      </c>
      <c r="B2255" s="1680">
        <f>SUM(K2253:K2259)</f>
        <v>161</v>
      </c>
      <c r="C2255" s="1651">
        <v>45343</v>
      </c>
      <c r="D2255" s="1695">
        <v>25</v>
      </c>
      <c r="E2255" s="1696" t="s">
        <v>292</v>
      </c>
      <c r="F2255" s="1534" t="s">
        <v>323</v>
      </c>
      <c r="G2255" s="1697">
        <v>2.4421296296296295E-2</v>
      </c>
      <c r="H2255" s="1698">
        <v>5.98</v>
      </c>
      <c r="I2255" s="1699">
        <f t="shared" si="327"/>
        <v>4.0838288120896814E-3</v>
      </c>
      <c r="J2255" s="1700">
        <v>125</v>
      </c>
      <c r="K2255" s="1741">
        <v>29</v>
      </c>
      <c r="L2255" s="1578">
        <v>201</v>
      </c>
      <c r="M2255" s="1700">
        <v>22</v>
      </c>
      <c r="N2255" s="1701">
        <f t="shared" si="331"/>
        <v>1.0585284280936453</v>
      </c>
      <c r="O2255" s="1702" t="s">
        <v>340</v>
      </c>
      <c r="P2255" s="1635" t="str">
        <f>IFERROR(VLOOKUP(F2255,#REF!,12,FALSE),"")</f>
        <v/>
      </c>
      <c r="Q2255" s="1636" t="s">
        <v>8</v>
      </c>
      <c r="R2255" s="1703" t="str">
        <f>IFERROR(VLOOKUP(F2255,#REF!,14,FALSE),"")</f>
        <v/>
      </c>
      <c r="S2255" s="1704">
        <f t="shared" si="332"/>
        <v>1.6080000000000001</v>
      </c>
      <c r="T2255" s="1735">
        <f t="shared" si="328"/>
        <v>18.78460509908335</v>
      </c>
      <c r="U2255" s="1735">
        <f t="shared" si="329"/>
        <v>16.801899094523797</v>
      </c>
      <c r="V2255" s="1695">
        <f t="shared" si="333"/>
        <v>-0.57765484397123856</v>
      </c>
      <c r="W2255" s="1767">
        <f t="shared" si="330"/>
        <v>1.1180048751278224</v>
      </c>
      <c r="X2255" s="1695">
        <v>254</v>
      </c>
    </row>
    <row r="2256" spans="1:24" x14ac:dyDescent="0.2">
      <c r="A2256" s="1649" t="s">
        <v>256</v>
      </c>
      <c r="B2256" s="1677">
        <f>AVERAGE(W2253:W2259)</f>
        <v>1.1485116793131798</v>
      </c>
      <c r="C2256" s="1651">
        <v>45344</v>
      </c>
      <c r="D2256" s="1695">
        <v>26</v>
      </c>
      <c r="E2256" s="1696" t="s">
        <v>293</v>
      </c>
      <c r="F2256" s="1534" t="s">
        <v>143</v>
      </c>
      <c r="G2256" s="1697">
        <v>2.5601851851851851E-2</v>
      </c>
      <c r="H2256" s="1698">
        <v>6.52</v>
      </c>
      <c r="I2256" s="1699">
        <f t="shared" si="327"/>
        <v>3.9266643944558055E-3</v>
      </c>
      <c r="J2256" s="1700">
        <v>141</v>
      </c>
      <c r="K2256" s="1741">
        <v>41</v>
      </c>
      <c r="L2256" s="1578">
        <v>213</v>
      </c>
      <c r="M2256" s="1700">
        <v>24</v>
      </c>
      <c r="N2256" s="1701">
        <f t="shared" si="331"/>
        <v>1.078555077373867</v>
      </c>
      <c r="O2256" s="1702" t="s">
        <v>345</v>
      </c>
      <c r="P2256" s="1635" t="str">
        <f>IFERROR(VLOOKUP(F2256,#REF!,12,FALSE),"")</f>
        <v/>
      </c>
      <c r="Q2256" s="1636" t="s">
        <v>8</v>
      </c>
      <c r="R2256" s="1703" t="str">
        <f>IFERROR(VLOOKUP(F2256,#REF!,14,FALSE),"")</f>
        <v/>
      </c>
      <c r="S2256" s="1704">
        <f t="shared" si="332"/>
        <v>1.5106382978723405</v>
      </c>
      <c r="T2256" s="1735">
        <f t="shared" si="328"/>
        <v>21.958232942071444</v>
      </c>
      <c r="U2256" s="1735">
        <f t="shared" si="329"/>
        <v>17.378044354177991</v>
      </c>
      <c r="V2256" s="1695">
        <f t="shared" si="333"/>
        <v>-1.982706004559553</v>
      </c>
      <c r="W2256" s="1767">
        <f t="shared" si="330"/>
        <v>1.2635617963992762</v>
      </c>
      <c r="X2256" s="1695">
        <v>251</v>
      </c>
    </row>
    <row r="2257" spans="1:24" x14ac:dyDescent="0.2">
      <c r="A2257" s="1649" t="s">
        <v>336</v>
      </c>
      <c r="B2257" s="1713">
        <f>IFERROR(AVERAGE(N2253:N2259),"")</f>
        <v>1.0678585445880839</v>
      </c>
      <c r="C2257" s="1651">
        <v>45345</v>
      </c>
      <c r="D2257" s="1695"/>
      <c r="E2257" s="1696"/>
      <c r="F2257" s="1534"/>
      <c r="G2257" s="1697"/>
      <c r="H2257" s="1698"/>
      <c r="I2257" s="1699" t="str">
        <f t="shared" si="327"/>
        <v/>
      </c>
      <c r="J2257" s="1700"/>
      <c r="K2257" s="1741"/>
      <c r="L2257" s="1578"/>
      <c r="M2257" s="1700"/>
      <c r="N2257" s="1701" t="str">
        <f t="shared" si="331"/>
        <v/>
      </c>
      <c r="O2257" s="1702"/>
      <c r="P2257" s="1635" t="str">
        <f>IFERROR(VLOOKUP(F2257,#REF!,12,FALSE),"")</f>
        <v/>
      </c>
      <c r="Q2257" s="1636" t="s">
        <v>8</v>
      </c>
      <c r="R2257" s="1703" t="str">
        <f>IFERROR(VLOOKUP(F2257,#REF!,14,FALSE),"")</f>
        <v/>
      </c>
      <c r="S2257" s="1704" t="str">
        <f t="shared" si="332"/>
        <v/>
      </c>
      <c r="T2257" s="1735">
        <f t="shared" si="328"/>
        <v>18.821342521775524</v>
      </c>
      <c r="U2257" s="1735">
        <f t="shared" si="329"/>
        <v>16.964281393364228</v>
      </c>
      <c r="V2257" s="1695">
        <f t="shared" si="333"/>
        <v>-4.5801885878934527</v>
      </c>
      <c r="W2257" s="1767">
        <f t="shared" si="330"/>
        <v>1.1094688943993647</v>
      </c>
      <c r="X2257" s="1695">
        <v>251</v>
      </c>
    </row>
    <row r="2258" spans="1:24" x14ac:dyDescent="0.2">
      <c r="A2258" s="1649" t="s">
        <v>337</v>
      </c>
      <c r="B2258" s="1681">
        <f>IFERROR(AVERAGE(S2253:S2259),"")</f>
        <v>1.5249956830095592</v>
      </c>
      <c r="C2258" s="1651">
        <v>45346</v>
      </c>
      <c r="D2258" s="1695">
        <v>27</v>
      </c>
      <c r="E2258" s="1696" t="s">
        <v>293</v>
      </c>
      <c r="F2258" s="1628" t="s">
        <v>143</v>
      </c>
      <c r="G2258" s="1697">
        <v>3.498842592592593E-2</v>
      </c>
      <c r="H2258" s="1698">
        <v>9.06</v>
      </c>
      <c r="I2258" s="1699">
        <f t="shared" si="327"/>
        <v>3.8618571662169896E-3</v>
      </c>
      <c r="J2258" s="1700">
        <v>141</v>
      </c>
      <c r="K2258" s="1741">
        <v>61</v>
      </c>
      <c r="L2258" s="1578">
        <v>215</v>
      </c>
      <c r="M2258" s="1700">
        <v>22</v>
      </c>
      <c r="N2258" s="1701">
        <f t="shared" si="331"/>
        <v>1.0707143092484597</v>
      </c>
      <c r="O2258" s="1702" t="s">
        <v>345</v>
      </c>
      <c r="P2258" s="1635" t="str">
        <f>IFERROR(VLOOKUP(F2258,#REF!,12,FALSE),"")</f>
        <v/>
      </c>
      <c r="Q2258" s="1636" t="s">
        <v>8</v>
      </c>
      <c r="R2258" s="1703" t="str">
        <f>IFERROR(VLOOKUP(F2258,#REF!,14,FALSE),"")</f>
        <v/>
      </c>
      <c r="S2258" s="1704">
        <f t="shared" si="332"/>
        <v>1.5248226950354611</v>
      </c>
      <c r="T2258" s="1735">
        <f t="shared" si="328"/>
        <v>24.846865018664737</v>
      </c>
      <c r="U2258" s="1735">
        <f t="shared" si="329"/>
        <v>18.012750883998415</v>
      </c>
      <c r="V2258" s="1695">
        <f t="shared" si="333"/>
        <v>-1.8570611284112957</v>
      </c>
      <c r="W2258" s="1767">
        <f t="shared" si="330"/>
        <v>1.3794042441755741</v>
      </c>
      <c r="X2258" s="1695">
        <v>251</v>
      </c>
    </row>
    <row r="2259" spans="1:24" ht="16" thickBot="1" x14ac:dyDescent="0.25">
      <c r="A2259" s="1650" t="s">
        <v>5</v>
      </c>
      <c r="B2259" s="1678">
        <f>IFERROR(SUM(M2253:M2259),"")</f>
        <v>91</v>
      </c>
      <c r="C2259" s="1360">
        <v>45347</v>
      </c>
      <c r="D2259" s="683"/>
      <c r="E2259" s="684"/>
      <c r="F2259" s="1538"/>
      <c r="G2259" s="1361"/>
      <c r="H2259" s="1362" t="str">
        <f>IFERROR(VLOOKUP(F2259,#REF!,10,FALSE),"")</f>
        <v/>
      </c>
      <c r="I2259" s="1363" t="str">
        <f t="shared" si="327"/>
        <v/>
      </c>
      <c r="J2259" s="1364"/>
      <c r="K2259" s="1752"/>
      <c r="L2259" s="1705"/>
      <c r="M2259" s="1364"/>
      <c r="N2259" s="1365" t="str">
        <f t="shared" si="331"/>
        <v/>
      </c>
      <c r="O2259" s="1366"/>
      <c r="P2259" s="1706" t="str">
        <f>IFERROR(VLOOKUP(F2259,#REF!,12,FALSE),"")</f>
        <v/>
      </c>
      <c r="Q2259" s="1707" t="s">
        <v>8</v>
      </c>
      <c r="R2259" s="1708" t="str">
        <f>IFERROR(VLOOKUP(F2259,#REF!,14,FALSE),"")</f>
        <v/>
      </c>
      <c r="S2259" s="1191" t="str">
        <f t="shared" si="332"/>
        <v/>
      </c>
      <c r="T2259" s="1731">
        <f t="shared" si="328"/>
        <v>21.297312873141202</v>
      </c>
      <c r="U2259" s="1731">
        <f t="shared" si="329"/>
        <v>17.583875862950833</v>
      </c>
      <c r="V2259" s="683">
        <f t="shared" si="333"/>
        <v>-6.8341141346663221</v>
      </c>
      <c r="W2259" s="1768">
        <f t="shared" si="330"/>
        <v>1.2111842143980649</v>
      </c>
      <c r="X2259" s="683">
        <v>251</v>
      </c>
    </row>
    <row r="2260" spans="1:24" ht="16" thickBot="1" x14ac:dyDescent="0.25">
      <c r="A2260" s="1962">
        <f>WEEKNUM(C2260,1)</f>
        <v>9</v>
      </c>
      <c r="B2260" s="1963"/>
      <c r="C2260" s="1368">
        <v>45348</v>
      </c>
      <c r="D2260" s="1369">
        <v>28</v>
      </c>
      <c r="E2260" s="1370" t="s">
        <v>293</v>
      </c>
      <c r="F2260" s="1536" t="s">
        <v>334</v>
      </c>
      <c r="G2260" s="1371">
        <v>4.3784722222222225E-2</v>
      </c>
      <c r="H2260" s="1698">
        <v>11.51</v>
      </c>
      <c r="I2260" s="1373">
        <f t="shared" si="327"/>
        <v>3.804059272130515E-3</v>
      </c>
      <c r="J2260" s="1374">
        <v>138</v>
      </c>
      <c r="K2260" s="1740">
        <v>72</v>
      </c>
      <c r="L2260" s="1577">
        <v>216</v>
      </c>
      <c r="M2260" s="1374">
        <v>30</v>
      </c>
      <c r="N2260" s="1375">
        <f t="shared" si="331"/>
        <v>1.0595951606001273</v>
      </c>
      <c r="O2260" s="1376" t="s">
        <v>345</v>
      </c>
      <c r="P2260" s="795" t="str">
        <f>IFERROR(VLOOKUP(F2260,#REF!,12,FALSE),"")</f>
        <v/>
      </c>
      <c r="Q2260" s="1254" t="s">
        <v>8</v>
      </c>
      <c r="R2260" s="1694" t="str">
        <f>IFERROR(VLOOKUP(F2260,#REF!,14,FALSE),"")</f>
        <v/>
      </c>
      <c r="S2260" s="1377">
        <f t="shared" si="332"/>
        <v>1.5652173913043479</v>
      </c>
      <c r="T2260" s="70">
        <f t="shared" si="328"/>
        <v>28.540553891263887</v>
      </c>
      <c r="U2260" s="70">
        <f t="shared" si="329"/>
        <v>18.87949786621391</v>
      </c>
      <c r="V2260" s="1369">
        <f t="shared" si="333"/>
        <v>-3.7134370101903684</v>
      </c>
      <c r="W2260" s="1766">
        <f t="shared" si="330"/>
        <v>1.5117220856990623</v>
      </c>
      <c r="X2260" s="1369">
        <v>256</v>
      </c>
    </row>
    <row r="2261" spans="1:24" x14ac:dyDescent="0.2">
      <c r="A2261" s="1648" t="s">
        <v>142</v>
      </c>
      <c r="B2261" s="1679">
        <f>SUM(H2260:H2266)</f>
        <v>49.400000000000006</v>
      </c>
      <c r="C2261" s="1651">
        <v>45349</v>
      </c>
      <c r="D2261" s="1695">
        <v>29</v>
      </c>
      <c r="E2261" s="1696" t="s">
        <v>293</v>
      </c>
      <c r="F2261" s="1534" t="s">
        <v>323</v>
      </c>
      <c r="G2261" s="1697">
        <v>2.435185185185185E-2</v>
      </c>
      <c r="H2261" s="1698">
        <v>5.89</v>
      </c>
      <c r="I2261" s="1699">
        <f t="shared" si="327"/>
        <v>4.1344400427592281E-3</v>
      </c>
      <c r="J2261" s="1700">
        <v>119</v>
      </c>
      <c r="K2261" s="1741">
        <v>26</v>
      </c>
      <c r="L2261" s="1578">
        <v>198</v>
      </c>
      <c r="M2261" s="1700">
        <v>20</v>
      </c>
      <c r="N2261" s="1701">
        <f t="shared" si="331"/>
        <v>1.0556521298431443</v>
      </c>
      <c r="O2261" s="1702" t="s">
        <v>333</v>
      </c>
      <c r="P2261" s="1635" t="str">
        <f>IFERROR(VLOOKUP(F2261,#REF!,12,FALSE),"")</f>
        <v/>
      </c>
      <c r="Q2261" s="1636" t="s">
        <v>8</v>
      </c>
      <c r="R2261" s="1703" t="str">
        <f>IFERROR(VLOOKUP(F2261,#REF!,14,FALSE),"")</f>
        <v/>
      </c>
      <c r="S2261" s="1704">
        <f t="shared" si="332"/>
        <v>1.6638655462184875</v>
      </c>
      <c r="T2261" s="1379">
        <f t="shared" si="328"/>
        <v>28.177617621083332</v>
      </c>
      <c r="U2261" s="1379">
        <f t="shared" si="329"/>
        <v>19.049033631304056</v>
      </c>
      <c r="V2261" s="1695">
        <f t="shared" si="333"/>
        <v>-9.6610560250499766</v>
      </c>
      <c r="W2261" s="1767">
        <f t="shared" si="330"/>
        <v>1.4792150702478628</v>
      </c>
      <c r="X2261" s="1695">
        <v>256</v>
      </c>
    </row>
    <row r="2262" spans="1:24" x14ac:dyDescent="0.2">
      <c r="A2262" s="1649" t="s">
        <v>347</v>
      </c>
      <c r="B2262" s="1680">
        <f>SUM(K2260:K2266)</f>
        <v>262</v>
      </c>
      <c r="C2262" s="1651">
        <v>45350</v>
      </c>
      <c r="D2262" s="1695"/>
      <c r="E2262" s="1696"/>
      <c r="F2262" s="1534"/>
      <c r="G2262" s="1697"/>
      <c r="H2262" s="1698"/>
      <c r="I2262" s="1699" t="str">
        <f t="shared" si="327"/>
        <v/>
      </c>
      <c r="J2262" s="1700"/>
      <c r="K2262" s="1741"/>
      <c r="L2262" s="1578"/>
      <c r="M2262" s="1700"/>
      <c r="N2262" s="1701" t="str">
        <f t="shared" si="331"/>
        <v/>
      </c>
      <c r="O2262" s="1702"/>
      <c r="P2262" s="1635" t="str">
        <f>IFERROR(VLOOKUP(F2262,#REF!,12,FALSE),"")</f>
        <v/>
      </c>
      <c r="Q2262" s="1636" t="s">
        <v>8</v>
      </c>
      <c r="R2262" s="1703" t="str">
        <f>IFERROR(VLOOKUP(F2262,#REF!,14,FALSE),"")</f>
        <v/>
      </c>
      <c r="S2262" s="1704" t="str">
        <f t="shared" si="332"/>
        <v/>
      </c>
      <c r="T2262" s="1379">
        <f t="shared" si="328"/>
        <v>24.152243675214287</v>
      </c>
      <c r="U2262" s="1379">
        <f t="shared" si="329"/>
        <v>18.595485211511104</v>
      </c>
      <c r="V2262" s="1695">
        <f t="shared" si="333"/>
        <v>-9.1285839897792762</v>
      </c>
      <c r="W2262" s="1767">
        <f t="shared" si="330"/>
        <v>1.2988229885103186</v>
      </c>
      <c r="X2262" s="1695">
        <v>256</v>
      </c>
    </row>
    <row r="2263" spans="1:24" x14ac:dyDescent="0.2">
      <c r="A2263" s="1649" t="s">
        <v>256</v>
      </c>
      <c r="B2263" s="1677">
        <f>AVERAGE(W2260:W2266)</f>
        <v>1.4487067443553945</v>
      </c>
      <c r="C2263" s="1651">
        <v>45351</v>
      </c>
      <c r="D2263" s="1695">
        <v>30</v>
      </c>
      <c r="E2263" s="1696" t="s">
        <v>293</v>
      </c>
      <c r="F2263" s="1534" t="s">
        <v>334</v>
      </c>
      <c r="G2263" s="1697">
        <v>4.207175925925926E-2</v>
      </c>
      <c r="H2263" s="1698">
        <v>11.04</v>
      </c>
      <c r="I2263" s="1699">
        <f t="shared" si="327"/>
        <v>3.8108477589908754E-3</v>
      </c>
      <c r="J2263" s="1700">
        <v>134</v>
      </c>
      <c r="K2263" s="1741">
        <v>66</v>
      </c>
      <c r="L2263" s="1578">
        <v>216</v>
      </c>
      <c r="M2263" s="1700">
        <v>27</v>
      </c>
      <c r="N2263" s="1701">
        <f t="shared" si="331"/>
        <v>1.0614860480207657</v>
      </c>
      <c r="O2263" s="1702" t="s">
        <v>345</v>
      </c>
      <c r="P2263" s="1635" t="str">
        <f>IFERROR(VLOOKUP(F2263,#REF!,12,FALSE),"")</f>
        <v/>
      </c>
      <c r="Q2263" s="1636" t="s">
        <v>8</v>
      </c>
      <c r="R2263" s="1703" t="str">
        <f>IFERROR(VLOOKUP(F2263,#REF!,14,FALSE),"")</f>
        <v/>
      </c>
      <c r="S2263" s="1704">
        <f t="shared" si="332"/>
        <v>1.6119402985074627</v>
      </c>
      <c r="T2263" s="1379">
        <f t="shared" si="328"/>
        <v>30.130494578755105</v>
      </c>
      <c r="U2263" s="1379">
        <f t="shared" si="329"/>
        <v>19.724164135046554</v>
      </c>
      <c r="V2263" s="1695">
        <f t="shared" si="333"/>
        <v>-5.5567584637031828</v>
      </c>
      <c r="W2263" s="1767">
        <f>T2263/U2263</f>
        <v>1.5275929754213633</v>
      </c>
      <c r="X2263" s="1695">
        <v>256</v>
      </c>
    </row>
    <row r="2264" spans="1:24" x14ac:dyDescent="0.2">
      <c r="A2264" s="1649" t="s">
        <v>336</v>
      </c>
      <c r="B2264" s="1713">
        <f>IFERROR(AVERAGE(N2260:N2266),"")</f>
        <v>1.0620010568457969</v>
      </c>
      <c r="C2264" s="1651">
        <v>45352</v>
      </c>
      <c r="D2264" s="1695">
        <v>31</v>
      </c>
      <c r="E2264" s="1696" t="s">
        <v>293</v>
      </c>
      <c r="F2264" s="1534" t="s">
        <v>323</v>
      </c>
      <c r="G2264" s="1697">
        <v>2.4305555555555556E-2</v>
      </c>
      <c r="H2264" s="1698">
        <v>5.73</v>
      </c>
      <c r="I2264" s="1699">
        <f t="shared" si="327"/>
        <v>4.2418072522784562E-3</v>
      </c>
      <c r="J2264" s="1700">
        <v>126</v>
      </c>
      <c r="K2264" s="1741">
        <v>24</v>
      </c>
      <c r="L2264" s="1578">
        <v>194</v>
      </c>
      <c r="M2264" s="1700">
        <v>22</v>
      </c>
      <c r="N2264" s="1701">
        <f t="shared" si="331"/>
        <v>1.0611862155192624</v>
      </c>
      <c r="O2264" s="1702" t="s">
        <v>340</v>
      </c>
      <c r="P2264" s="1635" t="str">
        <f>IFERROR(VLOOKUP(F2264,#REF!,12,FALSE),"")</f>
        <v/>
      </c>
      <c r="Q2264" s="1636" t="s">
        <v>8</v>
      </c>
      <c r="R2264" s="1703" t="str">
        <f>IFERROR(VLOOKUP(F2264,#REF!,14,FALSE),"")</f>
        <v/>
      </c>
      <c r="S2264" s="1704">
        <f t="shared" si="332"/>
        <v>1.5396825396825398</v>
      </c>
      <c r="T2264" s="1379">
        <f t="shared" si="328"/>
        <v>29.254709638932948</v>
      </c>
      <c r="U2264" s="1379">
        <f t="shared" si="329"/>
        <v>19.825969750878777</v>
      </c>
      <c r="V2264" s="1695">
        <f t="shared" si="333"/>
        <v>-10.406330443708551</v>
      </c>
      <c r="W2264" s="1767">
        <f t="shared" si="330"/>
        <v>1.4755752180866839</v>
      </c>
      <c r="X2264" s="1695">
        <v>256</v>
      </c>
    </row>
    <row r="2265" spans="1:24" x14ac:dyDescent="0.2">
      <c r="A2265" s="1649" t="s">
        <v>337</v>
      </c>
      <c r="B2265" s="1681">
        <f>IFERROR(AVERAGE(S2260:S2266),"")</f>
        <v>1.5814043130373043</v>
      </c>
      <c r="C2265" s="1651">
        <v>45353</v>
      </c>
      <c r="D2265" s="1695"/>
      <c r="E2265" s="1696"/>
      <c r="F2265" s="1628"/>
      <c r="G2265" s="1697"/>
      <c r="H2265" s="1698"/>
      <c r="I2265" s="1699" t="str">
        <f t="shared" si="327"/>
        <v/>
      </c>
      <c r="J2265" s="1700"/>
      <c r="K2265" s="1741"/>
      <c r="L2265" s="1578"/>
      <c r="M2265" s="1700"/>
      <c r="N2265" s="1701" t="str">
        <f t="shared" si="331"/>
        <v/>
      </c>
      <c r="O2265" s="1702"/>
      <c r="P2265" s="1635" t="str">
        <f>IFERROR(VLOOKUP(F2265,#REF!,12,FALSE),"")</f>
        <v/>
      </c>
      <c r="Q2265" s="1636" t="s">
        <v>8</v>
      </c>
      <c r="R2265" s="1703" t="str">
        <f>IFERROR(VLOOKUP(F2265,#REF!,14,FALSE),"")</f>
        <v/>
      </c>
      <c r="S2265" s="1704" t="str">
        <f t="shared" si="332"/>
        <v/>
      </c>
      <c r="T2265" s="1379">
        <f t="shared" si="328"/>
        <v>25.075465404799669</v>
      </c>
      <c r="U2265" s="1379">
        <f t="shared" si="329"/>
        <v>19.353922852048331</v>
      </c>
      <c r="V2265" s="1695">
        <f t="shared" si="333"/>
        <v>-9.4287398880541708</v>
      </c>
      <c r="W2265" s="1767">
        <f t="shared" si="330"/>
        <v>1.2956270207590392</v>
      </c>
      <c r="X2265" s="1695">
        <v>256</v>
      </c>
    </row>
    <row r="2266" spans="1:24" ht="16" thickBot="1" x14ac:dyDescent="0.25">
      <c r="A2266" s="1650" t="s">
        <v>5</v>
      </c>
      <c r="B2266" s="1678">
        <f>IFERROR(SUM(M2260:M2266),"")</f>
        <v>157</v>
      </c>
      <c r="C2266" s="1360">
        <v>45354</v>
      </c>
      <c r="D2266" s="683">
        <v>32</v>
      </c>
      <c r="E2266" s="684" t="s">
        <v>292</v>
      </c>
      <c r="F2266" s="1538" t="s">
        <v>350</v>
      </c>
      <c r="G2266" s="1361">
        <v>6.2372685185185184E-2</v>
      </c>
      <c r="H2266" s="1362">
        <v>15.23</v>
      </c>
      <c r="I2266" s="1363">
        <f t="shared" si="327"/>
        <v>4.0953831375696113E-3</v>
      </c>
      <c r="J2266" s="1364">
        <v>133</v>
      </c>
      <c r="K2266" s="1744">
        <v>74</v>
      </c>
      <c r="L2266" s="1705">
        <v>203</v>
      </c>
      <c r="M2266" s="1364">
        <v>58</v>
      </c>
      <c r="N2266" s="1365">
        <f t="shared" si="331"/>
        <v>1.0720857302456857</v>
      </c>
      <c r="O2266" s="1366" t="s">
        <v>346</v>
      </c>
      <c r="P2266" s="1706" t="str">
        <f>IFERROR(VLOOKUP(F2266,#REF!,12,FALSE),"")</f>
        <v/>
      </c>
      <c r="Q2266" s="1707" t="s">
        <v>8</v>
      </c>
      <c r="R2266" s="1708" t="str">
        <f>IFERROR(VLOOKUP(F2266,#REF!,14,FALSE),"")</f>
        <v/>
      </c>
      <c r="S2266" s="1191">
        <f t="shared" si="332"/>
        <v>1.5263157894736843</v>
      </c>
      <c r="T2266" s="1732">
        <f t="shared" si="328"/>
        <v>32.064684632685427</v>
      </c>
      <c r="U2266" s="1732">
        <f t="shared" si="329"/>
        <v>20.655019926999561</v>
      </c>
      <c r="V2266" s="683">
        <f t="shared" si="333"/>
        <v>-5.7215425527513375</v>
      </c>
      <c r="W2266" s="1768">
        <f t="shared" si="330"/>
        <v>1.5523918517634316</v>
      </c>
      <c r="X2266" s="683">
        <v>256</v>
      </c>
    </row>
    <row r="2267" spans="1:24" ht="16" thickBot="1" x14ac:dyDescent="0.25">
      <c r="A2267" s="1962">
        <f>WEEKNUM(C2267,1)</f>
        <v>10</v>
      </c>
      <c r="B2267" s="1963"/>
      <c r="C2267" s="1368">
        <v>45355</v>
      </c>
      <c r="D2267" s="1369">
        <v>33</v>
      </c>
      <c r="E2267" s="1370" t="s">
        <v>293</v>
      </c>
      <c r="F2267" s="1534" t="s">
        <v>343</v>
      </c>
      <c r="G2267" s="1371">
        <v>2.5613425925925925E-2</v>
      </c>
      <c r="H2267" s="1372">
        <v>6.01</v>
      </c>
      <c r="I2267" s="1373">
        <f t="shared" si="327"/>
        <v>4.2618013187896717E-3</v>
      </c>
      <c r="J2267" s="1374">
        <v>113</v>
      </c>
      <c r="K2267" s="1754">
        <v>24</v>
      </c>
      <c r="L2267" s="1577">
        <v>191</v>
      </c>
      <c r="M2267" s="1374">
        <v>19</v>
      </c>
      <c r="N2267" s="1375">
        <f t="shared" si="331"/>
        <v>1.0497007475103686</v>
      </c>
      <c r="O2267" s="1376" t="s">
        <v>333</v>
      </c>
      <c r="P2267" s="795" t="str">
        <f>IFERROR(VLOOKUP(F2267,#REF!,12,FALSE),"")</f>
        <v/>
      </c>
      <c r="Q2267" s="1254" t="s">
        <v>8</v>
      </c>
      <c r="R2267" s="1694" t="str">
        <f>IFERROR(VLOOKUP(F2267,#REF!,14,FALSE),"")</f>
        <v/>
      </c>
      <c r="S2267" s="1377">
        <f t="shared" si="332"/>
        <v>1.6902654867256637</v>
      </c>
      <c r="T2267" s="1369">
        <f>T2266+(K2267-T2266)/7</f>
        <v>30.912586828016082</v>
      </c>
      <c r="U2267" s="1369">
        <f t="shared" si="329"/>
        <v>20.734662309690048</v>
      </c>
      <c r="V2267" s="1369">
        <f t="shared" si="333"/>
        <v>-11.409664705685866</v>
      </c>
      <c r="W2267" s="1766">
        <f>T2267/U2267</f>
        <v>1.4908652172053714</v>
      </c>
      <c r="X2267" s="1369">
        <v>256</v>
      </c>
    </row>
    <row r="2268" spans="1:24" x14ac:dyDescent="0.2">
      <c r="A2268" s="1648" t="s">
        <v>142</v>
      </c>
      <c r="B2268" s="1679">
        <f>SUM(H2267:H2273)</f>
        <v>45.18</v>
      </c>
      <c r="C2268" s="1651">
        <v>45356</v>
      </c>
      <c r="D2268" s="1695">
        <v>34</v>
      </c>
      <c r="E2268" s="1696" t="s">
        <v>293</v>
      </c>
      <c r="F2268" s="1534" t="s">
        <v>323</v>
      </c>
      <c r="G2268" s="1697">
        <v>2.1898148148148149E-2</v>
      </c>
      <c r="H2268" s="1698">
        <v>5.45</v>
      </c>
      <c r="I2268" s="1699">
        <f t="shared" ref="I2268:I2331" si="334">IFERROR(G2268/H2268,"")</f>
        <v>4.018008834522596E-3</v>
      </c>
      <c r="J2268" s="1700">
        <v>121</v>
      </c>
      <c r="K2268" s="1741">
        <v>27</v>
      </c>
      <c r="L2268" s="1578">
        <v>206</v>
      </c>
      <c r="M2268" s="1700">
        <v>17</v>
      </c>
      <c r="N2268" s="1701">
        <f t="shared" si="331"/>
        <v>1.0673750513487608</v>
      </c>
      <c r="O2268" s="1702" t="s">
        <v>340</v>
      </c>
      <c r="P2268" s="1635" t="str">
        <f>IFERROR(VLOOKUP(F2268,#REF!,12,FALSE),"")</f>
        <v/>
      </c>
      <c r="Q2268" s="1636" t="s">
        <v>8</v>
      </c>
      <c r="R2268" s="1703" t="str">
        <f>IFERROR(VLOOKUP(F2268,#REF!,14,FALSE),"")</f>
        <v/>
      </c>
      <c r="S2268" s="1704">
        <f t="shared" si="332"/>
        <v>1.7024793388429753</v>
      </c>
      <c r="T2268" s="1735">
        <f t="shared" si="328"/>
        <v>30.353645852585213</v>
      </c>
      <c r="U2268" s="1735">
        <f t="shared" si="329"/>
        <v>20.88383701660219</v>
      </c>
      <c r="V2268" s="1695">
        <f t="shared" si="333"/>
        <v>-10.177924518326034</v>
      </c>
      <c r="W2268" s="1767">
        <f t="shared" si="330"/>
        <v>1.4534515773348899</v>
      </c>
      <c r="X2268" s="1695">
        <v>256</v>
      </c>
    </row>
    <row r="2269" spans="1:24" x14ac:dyDescent="0.2">
      <c r="A2269" s="1649" t="s">
        <v>347</v>
      </c>
      <c r="B2269" s="1680">
        <f>SUM(K2267:K2273)</f>
        <v>223</v>
      </c>
      <c r="C2269" s="1651">
        <v>45357</v>
      </c>
      <c r="D2269" s="1695"/>
      <c r="E2269" s="1696"/>
      <c r="F2269" s="1534"/>
      <c r="G2269" s="1697"/>
      <c r="H2269" s="1698"/>
      <c r="I2269" s="1699" t="str">
        <f t="shared" si="334"/>
        <v/>
      </c>
      <c r="J2269" s="1700"/>
      <c r="K2269" s="1741"/>
      <c r="L2269" s="1578"/>
      <c r="M2269" s="1700"/>
      <c r="N2269" s="1701" t="str">
        <f t="shared" si="331"/>
        <v/>
      </c>
      <c r="O2269" s="1702"/>
      <c r="P2269" s="1635" t="str">
        <f>IFERROR(VLOOKUP(F2269,#REF!,12,FALSE),"")</f>
        <v/>
      </c>
      <c r="Q2269" s="1636" t="s">
        <v>8</v>
      </c>
      <c r="R2269" s="1703" t="str">
        <f>IFERROR(VLOOKUP(F2269,#REF!,14,FALSE),"")</f>
        <v/>
      </c>
      <c r="S2269" s="1704" t="str">
        <f t="shared" si="332"/>
        <v/>
      </c>
      <c r="T2269" s="1735">
        <f t="shared" si="328"/>
        <v>26.017410730787326</v>
      </c>
      <c r="U2269" s="1735">
        <f t="shared" si="329"/>
        <v>20.386602801921185</v>
      </c>
      <c r="V2269" s="1695">
        <f t="shared" si="333"/>
        <v>-9.4698088359830237</v>
      </c>
      <c r="W2269" s="1767">
        <f t="shared" si="330"/>
        <v>1.2762013849769764</v>
      </c>
      <c r="X2269" s="1695">
        <v>256</v>
      </c>
    </row>
    <row r="2270" spans="1:24" x14ac:dyDescent="0.2">
      <c r="A2270" s="1649" t="s">
        <v>256</v>
      </c>
      <c r="B2270" s="1677">
        <f>AVERAGE(W2267:W2273)</f>
        <v>1.4179785571429275</v>
      </c>
      <c r="C2270" s="1651">
        <v>45358</v>
      </c>
      <c r="D2270" s="1695">
        <v>35</v>
      </c>
      <c r="E2270" s="1696" t="s">
        <v>293</v>
      </c>
      <c r="F2270" s="1534" t="s">
        <v>334</v>
      </c>
      <c r="G2270" s="1697">
        <v>4.2094907407407407E-2</v>
      </c>
      <c r="H2270" s="1698">
        <v>10.85</v>
      </c>
      <c r="I2270" s="1699">
        <f t="shared" si="334"/>
        <v>3.8797149684246458E-3</v>
      </c>
      <c r="J2270" s="1700">
        <v>136</v>
      </c>
      <c r="K2270" s="1741">
        <v>67</v>
      </c>
      <c r="L2270" s="1578">
        <v>213</v>
      </c>
      <c r="M2270" s="1700">
        <v>28</v>
      </c>
      <c r="N2270" s="1701">
        <f t="shared" si="331"/>
        <v>1.0656592612972007</v>
      </c>
      <c r="O2270" s="1702" t="s">
        <v>345</v>
      </c>
      <c r="P2270" s="1635" t="str">
        <f>IFERROR(VLOOKUP(F2270,#REF!,12,FALSE),"")</f>
        <v/>
      </c>
      <c r="Q2270" s="1636" t="s">
        <v>8</v>
      </c>
      <c r="R2270" s="1703" t="str">
        <f>IFERROR(VLOOKUP(F2270,#REF!,14,FALSE),"")</f>
        <v/>
      </c>
      <c r="S2270" s="1704">
        <f t="shared" si="332"/>
        <v>1.5661764705882353</v>
      </c>
      <c r="T2270" s="1735">
        <f t="shared" si="328"/>
        <v>31.872066340674849</v>
      </c>
      <c r="U2270" s="1735">
        <f t="shared" si="329"/>
        <v>21.496445592351634</v>
      </c>
      <c r="V2270" s="1695">
        <f t="shared" si="333"/>
        <v>-5.6308079288661403</v>
      </c>
      <c r="W2270" s="1767">
        <f t="shared" si="330"/>
        <v>1.4826668066470872</v>
      </c>
      <c r="X2270" s="1695">
        <v>256</v>
      </c>
    </row>
    <row r="2271" spans="1:24" x14ac:dyDescent="0.2">
      <c r="A2271" s="1649" t="s">
        <v>336</v>
      </c>
      <c r="B2271" s="1713">
        <f>IFERROR(AVERAGE(N2267:N2273),"")</f>
        <v>1.0626613281995207</v>
      </c>
      <c r="C2271" s="1651">
        <v>45359</v>
      </c>
      <c r="D2271" s="1695">
        <v>36</v>
      </c>
      <c r="E2271" s="1696" t="s">
        <v>293</v>
      </c>
      <c r="F2271" s="1534" t="s">
        <v>323</v>
      </c>
      <c r="G2271" s="1697">
        <v>2.4143518518518519E-2</v>
      </c>
      <c r="H2271" s="1698">
        <v>5.88</v>
      </c>
      <c r="I2271" s="1699">
        <f t="shared" si="334"/>
        <v>4.1060405643738975E-3</v>
      </c>
      <c r="J2271" s="1700">
        <v>121</v>
      </c>
      <c r="K2271" s="1741">
        <v>27</v>
      </c>
      <c r="L2271" s="1578">
        <v>199</v>
      </c>
      <c r="M2271" s="1700">
        <v>21</v>
      </c>
      <c r="N2271" s="1701">
        <f t="shared" si="331"/>
        <v>1.0536958066808813</v>
      </c>
      <c r="O2271" s="1702" t="s">
        <v>333</v>
      </c>
      <c r="P2271" s="1635" t="str">
        <f>IFERROR(VLOOKUP(F2271,#REF!,12,FALSE),"")</f>
        <v/>
      </c>
      <c r="Q2271" s="1636" t="s">
        <v>8</v>
      </c>
      <c r="R2271" s="1703" t="str">
        <f>IFERROR(VLOOKUP(F2271,#REF!,14,FALSE),"")</f>
        <v/>
      </c>
      <c r="S2271" s="1704">
        <f t="shared" si="332"/>
        <v>1.6446280991735538</v>
      </c>
      <c r="T2271" s="1735">
        <f t="shared" si="328"/>
        <v>31.176056863435583</v>
      </c>
      <c r="U2271" s="1735">
        <f t="shared" si="329"/>
        <v>21.627482602057547</v>
      </c>
      <c r="V2271" s="1695">
        <f t="shared" si="333"/>
        <v>-10.375620748323215</v>
      </c>
      <c r="W2271" s="1767">
        <f t="shared" si="330"/>
        <v>1.4415018815213207</v>
      </c>
      <c r="X2271" s="1695">
        <v>256</v>
      </c>
    </row>
    <row r="2272" spans="1:24" x14ac:dyDescent="0.2">
      <c r="A2272" s="1649" t="s">
        <v>337</v>
      </c>
      <c r="B2272" s="1681">
        <f>IFERROR(AVERAGE(S2267:S2273),"")</f>
        <v>1.6340957058377392</v>
      </c>
      <c r="C2272" s="1651">
        <v>45360</v>
      </c>
      <c r="D2272" s="1695"/>
      <c r="E2272" s="1696"/>
      <c r="F2272" s="1628"/>
      <c r="G2272" s="1697"/>
      <c r="H2272" s="1698"/>
      <c r="I2272" s="1699" t="str">
        <f t="shared" si="334"/>
        <v/>
      </c>
      <c r="J2272" s="1700"/>
      <c r="K2272" s="1741"/>
      <c r="L2272" s="1578"/>
      <c r="M2272" s="1700"/>
      <c r="N2272" s="1701" t="str">
        <f t="shared" si="331"/>
        <v/>
      </c>
      <c r="O2272" s="1702"/>
      <c r="P2272" s="1635" t="str">
        <f>IFERROR(VLOOKUP(F2272,#REF!,12,FALSE),"")</f>
        <v/>
      </c>
      <c r="Q2272" s="1636" t="s">
        <v>8</v>
      </c>
      <c r="R2272" s="1703" t="str">
        <f>IFERROR(VLOOKUP(F2272,#REF!,14,FALSE),"")</f>
        <v/>
      </c>
      <c r="S2272" s="1704" t="str">
        <f t="shared" si="332"/>
        <v/>
      </c>
      <c r="T2272" s="1735">
        <f t="shared" si="328"/>
        <v>26.722334454373357</v>
      </c>
      <c r="U2272" s="1735">
        <f t="shared" si="329"/>
        <v>21.112542540103796</v>
      </c>
      <c r="V2272" s="1695">
        <f t="shared" si="333"/>
        <v>-9.548574261378036</v>
      </c>
      <c r="W2272" s="1767">
        <f t="shared" si="330"/>
        <v>1.2657089691406718</v>
      </c>
      <c r="X2272" s="1695">
        <v>256</v>
      </c>
    </row>
    <row r="2273" spans="1:24" ht="16" thickBot="1" x14ac:dyDescent="0.25">
      <c r="A2273" s="1650" t="s">
        <v>5</v>
      </c>
      <c r="B2273" s="1678">
        <f>IFERROR(SUM(M2267:M2273),"")</f>
        <v>149</v>
      </c>
      <c r="C2273" s="1360">
        <v>45361</v>
      </c>
      <c r="D2273" s="683">
        <v>37</v>
      </c>
      <c r="E2273" s="684" t="s">
        <v>292</v>
      </c>
      <c r="F2273" s="1538" t="s">
        <v>274</v>
      </c>
      <c r="G2273" s="1361">
        <v>7.1296296296296288E-2</v>
      </c>
      <c r="H2273" s="1362">
        <v>16.989999999999998</v>
      </c>
      <c r="I2273" s="1363">
        <f t="shared" si="334"/>
        <v>4.1963682340374515E-3</v>
      </c>
      <c r="J2273" s="1364">
        <v>127</v>
      </c>
      <c r="K2273" s="1752">
        <v>78</v>
      </c>
      <c r="L2273" s="1705">
        <v>199</v>
      </c>
      <c r="M2273" s="1364">
        <v>64</v>
      </c>
      <c r="N2273" s="1365">
        <f t="shared" si="331"/>
        <v>1.0768757741603932</v>
      </c>
      <c r="O2273" s="1366" t="s">
        <v>346</v>
      </c>
      <c r="P2273" s="1706" t="str">
        <f>IFERROR(VLOOKUP(F2273,#REF!,12,FALSE),"")</f>
        <v/>
      </c>
      <c r="Q2273" s="1707" t="s">
        <v>8</v>
      </c>
      <c r="R2273" s="1708" t="str">
        <f>IFERROR(VLOOKUP(F2273,#REF!,14,FALSE),"")</f>
        <v/>
      </c>
      <c r="S2273" s="1191">
        <f t="shared" si="332"/>
        <v>1.5669291338582678</v>
      </c>
      <c r="T2273" s="1731">
        <f t="shared" si="328"/>
        <v>34.047715246605733</v>
      </c>
      <c r="U2273" s="1731">
        <f t="shared" si="329"/>
        <v>22.467005812958469</v>
      </c>
      <c r="V2273" s="683">
        <f t="shared" si="333"/>
        <v>-5.6097919142695609</v>
      </c>
      <c r="W2273" s="1768">
        <f t="shared" si="330"/>
        <v>1.5154540631741755</v>
      </c>
      <c r="X2273" s="683">
        <v>256</v>
      </c>
    </row>
    <row r="2274" spans="1:24" ht="16" thickBot="1" x14ac:dyDescent="0.25">
      <c r="A2274" s="1962">
        <f>WEEKNUM(C2274,1)</f>
        <v>11</v>
      </c>
      <c r="B2274" s="1963"/>
      <c r="C2274" s="1368">
        <v>45362</v>
      </c>
      <c r="D2274" s="1369"/>
      <c r="E2274" s="1370"/>
      <c r="F2274" s="1536"/>
      <c r="G2274" s="1371"/>
      <c r="H2274" s="1698"/>
      <c r="I2274" s="1373" t="str">
        <f t="shared" si="334"/>
        <v/>
      </c>
      <c r="J2274" s="1374"/>
      <c r="K2274" s="1740"/>
      <c r="L2274" s="1577"/>
      <c r="M2274" s="1374"/>
      <c r="N2274" s="1375" t="str">
        <f t="shared" si="331"/>
        <v/>
      </c>
      <c r="O2274" s="1376"/>
      <c r="P2274" s="795" t="str">
        <f>IFERROR(VLOOKUP(F2274,#REF!,12,FALSE),"")</f>
        <v/>
      </c>
      <c r="Q2274" s="1254" t="s">
        <v>8</v>
      </c>
      <c r="R2274" s="1694" t="str">
        <f>IFERROR(VLOOKUP(F2274,#REF!,14,FALSE),"")</f>
        <v/>
      </c>
      <c r="S2274" s="1377" t="str">
        <f t="shared" si="332"/>
        <v/>
      </c>
      <c r="T2274" s="70">
        <f t="shared" si="328"/>
        <v>29.183755925662055</v>
      </c>
      <c r="U2274" s="70">
        <f t="shared" si="329"/>
        <v>21.932077103126126</v>
      </c>
      <c r="V2274" s="1369">
        <f t="shared" si="333"/>
        <v>-11.580709433647264</v>
      </c>
      <c r="W2274" s="1766">
        <f t="shared" si="330"/>
        <v>1.3306425920553735</v>
      </c>
      <c r="X2274" s="1369">
        <v>256</v>
      </c>
    </row>
    <row r="2275" spans="1:24" x14ac:dyDescent="0.2">
      <c r="A2275" s="1648" t="s">
        <v>142</v>
      </c>
      <c r="B2275" s="1679">
        <f>SUM(H2274:H2280)</f>
        <v>19.149999999999999</v>
      </c>
      <c r="C2275" s="1651">
        <v>45363</v>
      </c>
      <c r="D2275" s="1695">
        <v>38</v>
      </c>
      <c r="E2275" s="1696" t="s">
        <v>292</v>
      </c>
      <c r="F2275" s="1534" t="s">
        <v>322</v>
      </c>
      <c r="G2275" s="1697">
        <v>3.1585648148148147E-2</v>
      </c>
      <c r="H2275" s="1698">
        <v>7.67</v>
      </c>
      <c r="I2275" s="1699">
        <f t="shared" si="334"/>
        <v>4.1180766816360037E-3</v>
      </c>
      <c r="J2275" s="1700">
        <v>129</v>
      </c>
      <c r="K2275" s="1741">
        <v>37</v>
      </c>
      <c r="L2275" s="1578">
        <v>201</v>
      </c>
      <c r="M2275" s="1700">
        <v>27</v>
      </c>
      <c r="N2275" s="1701">
        <f t="shared" si="331"/>
        <v>1.0674054758800524</v>
      </c>
      <c r="O2275" s="1702" t="s">
        <v>340</v>
      </c>
      <c r="P2275" s="1635" t="str">
        <f>IFERROR(VLOOKUP(F2275,#REF!,12,FALSE),"")</f>
        <v/>
      </c>
      <c r="Q2275" s="1636" t="s">
        <v>8</v>
      </c>
      <c r="R2275" s="1703" t="str">
        <f>IFERROR(VLOOKUP(F2275,#REF!,14,FALSE),"")</f>
        <v/>
      </c>
      <c r="S2275" s="1704">
        <f t="shared" si="332"/>
        <v>1.558139534883721</v>
      </c>
      <c r="T2275" s="1379">
        <f t="shared" si="328"/>
        <v>30.300362221996046</v>
      </c>
      <c r="U2275" s="1379">
        <f t="shared" si="329"/>
        <v>22.290837172099312</v>
      </c>
      <c r="V2275" s="1695">
        <f t="shared" si="333"/>
        <v>-7.2516788225359292</v>
      </c>
      <c r="W2275" s="1767">
        <f t="shared" si="330"/>
        <v>1.359319167246082</v>
      </c>
      <c r="X2275" s="1695">
        <v>256</v>
      </c>
    </row>
    <row r="2276" spans="1:24" x14ac:dyDescent="0.2">
      <c r="A2276" s="1649" t="s">
        <v>347</v>
      </c>
      <c r="B2276" s="1680">
        <f>SUM(K2274:K2280)</f>
        <v>92</v>
      </c>
      <c r="C2276" s="1651">
        <v>45364</v>
      </c>
      <c r="D2276" s="1695"/>
      <c r="E2276" s="1696"/>
      <c r="F2276" s="1534"/>
      <c r="G2276" s="1697"/>
      <c r="H2276" s="1698"/>
      <c r="I2276" s="1699" t="str">
        <f t="shared" si="334"/>
        <v/>
      </c>
      <c r="J2276" s="1700"/>
      <c r="K2276" s="1741"/>
      <c r="L2276" s="1578"/>
      <c r="M2276" s="1700"/>
      <c r="N2276" s="1701" t="str">
        <f t="shared" si="331"/>
        <v/>
      </c>
      <c r="O2276" s="1702"/>
      <c r="P2276" s="1635" t="str">
        <f>IFERROR(VLOOKUP(F2276,#REF!,12,FALSE),"")</f>
        <v/>
      </c>
      <c r="Q2276" s="1636" t="s">
        <v>8</v>
      </c>
      <c r="R2276" s="1703" t="str">
        <f>IFERROR(VLOOKUP(F2276,#REF!,14,FALSE),"")</f>
        <v/>
      </c>
      <c r="S2276" s="1704" t="str">
        <f t="shared" si="332"/>
        <v/>
      </c>
      <c r="T2276" s="1379">
        <f t="shared" si="328"/>
        <v>25.971739047425181</v>
      </c>
      <c r="U2276" s="1379">
        <f t="shared" si="329"/>
        <v>21.760102953715997</v>
      </c>
      <c r="V2276" s="1695">
        <f t="shared" si="333"/>
        <v>-8.0095250498967339</v>
      </c>
      <c r="W2276" s="1767">
        <f t="shared" si="330"/>
        <v>1.1935485370941206</v>
      </c>
      <c r="X2276" s="1695">
        <v>256</v>
      </c>
    </row>
    <row r="2277" spans="1:24" x14ac:dyDescent="0.2">
      <c r="A2277" s="1649" t="s">
        <v>256</v>
      </c>
      <c r="B2277" s="1677">
        <f>AVERAGE(W2274:W2280)</f>
        <v>1.0997023750674224</v>
      </c>
      <c r="C2277" s="1651">
        <v>45365</v>
      </c>
      <c r="D2277" s="1695"/>
      <c r="E2277" s="1696"/>
      <c r="F2277" s="1534"/>
      <c r="G2277" s="1697"/>
      <c r="H2277" s="1698"/>
      <c r="I2277" s="1699" t="str">
        <f t="shared" si="334"/>
        <v/>
      </c>
      <c r="J2277" s="1700"/>
      <c r="K2277" s="1741"/>
      <c r="L2277" s="1578"/>
      <c r="M2277" s="1700"/>
      <c r="N2277" s="1701" t="str">
        <f t="shared" si="331"/>
        <v/>
      </c>
      <c r="O2277" s="1702"/>
      <c r="P2277" s="1635" t="str">
        <f>IFERROR(VLOOKUP(F2277,#REF!,12,FALSE),"")</f>
        <v/>
      </c>
      <c r="Q2277" s="1636" t="s">
        <v>8</v>
      </c>
      <c r="R2277" s="1703" t="str">
        <f>IFERROR(VLOOKUP(F2277,#REF!,14,FALSE),"")</f>
        <v/>
      </c>
      <c r="S2277" s="1704" t="str">
        <f t="shared" si="332"/>
        <v/>
      </c>
      <c r="T2277" s="1379">
        <f t="shared" si="328"/>
        <v>22.261490612078727</v>
      </c>
      <c r="U2277" s="1379">
        <f t="shared" si="329"/>
        <v>21.242005264341806</v>
      </c>
      <c r="V2277" s="1695">
        <f t="shared" si="333"/>
        <v>-4.2116360937091848</v>
      </c>
      <c r="W2277" s="1767">
        <f t="shared" si="330"/>
        <v>1.0479938374484963</v>
      </c>
      <c r="X2277" s="1695">
        <v>256</v>
      </c>
    </row>
    <row r="2278" spans="1:24" x14ac:dyDescent="0.2">
      <c r="A2278" s="1649" t="s">
        <v>336</v>
      </c>
      <c r="B2278" s="1713">
        <f>IFERROR(AVERAGE(N2274:N2280),"")</f>
        <v>1.0712462919469949</v>
      </c>
      <c r="C2278" s="1651">
        <v>45366</v>
      </c>
      <c r="D2278" s="1695"/>
      <c r="E2278" s="1696"/>
      <c r="F2278" s="1534"/>
      <c r="G2278" s="1697"/>
      <c r="H2278" s="1698"/>
      <c r="I2278" s="1699" t="str">
        <f t="shared" si="334"/>
        <v/>
      </c>
      <c r="J2278" s="1700"/>
      <c r="K2278" s="1741"/>
      <c r="L2278" s="1578"/>
      <c r="M2278" s="1700"/>
      <c r="N2278" s="1701" t="str">
        <f t="shared" si="331"/>
        <v/>
      </c>
      <c r="O2278" s="1702"/>
      <c r="P2278" s="1635" t="str">
        <f>IFERROR(VLOOKUP(F2278,#REF!,12,FALSE),"")</f>
        <v/>
      </c>
      <c r="Q2278" s="1636" t="s">
        <v>8</v>
      </c>
      <c r="R2278" s="1703" t="str">
        <f>IFERROR(VLOOKUP(F2278,#REF!,14,FALSE),"")</f>
        <v/>
      </c>
      <c r="S2278" s="1704" t="str">
        <f t="shared" si="332"/>
        <v/>
      </c>
      <c r="T2278" s="1379">
        <f>T2277+(K2278-T2277)/7</f>
        <v>19.081277667496053</v>
      </c>
      <c r="U2278" s="1379">
        <f t="shared" ref="U2278:U2341" si="335">U2277+(K2278-U2277)/42</f>
        <v>20.73624323423843</v>
      </c>
      <c r="V2278" s="1695">
        <f t="shared" si="333"/>
        <v>-1.0194853477369215</v>
      </c>
      <c r="W2278" s="1767">
        <f t="shared" ref="W2278:W2341" si="336">T2278/U2278</f>
        <v>0.92018971093038693</v>
      </c>
      <c r="X2278" s="1695">
        <v>256</v>
      </c>
    </row>
    <row r="2279" spans="1:24" x14ac:dyDescent="0.2">
      <c r="A2279" s="1649" t="s">
        <v>337</v>
      </c>
      <c r="B2279" s="1681">
        <f>IFERROR(AVERAGE(S2274:S2280),"")</f>
        <v>1.5521466905187835</v>
      </c>
      <c r="C2279" s="1651">
        <v>45367</v>
      </c>
      <c r="D2279" s="1695"/>
      <c r="E2279" s="1696"/>
      <c r="F2279" s="1628"/>
      <c r="G2279" s="1697"/>
      <c r="H2279" s="1698"/>
      <c r="I2279" s="1699" t="str">
        <f t="shared" si="334"/>
        <v/>
      </c>
      <c r="J2279" s="1700"/>
      <c r="K2279" s="1741"/>
      <c r="L2279" s="1578"/>
      <c r="M2279" s="1700"/>
      <c r="N2279" s="1701" t="str">
        <f t="shared" si="331"/>
        <v/>
      </c>
      <c r="O2279" s="1702"/>
      <c r="P2279" s="1635" t="str">
        <f>IFERROR(VLOOKUP(F2279,#REF!,12,FALSE),"")</f>
        <v/>
      </c>
      <c r="Q2279" s="1636" t="s">
        <v>8</v>
      </c>
      <c r="R2279" s="1703" t="str">
        <f>IFERROR(VLOOKUP(F2279,#REF!,14,FALSE),"")</f>
        <v/>
      </c>
      <c r="S2279" s="1704" t="str">
        <f t="shared" si="332"/>
        <v/>
      </c>
      <c r="T2279" s="1379">
        <f t="shared" ref="T2279:T2341" si="337">T2278+(K2279-T2278)/7</f>
        <v>16.35538085785376</v>
      </c>
      <c r="U2279" s="1379">
        <f t="shared" si="335"/>
        <v>20.242523157232753</v>
      </c>
      <c r="V2279" s="1695">
        <f t="shared" si="333"/>
        <v>1.6549655667423764</v>
      </c>
      <c r="W2279" s="1767">
        <f t="shared" si="336"/>
        <v>0.807971453499852</v>
      </c>
      <c r="X2279" s="1695">
        <v>256</v>
      </c>
    </row>
    <row r="2280" spans="1:24" ht="16" thickBot="1" x14ac:dyDescent="0.25">
      <c r="A2280" s="1650" t="s">
        <v>5</v>
      </c>
      <c r="B2280" s="1678">
        <f>IFERROR(SUM(M2274:M2280),"")</f>
        <v>69</v>
      </c>
      <c r="C2280" s="1360">
        <v>45368</v>
      </c>
      <c r="D2280" s="683">
        <v>39</v>
      </c>
      <c r="E2280" s="684" t="s">
        <v>292</v>
      </c>
      <c r="F2280" s="1538" t="s">
        <v>273</v>
      </c>
      <c r="G2280" s="1361">
        <v>4.7615740740740743E-2</v>
      </c>
      <c r="H2280" s="1362">
        <v>11.48</v>
      </c>
      <c r="I2280" s="1363">
        <f t="shared" si="334"/>
        <v>4.1477126080784622E-3</v>
      </c>
      <c r="J2280" s="1364">
        <v>130</v>
      </c>
      <c r="K2280" s="1744">
        <v>55</v>
      </c>
      <c r="L2280" s="1705">
        <v>201</v>
      </c>
      <c r="M2280" s="1364">
        <v>42</v>
      </c>
      <c r="N2280" s="1365">
        <f t="shared" si="331"/>
        <v>1.0750871080139373</v>
      </c>
      <c r="O2280" s="1366" t="s">
        <v>346</v>
      </c>
      <c r="P2280" s="1706" t="str">
        <f>IFERROR(VLOOKUP(F2280,#REF!,12,FALSE),"")</f>
        <v/>
      </c>
      <c r="Q2280" s="1707" t="s">
        <v>8</v>
      </c>
      <c r="R2280" s="1708" t="str">
        <f>IFERROR(VLOOKUP(F2280,#REF!,14,FALSE),"")</f>
        <v/>
      </c>
      <c r="S2280" s="1191">
        <f t="shared" si="332"/>
        <v>1.5461538461538462</v>
      </c>
      <c r="T2280" s="1732">
        <f t="shared" si="337"/>
        <v>21.876040735303221</v>
      </c>
      <c r="U2280" s="1732">
        <f t="shared" si="335"/>
        <v>21.070082129679591</v>
      </c>
      <c r="V2280" s="683">
        <f t="shared" si="333"/>
        <v>3.8871422993789935</v>
      </c>
      <c r="W2280" s="1768">
        <f t="shared" si="336"/>
        <v>1.0382513271976452</v>
      </c>
      <c r="X2280" s="683">
        <v>256</v>
      </c>
    </row>
    <row r="2281" spans="1:24" ht="16" thickBot="1" x14ac:dyDescent="0.25">
      <c r="A2281" s="1962">
        <f>WEEKNUM(C2281,1)</f>
        <v>12</v>
      </c>
      <c r="B2281" s="1963"/>
      <c r="C2281" s="1368">
        <v>45369</v>
      </c>
      <c r="D2281" s="1369"/>
      <c r="E2281" s="1370"/>
      <c r="F2281" s="1534"/>
      <c r="G2281" s="1371"/>
      <c r="H2281" s="1698" t="str">
        <f>IFERROR(VLOOKUP(F2281,#REF!,10,FALSE),"")</f>
        <v/>
      </c>
      <c r="I2281" s="1373" t="str">
        <f t="shared" si="334"/>
        <v/>
      </c>
      <c r="J2281" s="1374"/>
      <c r="K2281" s="1754"/>
      <c r="L2281" s="1577"/>
      <c r="M2281" s="1374"/>
      <c r="N2281" s="1375" t="str">
        <f t="shared" si="331"/>
        <v/>
      </c>
      <c r="O2281" s="1376"/>
      <c r="P2281" s="795" t="str">
        <f>IFERROR(VLOOKUP(F2281,#REF!,12,FALSE),"")</f>
        <v/>
      </c>
      <c r="Q2281" s="1254" t="s">
        <v>8</v>
      </c>
      <c r="R2281" s="1694" t="str">
        <f>IFERROR(VLOOKUP(F2281,#REF!,14,FALSE),"")</f>
        <v/>
      </c>
      <c r="S2281" s="1377" t="str">
        <f t="shared" si="332"/>
        <v/>
      </c>
      <c r="T2281" s="1369">
        <f t="shared" si="337"/>
        <v>18.750892058831333</v>
      </c>
      <c r="U2281" s="1369">
        <f t="shared" si="335"/>
        <v>20.568413507544363</v>
      </c>
      <c r="V2281" s="1369">
        <f t="shared" si="333"/>
        <v>-0.80595860562362986</v>
      </c>
      <c r="W2281" s="1766">
        <f t="shared" si="336"/>
        <v>0.91163531168573719</v>
      </c>
      <c r="X2281" s="1369">
        <v>256</v>
      </c>
    </row>
    <row r="2282" spans="1:24" x14ac:dyDescent="0.2">
      <c r="A2282" s="1648" t="s">
        <v>142</v>
      </c>
      <c r="B2282" s="1679">
        <f>SUM(H2281:H2287)</f>
        <v>38.419999999999995</v>
      </c>
      <c r="C2282" s="1651">
        <v>45370</v>
      </c>
      <c r="D2282" s="1695">
        <v>40</v>
      </c>
      <c r="E2282" s="1696" t="s">
        <v>292</v>
      </c>
      <c r="F2282" s="1534" t="s">
        <v>343</v>
      </c>
      <c r="G2282" s="1697">
        <v>2.8946759259259259E-2</v>
      </c>
      <c r="H2282" s="1698">
        <v>6.81</v>
      </c>
      <c r="I2282" s="1699">
        <f t="shared" si="334"/>
        <v>4.2506254418882908E-3</v>
      </c>
      <c r="J2282" s="1700">
        <v>132</v>
      </c>
      <c r="K2282" s="1741">
        <v>31</v>
      </c>
      <c r="L2282" s="1578">
        <v>196</v>
      </c>
      <c r="M2282" s="1700">
        <v>22</v>
      </c>
      <c r="N2282" s="1701">
        <f t="shared" si="331"/>
        <v>1.0743550967628817</v>
      </c>
      <c r="O2282" s="1702" t="s">
        <v>340</v>
      </c>
      <c r="P2282" s="1635" t="str">
        <f>IFERROR(VLOOKUP(F2282,#REF!,12,FALSE),"")</f>
        <v/>
      </c>
      <c r="Q2282" s="1636" t="s">
        <v>8</v>
      </c>
      <c r="R2282" s="1703" t="str">
        <f>IFERROR(VLOOKUP(F2282,#REF!,14,FALSE),"")</f>
        <v/>
      </c>
      <c r="S2282" s="1704">
        <f t="shared" si="332"/>
        <v>1.4848484848484849</v>
      </c>
      <c r="T2282" s="1735">
        <f t="shared" si="337"/>
        <v>20.500764621855428</v>
      </c>
      <c r="U2282" s="1735">
        <f t="shared" si="335"/>
        <v>20.816784614507593</v>
      </c>
      <c r="V2282" s="1695">
        <f t="shared" si="333"/>
        <v>1.8175214487130305</v>
      </c>
      <c r="W2282" s="1767">
        <f t="shared" si="336"/>
        <v>0.98481898148516533</v>
      </c>
      <c r="X2282" s="1695">
        <v>256</v>
      </c>
    </row>
    <row r="2283" spans="1:24" x14ac:dyDescent="0.2">
      <c r="A2283" s="1649" t="s">
        <v>347</v>
      </c>
      <c r="B2283" s="1680">
        <f>SUM(K2281:K2287)</f>
        <v>194</v>
      </c>
      <c r="C2283" s="1651">
        <v>45371</v>
      </c>
      <c r="D2283" s="1695">
        <v>41</v>
      </c>
      <c r="E2283" s="1696" t="s">
        <v>293</v>
      </c>
      <c r="F2283" s="1534" t="s">
        <v>143</v>
      </c>
      <c r="G2283" s="1697">
        <v>3.4247685185185187E-2</v>
      </c>
      <c r="H2283" s="1698">
        <v>8.2899999999999991</v>
      </c>
      <c r="I2283" s="1699">
        <f t="shared" si="334"/>
        <v>4.1312044855470673E-3</v>
      </c>
      <c r="J2283" s="1700">
        <v>133</v>
      </c>
      <c r="K2283" s="1741">
        <v>43</v>
      </c>
      <c r="L2283" s="1578">
        <v>199</v>
      </c>
      <c r="M2283" s="1700">
        <v>23</v>
      </c>
      <c r="N2283" s="1701">
        <f t="shared" si="331"/>
        <v>1.0601533946671948</v>
      </c>
      <c r="O2283" s="1702" t="s">
        <v>345</v>
      </c>
      <c r="P2283" s="1635" t="str">
        <f>IFERROR(VLOOKUP(F2283,#REF!,12,FALSE),"")</f>
        <v/>
      </c>
      <c r="Q2283" s="1636" t="s">
        <v>8</v>
      </c>
      <c r="R2283" s="1703" t="str">
        <f>IFERROR(VLOOKUP(F2283,#REF!,14,FALSE),"")</f>
        <v/>
      </c>
      <c r="S2283" s="1704">
        <f t="shared" si="332"/>
        <v>1.4962406015037595</v>
      </c>
      <c r="T2283" s="1735">
        <f t="shared" si="337"/>
        <v>23.714941104447508</v>
      </c>
      <c r="U2283" s="1735">
        <f t="shared" si="335"/>
        <v>21.344956409400268</v>
      </c>
      <c r="V2283" s="1695">
        <f t="shared" si="333"/>
        <v>0.31601999265216563</v>
      </c>
      <c r="W2283" s="1767">
        <f t="shared" si="336"/>
        <v>1.1110325385346538</v>
      </c>
      <c r="X2283" s="1695">
        <v>256</v>
      </c>
    </row>
    <row r="2284" spans="1:24" x14ac:dyDescent="0.2">
      <c r="A2284" s="1649" t="s">
        <v>256</v>
      </c>
      <c r="B2284" s="1677">
        <f>AVERAGE(W2281:W2287)</f>
        <v>1.1117488898483086</v>
      </c>
      <c r="C2284" s="1651">
        <v>45372</v>
      </c>
      <c r="D2284" s="1695">
        <v>42</v>
      </c>
      <c r="E2284" s="1696" t="s">
        <v>293</v>
      </c>
      <c r="F2284" s="1534" t="s">
        <v>323</v>
      </c>
      <c r="G2284" s="1697">
        <v>2.5138888888888888E-2</v>
      </c>
      <c r="H2284" s="1698">
        <v>5.88</v>
      </c>
      <c r="I2284" s="1699">
        <f t="shared" si="334"/>
        <v>4.2753212396069535E-3</v>
      </c>
      <c r="J2284" s="1700">
        <v>122</v>
      </c>
      <c r="K2284" s="1741">
        <v>24</v>
      </c>
      <c r="L2284" s="1578">
        <v>192</v>
      </c>
      <c r="M2284" s="1700">
        <v>21</v>
      </c>
      <c r="N2284" s="1701">
        <f t="shared" si="331"/>
        <v>1.0585440146207734</v>
      </c>
      <c r="O2284" s="1702" t="s">
        <v>333</v>
      </c>
      <c r="P2284" s="1635" t="str">
        <f>IFERROR(VLOOKUP(F2284,#REF!,12,FALSE),"")</f>
        <v/>
      </c>
      <c r="Q2284" s="1636" t="s">
        <v>8</v>
      </c>
      <c r="R2284" s="1703" t="str">
        <f>IFERROR(VLOOKUP(F2284,#REF!,14,FALSE),"")</f>
        <v/>
      </c>
      <c r="S2284" s="1704">
        <f t="shared" si="332"/>
        <v>1.5737704918032787</v>
      </c>
      <c r="T2284" s="1735">
        <f t="shared" si="337"/>
        <v>23.755663803812151</v>
      </c>
      <c r="U2284" s="1735">
        <f t="shared" si="335"/>
        <v>21.408171732985977</v>
      </c>
      <c r="V2284" s="1695">
        <f t="shared" si="333"/>
        <v>-2.3699846950472399</v>
      </c>
      <c r="W2284" s="1767">
        <f t="shared" si="336"/>
        <v>1.1096540190402682</v>
      </c>
      <c r="X2284" s="1695">
        <v>256</v>
      </c>
    </row>
    <row r="2285" spans="1:24" x14ac:dyDescent="0.2">
      <c r="A2285" s="1649" t="s">
        <v>336</v>
      </c>
      <c r="B2285" s="1713">
        <f>IFERROR(AVERAGE(N2281:N2287),"")</f>
        <v>1.0613019096085519</v>
      </c>
      <c r="C2285" s="1651">
        <v>45373</v>
      </c>
      <c r="D2285" s="1695">
        <v>43</v>
      </c>
      <c r="E2285" s="1696" t="s">
        <v>293</v>
      </c>
      <c r="F2285" s="1534" t="s">
        <v>143</v>
      </c>
      <c r="G2285" s="1697">
        <v>3.7662037037037036E-2</v>
      </c>
      <c r="H2285" s="1698">
        <v>9.89</v>
      </c>
      <c r="I2285" s="1699">
        <f t="shared" si="334"/>
        <v>3.8080927236640075E-3</v>
      </c>
      <c r="J2285" s="1700">
        <v>142</v>
      </c>
      <c r="K2285" s="1741">
        <v>65</v>
      </c>
      <c r="L2285" s="1578">
        <v>213</v>
      </c>
      <c r="M2285" s="1700">
        <v>26</v>
      </c>
      <c r="N2285" s="1701">
        <f t="shared" si="331"/>
        <v>1.0459864479422905</v>
      </c>
      <c r="O2285" s="1702" t="s">
        <v>345</v>
      </c>
      <c r="P2285" s="1635" t="str">
        <f>IFERROR(VLOOKUP(F2285,#REF!,12,FALSE),"")</f>
        <v/>
      </c>
      <c r="Q2285" s="1636" t="s">
        <v>8</v>
      </c>
      <c r="R2285" s="1703" t="str">
        <f>IFERROR(VLOOKUP(F2285,#REF!,14,FALSE),"")</f>
        <v/>
      </c>
      <c r="S2285" s="1704">
        <f t="shared" si="332"/>
        <v>1.5</v>
      </c>
      <c r="T2285" s="1735">
        <f t="shared" si="337"/>
        <v>29.647711831838986</v>
      </c>
      <c r="U2285" s="1735">
        <f t="shared" si="335"/>
        <v>22.446072406010121</v>
      </c>
      <c r="V2285" s="1695">
        <f t="shared" si="333"/>
        <v>-2.3474920708261742</v>
      </c>
      <c r="W2285" s="1767">
        <f t="shared" si="336"/>
        <v>1.3208418513298821</v>
      </c>
      <c r="X2285" s="1695">
        <v>258</v>
      </c>
    </row>
    <row r="2286" spans="1:24" x14ac:dyDescent="0.2">
      <c r="A2286" s="1649" t="s">
        <v>337</v>
      </c>
      <c r="B2286" s="1681">
        <f>IFERROR(AVERAGE(S2281:S2287),"")</f>
        <v>1.5250215024079641</v>
      </c>
      <c r="C2286" s="1651">
        <v>45374</v>
      </c>
      <c r="D2286" s="1695"/>
      <c r="E2286" s="1696"/>
      <c r="F2286" s="1628"/>
      <c r="G2286" s="1697"/>
      <c r="H2286" s="1698" t="str">
        <f>IFERROR(VLOOKUP(F2286,#REF!,10,FALSE),"")</f>
        <v/>
      </c>
      <c r="I2286" s="1699" t="str">
        <f t="shared" si="334"/>
        <v/>
      </c>
      <c r="J2286" s="1700"/>
      <c r="K2286" s="1741"/>
      <c r="L2286" s="1578"/>
      <c r="M2286" s="1700"/>
      <c r="N2286" s="1701" t="str">
        <f t="shared" si="331"/>
        <v/>
      </c>
      <c r="O2286" s="1702"/>
      <c r="P2286" s="1635" t="str">
        <f>IFERROR(VLOOKUP(F2286,#REF!,12,FALSE),"")</f>
        <v/>
      </c>
      <c r="Q2286" s="1636" t="s">
        <v>8</v>
      </c>
      <c r="R2286" s="1703" t="str">
        <f>IFERROR(VLOOKUP(F2286,#REF!,14,FALSE),"")</f>
        <v/>
      </c>
      <c r="S2286" s="1704" t="str">
        <f t="shared" si="332"/>
        <v/>
      </c>
      <c r="T2286" s="1735">
        <f t="shared" si="337"/>
        <v>25.41232442729056</v>
      </c>
      <c r="U2286" s="1735">
        <f t="shared" si="335"/>
        <v>21.911642110628929</v>
      </c>
      <c r="V2286" s="1695">
        <f t="shared" si="333"/>
        <v>-7.2016394258288656</v>
      </c>
      <c r="W2286" s="1767">
        <f t="shared" si="336"/>
        <v>1.1597635767774572</v>
      </c>
      <c r="X2286" s="1695">
        <v>258</v>
      </c>
    </row>
    <row r="2287" spans="1:24" ht="16" thickBot="1" x14ac:dyDescent="0.25">
      <c r="A2287" s="1650" t="s">
        <v>5</v>
      </c>
      <c r="B2287" s="1678">
        <f>IFERROR(SUM(M2281:M2287),"")</f>
        <v>116</v>
      </c>
      <c r="C2287" s="1360">
        <v>45375</v>
      </c>
      <c r="D2287" s="683">
        <v>44</v>
      </c>
      <c r="E2287" s="684" t="s">
        <v>292</v>
      </c>
      <c r="F2287" s="1538" t="s">
        <v>322</v>
      </c>
      <c r="G2287" s="1361">
        <v>3.2893518518518523E-2</v>
      </c>
      <c r="H2287" s="1362">
        <v>7.55</v>
      </c>
      <c r="I2287" s="1363">
        <f t="shared" si="334"/>
        <v>4.3567574196713274E-3</v>
      </c>
      <c r="J2287" s="1364">
        <v>121</v>
      </c>
      <c r="K2287" s="1752">
        <v>31</v>
      </c>
      <c r="L2287" s="1705">
        <v>190</v>
      </c>
      <c r="M2287" s="1364">
        <v>24</v>
      </c>
      <c r="N2287" s="1365">
        <f t="shared" si="331"/>
        <v>1.0674705940496196</v>
      </c>
      <c r="O2287" s="1366" t="s">
        <v>346</v>
      </c>
      <c r="P2287" s="1706" t="str">
        <f>IFERROR(VLOOKUP(F2287,#REF!,12,FALSE),"")</f>
        <v/>
      </c>
      <c r="Q2287" s="1707" t="s">
        <v>8</v>
      </c>
      <c r="R2287" s="1708" t="str">
        <f>IFERROR(VLOOKUP(F2287,#REF!,14,FALSE),"")</f>
        <v/>
      </c>
      <c r="S2287" s="1191">
        <f t="shared" si="332"/>
        <v>1.5702479338842976</v>
      </c>
      <c r="T2287" s="1731">
        <f t="shared" si="337"/>
        <v>26.21056379482048</v>
      </c>
      <c r="U2287" s="1731">
        <f t="shared" si="335"/>
        <v>22.128031584185383</v>
      </c>
      <c r="V2287" s="683">
        <f t="shared" si="333"/>
        <v>-3.5006823166616314</v>
      </c>
      <c r="W2287" s="1768">
        <f t="shared" si="336"/>
        <v>1.1844959500849968</v>
      </c>
      <c r="X2287" s="683">
        <v>258</v>
      </c>
    </row>
    <row r="2288" spans="1:24" ht="16" thickBot="1" x14ac:dyDescent="0.25">
      <c r="A2288" s="1962">
        <f>WEEKNUM(C2288,1)</f>
        <v>13</v>
      </c>
      <c r="B2288" s="1963"/>
      <c r="C2288" s="1368">
        <v>45376</v>
      </c>
      <c r="D2288" s="1369">
        <v>45</v>
      </c>
      <c r="E2288" s="1370" t="s">
        <v>293</v>
      </c>
      <c r="F2288" s="1536" t="s">
        <v>334</v>
      </c>
      <c r="G2288" s="1371">
        <v>4.0937500000000002E-2</v>
      </c>
      <c r="H2288" s="1698">
        <v>10.47</v>
      </c>
      <c r="I2288" s="1373">
        <f t="shared" si="334"/>
        <v>3.9099808978032471E-3</v>
      </c>
      <c r="J2288" s="1374">
        <v>133</v>
      </c>
      <c r="K2288" s="1740">
        <v>60</v>
      </c>
      <c r="L2288" s="1577">
        <v>208</v>
      </c>
      <c r="M2288" s="1374">
        <v>30</v>
      </c>
      <c r="N2288" s="1375">
        <f t="shared" si="331"/>
        <v>1.0487619210537569</v>
      </c>
      <c r="O2288" s="1376" t="s">
        <v>345</v>
      </c>
      <c r="P2288" s="795" t="str">
        <f>IFERROR(VLOOKUP(F2288,#REF!,12,FALSE),"")</f>
        <v/>
      </c>
      <c r="Q2288" s="1254" t="s">
        <v>8</v>
      </c>
      <c r="R2288" s="1694" t="str">
        <f>IFERROR(VLOOKUP(F2288,#REF!,14,FALSE),"")</f>
        <v/>
      </c>
      <c r="S2288" s="1377">
        <f t="shared" si="332"/>
        <v>1.5639097744360901</v>
      </c>
      <c r="T2288" s="70">
        <f t="shared" si="337"/>
        <v>31.037626109846126</v>
      </c>
      <c r="U2288" s="70">
        <f t="shared" si="335"/>
        <v>23.029745117895256</v>
      </c>
      <c r="V2288" s="1369">
        <f t="shared" si="333"/>
        <v>-4.0825322106350974</v>
      </c>
      <c r="W2288" s="1766">
        <f t="shared" si="336"/>
        <v>1.3477190455628771</v>
      </c>
      <c r="X2288" s="1369">
        <v>258</v>
      </c>
    </row>
    <row r="2289" spans="1:24" x14ac:dyDescent="0.2">
      <c r="A2289" s="1648" t="s">
        <v>142</v>
      </c>
      <c r="B2289" s="1679">
        <f>SUM(H2288:H2294)</f>
        <v>44.44</v>
      </c>
      <c r="C2289" s="1651">
        <v>45377</v>
      </c>
      <c r="D2289" s="1695">
        <v>46</v>
      </c>
      <c r="E2289" s="1696" t="s">
        <v>293</v>
      </c>
      <c r="F2289" s="1534" t="s">
        <v>323</v>
      </c>
      <c r="G2289" s="1697">
        <v>2.3078703703703702E-2</v>
      </c>
      <c r="H2289" s="1698">
        <v>5.47</v>
      </c>
      <c r="I2289" s="1699">
        <f t="shared" si="334"/>
        <v>4.2191414449184103E-3</v>
      </c>
      <c r="J2289" s="1700">
        <v>116</v>
      </c>
      <c r="K2289" s="1741">
        <v>22</v>
      </c>
      <c r="L2289" s="1578">
        <v>193</v>
      </c>
      <c r="M2289" s="1700">
        <v>18</v>
      </c>
      <c r="N2289" s="1701">
        <f t="shared" si="331"/>
        <v>1.0500750361537834</v>
      </c>
      <c r="O2289" s="1702" t="s">
        <v>333</v>
      </c>
      <c r="P2289" s="1635" t="str">
        <f>IFERROR(VLOOKUP(F2289,#REF!,12,FALSE),"")</f>
        <v/>
      </c>
      <c r="Q2289" s="1636" t="s">
        <v>8</v>
      </c>
      <c r="R2289" s="1703" t="str">
        <f>IFERROR(VLOOKUP(F2289,#REF!,14,FALSE),"")</f>
        <v/>
      </c>
      <c r="S2289" s="1704">
        <f t="shared" si="332"/>
        <v>1.6637931034482758</v>
      </c>
      <c r="T2289" s="1379">
        <f t="shared" si="337"/>
        <v>29.746536665582394</v>
      </c>
      <c r="U2289" s="1379">
        <f t="shared" si="335"/>
        <v>23.005227376992988</v>
      </c>
      <c r="V2289" s="1695">
        <f t="shared" si="333"/>
        <v>-8.00788099195087</v>
      </c>
      <c r="W2289" s="1767">
        <f t="shared" si="336"/>
        <v>1.2930338039315028</v>
      </c>
      <c r="X2289" s="1695">
        <v>258</v>
      </c>
    </row>
    <row r="2290" spans="1:24" x14ac:dyDescent="0.2">
      <c r="A2290" s="1649" t="s">
        <v>347</v>
      </c>
      <c r="B2290" s="1680">
        <f>SUM(K2288:K2294)</f>
        <v>230</v>
      </c>
      <c r="C2290" s="1651">
        <v>45378</v>
      </c>
      <c r="D2290" s="1695"/>
      <c r="E2290" s="1696"/>
      <c r="F2290" s="1534"/>
      <c r="G2290" s="1697"/>
      <c r="H2290" s="1698"/>
      <c r="I2290" s="1699" t="str">
        <f t="shared" si="334"/>
        <v/>
      </c>
      <c r="J2290" s="1700"/>
      <c r="K2290" s="1741"/>
      <c r="L2290" s="1578"/>
      <c r="M2290" s="1700"/>
      <c r="N2290" s="1701" t="str">
        <f t="shared" si="331"/>
        <v/>
      </c>
      <c r="O2290" s="1702"/>
      <c r="P2290" s="1635" t="str">
        <f>IFERROR(VLOOKUP(F2290,#REF!,12,FALSE),"")</f>
        <v/>
      </c>
      <c r="Q2290" s="1636" t="s">
        <v>8</v>
      </c>
      <c r="R2290" s="1703" t="str">
        <f>IFERROR(VLOOKUP(F2290,#REF!,14,FALSE),"")</f>
        <v/>
      </c>
      <c r="S2290" s="1704" t="str">
        <f t="shared" si="332"/>
        <v/>
      </c>
      <c r="T2290" s="1379">
        <f t="shared" si="337"/>
        <v>25.49703142764205</v>
      </c>
      <c r="U2290" s="1379">
        <f t="shared" si="335"/>
        <v>22.457483868016965</v>
      </c>
      <c r="V2290" s="1695">
        <f t="shared" si="333"/>
        <v>-6.7413092885894059</v>
      </c>
      <c r="W2290" s="1767">
        <f t="shared" si="336"/>
        <v>1.1353467546715634</v>
      </c>
      <c r="X2290" s="1695">
        <v>258</v>
      </c>
    </row>
    <row r="2291" spans="1:24" x14ac:dyDescent="0.2">
      <c r="A2291" s="1649" t="s">
        <v>256</v>
      </c>
      <c r="B2291" s="1677">
        <f>AVERAGE(W2288:W2294)</f>
        <v>1.2817237347066237</v>
      </c>
      <c r="C2291" s="1651">
        <v>45379</v>
      </c>
      <c r="D2291" s="1695">
        <v>47</v>
      </c>
      <c r="E2291" s="1696" t="s">
        <v>293</v>
      </c>
      <c r="F2291" s="1534" t="s">
        <v>334</v>
      </c>
      <c r="G2291" s="1697">
        <v>4.0300925925925928E-2</v>
      </c>
      <c r="H2291" s="1698">
        <v>10.85</v>
      </c>
      <c r="I2291" s="1699">
        <f t="shared" si="334"/>
        <v>3.7143710530807309E-3</v>
      </c>
      <c r="J2291" s="1700">
        <v>142</v>
      </c>
      <c r="K2291" s="1741">
        <v>69</v>
      </c>
      <c r="L2291" s="1578">
        <v>222</v>
      </c>
      <c r="M2291" s="1700">
        <v>36</v>
      </c>
      <c r="N2291" s="1701">
        <f t="shared" si="331"/>
        <v>1.0633523626109085</v>
      </c>
      <c r="O2291" s="1702" t="s">
        <v>345</v>
      </c>
      <c r="P2291" s="1635" t="str">
        <f>IFERROR(VLOOKUP(F2291,#REF!,12,FALSE),"")</f>
        <v/>
      </c>
      <c r="Q2291" s="1636" t="s">
        <v>8</v>
      </c>
      <c r="R2291" s="1703" t="str">
        <f>IFERROR(VLOOKUP(F2291,#REF!,14,FALSE),"")</f>
        <v/>
      </c>
      <c r="S2291" s="1704">
        <f t="shared" si="332"/>
        <v>1.5633802816901408</v>
      </c>
      <c r="T2291" s="1379">
        <f t="shared" si="337"/>
        <v>31.711741223693185</v>
      </c>
      <c r="U2291" s="1379">
        <f t="shared" si="335"/>
        <v>23.565639014016561</v>
      </c>
      <c r="V2291" s="1695">
        <f t="shared" si="333"/>
        <v>-3.0395475596250847</v>
      </c>
      <c r="W2291" s="1767">
        <f t="shared" si="336"/>
        <v>1.3456771193359713</v>
      </c>
      <c r="X2291" s="1695">
        <v>258</v>
      </c>
    </row>
    <row r="2292" spans="1:24" x14ac:dyDescent="0.2">
      <c r="A2292" s="1649" t="s">
        <v>336</v>
      </c>
      <c r="B2292" s="1713">
        <f>IFERROR(AVERAGE(N2288:N2294),"")</f>
        <v>1.0602551647184699</v>
      </c>
      <c r="C2292" s="1724">
        <v>45380</v>
      </c>
      <c r="D2292" s="1695"/>
      <c r="E2292" s="1696"/>
      <c r="F2292" s="1738"/>
      <c r="G2292" s="1697"/>
      <c r="H2292" s="1698" t="str">
        <f>IFERROR(VLOOKUP(F2292,#REF!,10,FALSE),"")</f>
        <v/>
      </c>
      <c r="I2292" s="1699" t="str">
        <f t="shared" si="334"/>
        <v/>
      </c>
      <c r="J2292" s="1700"/>
      <c r="K2292" s="1802"/>
      <c r="L2292" s="1578"/>
      <c r="M2292" s="1700"/>
      <c r="N2292" s="1701" t="str">
        <f t="shared" si="331"/>
        <v/>
      </c>
      <c r="O2292" s="1702"/>
      <c r="P2292" s="1635" t="str">
        <f>IFERROR(VLOOKUP(F2292,#REF!,12,FALSE),"")</f>
        <v/>
      </c>
      <c r="Q2292" s="1636" t="s">
        <v>8</v>
      </c>
      <c r="R2292" s="1703" t="str">
        <f>IFERROR(VLOOKUP(F2292,#REF!,14,FALSE),"")</f>
        <v/>
      </c>
      <c r="S2292" s="1704" t="str">
        <f t="shared" si="332"/>
        <v/>
      </c>
      <c r="T2292" s="1379">
        <f t="shared" si="337"/>
        <v>27.1814924774513</v>
      </c>
      <c r="U2292" s="1379">
        <f t="shared" si="335"/>
        <v>23.004552370825692</v>
      </c>
      <c r="V2292" s="1695">
        <f t="shared" si="333"/>
        <v>-8.1461022096766236</v>
      </c>
      <c r="W2292" s="1767">
        <f t="shared" si="336"/>
        <v>1.1815701535632916</v>
      </c>
      <c r="X2292" s="1695">
        <v>258</v>
      </c>
    </row>
    <row r="2293" spans="1:24" x14ac:dyDescent="0.2">
      <c r="A2293" s="1649" t="s">
        <v>337</v>
      </c>
      <c r="B2293" s="1681">
        <f>IFERROR(AVERAGE(S2288:S2294),"")</f>
        <v>1.5520873366562167</v>
      </c>
      <c r="C2293" s="1724">
        <v>45381</v>
      </c>
      <c r="D2293" s="1695">
        <v>48</v>
      </c>
      <c r="E2293" s="1696" t="s">
        <v>292</v>
      </c>
      <c r="F2293" s="1628" t="s">
        <v>275</v>
      </c>
      <c r="G2293" s="1697">
        <v>7.4953703703703703E-2</v>
      </c>
      <c r="H2293" s="1698">
        <v>17.649999999999999</v>
      </c>
      <c r="I2293" s="1699">
        <f t="shared" si="334"/>
        <v>4.2466687650823632E-3</v>
      </c>
      <c r="J2293" s="1700">
        <v>139</v>
      </c>
      <c r="K2293" s="1741">
        <v>79</v>
      </c>
      <c r="L2293" s="1578">
        <v>197</v>
      </c>
      <c r="M2293" s="1700">
        <v>73</v>
      </c>
      <c r="N2293" s="1701">
        <f t="shared" si="331"/>
        <v>1.0788313390554309</v>
      </c>
      <c r="O2293" s="1702" t="s">
        <v>346</v>
      </c>
      <c r="P2293" s="1635" t="str">
        <f>IFERROR(VLOOKUP(F2293,#REF!,12,FALSE),"")</f>
        <v/>
      </c>
      <c r="Q2293" s="1636" t="s">
        <v>8</v>
      </c>
      <c r="R2293" s="1703" t="str">
        <f>IFERROR(VLOOKUP(F2293,#REF!,14,FALSE),"")</f>
        <v/>
      </c>
      <c r="S2293" s="1704">
        <f t="shared" si="332"/>
        <v>1.4172661870503598</v>
      </c>
      <c r="T2293" s="1379">
        <f t="shared" si="337"/>
        <v>34.584136409243975</v>
      </c>
      <c r="U2293" s="1379">
        <f t="shared" si="335"/>
        <v>24.337777314377462</v>
      </c>
      <c r="V2293" s="1695">
        <f t="shared" si="333"/>
        <v>-4.176940106625608</v>
      </c>
      <c r="W2293" s="1767">
        <f t="shared" si="336"/>
        <v>1.4210063623523053</v>
      </c>
      <c r="X2293" s="1695">
        <v>258</v>
      </c>
    </row>
    <row r="2294" spans="1:24" ht="16" thickBot="1" x14ac:dyDescent="0.25">
      <c r="A2294" s="1650" t="s">
        <v>5</v>
      </c>
      <c r="B2294" s="1678">
        <f>IFERROR(SUM(M2288:M2294),"")</f>
        <v>157</v>
      </c>
      <c r="C2294" s="1686">
        <v>45382</v>
      </c>
      <c r="D2294" s="683"/>
      <c r="E2294" s="684"/>
      <c r="F2294" s="1538"/>
      <c r="G2294" s="1361"/>
      <c r="H2294" s="1362" t="str">
        <f>IFERROR(VLOOKUP(F2294,#REF!,10,FALSE),"")</f>
        <v/>
      </c>
      <c r="I2294" s="1363" t="str">
        <f t="shared" si="334"/>
        <v/>
      </c>
      <c r="J2294" s="1364"/>
      <c r="K2294" s="1744"/>
      <c r="L2294" s="1705"/>
      <c r="M2294" s="1364"/>
      <c r="N2294" s="1365" t="str">
        <f t="shared" si="331"/>
        <v/>
      </c>
      <c r="O2294" s="1366"/>
      <c r="P2294" s="1706" t="str">
        <f>IFERROR(VLOOKUP(F2294,#REF!,12,FALSE),"")</f>
        <v/>
      </c>
      <c r="Q2294" s="1707" t="s">
        <v>8</v>
      </c>
      <c r="R2294" s="1708" t="str">
        <f>IFERROR(VLOOKUP(F2294,#REF!,14,FALSE),"")</f>
        <v/>
      </c>
      <c r="S2294" s="1191" t="str">
        <f t="shared" si="332"/>
        <v/>
      </c>
      <c r="T2294" s="1732">
        <f t="shared" si="337"/>
        <v>29.643545493637692</v>
      </c>
      <c r="U2294" s="1732">
        <f t="shared" si="335"/>
        <v>23.758306425939903</v>
      </c>
      <c r="V2294" s="683">
        <f t="shared" si="333"/>
        <v>-10.246359094866513</v>
      </c>
      <c r="W2294" s="1768">
        <f t="shared" si="336"/>
        <v>1.2477129035288534</v>
      </c>
      <c r="X2294" s="683">
        <v>258</v>
      </c>
    </row>
    <row r="2295" spans="1:24" ht="16" thickBot="1" x14ac:dyDescent="0.25">
      <c r="A2295" s="1962">
        <f>WEEKNUM(C2295,1)</f>
        <v>14</v>
      </c>
      <c r="B2295" s="1963"/>
      <c r="C2295" s="1687">
        <v>45383</v>
      </c>
      <c r="D2295" s="1369"/>
      <c r="E2295" s="1370"/>
      <c r="F2295" s="1534"/>
      <c r="G2295" s="1371"/>
      <c r="H2295" s="1372"/>
      <c r="I2295" s="1373" t="str">
        <f t="shared" si="334"/>
        <v/>
      </c>
      <c r="J2295" s="1374"/>
      <c r="K2295" s="1745"/>
      <c r="L2295" s="1577"/>
      <c r="M2295" s="1374"/>
      <c r="N2295" s="1375" t="str">
        <f t="shared" si="331"/>
        <v/>
      </c>
      <c r="O2295" s="1376"/>
      <c r="P2295" s="795" t="str">
        <f>IFERROR(VLOOKUP(F2295,#REF!,12,FALSE),"")</f>
        <v/>
      </c>
      <c r="Q2295" s="1254" t="s">
        <v>8</v>
      </c>
      <c r="R2295" s="1694" t="str">
        <f>IFERROR(VLOOKUP(F2295,#REF!,14,FALSE),"")</f>
        <v/>
      </c>
      <c r="S2295" s="1377" t="str">
        <f t="shared" si="332"/>
        <v/>
      </c>
      <c r="T2295" s="1369">
        <f t="shared" si="337"/>
        <v>25.408753280260878</v>
      </c>
      <c r="U2295" s="1369">
        <f t="shared" si="335"/>
        <v>23.192632463417524</v>
      </c>
      <c r="V2295" s="1369">
        <f t="shared" si="333"/>
        <v>-5.885239067697789</v>
      </c>
      <c r="W2295" s="1766">
        <f t="shared" si="336"/>
        <v>1.0955527933424078</v>
      </c>
      <c r="X2295" s="1369">
        <v>258</v>
      </c>
    </row>
    <row r="2296" spans="1:24" x14ac:dyDescent="0.2">
      <c r="A2296" s="1648" t="s">
        <v>142</v>
      </c>
      <c r="B2296" s="1679">
        <f>SUM(H2295:H2301)</f>
        <v>18.34</v>
      </c>
      <c r="C2296" s="1651">
        <v>45384</v>
      </c>
      <c r="D2296" s="1695"/>
      <c r="E2296" s="1696"/>
      <c r="F2296" s="1738"/>
      <c r="G2296" s="1697"/>
      <c r="H2296" s="1698"/>
      <c r="I2296" s="1699" t="str">
        <f t="shared" si="334"/>
        <v/>
      </c>
      <c r="J2296" s="1700"/>
      <c r="K2296" s="1824"/>
      <c r="L2296" s="1578"/>
      <c r="M2296" s="1700"/>
      <c r="N2296" s="1701" t="str">
        <f t="shared" si="331"/>
        <v/>
      </c>
      <c r="O2296" s="1702"/>
      <c r="P2296" s="1635" t="str">
        <f>IFERROR(VLOOKUP(F2296,#REF!,12,FALSE),"")</f>
        <v/>
      </c>
      <c r="Q2296" s="1636" t="s">
        <v>8</v>
      </c>
      <c r="R2296" s="1703" t="str">
        <f>IFERROR(VLOOKUP(F2296,#REF!,14,FALSE),"")</f>
        <v/>
      </c>
      <c r="S2296" s="1704" t="str">
        <f t="shared" si="332"/>
        <v/>
      </c>
      <c r="T2296" s="1735">
        <f t="shared" si="337"/>
        <v>21.778931383080753</v>
      </c>
      <c r="U2296" s="1735">
        <f t="shared" si="335"/>
        <v>22.64042692857425</v>
      </c>
      <c r="V2296" s="1695">
        <f t="shared" si="333"/>
        <v>-2.2161208168433539</v>
      </c>
      <c r="W2296" s="1767">
        <f t="shared" si="336"/>
        <v>0.96194879415430934</v>
      </c>
      <c r="X2296" s="1695">
        <v>258</v>
      </c>
    </row>
    <row r="2297" spans="1:24" x14ac:dyDescent="0.2">
      <c r="A2297" s="1649" t="s">
        <v>347</v>
      </c>
      <c r="B2297" s="1680">
        <f>SUM(K2295:K2301)</f>
        <v>82</v>
      </c>
      <c r="C2297" s="1651">
        <v>45385</v>
      </c>
      <c r="D2297" s="1695"/>
      <c r="E2297" s="1696"/>
      <c r="F2297" s="1534"/>
      <c r="G2297" s="1697"/>
      <c r="H2297" s="1698"/>
      <c r="I2297" s="1699"/>
      <c r="J2297" s="1700"/>
      <c r="K2297" s="1824"/>
      <c r="L2297" s="1578"/>
      <c r="M2297" s="1700"/>
      <c r="N2297" s="1701" t="str">
        <f t="shared" si="331"/>
        <v/>
      </c>
      <c r="O2297" s="1702"/>
      <c r="P2297" s="1635" t="str">
        <f>IFERROR(VLOOKUP(F2297,#REF!,12,FALSE),"")</f>
        <v/>
      </c>
      <c r="Q2297" s="1636" t="s">
        <v>8</v>
      </c>
      <c r="R2297" s="1703" t="str">
        <f>IFERROR(VLOOKUP(F2297,#REF!,14,FALSE),"")</f>
        <v/>
      </c>
      <c r="S2297" s="1704" t="str">
        <f t="shared" si="332"/>
        <v/>
      </c>
      <c r="T2297" s="1735">
        <f>T2296+(K2297-T2296)/7</f>
        <v>18.667655471212075</v>
      </c>
      <c r="U2297" s="1735">
        <f t="shared" si="335"/>
        <v>22.101369144560579</v>
      </c>
      <c r="V2297" s="1695">
        <f t="shared" si="333"/>
        <v>0.86149554549349716</v>
      </c>
      <c r="W2297" s="1767">
        <f>T2297/U2297</f>
        <v>0.8446379655989058</v>
      </c>
      <c r="X2297" s="1695">
        <v>258</v>
      </c>
    </row>
    <row r="2298" spans="1:24" x14ac:dyDescent="0.2">
      <c r="A2298" s="1649" t="s">
        <v>256</v>
      </c>
      <c r="B2298" s="1677">
        <f>AVERAGE(W2295:W2301)</f>
        <v>0.83659931377203978</v>
      </c>
      <c r="C2298" s="1651">
        <v>45386</v>
      </c>
      <c r="D2298" s="1695"/>
      <c r="E2298" s="1696"/>
      <c r="F2298" s="1534"/>
      <c r="G2298" s="1697"/>
      <c r="H2298" s="1698"/>
      <c r="I2298" s="1699"/>
      <c r="J2298" s="1700"/>
      <c r="K2298" s="1824"/>
      <c r="L2298" s="1578"/>
      <c r="M2298" s="1700"/>
      <c r="N2298" s="1701" t="str">
        <f t="shared" ref="N2298:N2361" si="338">IFERROR((L2298/67)/(1/(I2298*24)/3.6),"")</f>
        <v/>
      </c>
      <c r="O2298" s="1702"/>
      <c r="P2298" s="1635" t="str">
        <f>IFERROR(VLOOKUP(F2298,#REF!,12,FALSE),"")</f>
        <v/>
      </c>
      <c r="Q2298" s="1636" t="s">
        <v>8</v>
      </c>
      <c r="R2298" s="1703" t="str">
        <f>IFERROR(VLOOKUP(F2298,#REF!,14,FALSE),"")</f>
        <v/>
      </c>
      <c r="S2298" s="1704" t="str">
        <f t="shared" ref="S2298:S2361" si="339">IFERROR(L2298/J2298,"")</f>
        <v/>
      </c>
      <c r="T2298" s="1735">
        <f t="shared" si="337"/>
        <v>16.000847546753207</v>
      </c>
      <c r="U2298" s="1735">
        <f t="shared" si="335"/>
        <v>21.575146069690089</v>
      </c>
      <c r="V2298" s="1695">
        <f t="shared" ref="V2298:V2361" si="340">U2297-T2297</f>
        <v>3.4337136733485032</v>
      </c>
      <c r="W2298" s="1767">
        <f t="shared" si="336"/>
        <v>0.74163333564781964</v>
      </c>
      <c r="X2298" s="1695">
        <v>258</v>
      </c>
    </row>
    <row r="2299" spans="1:24" x14ac:dyDescent="0.2">
      <c r="A2299" s="1649" t="s">
        <v>336</v>
      </c>
      <c r="B2299" s="1713">
        <f>IFERROR(AVERAGE(N2295:N2301),"")</f>
        <v>1.0779960611338077</v>
      </c>
      <c r="C2299" s="1651">
        <v>45387</v>
      </c>
      <c r="D2299" s="1695"/>
      <c r="E2299" s="1696"/>
      <c r="F2299" s="1738"/>
      <c r="G2299" s="1697"/>
      <c r="H2299" s="1698"/>
      <c r="I2299" s="1699"/>
      <c r="J2299" s="1700"/>
      <c r="K2299" s="1824"/>
      <c r="L2299" s="1578"/>
      <c r="M2299" s="1700"/>
      <c r="N2299" s="1701" t="str">
        <f t="shared" si="338"/>
        <v/>
      </c>
      <c r="O2299" s="1702"/>
      <c r="P2299" s="1635" t="str">
        <f>IFERROR(VLOOKUP(F2299,#REF!,12,FALSE),"")</f>
        <v/>
      </c>
      <c r="Q2299" s="1636" t="s">
        <v>8</v>
      </c>
      <c r="R2299" s="1703" t="str">
        <f>IFERROR(VLOOKUP(F2299,#REF!,14,FALSE),"")</f>
        <v/>
      </c>
      <c r="S2299" s="1704" t="str">
        <f t="shared" si="339"/>
        <v/>
      </c>
      <c r="T2299" s="1735">
        <f t="shared" si="337"/>
        <v>13.71501218293132</v>
      </c>
      <c r="U2299" s="1735">
        <f t="shared" si="335"/>
        <v>21.06145211564985</v>
      </c>
      <c r="V2299" s="1695">
        <f t="shared" si="340"/>
        <v>5.574298522936882</v>
      </c>
      <c r="W2299" s="1767">
        <f t="shared" si="336"/>
        <v>0.6511902459346709</v>
      </c>
      <c r="X2299" s="1695">
        <v>258</v>
      </c>
    </row>
    <row r="2300" spans="1:24" x14ac:dyDescent="0.2">
      <c r="A2300" s="1649" t="s">
        <v>337</v>
      </c>
      <c r="B2300" s="1681">
        <f>IFERROR(AVERAGE(S2295:S2301),"")</f>
        <v>1.4558823529411764</v>
      </c>
      <c r="C2300" s="1651">
        <v>45388</v>
      </c>
      <c r="D2300" s="1695"/>
      <c r="E2300" s="1696"/>
      <c r="F2300" s="1628"/>
      <c r="G2300" s="1697"/>
      <c r="H2300" s="1698"/>
      <c r="I2300" s="1699" t="str">
        <f t="shared" si="334"/>
        <v/>
      </c>
      <c r="J2300" s="1700"/>
      <c r="K2300" s="1824"/>
      <c r="L2300" s="1578"/>
      <c r="M2300" s="1700"/>
      <c r="N2300" s="1701" t="str">
        <f t="shared" si="338"/>
        <v/>
      </c>
      <c r="O2300" s="1702"/>
      <c r="P2300" s="1635" t="str">
        <f>IFERROR(VLOOKUP(F2300,#REF!,12,FALSE),"")</f>
        <v/>
      </c>
      <c r="Q2300" s="1636" t="s">
        <v>8</v>
      </c>
      <c r="R2300" s="1703" t="str">
        <f>IFERROR(VLOOKUP(F2300,#REF!,14,FALSE),"")</f>
        <v/>
      </c>
      <c r="S2300" s="1704" t="str">
        <f t="shared" si="339"/>
        <v/>
      </c>
      <c r="T2300" s="1735">
        <f t="shared" si="337"/>
        <v>11.755724728226845</v>
      </c>
      <c r="U2300" s="1735">
        <f t="shared" si="335"/>
        <v>20.559988970039139</v>
      </c>
      <c r="V2300" s="1695">
        <f t="shared" si="340"/>
        <v>7.3464399327185301</v>
      </c>
      <c r="W2300" s="1767">
        <f t="shared" si="336"/>
        <v>0.5717768013084914</v>
      </c>
      <c r="X2300" s="1695">
        <v>258</v>
      </c>
    </row>
    <row r="2301" spans="1:24" ht="16" thickBot="1" x14ac:dyDescent="0.25">
      <c r="A2301" s="1650" t="s">
        <v>5</v>
      </c>
      <c r="B2301" s="1678">
        <f>IFERROR(SUM(M2295:M2301),"")</f>
        <v>79</v>
      </c>
      <c r="C2301" s="1360">
        <v>45389</v>
      </c>
      <c r="D2301" s="683">
        <v>49</v>
      </c>
      <c r="E2301" s="684" t="s">
        <v>292</v>
      </c>
      <c r="F2301" s="1538" t="s">
        <v>275</v>
      </c>
      <c r="G2301" s="1361">
        <v>7.7430555555555558E-2</v>
      </c>
      <c r="H2301" s="1362">
        <v>18.34</v>
      </c>
      <c r="I2301" s="1363">
        <f t="shared" si="334"/>
        <v>4.2219495940869992E-3</v>
      </c>
      <c r="J2301" s="1364">
        <v>136</v>
      </c>
      <c r="K2301" s="1803">
        <v>82</v>
      </c>
      <c r="L2301" s="1705">
        <v>198</v>
      </c>
      <c r="M2301" s="1364">
        <v>79</v>
      </c>
      <c r="N2301" s="1365">
        <f t="shared" si="338"/>
        <v>1.0779960611338077</v>
      </c>
      <c r="O2301" s="1366" t="s">
        <v>346</v>
      </c>
      <c r="P2301" s="1706" t="str">
        <f>IFERROR(VLOOKUP(F2301,#REF!,12,FALSE),"")</f>
        <v/>
      </c>
      <c r="Q2301" s="1707" t="s">
        <v>8</v>
      </c>
      <c r="R2301" s="1708" t="str">
        <f>IFERROR(VLOOKUP(F2301,#REF!,14,FALSE),"")</f>
        <v/>
      </c>
      <c r="S2301" s="1191">
        <f t="shared" si="339"/>
        <v>1.4558823529411764</v>
      </c>
      <c r="T2301" s="1731">
        <f t="shared" si="337"/>
        <v>21.790621195623011</v>
      </c>
      <c r="U2301" s="1731">
        <f t="shared" si="335"/>
        <v>22.022846375514398</v>
      </c>
      <c r="V2301" s="683">
        <f t="shared" si="340"/>
        <v>8.8042642418122945</v>
      </c>
      <c r="W2301" s="1768">
        <f t="shared" si="336"/>
        <v>0.98945526041767329</v>
      </c>
      <c r="X2301" s="683">
        <v>258</v>
      </c>
    </row>
    <row r="2302" spans="1:24" ht="16" thickBot="1" x14ac:dyDescent="0.25">
      <c r="A2302" s="1962">
        <f>WEEKNUM(C2302,1)</f>
        <v>15</v>
      </c>
      <c r="B2302" s="1963"/>
      <c r="C2302" s="1368">
        <v>45390</v>
      </c>
      <c r="D2302" s="1369">
        <v>50</v>
      </c>
      <c r="E2302" s="1689" t="s">
        <v>293</v>
      </c>
      <c r="F2302" s="1534" t="s">
        <v>323</v>
      </c>
      <c r="G2302" s="1692">
        <v>2.3784722222222221E-2</v>
      </c>
      <c r="H2302" s="1698">
        <v>5.47</v>
      </c>
      <c r="I2302" s="1699">
        <f t="shared" ref="I2302" si="341">IFERROR(G2302/H2302,"")</f>
        <v>4.348212472069876E-3</v>
      </c>
      <c r="J2302" s="1700">
        <v>117</v>
      </c>
      <c r="K2302" s="1741">
        <v>20</v>
      </c>
      <c r="L2302" s="1577">
        <v>188</v>
      </c>
      <c r="M2302" s="1374">
        <v>19</v>
      </c>
      <c r="N2302" s="1375">
        <f t="shared" si="338"/>
        <v>1.0541624600944091</v>
      </c>
      <c r="O2302" s="1376" t="s">
        <v>333</v>
      </c>
      <c r="P2302" s="795" t="str">
        <f>IFERROR(VLOOKUP(F2302,#REF!,12,FALSE),"")</f>
        <v/>
      </c>
      <c r="Q2302" s="1254" t="s">
        <v>8</v>
      </c>
      <c r="R2302" s="1694" t="str">
        <f>IFERROR(VLOOKUP(F2302,#REF!,14,FALSE),"")</f>
        <v/>
      </c>
      <c r="S2302" s="1377">
        <f t="shared" si="339"/>
        <v>1.6068376068376069</v>
      </c>
      <c r="T2302" s="70">
        <f t="shared" si="337"/>
        <v>21.534818167676868</v>
      </c>
      <c r="U2302" s="70">
        <f t="shared" si="335"/>
        <v>21.974683366573579</v>
      </c>
      <c r="V2302" s="1369">
        <f t="shared" si="340"/>
        <v>0.2322251798913868</v>
      </c>
      <c r="W2302" s="1766">
        <f t="shared" si="336"/>
        <v>0.97998309274545425</v>
      </c>
      <c r="X2302" s="1369">
        <v>258</v>
      </c>
    </row>
    <row r="2303" spans="1:24" x14ac:dyDescent="0.2">
      <c r="A2303" s="1648" t="s">
        <v>142</v>
      </c>
      <c r="B2303" s="1679">
        <f>SUM(H2302:H2308)</f>
        <v>26.919999999999998</v>
      </c>
      <c r="C2303" s="1651">
        <v>45391</v>
      </c>
      <c r="D2303" s="1695">
        <v>51</v>
      </c>
      <c r="E2303" s="1690" t="s">
        <v>293</v>
      </c>
      <c r="F2303" s="1738" t="s">
        <v>323</v>
      </c>
      <c r="G2303" s="1693">
        <v>2.8136574074074074E-2</v>
      </c>
      <c r="H2303" s="1698">
        <v>6.69</v>
      </c>
      <c r="I2303" s="1699">
        <f t="shared" si="334"/>
        <v>4.2057659303548689E-3</v>
      </c>
      <c r="J2303" s="1700">
        <v>123</v>
      </c>
      <c r="K2303" s="1741">
        <v>29</v>
      </c>
      <c r="L2303" s="1578">
        <v>197</v>
      </c>
      <c r="M2303" s="1700">
        <v>22</v>
      </c>
      <c r="N2303" s="1701">
        <f t="shared" si="338"/>
        <v>1.06844030966245</v>
      </c>
      <c r="O2303" s="1702" t="s">
        <v>340</v>
      </c>
      <c r="P2303" s="1635" t="str">
        <f>IFERROR(VLOOKUP(F2303,#REF!,12,FALSE),"")</f>
        <v/>
      </c>
      <c r="Q2303" s="1636" t="s">
        <v>8</v>
      </c>
      <c r="R2303" s="1703" t="str">
        <f>IFERROR(VLOOKUP(F2303,#REF!,14,FALSE),"")</f>
        <v/>
      </c>
      <c r="S2303" s="1704">
        <f t="shared" si="339"/>
        <v>1.6016260162601625</v>
      </c>
      <c r="T2303" s="1379">
        <f t="shared" si="337"/>
        <v>22.601272715151602</v>
      </c>
      <c r="U2303" s="1379">
        <f t="shared" si="335"/>
        <v>22.141952810226588</v>
      </c>
      <c r="V2303" s="1695">
        <f t="shared" si="340"/>
        <v>0.43986519889671172</v>
      </c>
      <c r="W2303" s="1767">
        <f t="shared" si="336"/>
        <v>1.0207443267927512</v>
      </c>
      <c r="X2303" s="1695">
        <v>258</v>
      </c>
    </row>
    <row r="2304" spans="1:24" x14ac:dyDescent="0.2">
      <c r="A2304" s="1649" t="s">
        <v>347</v>
      </c>
      <c r="B2304" s="1680">
        <f>SUM(K2302:K2308)</f>
        <v>126</v>
      </c>
      <c r="C2304" s="1651">
        <v>45392</v>
      </c>
      <c r="D2304" s="1695"/>
      <c r="E2304" s="1690"/>
      <c r="F2304" s="1534"/>
      <c r="G2304" s="1693"/>
      <c r="H2304" s="1698"/>
      <c r="I2304" s="1699" t="str">
        <f t="shared" si="334"/>
        <v/>
      </c>
      <c r="J2304" s="1700"/>
      <c r="K2304" s="1741"/>
      <c r="L2304" s="1578"/>
      <c r="M2304" s="1700"/>
      <c r="N2304" s="1701" t="str">
        <f t="shared" si="338"/>
        <v/>
      </c>
      <c r="O2304" s="1702"/>
      <c r="P2304" s="1635" t="str">
        <f>IFERROR(VLOOKUP(F2304,#REF!,12,FALSE),"")</f>
        <v/>
      </c>
      <c r="Q2304" s="1636" t="s">
        <v>8</v>
      </c>
      <c r="R2304" s="1703" t="str">
        <f>IFERROR(VLOOKUP(F2304,#REF!,14,FALSE),"")</f>
        <v/>
      </c>
      <c r="S2304" s="1704" t="str">
        <f t="shared" si="339"/>
        <v/>
      </c>
      <c r="T2304" s="1379">
        <f t="shared" si="337"/>
        <v>19.372519470129944</v>
      </c>
      <c r="U2304" s="1379">
        <f t="shared" si="335"/>
        <v>21.614763457602145</v>
      </c>
      <c r="V2304" s="1695">
        <f t="shared" si="340"/>
        <v>-0.45931990492501384</v>
      </c>
      <c r="W2304" s="1767">
        <f t="shared" si="336"/>
        <v>0.89626331133022052</v>
      </c>
      <c r="X2304" s="1695">
        <v>258</v>
      </c>
    </row>
    <row r="2305" spans="1:24" x14ac:dyDescent="0.2">
      <c r="A2305" s="1649" t="s">
        <v>256</v>
      </c>
      <c r="B2305" s="1677">
        <f>AVERAGE(W2302:W2308)</f>
        <v>0.97463453925574639</v>
      </c>
      <c r="C2305" s="1651">
        <v>45393</v>
      </c>
      <c r="D2305" s="1695">
        <v>52</v>
      </c>
      <c r="E2305" s="1690" t="s">
        <v>293</v>
      </c>
      <c r="F2305" s="1534" t="s">
        <v>334</v>
      </c>
      <c r="G2305" s="1693">
        <v>3.8217592592592595E-2</v>
      </c>
      <c r="H2305" s="1698">
        <v>9.49</v>
      </c>
      <c r="I2305" s="1699">
        <f t="shared" si="334"/>
        <v>4.0271435819381023E-3</v>
      </c>
      <c r="J2305" s="1700">
        <v>132</v>
      </c>
      <c r="K2305" s="1741">
        <v>49</v>
      </c>
      <c r="L2305" s="1578">
        <v>201</v>
      </c>
      <c r="M2305" s="1700">
        <v>27</v>
      </c>
      <c r="N2305" s="1701">
        <f t="shared" si="338"/>
        <v>1.043835616438356</v>
      </c>
      <c r="O2305" s="1702" t="s">
        <v>345</v>
      </c>
      <c r="P2305" s="1635" t="str">
        <f>IFERROR(VLOOKUP(F2305,#REF!,12,FALSE),"")</f>
        <v/>
      </c>
      <c r="Q2305" s="1636" t="s">
        <v>8</v>
      </c>
      <c r="R2305" s="1703" t="str">
        <f>IFERROR(VLOOKUP(F2305,#REF!,14,FALSE),"")</f>
        <v/>
      </c>
      <c r="S2305" s="1704">
        <f t="shared" si="339"/>
        <v>1.5227272727272727</v>
      </c>
      <c r="T2305" s="1379">
        <f t="shared" si="337"/>
        <v>23.605016688682809</v>
      </c>
      <c r="U2305" s="1379">
        <f t="shared" si="335"/>
        <v>22.266792899087807</v>
      </c>
      <c r="V2305" s="1695">
        <f t="shared" si="340"/>
        <v>2.2422439874722002</v>
      </c>
      <c r="W2305" s="1767">
        <f t="shared" si="336"/>
        <v>1.0600995300787042</v>
      </c>
      <c r="X2305" s="1695">
        <v>258</v>
      </c>
    </row>
    <row r="2306" spans="1:24" x14ac:dyDescent="0.2">
      <c r="A2306" s="1649" t="s">
        <v>336</v>
      </c>
      <c r="B2306" s="1713">
        <f>IFERROR(AVERAGE(N2302:N2308),"")</f>
        <v>1.0609587709802519</v>
      </c>
      <c r="C2306" s="1651">
        <v>45394</v>
      </c>
      <c r="D2306" s="1695">
        <v>53</v>
      </c>
      <c r="E2306" s="1690" t="s">
        <v>293</v>
      </c>
      <c r="F2306" s="1738" t="s">
        <v>323</v>
      </c>
      <c r="G2306" s="1693">
        <v>2.0671296296296295E-2</v>
      </c>
      <c r="H2306" s="1698">
        <v>5.27</v>
      </c>
      <c r="I2306" s="1699">
        <f t="shared" si="334"/>
        <v>3.9224471150467359E-3</v>
      </c>
      <c r="J2306" s="1700">
        <v>119</v>
      </c>
      <c r="K2306" s="1741">
        <v>28</v>
      </c>
      <c r="L2306" s="1578">
        <v>213</v>
      </c>
      <c r="M2306" s="1700">
        <v>17</v>
      </c>
      <c r="N2306" s="1701">
        <f t="shared" si="338"/>
        <v>1.0773966977257925</v>
      </c>
      <c r="O2306" s="1702" t="s">
        <v>340</v>
      </c>
      <c r="P2306" s="1635" t="str">
        <f>IFERROR(VLOOKUP(F2306,#REF!,12,FALSE),"")</f>
        <v/>
      </c>
      <c r="Q2306" s="1636" t="s">
        <v>8</v>
      </c>
      <c r="R2306" s="1703" t="str">
        <f>IFERROR(VLOOKUP(F2306,#REF!,14,FALSE),"")</f>
        <v/>
      </c>
      <c r="S2306" s="1704">
        <f t="shared" si="339"/>
        <v>1.7899159663865547</v>
      </c>
      <c r="T2306" s="1379">
        <f t="shared" si="337"/>
        <v>24.23287144744241</v>
      </c>
      <c r="U2306" s="1379">
        <f t="shared" si="335"/>
        <v>22.403297830061906</v>
      </c>
      <c r="V2306" s="1695">
        <f t="shared" si="340"/>
        <v>-1.338223789595002</v>
      </c>
      <c r="W2306" s="1767">
        <f t="shared" si="336"/>
        <v>1.0816653704851207</v>
      </c>
      <c r="X2306" s="1695">
        <v>258</v>
      </c>
    </row>
    <row r="2307" spans="1:24" x14ac:dyDescent="0.2">
      <c r="A2307" s="1649" t="s">
        <v>337</v>
      </c>
      <c r="B2307" s="1681">
        <f>IFERROR(AVERAGE(S2302:S2308),"")</f>
        <v>1.6302767155528992</v>
      </c>
      <c r="C2307" s="1651">
        <v>45395</v>
      </c>
      <c r="D2307" s="1695"/>
      <c r="E2307" s="1690"/>
      <c r="F2307" s="1628"/>
      <c r="G2307" s="1693"/>
      <c r="H2307" s="1698"/>
      <c r="I2307" s="1699" t="str">
        <f t="shared" si="334"/>
        <v/>
      </c>
      <c r="J2307" s="1700"/>
      <c r="K2307" s="1741"/>
      <c r="L2307" s="1578"/>
      <c r="M2307" s="1700"/>
      <c r="N2307" s="1701" t="str">
        <f t="shared" si="338"/>
        <v/>
      </c>
      <c r="O2307" s="1702"/>
      <c r="P2307" s="1635" t="str">
        <f>IFERROR(VLOOKUP(F2307,#REF!,12,FALSE),"")</f>
        <v/>
      </c>
      <c r="Q2307" s="1636" t="s">
        <v>8</v>
      </c>
      <c r="R2307" s="1703" t="str">
        <f>IFERROR(VLOOKUP(F2307,#REF!,14,FALSE),"")</f>
        <v/>
      </c>
      <c r="S2307" s="1704" t="str">
        <f t="shared" si="339"/>
        <v/>
      </c>
      <c r="T2307" s="1379">
        <f t="shared" si="337"/>
        <v>20.771032669236352</v>
      </c>
      <c r="U2307" s="1379">
        <f t="shared" si="335"/>
        <v>21.869885976965193</v>
      </c>
      <c r="V2307" s="1695">
        <f t="shared" si="340"/>
        <v>-1.8295736173805039</v>
      </c>
      <c r="W2307" s="1767">
        <f t="shared" si="336"/>
        <v>0.94975495945034982</v>
      </c>
      <c r="X2307" s="1695">
        <v>258</v>
      </c>
    </row>
    <row r="2308" spans="1:24" ht="16" thickBot="1" x14ac:dyDescent="0.25">
      <c r="A2308" s="1650" t="s">
        <v>5</v>
      </c>
      <c r="B2308" s="1678">
        <f>IFERROR(SUM(M2302:M2308),"")</f>
        <v>85</v>
      </c>
      <c r="C2308" s="1360">
        <v>45396</v>
      </c>
      <c r="D2308" s="683"/>
      <c r="E2308" s="1722"/>
      <c r="F2308" s="1538"/>
      <c r="G2308" s="1723"/>
      <c r="H2308" s="1362"/>
      <c r="I2308" s="1363" t="str">
        <f t="shared" si="334"/>
        <v/>
      </c>
      <c r="J2308" s="1364"/>
      <c r="K2308" s="1744"/>
      <c r="L2308" s="1705"/>
      <c r="M2308" s="1364"/>
      <c r="N2308" s="1365" t="str">
        <f t="shared" si="338"/>
        <v/>
      </c>
      <c r="O2308" s="1366"/>
      <c r="P2308" s="1706" t="str">
        <f>IFERROR(VLOOKUP(F2308,#REF!,12,FALSE),"")</f>
        <v/>
      </c>
      <c r="Q2308" s="1707" t="s">
        <v>8</v>
      </c>
      <c r="R2308" s="1708" t="str">
        <f>IFERROR(VLOOKUP(F2308,#REF!,14,FALSE),"")</f>
        <v/>
      </c>
      <c r="S2308" s="1191" t="str">
        <f t="shared" si="339"/>
        <v/>
      </c>
      <c r="T2308" s="1732">
        <f t="shared" si="337"/>
        <v>17.803742287916872</v>
      </c>
      <c r="U2308" s="1732">
        <f t="shared" si="335"/>
        <v>21.349174406085069</v>
      </c>
      <c r="V2308" s="683">
        <f t="shared" si="340"/>
        <v>1.0988533077288416</v>
      </c>
      <c r="W2308" s="1768">
        <f t="shared" si="336"/>
        <v>0.83393118390762422</v>
      </c>
      <c r="X2308" s="683">
        <v>258</v>
      </c>
    </row>
    <row r="2309" spans="1:24" ht="16" thickBot="1" x14ac:dyDescent="0.25">
      <c r="A2309" s="1962">
        <f>WEEKNUM(C2309,1)</f>
        <v>16</v>
      </c>
      <c r="B2309" s="1963"/>
      <c r="C2309" s="1368">
        <v>45397</v>
      </c>
      <c r="D2309" s="1369"/>
      <c r="E2309" s="1689"/>
      <c r="F2309" s="1738"/>
      <c r="G2309" s="1692"/>
      <c r="H2309" s="1372"/>
      <c r="I2309" s="1373" t="str">
        <f t="shared" si="334"/>
        <v/>
      </c>
      <c r="J2309" s="1374"/>
      <c r="K2309" s="1754"/>
      <c r="L2309" s="1577"/>
      <c r="M2309" s="1374"/>
      <c r="N2309" s="1375" t="str">
        <f t="shared" si="338"/>
        <v/>
      </c>
      <c r="O2309" s="1376"/>
      <c r="P2309" s="795" t="str">
        <f>IFERROR(VLOOKUP(F2309,#REF!,12,FALSE),"")</f>
        <v/>
      </c>
      <c r="Q2309" s="1254" t="s">
        <v>8</v>
      </c>
      <c r="R2309" s="1694" t="str">
        <f>IFERROR(VLOOKUP(F2309,#REF!,14,FALSE),"")</f>
        <v/>
      </c>
      <c r="S2309" s="1377" t="str">
        <f t="shared" si="339"/>
        <v/>
      </c>
      <c r="T2309" s="1369">
        <f t="shared" si="337"/>
        <v>15.260350532500176</v>
      </c>
      <c r="U2309" s="1369">
        <f t="shared" si="335"/>
        <v>20.840860729749711</v>
      </c>
      <c r="V2309" s="1369">
        <f t="shared" si="340"/>
        <v>3.5454321181681969</v>
      </c>
      <c r="W2309" s="1766">
        <f t="shared" si="336"/>
        <v>0.73223225904084077</v>
      </c>
      <c r="X2309" s="1369">
        <v>258</v>
      </c>
    </row>
    <row r="2310" spans="1:24" x14ac:dyDescent="0.2">
      <c r="A2310" s="1648" t="s">
        <v>142</v>
      </c>
      <c r="B2310" s="1679">
        <f>SUM(H2309:H2315)</f>
        <v>27.28</v>
      </c>
      <c r="C2310" s="1651">
        <v>45398</v>
      </c>
      <c r="D2310" s="1695"/>
      <c r="E2310" s="1690"/>
      <c r="F2310" s="1534"/>
      <c r="G2310" s="1693"/>
      <c r="H2310" s="1698"/>
      <c r="I2310" s="1699" t="str">
        <f t="shared" si="334"/>
        <v/>
      </c>
      <c r="J2310" s="1700"/>
      <c r="K2310" s="1741"/>
      <c r="L2310" s="1578"/>
      <c r="M2310" s="1700"/>
      <c r="N2310" s="1701" t="str">
        <f t="shared" si="338"/>
        <v/>
      </c>
      <c r="O2310" s="1702"/>
      <c r="P2310" s="1635" t="str">
        <f>IFERROR(VLOOKUP(F2310,#REF!,12,FALSE),"")</f>
        <v/>
      </c>
      <c r="Q2310" s="1636" t="s">
        <v>8</v>
      </c>
      <c r="R2310" s="1703" t="str">
        <f>IFERROR(VLOOKUP(F2310,#REF!,14,FALSE),"")</f>
        <v/>
      </c>
      <c r="S2310" s="1704" t="str">
        <f t="shared" si="339"/>
        <v/>
      </c>
      <c r="T2310" s="1735">
        <f>T2309+(K2310-T2309)/7</f>
        <v>13.080300456428724</v>
      </c>
      <c r="U2310" s="1735">
        <f t="shared" si="335"/>
        <v>20.344649759993764</v>
      </c>
      <c r="V2310" s="1695">
        <f t="shared" si="340"/>
        <v>5.5805101972495343</v>
      </c>
      <c r="W2310" s="1767">
        <f t="shared" si="336"/>
        <v>0.64293564208464071</v>
      </c>
      <c r="X2310" s="1695">
        <v>258</v>
      </c>
    </row>
    <row r="2311" spans="1:24" x14ac:dyDescent="0.2">
      <c r="A2311" s="1649" t="s">
        <v>347</v>
      </c>
      <c r="B2311" s="1680">
        <f>SUM(K2309:K2315)</f>
        <v>163</v>
      </c>
      <c r="C2311" s="1651">
        <v>45399</v>
      </c>
      <c r="D2311" s="1695">
        <v>54</v>
      </c>
      <c r="E2311" s="1690" t="s">
        <v>293</v>
      </c>
      <c r="F2311" s="1738" t="s">
        <v>323</v>
      </c>
      <c r="G2311" s="1693">
        <v>2.4259259259259258E-2</v>
      </c>
      <c r="H2311" s="1698">
        <v>5.89</v>
      </c>
      <c r="I2311" s="1699">
        <f t="shared" si="334"/>
        <v>4.1187197384141361E-3</v>
      </c>
      <c r="J2311" s="1700">
        <v>122</v>
      </c>
      <c r="K2311" s="1741">
        <v>27</v>
      </c>
      <c r="L2311" s="1578">
        <v>201</v>
      </c>
      <c r="M2311" s="1700">
        <v>19</v>
      </c>
      <c r="N2311" s="1701">
        <f t="shared" si="338"/>
        <v>1.067572156196944</v>
      </c>
      <c r="O2311" s="1702" t="s">
        <v>340</v>
      </c>
      <c r="P2311" s="1635" t="str">
        <f>IFERROR(VLOOKUP(F2311,#REF!,12,FALSE),"")</f>
        <v/>
      </c>
      <c r="Q2311" s="1636" t="s">
        <v>8</v>
      </c>
      <c r="R2311" s="1703" t="str">
        <f>IFERROR(VLOOKUP(F2311,#REF!,14,FALSE),"")</f>
        <v/>
      </c>
      <c r="S2311" s="1704">
        <f t="shared" si="339"/>
        <v>1.6475409836065573</v>
      </c>
      <c r="T2311" s="1735">
        <f t="shared" si="337"/>
        <v>15.068828962653191</v>
      </c>
      <c r="U2311" s="1735">
        <f t="shared" si="335"/>
        <v>20.503110479993914</v>
      </c>
      <c r="V2311" s="1695">
        <f t="shared" si="340"/>
        <v>7.2643493035650408</v>
      </c>
      <c r="W2311" s="1767">
        <f t="shared" si="336"/>
        <v>0.73495331244284767</v>
      </c>
      <c r="X2311" s="1695">
        <v>258</v>
      </c>
    </row>
    <row r="2312" spans="1:24" x14ac:dyDescent="0.2">
      <c r="A2312" s="1649" t="s">
        <v>256</v>
      </c>
      <c r="B2312" s="1677">
        <f>AVERAGE(W2309:W2315)</f>
        <v>0.80680226437078006</v>
      </c>
      <c r="C2312" s="1651">
        <v>45400</v>
      </c>
      <c r="D2312" s="1695">
        <v>55</v>
      </c>
      <c r="E2312" s="1690" t="s">
        <v>292</v>
      </c>
      <c r="F2312" s="1534" t="s">
        <v>323</v>
      </c>
      <c r="G2312" s="1693">
        <v>2.4444444444444446E-2</v>
      </c>
      <c r="H2312" s="1698">
        <v>5.91</v>
      </c>
      <c r="I2312" s="1699">
        <f t="shared" si="334"/>
        <v>4.1361158112427146E-3</v>
      </c>
      <c r="J2312" s="1700">
        <v>129</v>
      </c>
      <c r="K2312" s="1741">
        <v>25</v>
      </c>
      <c r="L2312" s="1578">
        <v>196</v>
      </c>
      <c r="M2312" s="1700">
        <v>20</v>
      </c>
      <c r="N2312" s="1701">
        <f t="shared" si="338"/>
        <v>1.0454125312523677</v>
      </c>
      <c r="O2312" s="1702" t="s">
        <v>345</v>
      </c>
      <c r="P2312" s="1635" t="str">
        <f>IFERROR(VLOOKUP(F2312,#REF!,12,FALSE),"")</f>
        <v/>
      </c>
      <c r="Q2312" s="1636" t="s">
        <v>8</v>
      </c>
      <c r="R2312" s="1703" t="str">
        <f>IFERROR(VLOOKUP(F2312,#REF!,14,FALSE),"")</f>
        <v/>
      </c>
      <c r="S2312" s="1704">
        <f t="shared" si="339"/>
        <v>1.5193798449612403</v>
      </c>
      <c r="T2312" s="1735">
        <f t="shared" si="337"/>
        <v>16.487567682274165</v>
      </c>
      <c r="U2312" s="1735">
        <f t="shared" si="335"/>
        <v>20.610179278089298</v>
      </c>
      <c r="V2312" s="1695">
        <f t="shared" si="340"/>
        <v>5.4342815173407235</v>
      </c>
      <c r="W2312" s="1767">
        <f t="shared" si="336"/>
        <v>0.79997206525040343</v>
      </c>
      <c r="X2312" s="1695">
        <v>258</v>
      </c>
    </row>
    <row r="2313" spans="1:24" x14ac:dyDescent="0.2">
      <c r="A2313" s="1649" t="s">
        <v>336</v>
      </c>
      <c r="B2313" s="1713">
        <f>IFERROR(AVERAGE(N2309:N2315),"")</f>
        <v>1.0590219317490259</v>
      </c>
      <c r="C2313" s="1651">
        <v>45401</v>
      </c>
      <c r="D2313" s="1695">
        <v>56</v>
      </c>
      <c r="E2313" s="1690" t="s">
        <v>293</v>
      </c>
      <c r="F2313" s="1550" t="s">
        <v>323</v>
      </c>
      <c r="G2313" s="1693">
        <v>2.3020833333333334E-2</v>
      </c>
      <c r="H2313" s="1698">
        <v>5.48</v>
      </c>
      <c r="I2313" s="1699">
        <f t="shared" si="334"/>
        <v>4.20088199513382E-3</v>
      </c>
      <c r="J2313" s="1700">
        <v>115</v>
      </c>
      <c r="K2313" s="1741">
        <v>22</v>
      </c>
      <c r="L2313" s="1578">
        <v>194</v>
      </c>
      <c r="M2313" s="1700">
        <v>19</v>
      </c>
      <c r="N2313" s="1701">
        <f t="shared" si="338"/>
        <v>1.0509478156661947</v>
      </c>
      <c r="O2313" s="1702" t="s">
        <v>333</v>
      </c>
      <c r="P2313" s="1635" t="str">
        <f>IFERROR(VLOOKUP(F2313,#REF!,12,FALSE),"")</f>
        <v/>
      </c>
      <c r="Q2313" s="1636" t="s">
        <v>8</v>
      </c>
      <c r="R2313" s="1703" t="str">
        <f>IFERROR(VLOOKUP(F2313,#REF!,14,FALSE),"")</f>
        <v/>
      </c>
      <c r="S2313" s="1704">
        <f t="shared" si="339"/>
        <v>1.6869565217391305</v>
      </c>
      <c r="T2313" s="1735">
        <f t="shared" si="337"/>
        <v>17.275058013377855</v>
      </c>
      <c r="U2313" s="1735">
        <f t="shared" si="335"/>
        <v>20.643270247658599</v>
      </c>
      <c r="V2313" s="1695">
        <f t="shared" si="340"/>
        <v>4.1226115958151333</v>
      </c>
      <c r="W2313" s="1767">
        <f t="shared" si="336"/>
        <v>0.83683727462402557</v>
      </c>
      <c r="X2313" s="1695">
        <v>258</v>
      </c>
    </row>
    <row r="2314" spans="1:24" x14ac:dyDescent="0.2">
      <c r="A2314" s="1649" t="s">
        <v>337</v>
      </c>
      <c r="B2314" s="1681">
        <f>IFERROR(AVERAGE(S2309:S2315),"")</f>
        <v>1.6134693375767322</v>
      </c>
      <c r="C2314" s="1651">
        <v>45402</v>
      </c>
      <c r="D2314" s="1695"/>
      <c r="E2314" s="1690"/>
      <c r="F2314" s="1628"/>
      <c r="G2314" s="1693"/>
      <c r="H2314" s="1698"/>
      <c r="I2314" s="1699" t="str">
        <f t="shared" si="334"/>
        <v/>
      </c>
      <c r="J2314" s="1700"/>
      <c r="K2314" s="1741"/>
      <c r="L2314" s="1578"/>
      <c r="M2314" s="1700"/>
      <c r="N2314" s="1701" t="str">
        <f t="shared" si="338"/>
        <v/>
      </c>
      <c r="O2314" s="1702"/>
      <c r="P2314" s="1635" t="str">
        <f>IFERROR(VLOOKUP(F2314,#REF!,12,FALSE),"")</f>
        <v/>
      </c>
      <c r="Q2314" s="1636" t="s">
        <v>8</v>
      </c>
      <c r="R2314" s="1703" t="str">
        <f>IFERROR(VLOOKUP(F2314,#REF!,14,FALSE),"")</f>
        <v/>
      </c>
      <c r="S2314" s="1704" t="str">
        <f t="shared" si="339"/>
        <v/>
      </c>
      <c r="T2314" s="1735">
        <f t="shared" si="337"/>
        <v>14.807192582895304</v>
      </c>
      <c r="U2314" s="1735">
        <f t="shared" si="335"/>
        <v>20.151763813190538</v>
      </c>
      <c r="V2314" s="1695">
        <f t="shared" si="340"/>
        <v>3.3682122342807439</v>
      </c>
      <c r="W2314" s="1767">
        <f t="shared" si="336"/>
        <v>0.73478394845036388</v>
      </c>
      <c r="X2314" s="1695">
        <v>258</v>
      </c>
    </row>
    <row r="2315" spans="1:24" ht="16" thickBot="1" x14ac:dyDescent="0.25">
      <c r="A2315" s="1650" t="s">
        <v>5</v>
      </c>
      <c r="B2315" s="1678">
        <f>IFERROR(SUM(M2309:M2315),"")</f>
        <v>112</v>
      </c>
      <c r="C2315" s="1360">
        <v>45403</v>
      </c>
      <c r="D2315" s="683">
        <v>57</v>
      </c>
      <c r="E2315" s="684" t="s">
        <v>293</v>
      </c>
      <c r="F2315" s="1725" t="s">
        <v>198</v>
      </c>
      <c r="G2315" s="1361">
        <v>3.1493055555555559E-2</v>
      </c>
      <c r="H2315" s="1362">
        <v>10</v>
      </c>
      <c r="I2315" s="1363">
        <f t="shared" si="334"/>
        <v>3.1493055555555558E-3</v>
      </c>
      <c r="J2315" s="1364">
        <v>165</v>
      </c>
      <c r="K2315" s="1800">
        <v>89</v>
      </c>
      <c r="L2315" s="1705">
        <v>264</v>
      </c>
      <c r="M2315" s="1364">
        <v>54</v>
      </c>
      <c r="N2315" s="1365">
        <f t="shared" si="338"/>
        <v>1.0721552238805969</v>
      </c>
      <c r="O2315" s="1366" t="s">
        <v>345</v>
      </c>
      <c r="P2315" s="1706" t="str">
        <f>IFERROR(VLOOKUP(F2315,#REF!,12,FALSE),"")</f>
        <v/>
      </c>
      <c r="Q2315" s="1707" t="s">
        <v>8</v>
      </c>
      <c r="R2315" s="1708" t="str">
        <f>IFERROR(VLOOKUP(F2315,#REF!,14,FALSE),"")</f>
        <v/>
      </c>
      <c r="S2315" s="1191">
        <f t="shared" si="339"/>
        <v>1.6</v>
      </c>
      <c r="T2315" s="1731">
        <f t="shared" si="337"/>
        <v>25.406165071053117</v>
      </c>
      <c r="U2315" s="1731">
        <f t="shared" si="335"/>
        <v>21.791007531924095</v>
      </c>
      <c r="V2315" s="683">
        <f t="shared" si="340"/>
        <v>5.3445712302952337</v>
      </c>
      <c r="W2315" s="1768">
        <f t="shared" si="336"/>
        <v>1.1659013487023384</v>
      </c>
      <c r="X2315" s="562">
        <v>260</v>
      </c>
    </row>
    <row r="2316" spans="1:24" ht="16" thickBot="1" x14ac:dyDescent="0.25">
      <c r="A2316" s="1962">
        <f>WEEKNUM(C2316,1)</f>
        <v>17</v>
      </c>
      <c r="B2316" s="1963"/>
      <c r="C2316" s="1368">
        <v>45404</v>
      </c>
      <c r="D2316" s="1369"/>
      <c r="E2316" s="1370"/>
      <c r="F2316" s="1618"/>
      <c r="G2316" s="1371"/>
      <c r="H2316" s="1372" t="str">
        <f>IFERROR(VLOOKUP(F2316,#REF!,10,FALSE),"")</f>
        <v/>
      </c>
      <c r="I2316" s="1373" t="str">
        <f t="shared" si="334"/>
        <v/>
      </c>
      <c r="J2316" s="1374"/>
      <c r="K2316" s="1745"/>
      <c r="L2316" s="1797"/>
      <c r="M2316" s="1374"/>
      <c r="N2316" s="1375" t="str">
        <f t="shared" si="338"/>
        <v/>
      </c>
      <c r="O2316" s="1376"/>
      <c r="P2316" s="795" t="str">
        <f>IFERROR(VLOOKUP(F2316,#REF!,12,FALSE),"")</f>
        <v/>
      </c>
      <c r="Q2316" s="1254" t="s">
        <v>8</v>
      </c>
      <c r="R2316" s="1694" t="str">
        <f>IFERROR(VLOOKUP(F2316,#REF!,14,FALSE),"")</f>
        <v/>
      </c>
      <c r="S2316" s="1377" t="str">
        <f t="shared" si="339"/>
        <v/>
      </c>
      <c r="T2316" s="70">
        <f t="shared" si="337"/>
        <v>21.776712918045529</v>
      </c>
      <c r="U2316" s="70">
        <f t="shared" si="335"/>
        <v>21.272174019259236</v>
      </c>
      <c r="V2316" s="1369">
        <f t="shared" si="340"/>
        <v>-3.6151575391290223</v>
      </c>
      <c r="W2316" s="1825">
        <f t="shared" si="336"/>
        <v>1.0237182573971753</v>
      </c>
      <c r="X2316" s="1369">
        <v>260</v>
      </c>
    </row>
    <row r="2317" spans="1:24" x14ac:dyDescent="0.2">
      <c r="A2317" s="1648" t="s">
        <v>142</v>
      </c>
      <c r="B2317" s="1679">
        <f>SUM(H2316:H2322)</f>
        <v>8.67</v>
      </c>
      <c r="C2317" s="1651">
        <v>45405</v>
      </c>
      <c r="D2317" s="1695"/>
      <c r="E2317" s="1696"/>
      <c r="F2317" s="1616"/>
      <c r="G2317" s="1697"/>
      <c r="H2317" s="1698" t="str">
        <f>IFERROR(VLOOKUP(F2317,#REF!,10,FALSE),"")</f>
        <v/>
      </c>
      <c r="I2317" s="1699" t="str">
        <f t="shared" si="334"/>
        <v/>
      </c>
      <c r="J2317" s="1700"/>
      <c r="K2317" s="1802"/>
      <c r="L2317" s="1798"/>
      <c r="M2317" s="1700"/>
      <c r="N2317" s="1701" t="str">
        <f t="shared" si="338"/>
        <v/>
      </c>
      <c r="O2317" s="1702"/>
      <c r="P2317" s="1635" t="str">
        <f>IFERROR(VLOOKUP(F2317,#REF!,12,FALSE),"")</f>
        <v/>
      </c>
      <c r="Q2317" s="1636" t="s">
        <v>8</v>
      </c>
      <c r="R2317" s="1703" t="str">
        <f>IFERROR(VLOOKUP(F2317,#REF!,14,FALSE),"")</f>
        <v/>
      </c>
      <c r="S2317" s="1704" t="str">
        <f t="shared" si="339"/>
        <v/>
      </c>
      <c r="T2317" s="1379">
        <f t="shared" si="337"/>
        <v>18.665753929753311</v>
      </c>
      <c r="U2317" s="1379">
        <f t="shared" si="335"/>
        <v>20.765693685467348</v>
      </c>
      <c r="V2317" s="1695">
        <f t="shared" si="340"/>
        <v>-0.50453889878629354</v>
      </c>
      <c r="W2317" s="1826">
        <f t="shared" si="336"/>
        <v>0.8988745674706905</v>
      </c>
      <c r="X2317" s="1828">
        <v>260</v>
      </c>
    </row>
    <row r="2318" spans="1:24" x14ac:dyDescent="0.2">
      <c r="A2318" s="1649" t="s">
        <v>347</v>
      </c>
      <c r="B2318" s="1680">
        <f>SUM(K2316:K2322)</f>
        <v>36</v>
      </c>
      <c r="C2318" s="1651">
        <v>45406</v>
      </c>
      <c r="D2318" s="1695"/>
      <c r="E2318" s="1696"/>
      <c r="F2318" s="1616"/>
      <c r="G2318" s="1697"/>
      <c r="H2318" s="1698" t="str">
        <f>IFERROR(VLOOKUP(F2318,#REF!,10,FALSE),"")</f>
        <v/>
      </c>
      <c r="I2318" s="1699" t="str">
        <f t="shared" si="334"/>
        <v/>
      </c>
      <c r="J2318" s="1700"/>
      <c r="K2318" s="1802"/>
      <c r="L2318" s="1798"/>
      <c r="M2318" s="1700"/>
      <c r="N2318" s="1701" t="str">
        <f t="shared" si="338"/>
        <v/>
      </c>
      <c r="O2318" s="1702"/>
      <c r="P2318" s="1635" t="str">
        <f>IFERROR(VLOOKUP(F2318,#REF!,12,FALSE),"")</f>
        <v/>
      </c>
      <c r="Q2318" s="1636" t="s">
        <v>8</v>
      </c>
      <c r="R2318" s="1703" t="str">
        <f>IFERROR(VLOOKUP(F2318,#REF!,14,FALSE),"")</f>
        <v/>
      </c>
      <c r="S2318" s="1704" t="str">
        <f t="shared" si="339"/>
        <v/>
      </c>
      <c r="T2318" s="1379">
        <f t="shared" si="337"/>
        <v>15.999217654074267</v>
      </c>
      <c r="U2318" s="1379">
        <f t="shared" si="335"/>
        <v>20.271272407241934</v>
      </c>
      <c r="V2318" s="1695">
        <f t="shared" si="340"/>
        <v>2.0999397557140362</v>
      </c>
      <c r="W2318" s="1826">
        <f t="shared" si="336"/>
        <v>0.78925571777914294</v>
      </c>
      <c r="X2318" s="1828">
        <v>260</v>
      </c>
    </row>
    <row r="2319" spans="1:24" x14ac:dyDescent="0.2">
      <c r="A2319" s="1649" t="s">
        <v>256</v>
      </c>
      <c r="B2319" s="1677">
        <f>AVERAGE(W2316:W2322)</f>
        <v>0.7518332527799344</v>
      </c>
      <c r="C2319" s="1651">
        <v>45407</v>
      </c>
      <c r="D2319" s="1695"/>
      <c r="E2319" s="1696"/>
      <c r="F2319" s="1616"/>
      <c r="G2319" s="1697"/>
      <c r="H2319" s="1698" t="str">
        <f>IFERROR(VLOOKUP(F2319,#REF!,10,FALSE),"")</f>
        <v/>
      </c>
      <c r="I2319" s="1699" t="str">
        <f t="shared" si="334"/>
        <v/>
      </c>
      <c r="J2319" s="1700"/>
      <c r="K2319" s="1802"/>
      <c r="L2319" s="1798"/>
      <c r="M2319" s="1700"/>
      <c r="N2319" s="1701" t="str">
        <f t="shared" si="338"/>
        <v/>
      </c>
      <c r="O2319" s="1702"/>
      <c r="P2319" s="1635" t="str">
        <f>IFERROR(VLOOKUP(F2319,#REF!,12,FALSE),"")</f>
        <v/>
      </c>
      <c r="Q2319" s="1636" t="s">
        <v>8</v>
      </c>
      <c r="R2319" s="1703" t="str">
        <f>IFERROR(VLOOKUP(F2319,#REF!,14,FALSE),"")</f>
        <v/>
      </c>
      <c r="S2319" s="1704" t="str">
        <f t="shared" si="339"/>
        <v/>
      </c>
      <c r="T2319" s="1379">
        <f t="shared" si="337"/>
        <v>13.713615132063657</v>
      </c>
      <c r="U2319" s="1379">
        <f t="shared" si="335"/>
        <v>19.788623064212363</v>
      </c>
      <c r="V2319" s="1695">
        <f t="shared" si="340"/>
        <v>4.2720547531676676</v>
      </c>
      <c r="W2319" s="1826">
        <f t="shared" si="336"/>
        <v>0.69300502048900359</v>
      </c>
      <c r="X2319" s="1828">
        <v>260</v>
      </c>
    </row>
    <row r="2320" spans="1:24" x14ac:dyDescent="0.2">
      <c r="A2320" s="1649" t="s">
        <v>336</v>
      </c>
      <c r="B2320" s="1713">
        <f>IFERROR(AVERAGE(N2316:N2322),"")</f>
        <v>1.0735423229871406</v>
      </c>
      <c r="C2320" s="1651">
        <v>45408</v>
      </c>
      <c r="D2320" s="1695"/>
      <c r="E2320" s="1696"/>
      <c r="F2320" s="1616"/>
      <c r="G2320" s="1697"/>
      <c r="H2320" s="1698" t="str">
        <f>IFERROR(VLOOKUP(F2320,#REF!,10,FALSE),"")</f>
        <v/>
      </c>
      <c r="I2320" s="1699" t="str">
        <f t="shared" si="334"/>
        <v/>
      </c>
      <c r="J2320" s="1700"/>
      <c r="K2320" s="1802"/>
      <c r="L2320" s="1798"/>
      <c r="M2320" s="1700"/>
      <c r="N2320" s="1701" t="str">
        <f t="shared" si="338"/>
        <v/>
      </c>
      <c r="O2320" s="1702"/>
      <c r="P2320" s="1635" t="str">
        <f>IFERROR(VLOOKUP(F2320,#REF!,12,FALSE),"")</f>
        <v/>
      </c>
      <c r="Q2320" s="1636" t="s">
        <v>8</v>
      </c>
      <c r="R2320" s="1703" t="str">
        <f>IFERROR(VLOOKUP(F2320,#REF!,14,FALSE),"")</f>
        <v/>
      </c>
      <c r="S2320" s="1704" t="str">
        <f t="shared" si="339"/>
        <v/>
      </c>
      <c r="T2320" s="1379">
        <f t="shared" si="337"/>
        <v>11.754527256054564</v>
      </c>
      <c r="U2320" s="1379">
        <f t="shared" si="335"/>
        <v>19.317465372207305</v>
      </c>
      <c r="V2320" s="1695">
        <f t="shared" si="340"/>
        <v>6.075007932148706</v>
      </c>
      <c r="W2320" s="1826">
        <f t="shared" si="336"/>
        <v>0.60849221311229584</v>
      </c>
      <c r="X2320" s="1828">
        <v>260</v>
      </c>
    </row>
    <row r="2321" spans="1:24" x14ac:dyDescent="0.2">
      <c r="A2321" s="1649" t="s">
        <v>337</v>
      </c>
      <c r="B2321" s="1681">
        <f>IFERROR(AVERAGE(S2316:S2322),"")</f>
        <v>1.5</v>
      </c>
      <c r="C2321" s="1651">
        <v>45409</v>
      </c>
      <c r="D2321" s="1695"/>
      <c r="E2321" s="1696"/>
      <c r="F2321" s="1616"/>
      <c r="G2321" s="1697"/>
      <c r="H2321" s="1698" t="str">
        <f>IFERROR(VLOOKUP(F2321,#REF!,10,FALSE),"")</f>
        <v/>
      </c>
      <c r="I2321" s="1699" t="str">
        <f t="shared" si="334"/>
        <v/>
      </c>
      <c r="J2321" s="1700"/>
      <c r="K2321" s="1802"/>
      <c r="L2321" s="1798"/>
      <c r="M2321" s="1700"/>
      <c r="N2321" s="1701" t="str">
        <f t="shared" si="338"/>
        <v/>
      </c>
      <c r="O2321" s="1702"/>
      <c r="P2321" s="1635" t="str">
        <f>IFERROR(VLOOKUP(F2321,#REF!,12,FALSE),"")</f>
        <v/>
      </c>
      <c r="Q2321" s="1636" t="s">
        <v>8</v>
      </c>
      <c r="R2321" s="1703" t="str">
        <f>IFERROR(VLOOKUP(F2321,#REF!,14,FALSE),"")</f>
        <v/>
      </c>
      <c r="S2321" s="1704" t="str">
        <f t="shared" si="339"/>
        <v/>
      </c>
      <c r="T2321" s="1379">
        <f t="shared" si="337"/>
        <v>10.075309076618197</v>
      </c>
      <c r="U2321" s="1379">
        <f t="shared" si="335"/>
        <v>18.857525720488084</v>
      </c>
      <c r="V2321" s="1695">
        <f t="shared" si="340"/>
        <v>7.5629381161527416</v>
      </c>
      <c r="W2321" s="1826">
        <f t="shared" si="336"/>
        <v>0.53428584565957682</v>
      </c>
      <c r="X2321" s="1828">
        <v>260</v>
      </c>
    </row>
    <row r="2322" spans="1:24" ht="16" thickBot="1" x14ac:dyDescent="0.25">
      <c r="A2322" s="1650" t="s">
        <v>5</v>
      </c>
      <c r="B2322" s="1678">
        <f>IFERROR(SUM(M2316:M2322),"")</f>
        <v>32</v>
      </c>
      <c r="C2322" s="1360">
        <v>45410</v>
      </c>
      <c r="D2322" s="683">
        <v>58</v>
      </c>
      <c r="E2322" s="684" t="s">
        <v>292</v>
      </c>
      <c r="F2322" s="1538" t="s">
        <v>322</v>
      </c>
      <c r="G2322" s="1361">
        <v>3.7013888888888888E-2</v>
      </c>
      <c r="H2322" s="1362">
        <v>8.67</v>
      </c>
      <c r="I2322" s="1363">
        <f t="shared" si="334"/>
        <v>4.2691913366653851E-3</v>
      </c>
      <c r="J2322" s="1364">
        <v>130</v>
      </c>
      <c r="K2322" s="1803">
        <v>36</v>
      </c>
      <c r="L2322" s="1799">
        <v>195</v>
      </c>
      <c r="M2322" s="1364">
        <v>32</v>
      </c>
      <c r="N2322" s="1365">
        <f t="shared" si="338"/>
        <v>1.0735423229871406</v>
      </c>
      <c r="O2322" s="1366" t="s">
        <v>340</v>
      </c>
      <c r="P2322" s="1706" t="str">
        <f>IFERROR(VLOOKUP(F2322,#REF!,12,FALSE),"")</f>
        <v/>
      </c>
      <c r="Q2322" s="1707" t="s">
        <v>8</v>
      </c>
      <c r="R2322" s="1708" t="str">
        <f>IFERROR(VLOOKUP(F2322,#REF!,14,FALSE),"")</f>
        <v/>
      </c>
      <c r="S2322" s="1191">
        <f t="shared" si="339"/>
        <v>1.5</v>
      </c>
      <c r="T2322" s="1732">
        <f t="shared" si="337"/>
        <v>13.778836351387026</v>
      </c>
      <c r="U2322" s="1732">
        <f t="shared" si="335"/>
        <v>19.265679870000273</v>
      </c>
      <c r="V2322" s="683">
        <f t="shared" si="340"/>
        <v>8.7822166438698872</v>
      </c>
      <c r="W2322" s="1827">
        <f t="shared" si="336"/>
        <v>0.71520114755165554</v>
      </c>
      <c r="X2322" s="1829">
        <v>260</v>
      </c>
    </row>
    <row r="2323" spans="1:24" ht="16" thickBot="1" x14ac:dyDescent="0.25">
      <c r="A2323" s="1962">
        <f>WEEKNUM(C2323,1)</f>
        <v>18</v>
      </c>
      <c r="B2323" s="1963"/>
      <c r="C2323" s="1368">
        <v>45411</v>
      </c>
      <c r="D2323" s="1369"/>
      <c r="E2323" s="1370"/>
      <c r="F2323" s="1536"/>
      <c r="G2323" s="1371"/>
      <c r="H2323" s="1372" t="str">
        <f>IFERROR(VLOOKUP(F2323,#REF!,10,FALSE),"")</f>
        <v/>
      </c>
      <c r="I2323" s="1373" t="str">
        <f t="shared" si="334"/>
        <v/>
      </c>
      <c r="J2323" s="1374"/>
      <c r="K2323" s="1801"/>
      <c r="L2323" s="1577"/>
      <c r="M2323" s="1374"/>
      <c r="N2323" s="1375" t="str">
        <f t="shared" si="338"/>
        <v/>
      </c>
      <c r="O2323" s="1376"/>
      <c r="P2323" s="795" t="str">
        <f>IFERROR(VLOOKUP(F2323,#REF!,12,FALSE),"")</f>
        <v/>
      </c>
      <c r="Q2323" s="1254" t="s">
        <v>8</v>
      </c>
      <c r="R2323" s="1694" t="str">
        <f>IFERROR(VLOOKUP(F2323,#REF!,14,FALSE),"")</f>
        <v/>
      </c>
      <c r="S2323" s="1377" t="str">
        <f t="shared" si="339"/>
        <v/>
      </c>
      <c r="T2323" s="1369">
        <f t="shared" si="337"/>
        <v>11.810431158331737</v>
      </c>
      <c r="U2323" s="1369">
        <f t="shared" si="335"/>
        <v>18.80697320642884</v>
      </c>
      <c r="V2323" s="1369">
        <f t="shared" si="340"/>
        <v>5.4868435186132469</v>
      </c>
      <c r="W2323" s="1766">
        <f t="shared" si="336"/>
        <v>0.62798149541120973</v>
      </c>
      <c r="X2323" s="70">
        <v>260</v>
      </c>
    </row>
    <row r="2324" spans="1:24" x14ac:dyDescent="0.2">
      <c r="A2324" s="1648" t="s">
        <v>142</v>
      </c>
      <c r="B2324" s="1679">
        <f>SUM(H2323:H2329)</f>
        <v>21.240000000000002</v>
      </c>
      <c r="C2324" s="1651">
        <v>45412</v>
      </c>
      <c r="D2324" s="1695">
        <v>59</v>
      </c>
      <c r="E2324" s="1696" t="s">
        <v>293</v>
      </c>
      <c r="F2324" s="1534" t="s">
        <v>323</v>
      </c>
      <c r="G2324" s="1697">
        <v>2.417824074074074E-2</v>
      </c>
      <c r="H2324" s="1698">
        <v>5.72</v>
      </c>
      <c r="I2324" s="1699">
        <f t="shared" si="334"/>
        <v>4.2269651644651646E-3</v>
      </c>
      <c r="J2324" s="1700">
        <v>113</v>
      </c>
      <c r="K2324" s="1755">
        <v>23</v>
      </c>
      <c r="L2324" s="1578">
        <v>193</v>
      </c>
      <c r="M2324" s="1700">
        <v>19</v>
      </c>
      <c r="N2324" s="1701">
        <f t="shared" si="338"/>
        <v>1.0520222314998435</v>
      </c>
      <c r="O2324" s="1702" t="s">
        <v>333</v>
      </c>
      <c r="P2324" s="1635" t="str">
        <f>IFERROR(VLOOKUP(F2324,#REF!,12,FALSE),"")</f>
        <v/>
      </c>
      <c r="Q2324" s="1636" t="s">
        <v>8</v>
      </c>
      <c r="R2324" s="1703" t="str">
        <f>IFERROR(VLOOKUP(F2324,#REF!,14,FALSE),"")</f>
        <v/>
      </c>
      <c r="S2324" s="1704">
        <f t="shared" si="339"/>
        <v>1.7079646017699115</v>
      </c>
      <c r="T2324" s="1735">
        <f t="shared" si="337"/>
        <v>13.408940992855774</v>
      </c>
      <c r="U2324" s="1735">
        <f t="shared" si="335"/>
        <v>18.906807177704344</v>
      </c>
      <c r="V2324" s="1695">
        <f t="shared" si="340"/>
        <v>6.996542048097103</v>
      </c>
      <c r="W2324" s="1767">
        <f t="shared" si="336"/>
        <v>0.70921234171511138</v>
      </c>
      <c r="X2324" s="1695">
        <v>260</v>
      </c>
    </row>
    <row r="2325" spans="1:24" x14ac:dyDescent="0.2">
      <c r="A2325" s="1649" t="s">
        <v>347</v>
      </c>
      <c r="B2325" s="1680">
        <f>SUM(K2323:K2329)</f>
        <v>96</v>
      </c>
      <c r="C2325" s="1651">
        <v>45413</v>
      </c>
      <c r="D2325" s="1695"/>
      <c r="E2325" s="1696"/>
      <c r="F2325" s="1534"/>
      <c r="G2325" s="1697"/>
      <c r="H2325" s="1698" t="str">
        <f>IFERROR(VLOOKUP(F2325,#REF!,10,FALSE),"")</f>
        <v/>
      </c>
      <c r="I2325" s="1699" t="str">
        <f t="shared" si="334"/>
        <v/>
      </c>
      <c r="J2325" s="1700"/>
      <c r="K2325" s="1755"/>
      <c r="L2325" s="1578"/>
      <c r="M2325" s="1700"/>
      <c r="N2325" s="1701" t="str">
        <f t="shared" si="338"/>
        <v/>
      </c>
      <c r="O2325" s="1702"/>
      <c r="P2325" s="1635" t="str">
        <f>IFERROR(VLOOKUP(F2325,#REF!,12,FALSE),"")</f>
        <v/>
      </c>
      <c r="Q2325" s="1636" t="s">
        <v>8</v>
      </c>
      <c r="R2325" s="1703" t="str">
        <f>IFERROR(VLOOKUP(F2325,#REF!,14,FALSE),"")</f>
        <v/>
      </c>
      <c r="S2325" s="1704" t="str">
        <f t="shared" si="339"/>
        <v/>
      </c>
      <c r="T2325" s="1735">
        <f t="shared" si="337"/>
        <v>11.493377993876377</v>
      </c>
      <c r="U2325" s="1735">
        <f t="shared" si="335"/>
        <v>18.456645102044718</v>
      </c>
      <c r="V2325" s="1695">
        <f t="shared" si="340"/>
        <v>5.4978661848485704</v>
      </c>
      <c r="W2325" s="1767">
        <f t="shared" si="336"/>
        <v>0.62272303174985388</v>
      </c>
      <c r="X2325" s="1695">
        <v>260</v>
      </c>
    </row>
    <row r="2326" spans="1:24" x14ac:dyDescent="0.2">
      <c r="A2326" s="1649" t="s">
        <v>256</v>
      </c>
      <c r="B2326" s="1677">
        <f>AVERAGE(W2323:W2329)</f>
        <v>0.73361211338484345</v>
      </c>
      <c r="C2326" s="1651">
        <v>45414</v>
      </c>
      <c r="D2326" s="1695">
        <v>60</v>
      </c>
      <c r="E2326" s="1696" t="s">
        <v>293</v>
      </c>
      <c r="F2326" s="1534" t="s">
        <v>343</v>
      </c>
      <c r="G2326" s="1697">
        <v>2.7025462962962963E-2</v>
      </c>
      <c r="H2326" s="1698">
        <v>6.66</v>
      </c>
      <c r="I2326" s="1699">
        <f t="shared" si="334"/>
        <v>4.0578773217662106E-3</v>
      </c>
      <c r="J2326" s="1700">
        <v>120</v>
      </c>
      <c r="K2326" s="1755">
        <v>31</v>
      </c>
      <c r="L2326" s="1578">
        <v>205</v>
      </c>
      <c r="M2326" s="1700">
        <v>23</v>
      </c>
      <c r="N2326" s="1701">
        <f t="shared" si="338"/>
        <v>1.0727331809421363</v>
      </c>
      <c r="O2326" s="1702" t="s">
        <v>340</v>
      </c>
      <c r="P2326" s="1635" t="str">
        <f>IFERROR(VLOOKUP(F2326,#REF!,12,FALSE),"")</f>
        <v/>
      </c>
      <c r="Q2326" s="1636" t="s">
        <v>8</v>
      </c>
      <c r="R2326" s="1703" t="str">
        <f>IFERROR(VLOOKUP(F2326,#REF!,14,FALSE),"")</f>
        <v/>
      </c>
      <c r="S2326" s="1704">
        <f t="shared" si="339"/>
        <v>1.7083333333333333</v>
      </c>
      <c r="T2326" s="1735">
        <f t="shared" si="337"/>
        <v>14.280038280465465</v>
      </c>
      <c r="U2326" s="1735">
        <f t="shared" si="335"/>
        <v>18.755296409138889</v>
      </c>
      <c r="V2326" s="1695">
        <f t="shared" si="340"/>
        <v>6.9632671081683402</v>
      </c>
      <c r="W2326" s="1767">
        <f t="shared" si="336"/>
        <v>0.76138696872352463</v>
      </c>
      <c r="X2326" s="1695">
        <v>260</v>
      </c>
    </row>
    <row r="2327" spans="1:24" x14ac:dyDescent="0.2">
      <c r="A2327" s="1649" t="s">
        <v>336</v>
      </c>
      <c r="B2327" s="1713">
        <f>IFERROR(AVERAGE(N2323:N2329),"")</f>
        <v>1.0658117910523643</v>
      </c>
      <c r="C2327" s="1651">
        <v>45415</v>
      </c>
      <c r="D2327" s="1695">
        <v>61</v>
      </c>
      <c r="E2327" s="1696" t="s">
        <v>293</v>
      </c>
      <c r="F2327" s="1550" t="s">
        <v>343</v>
      </c>
      <c r="G2327" s="1697">
        <v>2.630787037037037E-2</v>
      </c>
      <c r="H2327" s="1698">
        <v>6.65</v>
      </c>
      <c r="I2327" s="1699">
        <f t="shared" si="334"/>
        <v>3.956070732386522E-3</v>
      </c>
      <c r="J2327" s="1700">
        <v>122</v>
      </c>
      <c r="K2327" s="1755">
        <v>33</v>
      </c>
      <c r="L2327" s="1578">
        <v>210</v>
      </c>
      <c r="M2327" s="1700">
        <v>26</v>
      </c>
      <c r="N2327" s="1701">
        <f t="shared" si="338"/>
        <v>1.0713275726630009</v>
      </c>
      <c r="O2327" s="1702" t="s">
        <v>346</v>
      </c>
      <c r="P2327" s="1635" t="str">
        <f>IFERROR(VLOOKUP(F2327,#REF!,12,FALSE),"")</f>
        <v/>
      </c>
      <c r="Q2327" s="1636" t="s">
        <v>8</v>
      </c>
      <c r="R2327" s="1703" t="str">
        <f>IFERROR(VLOOKUP(F2327,#REF!,14,FALSE),"")</f>
        <v/>
      </c>
      <c r="S2327" s="1704">
        <f t="shared" si="339"/>
        <v>1.721311475409836</v>
      </c>
      <c r="T2327" s="1735">
        <f t="shared" si="337"/>
        <v>16.954318526113255</v>
      </c>
      <c r="U2327" s="1735">
        <f t="shared" si="335"/>
        <v>19.094456018445108</v>
      </c>
      <c r="V2327" s="1695">
        <f t="shared" si="340"/>
        <v>4.4752581286734241</v>
      </c>
      <c r="W2327" s="1767">
        <f t="shared" si="336"/>
        <v>0.88791838373062337</v>
      </c>
      <c r="X2327" s="1695">
        <v>260</v>
      </c>
    </row>
    <row r="2328" spans="1:24" x14ac:dyDescent="0.2">
      <c r="A2328" s="1649" t="s">
        <v>337</v>
      </c>
      <c r="B2328" s="1681">
        <f>IFERROR(AVERAGE(S2323:S2329),"")</f>
        <v>1.6839750022009197</v>
      </c>
      <c r="C2328" s="1651">
        <v>45416</v>
      </c>
      <c r="D2328" s="1695"/>
      <c r="E2328" s="1696"/>
      <c r="F2328" s="1628"/>
      <c r="G2328" s="1697"/>
      <c r="H2328" s="1698" t="str">
        <f>IFERROR(VLOOKUP(F2328,#REF!,10,FALSE),"")</f>
        <v/>
      </c>
      <c r="I2328" s="1699" t="str">
        <f t="shared" si="334"/>
        <v/>
      </c>
      <c r="J2328" s="1700"/>
      <c r="K2328" s="1755"/>
      <c r="L2328" s="1578"/>
      <c r="M2328" s="1700"/>
      <c r="N2328" s="1701" t="str">
        <f t="shared" si="338"/>
        <v/>
      </c>
      <c r="O2328" s="1702"/>
      <c r="P2328" s="1635" t="str">
        <f>IFERROR(VLOOKUP(F2328,#REF!,12,FALSE),"")</f>
        <v/>
      </c>
      <c r="Q2328" s="1636" t="s">
        <v>8</v>
      </c>
      <c r="R2328" s="1703" t="str">
        <f>IFERROR(VLOOKUP(F2328,#REF!,14,FALSE),"")</f>
        <v/>
      </c>
      <c r="S2328" s="1704" t="str">
        <f t="shared" si="339"/>
        <v/>
      </c>
      <c r="T2328" s="1735">
        <f t="shared" si="337"/>
        <v>14.532273022382789</v>
      </c>
      <c r="U2328" s="1735">
        <f t="shared" si="335"/>
        <v>18.639826113244034</v>
      </c>
      <c r="V2328" s="1695">
        <f t="shared" si="340"/>
        <v>2.1401374923318528</v>
      </c>
      <c r="W2328" s="1767">
        <f t="shared" si="336"/>
        <v>0.77963565400737656</v>
      </c>
      <c r="X2328" s="1695">
        <v>260</v>
      </c>
    </row>
    <row r="2329" spans="1:24" ht="16" thickBot="1" x14ac:dyDescent="0.25">
      <c r="A2329" s="1650" t="s">
        <v>5</v>
      </c>
      <c r="B2329" s="1678">
        <f>IFERROR(SUM(M2323:M2329),"")</f>
        <v>83</v>
      </c>
      <c r="C2329" s="1360">
        <v>45417</v>
      </c>
      <c r="D2329" s="683">
        <v>62</v>
      </c>
      <c r="E2329" s="684" t="s">
        <v>292</v>
      </c>
      <c r="F2329" s="1538" t="s">
        <v>266</v>
      </c>
      <c r="G2329" s="1361">
        <v>9.780092592592592E-3</v>
      </c>
      <c r="H2329" s="1362">
        <v>2.21</v>
      </c>
      <c r="I2329" s="1363">
        <f t="shared" si="334"/>
        <v>4.4253812636165573E-3</v>
      </c>
      <c r="J2329" s="1364">
        <v>117</v>
      </c>
      <c r="K2329" s="1747">
        <v>9</v>
      </c>
      <c r="L2329" s="1705">
        <v>187</v>
      </c>
      <c r="M2329" s="1364">
        <v>15</v>
      </c>
      <c r="N2329" s="1365">
        <f t="shared" si="338"/>
        <v>1.0671641791044773</v>
      </c>
      <c r="O2329" s="1366" t="s">
        <v>346</v>
      </c>
      <c r="P2329" s="1706" t="str">
        <f>IFERROR(VLOOKUP(F2329,#REF!,12,FALSE),"")</f>
        <v/>
      </c>
      <c r="Q2329" s="1707" t="s">
        <v>8</v>
      </c>
      <c r="R2329" s="1708" t="str">
        <f>IFERROR(VLOOKUP(F2329,#REF!,14,FALSE),"")</f>
        <v/>
      </c>
      <c r="S2329" s="1191">
        <f t="shared" si="339"/>
        <v>1.5982905982905984</v>
      </c>
      <c r="T2329" s="1731">
        <f t="shared" si="337"/>
        <v>13.741948304899534</v>
      </c>
      <c r="U2329" s="1731">
        <f t="shared" si="335"/>
        <v>18.41030644388108</v>
      </c>
      <c r="V2329" s="683">
        <f t="shared" si="340"/>
        <v>4.107553090861245</v>
      </c>
      <c r="W2329" s="1768">
        <f t="shared" si="336"/>
        <v>0.74642691835620478</v>
      </c>
      <c r="X2329" s="683">
        <v>260</v>
      </c>
    </row>
    <row r="2330" spans="1:24" ht="16" thickBot="1" x14ac:dyDescent="0.25">
      <c r="A2330" s="1962">
        <f>WEEKNUM(C2330,1)</f>
        <v>19</v>
      </c>
      <c r="B2330" s="1963"/>
      <c r="C2330" s="1368">
        <v>45418</v>
      </c>
      <c r="D2330" s="1369">
        <v>63</v>
      </c>
      <c r="E2330" s="1370" t="s">
        <v>293</v>
      </c>
      <c r="F2330" s="1536" t="s">
        <v>323</v>
      </c>
      <c r="G2330" s="1371">
        <v>3.3379629629629627E-2</v>
      </c>
      <c r="H2330" s="1372">
        <v>8.14</v>
      </c>
      <c r="I2330" s="1373">
        <f t="shared" si="334"/>
        <v>4.1006916006915998E-3</v>
      </c>
      <c r="J2330" s="1374">
        <v>120</v>
      </c>
      <c r="K2330" s="1745">
        <v>37</v>
      </c>
      <c r="L2330" s="1577">
        <v>202</v>
      </c>
      <c r="M2330" s="1374">
        <v>24</v>
      </c>
      <c r="N2330" s="1375">
        <f t="shared" si="338"/>
        <v>1.0681873189335871</v>
      </c>
      <c r="O2330" s="1376" t="s">
        <v>340</v>
      </c>
      <c r="P2330" s="795" t="str">
        <f>IFERROR(VLOOKUP(F2330,#REF!,12,FALSE),"")</f>
        <v/>
      </c>
      <c r="Q2330" s="1254" t="s">
        <v>8</v>
      </c>
      <c r="R2330" s="1694" t="str">
        <f>IFERROR(VLOOKUP(F2330,#REF!,14,FALSE),"")</f>
        <v/>
      </c>
      <c r="S2330" s="1377">
        <f t="shared" si="339"/>
        <v>1.6833333333333333</v>
      </c>
      <c r="T2330" s="70">
        <f t="shared" si="337"/>
        <v>17.064527118485316</v>
      </c>
      <c r="U2330" s="70">
        <f t="shared" si="335"/>
        <v>18.852918195217246</v>
      </c>
      <c r="V2330" s="1369">
        <f t="shared" si="340"/>
        <v>4.6683581389815458</v>
      </c>
      <c r="W2330" s="1766">
        <f t="shared" si="336"/>
        <v>0.90513982725572839</v>
      </c>
      <c r="X2330" s="70">
        <v>260</v>
      </c>
    </row>
    <row r="2331" spans="1:24" x14ac:dyDescent="0.2">
      <c r="A2331" s="1648" t="s">
        <v>142</v>
      </c>
      <c r="B2331" s="1679">
        <f>SUM(H2330:H2336)</f>
        <v>19.560000000000002</v>
      </c>
      <c r="C2331" s="1651">
        <v>45419</v>
      </c>
      <c r="D2331" s="1695">
        <v>64</v>
      </c>
      <c r="E2331" s="1696" t="s">
        <v>293</v>
      </c>
      <c r="F2331" s="1534" t="s">
        <v>323</v>
      </c>
      <c r="G2331" s="1697">
        <v>1.7384259259259259E-2</v>
      </c>
      <c r="H2331" s="1698">
        <v>4.1500000000000004</v>
      </c>
      <c r="I2331" s="1699">
        <f t="shared" si="334"/>
        <v>4.1889781347612667E-3</v>
      </c>
      <c r="J2331" s="1700">
        <v>117</v>
      </c>
      <c r="K2331" s="1755">
        <v>18</v>
      </c>
      <c r="L2331" s="1578">
        <v>198</v>
      </c>
      <c r="M2331" s="1700">
        <v>13</v>
      </c>
      <c r="N2331" s="1701">
        <f t="shared" si="338"/>
        <v>1.0695774141341483</v>
      </c>
      <c r="O2331" s="1702" t="s">
        <v>340</v>
      </c>
      <c r="P2331" s="1635" t="str">
        <f>IFERROR(VLOOKUP(F2331,#REF!,12,FALSE),"")</f>
        <v/>
      </c>
      <c r="Q2331" s="1636" t="s">
        <v>8</v>
      </c>
      <c r="R2331" s="1703" t="str">
        <f>IFERROR(VLOOKUP(F2331,#REF!,14,FALSE),"")</f>
        <v/>
      </c>
      <c r="S2331" s="1704">
        <f t="shared" si="339"/>
        <v>1.6923076923076923</v>
      </c>
      <c r="T2331" s="1379">
        <f t="shared" si="337"/>
        <v>17.198166101558844</v>
      </c>
      <c r="U2331" s="1379">
        <f t="shared" si="335"/>
        <v>18.832610619140645</v>
      </c>
      <c r="V2331" s="1695">
        <f t="shared" si="340"/>
        <v>1.78839107673193</v>
      </c>
      <c r="W2331" s="1767">
        <f t="shared" si="336"/>
        <v>0.9132120049293313</v>
      </c>
      <c r="X2331" s="1695">
        <v>260</v>
      </c>
    </row>
    <row r="2332" spans="1:24" x14ac:dyDescent="0.2">
      <c r="A2332" s="1649" t="s">
        <v>347</v>
      </c>
      <c r="B2332" s="1680">
        <f>SUM(K2330:K2336)</f>
        <v>89</v>
      </c>
      <c r="C2332" s="1651">
        <v>45420</v>
      </c>
      <c r="D2332" s="1695"/>
      <c r="E2332" s="1696"/>
      <c r="F2332" s="1534"/>
      <c r="G2332" s="1697"/>
      <c r="H2332" s="1698" t="str">
        <f>IFERROR(VLOOKUP(F2332,#REF!,10,FALSE),"")</f>
        <v/>
      </c>
      <c r="I2332" s="1699" t="str">
        <f t="shared" ref="I2332:I2395" si="342">IFERROR(G2332/H2332,"")</f>
        <v/>
      </c>
      <c r="J2332" s="1700"/>
      <c r="K2332" s="1755"/>
      <c r="L2332" s="1578"/>
      <c r="M2332" s="1700"/>
      <c r="N2332" s="1701" t="str">
        <f t="shared" si="338"/>
        <v/>
      </c>
      <c r="O2332" s="1702"/>
      <c r="P2332" s="1635" t="str">
        <f>IFERROR(VLOOKUP(F2332,#REF!,12,FALSE),"")</f>
        <v/>
      </c>
      <c r="Q2332" s="1636" t="s">
        <v>8</v>
      </c>
      <c r="R2332" s="1703" t="str">
        <f>IFERROR(VLOOKUP(F2332,#REF!,14,FALSE),"")</f>
        <v/>
      </c>
      <c r="S2332" s="1704" t="str">
        <f t="shared" si="339"/>
        <v/>
      </c>
      <c r="T2332" s="1379">
        <f t="shared" si="337"/>
        <v>14.741285229907581</v>
      </c>
      <c r="U2332" s="1379">
        <f t="shared" si="335"/>
        <v>18.384215128208726</v>
      </c>
      <c r="V2332" s="1695">
        <f t="shared" si="340"/>
        <v>1.6344445175818016</v>
      </c>
      <c r="W2332" s="1767">
        <f t="shared" si="336"/>
        <v>0.80184468725502256</v>
      </c>
      <c r="X2332" s="1695">
        <v>260</v>
      </c>
    </row>
    <row r="2333" spans="1:24" x14ac:dyDescent="0.2">
      <c r="A2333" s="1649" t="s">
        <v>256</v>
      </c>
      <c r="B2333" s="1677">
        <f>AVERAGE(W2330:W2336)</f>
        <v>0.81744455661199755</v>
      </c>
      <c r="C2333" s="1651">
        <v>45421</v>
      </c>
      <c r="D2333" s="1695">
        <v>65</v>
      </c>
      <c r="E2333" s="1696" t="s">
        <v>292</v>
      </c>
      <c r="F2333" s="1534" t="s">
        <v>323</v>
      </c>
      <c r="G2333" s="1697">
        <v>2.9629629629629627E-2</v>
      </c>
      <c r="H2333" s="1698">
        <v>7.27</v>
      </c>
      <c r="I2333" s="1699">
        <f t="shared" si="342"/>
        <v>4.0756024249834428E-3</v>
      </c>
      <c r="J2333" s="1700">
        <v>137</v>
      </c>
      <c r="K2333" s="1755">
        <v>34</v>
      </c>
      <c r="L2333" s="1578">
        <v>205</v>
      </c>
      <c r="M2333" s="1700">
        <v>21</v>
      </c>
      <c r="N2333" s="1701">
        <f t="shared" si="338"/>
        <v>1.0774189574821904</v>
      </c>
      <c r="O2333" s="1702" t="s">
        <v>346</v>
      </c>
      <c r="P2333" s="1635" t="str">
        <f>IFERROR(VLOOKUP(F2333,#REF!,12,FALSE),"")</f>
        <v/>
      </c>
      <c r="Q2333" s="1636" t="s">
        <v>8</v>
      </c>
      <c r="R2333" s="1703" t="str">
        <f>IFERROR(VLOOKUP(F2333,#REF!,14,FALSE),"")</f>
        <v/>
      </c>
      <c r="S2333" s="1704">
        <f t="shared" si="339"/>
        <v>1.4963503649635037</v>
      </c>
      <c r="T2333" s="1379">
        <f t="shared" si="337"/>
        <v>17.49253019706364</v>
      </c>
      <c r="U2333" s="1379">
        <f t="shared" si="335"/>
        <v>18.756019529918042</v>
      </c>
      <c r="V2333" s="1695">
        <f t="shared" si="340"/>
        <v>3.642929898301146</v>
      </c>
      <c r="W2333" s="1767">
        <f t="shared" si="336"/>
        <v>0.93263552904500935</v>
      </c>
      <c r="X2333" s="1695">
        <v>260</v>
      </c>
    </row>
    <row r="2334" spans="1:24" x14ac:dyDescent="0.2">
      <c r="A2334" s="1649" t="s">
        <v>336</v>
      </c>
      <c r="B2334" s="1713">
        <f>IFERROR(AVERAGE(N2330:N2336),"")</f>
        <v>1.071727896849975</v>
      </c>
      <c r="C2334" s="1651">
        <v>45422</v>
      </c>
      <c r="D2334" s="1695"/>
      <c r="E2334" s="1696"/>
      <c r="F2334" s="1550"/>
      <c r="G2334" s="1697"/>
      <c r="H2334" s="1698" t="str">
        <f>IFERROR(VLOOKUP(F2334,#REF!,10,FALSE),"")</f>
        <v/>
      </c>
      <c r="I2334" s="1699" t="str">
        <f t="shared" si="342"/>
        <v/>
      </c>
      <c r="J2334" s="1700"/>
      <c r="K2334" s="1755"/>
      <c r="L2334" s="1578"/>
      <c r="M2334" s="1700"/>
      <c r="N2334" s="1701" t="str">
        <f t="shared" si="338"/>
        <v/>
      </c>
      <c r="O2334" s="1702"/>
      <c r="P2334" s="1635" t="str">
        <f>IFERROR(VLOOKUP(F2334,#REF!,12,FALSE),"")</f>
        <v/>
      </c>
      <c r="Q2334" s="1636" t="s">
        <v>8</v>
      </c>
      <c r="R2334" s="1703" t="str">
        <f>IFERROR(VLOOKUP(F2334,#REF!,14,FALSE),"")</f>
        <v/>
      </c>
      <c r="S2334" s="1704" t="str">
        <f t="shared" si="339"/>
        <v/>
      </c>
      <c r="T2334" s="1379">
        <f t="shared" si="337"/>
        <v>14.993597311768834</v>
      </c>
      <c r="U2334" s="1379">
        <f t="shared" si="335"/>
        <v>18.309447636348565</v>
      </c>
      <c r="V2334" s="1695">
        <f t="shared" si="340"/>
        <v>1.2634893328544017</v>
      </c>
      <c r="W2334" s="1767">
        <f t="shared" si="336"/>
        <v>0.81889948891756914</v>
      </c>
      <c r="X2334" s="1695">
        <v>260</v>
      </c>
    </row>
    <row r="2335" spans="1:24" x14ac:dyDescent="0.2">
      <c r="A2335" s="1649" t="s">
        <v>337</v>
      </c>
      <c r="B2335" s="1681">
        <f>IFERROR(AVERAGE(S2330:S2336),"")</f>
        <v>1.6239971302015099</v>
      </c>
      <c r="C2335" s="1651">
        <v>45423</v>
      </c>
      <c r="D2335" s="1695"/>
      <c r="E2335" s="1696"/>
      <c r="F2335" s="1628"/>
      <c r="G2335" s="1697"/>
      <c r="H2335" s="1698" t="str">
        <f>IFERROR(VLOOKUP(F2335,#REF!,10,FALSE),"")</f>
        <v/>
      </c>
      <c r="I2335" s="1699" t="str">
        <f t="shared" si="342"/>
        <v/>
      </c>
      <c r="J2335" s="1700"/>
      <c r="K2335" s="1755"/>
      <c r="L2335" s="1578"/>
      <c r="M2335" s="1700"/>
      <c r="N2335" s="1701" t="str">
        <f t="shared" si="338"/>
        <v/>
      </c>
      <c r="O2335" s="1702"/>
      <c r="P2335" s="1635" t="str">
        <f>IFERROR(VLOOKUP(F2335,#REF!,12,FALSE),"")</f>
        <v/>
      </c>
      <c r="Q2335" s="1636" t="s">
        <v>8</v>
      </c>
      <c r="R2335" s="1703" t="str">
        <f>IFERROR(VLOOKUP(F2335,#REF!,14,FALSE),"")</f>
        <v/>
      </c>
      <c r="S2335" s="1704" t="str">
        <f t="shared" si="339"/>
        <v/>
      </c>
      <c r="T2335" s="1379">
        <f t="shared" si="337"/>
        <v>12.851654838659002</v>
      </c>
      <c r="U2335" s="1379">
        <f t="shared" si="335"/>
        <v>17.873508406911697</v>
      </c>
      <c r="V2335" s="1695">
        <f t="shared" si="340"/>
        <v>3.3158503245797313</v>
      </c>
      <c r="W2335" s="1767">
        <f t="shared" si="336"/>
        <v>0.7190336975861582</v>
      </c>
      <c r="X2335" s="1695">
        <v>260</v>
      </c>
    </row>
    <row r="2336" spans="1:24" ht="16" thickBot="1" x14ac:dyDescent="0.25">
      <c r="A2336" s="1650" t="s">
        <v>5</v>
      </c>
      <c r="B2336" s="1678">
        <f>IFERROR(SUM(M2330:M2336),"")</f>
        <v>58</v>
      </c>
      <c r="C2336" s="1360">
        <v>45424</v>
      </c>
      <c r="D2336" s="683"/>
      <c r="E2336" s="684"/>
      <c r="F2336" s="1538"/>
      <c r="G2336" s="1361"/>
      <c r="H2336" s="1362" t="str">
        <f>IFERROR(VLOOKUP(F2336,#REF!,10,FALSE),"")</f>
        <v/>
      </c>
      <c r="I2336" s="1363" t="str">
        <f t="shared" si="342"/>
        <v/>
      </c>
      <c r="J2336" s="1364"/>
      <c r="K2336" s="1747"/>
      <c r="L2336" s="1705"/>
      <c r="M2336" s="1364"/>
      <c r="N2336" s="1365" t="str">
        <f t="shared" si="338"/>
        <v/>
      </c>
      <c r="O2336" s="1366"/>
      <c r="P2336" s="1706" t="str">
        <f>IFERROR(VLOOKUP(F2336,#REF!,12,FALSE),"")</f>
        <v/>
      </c>
      <c r="Q2336" s="1707" t="s">
        <v>8</v>
      </c>
      <c r="R2336" s="1708" t="str">
        <f>IFERROR(VLOOKUP(F2336,#REF!,14,FALSE),"")</f>
        <v/>
      </c>
      <c r="S2336" s="1191" t="str">
        <f t="shared" si="339"/>
        <v/>
      </c>
      <c r="T2336" s="1732">
        <f t="shared" si="337"/>
        <v>11.015704147422001</v>
      </c>
      <c r="U2336" s="1732">
        <f t="shared" si="335"/>
        <v>17.447948682937607</v>
      </c>
      <c r="V2336" s="683">
        <f t="shared" si="340"/>
        <v>5.0218535682526948</v>
      </c>
      <c r="W2336" s="1768">
        <f t="shared" si="336"/>
        <v>0.63134666129516337</v>
      </c>
      <c r="X2336" s="683">
        <v>260</v>
      </c>
    </row>
    <row r="2337" spans="1:24" ht="16" thickBot="1" x14ac:dyDescent="0.25">
      <c r="A2337" s="1962">
        <f>WEEKNUM(C2337,1)</f>
        <v>20</v>
      </c>
      <c r="B2337" s="1963"/>
      <c r="C2337" s="1368">
        <v>45425</v>
      </c>
      <c r="D2337" s="1369">
        <v>66</v>
      </c>
      <c r="E2337" s="1370" t="s">
        <v>293</v>
      </c>
      <c r="F2337" s="1536" t="s">
        <v>323</v>
      </c>
      <c r="G2337" s="1371">
        <v>2.8171296296296295E-2</v>
      </c>
      <c r="H2337" s="1372">
        <v>7.22</v>
      </c>
      <c r="I2337" s="1373">
        <f t="shared" si="342"/>
        <v>3.9018415922848055E-3</v>
      </c>
      <c r="J2337" s="1374">
        <v>119</v>
      </c>
      <c r="K2337" s="1745">
        <v>39</v>
      </c>
      <c r="L2337" s="1577">
        <v>213</v>
      </c>
      <c r="M2337" s="1374">
        <v>25</v>
      </c>
      <c r="N2337" s="1375">
        <f t="shared" si="338"/>
        <v>1.0717368834497871</v>
      </c>
      <c r="O2337" s="1376" t="s">
        <v>340</v>
      </c>
      <c r="P2337" s="795" t="str">
        <f>IFERROR(VLOOKUP(F2337,#REF!,12,FALSE),"")</f>
        <v/>
      </c>
      <c r="Q2337" s="1254" t="s">
        <v>8</v>
      </c>
      <c r="R2337" s="1694" t="str">
        <f>IFERROR(VLOOKUP(F2337,#REF!,14,FALSE),"")</f>
        <v/>
      </c>
      <c r="S2337" s="1377">
        <f t="shared" si="339"/>
        <v>1.7899159663865547</v>
      </c>
      <c r="T2337" s="1369">
        <f t="shared" si="337"/>
        <v>15.013460697790286</v>
      </c>
      <c r="U2337" s="1369">
        <f t="shared" si="335"/>
        <v>17.961092761915282</v>
      </c>
      <c r="V2337" s="1369">
        <f t="shared" si="340"/>
        <v>6.4322445355156059</v>
      </c>
      <c r="W2337" s="1766">
        <f t="shared" si="336"/>
        <v>0.83588793269999928</v>
      </c>
      <c r="X2337" s="1369">
        <v>260</v>
      </c>
    </row>
    <row r="2338" spans="1:24" x14ac:dyDescent="0.2">
      <c r="A2338" s="1648" t="s">
        <v>142</v>
      </c>
      <c r="B2338" s="1679">
        <f>SUM(H2337:H2343)</f>
        <v>18.53</v>
      </c>
      <c r="C2338" s="1651">
        <v>45426</v>
      </c>
      <c r="D2338" s="1695">
        <v>67</v>
      </c>
      <c r="E2338" s="1696" t="s">
        <v>293</v>
      </c>
      <c r="F2338" s="1534" t="s">
        <v>323</v>
      </c>
      <c r="G2338" s="1697">
        <v>2.210648148148148E-2</v>
      </c>
      <c r="H2338" s="1698">
        <v>5.44</v>
      </c>
      <c r="I2338" s="1699">
        <f t="shared" si="342"/>
        <v>4.0636914488017426E-3</v>
      </c>
      <c r="J2338" s="1700">
        <v>117</v>
      </c>
      <c r="K2338" s="1755">
        <v>24</v>
      </c>
      <c r="L2338" s="1578">
        <v>202</v>
      </c>
      <c r="M2338" s="1700">
        <v>21</v>
      </c>
      <c r="N2338" s="1701">
        <f t="shared" si="338"/>
        <v>1.0585491659350306</v>
      </c>
      <c r="O2338" s="1702" t="s">
        <v>333</v>
      </c>
      <c r="P2338" s="1635" t="str">
        <f>IFERROR(VLOOKUP(F2338,#REF!,12,FALSE),"")</f>
        <v/>
      </c>
      <c r="Q2338" s="1636" t="s">
        <v>8</v>
      </c>
      <c r="R2338" s="1703" t="str">
        <f>IFERROR(VLOOKUP(F2338,#REF!,14,FALSE),"")</f>
        <v/>
      </c>
      <c r="S2338" s="1704">
        <f t="shared" si="339"/>
        <v>1.7264957264957266</v>
      </c>
      <c r="T2338" s="1735">
        <f t="shared" si="337"/>
        <v>16.297252026677388</v>
      </c>
      <c r="U2338" s="1735">
        <f t="shared" si="335"/>
        <v>18.104876267583965</v>
      </c>
      <c r="V2338" s="1695">
        <f t="shared" si="340"/>
        <v>2.9476320641249956</v>
      </c>
      <c r="W2338" s="1767">
        <f t="shared" si="336"/>
        <v>0.90015815550515232</v>
      </c>
      <c r="X2338" s="1695">
        <v>260</v>
      </c>
    </row>
    <row r="2339" spans="1:24" x14ac:dyDescent="0.2">
      <c r="A2339" s="1649" t="s">
        <v>347</v>
      </c>
      <c r="B2339" s="1680">
        <f>SUM(K2337:K2343)</f>
        <v>90</v>
      </c>
      <c r="C2339" s="1651">
        <v>45427</v>
      </c>
      <c r="D2339" s="1695"/>
      <c r="E2339" s="1696"/>
      <c r="F2339" s="1534"/>
      <c r="G2339" s="1697"/>
      <c r="H2339" s="1698" t="str">
        <f>IFERROR(VLOOKUP(F2339,#REF!,10,FALSE),"")</f>
        <v/>
      </c>
      <c r="I2339" s="1699" t="str">
        <f t="shared" si="342"/>
        <v/>
      </c>
      <c r="J2339" s="1700"/>
      <c r="K2339" s="1755"/>
      <c r="L2339" s="1578"/>
      <c r="M2339" s="1700"/>
      <c r="N2339" s="1701" t="str">
        <f t="shared" si="338"/>
        <v/>
      </c>
      <c r="O2339" s="1702"/>
      <c r="P2339" s="1635" t="str">
        <f>IFERROR(VLOOKUP(F2339,#REF!,12,FALSE),"")</f>
        <v/>
      </c>
      <c r="Q2339" s="1636" t="s">
        <v>8</v>
      </c>
      <c r="R2339" s="1703" t="str">
        <f>IFERROR(VLOOKUP(F2339,#REF!,14,FALSE),"")</f>
        <v/>
      </c>
      <c r="S2339" s="1704" t="str">
        <f t="shared" si="339"/>
        <v/>
      </c>
      <c r="T2339" s="1735">
        <f t="shared" si="337"/>
        <v>13.969073165723476</v>
      </c>
      <c r="U2339" s="1735">
        <f t="shared" si="335"/>
        <v>17.67380778502244</v>
      </c>
      <c r="V2339" s="1695">
        <f t="shared" si="340"/>
        <v>1.807624240906577</v>
      </c>
      <c r="W2339" s="1767">
        <f t="shared" si="336"/>
        <v>0.79038277068745089</v>
      </c>
      <c r="X2339" s="1695">
        <v>260</v>
      </c>
    </row>
    <row r="2340" spans="1:24" x14ac:dyDescent="0.2">
      <c r="A2340" s="1649" t="s">
        <v>256</v>
      </c>
      <c r="B2340" s="1677">
        <f>AVERAGE(W2337:W2343)</f>
        <v>0.78122450414241229</v>
      </c>
      <c r="C2340" s="1651">
        <v>45428</v>
      </c>
      <c r="D2340" s="1695">
        <v>68</v>
      </c>
      <c r="E2340" s="1696" t="s">
        <v>293</v>
      </c>
      <c r="F2340" s="1534" t="s">
        <v>323</v>
      </c>
      <c r="G2340" s="1697">
        <v>2.5763888888888888E-2</v>
      </c>
      <c r="H2340" s="1698">
        <v>5.87</v>
      </c>
      <c r="I2340" s="1699">
        <f t="shared" si="342"/>
        <v>4.3890781752791977E-3</v>
      </c>
      <c r="J2340" s="1700">
        <v>111</v>
      </c>
      <c r="K2340" s="1755">
        <v>27</v>
      </c>
      <c r="L2340" s="1578">
        <v>193</v>
      </c>
      <c r="M2340" s="1700">
        <v>21</v>
      </c>
      <c r="N2340" s="1701">
        <f t="shared" si="338"/>
        <v>1.0923694983345624</v>
      </c>
      <c r="O2340" s="1702" t="s">
        <v>340</v>
      </c>
      <c r="P2340" s="1635" t="str">
        <f>IFERROR(VLOOKUP(F2340,#REF!,12,FALSE),"")</f>
        <v/>
      </c>
      <c r="Q2340" s="1636" t="s">
        <v>8</v>
      </c>
      <c r="R2340" s="1703" t="str">
        <f>IFERROR(VLOOKUP(F2340,#REF!,14,FALSE),"")</f>
        <v/>
      </c>
      <c r="S2340" s="1704">
        <f t="shared" si="339"/>
        <v>1.7387387387387387</v>
      </c>
      <c r="T2340" s="1735">
        <f t="shared" si="337"/>
        <v>15.830634142048693</v>
      </c>
      <c r="U2340" s="1735">
        <f t="shared" si="335"/>
        <v>17.895859980617143</v>
      </c>
      <c r="V2340" s="1695">
        <f t="shared" si="340"/>
        <v>3.7047346192989643</v>
      </c>
      <c r="W2340" s="1767">
        <f t="shared" si="336"/>
        <v>0.88459756386084387</v>
      </c>
      <c r="X2340" s="1695">
        <v>260</v>
      </c>
    </row>
    <row r="2341" spans="1:24" x14ac:dyDescent="0.2">
      <c r="A2341" s="1649" t="s">
        <v>336</v>
      </c>
      <c r="B2341" s="1713">
        <f>IFERROR(AVERAGE(N2337:N2343),"")</f>
        <v>1.0742185159064601</v>
      </c>
      <c r="C2341" s="1651">
        <v>45429</v>
      </c>
      <c r="D2341" s="1695"/>
      <c r="E2341" s="1696"/>
      <c r="F2341" s="1550"/>
      <c r="G2341" s="1697"/>
      <c r="H2341" s="1698" t="str">
        <f>IFERROR(VLOOKUP(F2341,#REF!,10,FALSE),"")</f>
        <v/>
      </c>
      <c r="I2341" s="1699" t="str">
        <f t="shared" si="342"/>
        <v/>
      </c>
      <c r="J2341" s="1700"/>
      <c r="K2341" s="1755"/>
      <c r="L2341" s="1578"/>
      <c r="M2341" s="1700"/>
      <c r="N2341" s="1701" t="str">
        <f t="shared" si="338"/>
        <v/>
      </c>
      <c r="O2341" s="1702"/>
      <c r="P2341" s="1635" t="str">
        <f>IFERROR(VLOOKUP(F2341,#REF!,12,FALSE),"")</f>
        <v/>
      </c>
      <c r="Q2341" s="1636" t="s">
        <v>8</v>
      </c>
      <c r="R2341" s="1703" t="str">
        <f>IFERROR(VLOOKUP(F2341,#REF!,14,FALSE),"")</f>
        <v/>
      </c>
      <c r="S2341" s="1704" t="str">
        <f t="shared" si="339"/>
        <v/>
      </c>
      <c r="T2341" s="1735">
        <f t="shared" si="337"/>
        <v>13.569114978898879</v>
      </c>
      <c r="U2341" s="1735">
        <f t="shared" si="335"/>
        <v>17.469768076316736</v>
      </c>
      <c r="V2341" s="1695">
        <f t="shared" si="340"/>
        <v>2.0652258385684501</v>
      </c>
      <c r="W2341" s="1767">
        <f t="shared" si="336"/>
        <v>0.7767198121704969</v>
      </c>
      <c r="X2341" s="1695">
        <v>260</v>
      </c>
    </row>
    <row r="2342" spans="1:24" x14ac:dyDescent="0.2">
      <c r="A2342" s="1649" t="s">
        <v>337</v>
      </c>
      <c r="B2342" s="1681">
        <f>IFERROR(AVERAGE(S2337:S2343),"")</f>
        <v>1.75171681054034</v>
      </c>
      <c r="C2342" s="1651">
        <v>45430</v>
      </c>
      <c r="D2342" s="1695"/>
      <c r="E2342" s="1696"/>
      <c r="F2342" s="1628"/>
      <c r="G2342" s="1697"/>
      <c r="H2342" s="1698" t="str">
        <f>IFERROR(VLOOKUP(F2342,#REF!,10,FALSE),"")</f>
        <v/>
      </c>
      <c r="I2342" s="1699" t="str">
        <f t="shared" si="342"/>
        <v/>
      </c>
      <c r="J2342" s="1700"/>
      <c r="K2342" s="1755"/>
      <c r="L2342" s="1578"/>
      <c r="M2342" s="1700"/>
      <c r="N2342" s="1701" t="str">
        <f t="shared" si="338"/>
        <v/>
      </c>
      <c r="O2342" s="1702"/>
      <c r="P2342" s="1635" t="str">
        <f>IFERROR(VLOOKUP(F2342,#REF!,12,FALSE),"")</f>
        <v/>
      </c>
      <c r="Q2342" s="1636" t="s">
        <v>8</v>
      </c>
      <c r="R2342" s="1703" t="str">
        <f>IFERROR(VLOOKUP(F2342,#REF!,14,FALSE),"")</f>
        <v/>
      </c>
      <c r="S2342" s="1704" t="str">
        <f t="shared" si="339"/>
        <v/>
      </c>
      <c r="T2342" s="1735">
        <f t="shared" ref="T2342:T2405" si="343">T2341+(K2342-T2341)/7</f>
        <v>11.630669981913325</v>
      </c>
      <c r="U2342" s="1735">
        <f t="shared" ref="U2342:U2405" si="344">U2341+(K2342-U2341)/42</f>
        <v>17.053821217356813</v>
      </c>
      <c r="V2342" s="1695">
        <f t="shared" si="340"/>
        <v>3.900653097417857</v>
      </c>
      <c r="W2342" s="1767">
        <f t="shared" ref="W2342:W2405" si="345">T2342/U2342</f>
        <v>0.68199788385702176</v>
      </c>
      <c r="X2342" s="1695">
        <v>260</v>
      </c>
    </row>
    <row r="2343" spans="1:24" ht="16" thickBot="1" x14ac:dyDescent="0.25">
      <c r="A2343" s="1650" t="s">
        <v>5</v>
      </c>
      <c r="B2343" s="1678">
        <f>IFERROR(SUM(M2337:M2343),"")</f>
        <v>67</v>
      </c>
      <c r="C2343" s="1360">
        <v>45431</v>
      </c>
      <c r="D2343" s="683"/>
      <c r="E2343" s="684"/>
      <c r="F2343" s="1538"/>
      <c r="G2343" s="1361"/>
      <c r="H2343" s="1362" t="str">
        <f>IFERROR(VLOOKUP(F2343,#REF!,10,FALSE),"")</f>
        <v/>
      </c>
      <c r="I2343" s="1363" t="str">
        <f t="shared" si="342"/>
        <v/>
      </c>
      <c r="J2343" s="1364"/>
      <c r="K2343" s="1747"/>
      <c r="L2343" s="1705"/>
      <c r="M2343" s="1364"/>
      <c r="N2343" s="1365" t="str">
        <f t="shared" si="338"/>
        <v/>
      </c>
      <c r="O2343" s="1366"/>
      <c r="P2343" s="1706" t="str">
        <f>IFERROR(VLOOKUP(F2343,#REF!,12,FALSE),"")</f>
        <v/>
      </c>
      <c r="Q2343" s="1707" t="s">
        <v>8</v>
      </c>
      <c r="R2343" s="1708" t="str">
        <f>IFERROR(VLOOKUP(F2343,#REF!,14,FALSE),"")</f>
        <v/>
      </c>
      <c r="S2343" s="1191" t="str">
        <f t="shared" si="339"/>
        <v/>
      </c>
      <c r="T2343" s="1731">
        <f t="shared" si="343"/>
        <v>9.9691456987828495</v>
      </c>
      <c r="U2343" s="1731">
        <f t="shared" si="344"/>
        <v>16.647777855038793</v>
      </c>
      <c r="V2343" s="683">
        <f t="shared" si="340"/>
        <v>5.4231512354434876</v>
      </c>
      <c r="W2343" s="1768">
        <f t="shared" si="345"/>
        <v>0.59882741021592156</v>
      </c>
      <c r="X2343" s="683">
        <v>260</v>
      </c>
    </row>
    <row r="2344" spans="1:24" ht="16" thickBot="1" x14ac:dyDescent="0.25">
      <c r="A2344" s="1962">
        <f>WEEKNUM(C2344,1)</f>
        <v>21</v>
      </c>
      <c r="B2344" s="1963"/>
      <c r="C2344" s="1368">
        <v>45432</v>
      </c>
      <c r="D2344" s="1369">
        <v>69</v>
      </c>
      <c r="E2344" s="1370" t="s">
        <v>292</v>
      </c>
      <c r="F2344" s="1536" t="s">
        <v>323</v>
      </c>
      <c r="G2344" s="1371">
        <v>2.388888888888889E-2</v>
      </c>
      <c r="H2344" s="1372">
        <v>5.56</v>
      </c>
      <c r="I2344" s="1373">
        <f t="shared" si="342"/>
        <v>4.2965627498001606E-3</v>
      </c>
      <c r="J2344" s="1374">
        <v>125</v>
      </c>
      <c r="K2344" s="1745">
        <v>23</v>
      </c>
      <c r="L2344" s="1577">
        <v>194</v>
      </c>
      <c r="M2344" s="1374">
        <v>18</v>
      </c>
      <c r="N2344" s="1375">
        <f t="shared" si="338"/>
        <v>1.0748845699559757</v>
      </c>
      <c r="O2344" s="1376" t="s">
        <v>346</v>
      </c>
      <c r="P2344" s="795" t="str">
        <f>IFERROR(VLOOKUP(F2344,#REF!,12,FALSE),"")</f>
        <v/>
      </c>
      <c r="Q2344" s="1254" t="s">
        <v>8</v>
      </c>
      <c r="R2344" s="1694" t="str">
        <f>IFERROR(VLOOKUP(F2344,#REF!,14,FALSE),"")</f>
        <v/>
      </c>
      <c r="S2344" s="1377">
        <f t="shared" si="339"/>
        <v>1.552</v>
      </c>
      <c r="T2344" s="70">
        <f t="shared" si="343"/>
        <v>11.830696313242443</v>
      </c>
      <c r="U2344" s="70">
        <f t="shared" si="344"/>
        <v>16.799021239442631</v>
      </c>
      <c r="V2344" s="1369">
        <f t="shared" si="340"/>
        <v>6.6786321562559436</v>
      </c>
      <c r="W2344" s="1766">
        <f t="shared" si="345"/>
        <v>0.70424914312656528</v>
      </c>
      <c r="X2344" s="1369">
        <v>260</v>
      </c>
    </row>
    <row r="2345" spans="1:24" x14ac:dyDescent="0.2">
      <c r="A2345" s="1648" t="s">
        <v>142</v>
      </c>
      <c r="B2345" s="1679">
        <f>SUM(H2344:H2350)</f>
        <v>22.92</v>
      </c>
      <c r="C2345" s="1651">
        <v>45433</v>
      </c>
      <c r="D2345" s="1695"/>
      <c r="E2345" s="1696"/>
      <c r="F2345" s="1534"/>
      <c r="G2345" s="1697"/>
      <c r="H2345" s="1698" t="str">
        <f>IFERROR(VLOOKUP(F2345,#REF!,10,FALSE),"")</f>
        <v/>
      </c>
      <c r="I2345" s="1699" t="str">
        <f t="shared" si="342"/>
        <v/>
      </c>
      <c r="J2345" s="1700"/>
      <c r="K2345" s="1755"/>
      <c r="L2345" s="1578"/>
      <c r="M2345" s="1700"/>
      <c r="N2345" s="1701" t="str">
        <f t="shared" si="338"/>
        <v/>
      </c>
      <c r="O2345" s="1702"/>
      <c r="P2345" s="1635" t="str">
        <f>IFERROR(VLOOKUP(F2345,#REF!,12,FALSE),"")</f>
        <v/>
      </c>
      <c r="Q2345" s="1636" t="s">
        <v>8</v>
      </c>
      <c r="R2345" s="1703" t="str">
        <f>IFERROR(VLOOKUP(F2345,#REF!,14,FALSE),"")</f>
        <v/>
      </c>
      <c r="S2345" s="1704" t="str">
        <f t="shared" si="339"/>
        <v/>
      </c>
      <c r="T2345" s="1379">
        <f t="shared" si="343"/>
        <v>10.140596839922095</v>
      </c>
      <c r="U2345" s="1379">
        <f t="shared" si="344"/>
        <v>16.399044543265425</v>
      </c>
      <c r="V2345" s="1695">
        <f t="shared" si="340"/>
        <v>4.9683249262001876</v>
      </c>
      <c r="W2345" s="1767">
        <f t="shared" si="345"/>
        <v>0.61836510128186217</v>
      </c>
      <c r="X2345" s="1695">
        <v>260</v>
      </c>
    </row>
    <row r="2346" spans="1:24" x14ac:dyDescent="0.2">
      <c r="A2346" s="1649" t="s">
        <v>347</v>
      </c>
      <c r="B2346" s="1680">
        <f>SUM(K2344:K2350)</f>
        <v>105</v>
      </c>
      <c r="C2346" s="1651">
        <v>45434</v>
      </c>
      <c r="D2346" s="1695"/>
      <c r="E2346" s="1696"/>
      <c r="F2346" s="1534"/>
      <c r="G2346" s="1697"/>
      <c r="H2346" s="1698" t="str">
        <f>IFERROR(VLOOKUP(F2346,#REF!,10,FALSE),"")</f>
        <v/>
      </c>
      <c r="I2346" s="1699" t="str">
        <f t="shared" si="342"/>
        <v/>
      </c>
      <c r="J2346" s="1700"/>
      <c r="K2346" s="1755"/>
      <c r="L2346" s="1578"/>
      <c r="M2346" s="1700"/>
      <c r="N2346" s="1701" t="str">
        <f t="shared" si="338"/>
        <v/>
      </c>
      <c r="O2346" s="1702"/>
      <c r="P2346" s="1635" t="str">
        <f>IFERROR(VLOOKUP(F2346,#REF!,12,FALSE),"")</f>
        <v/>
      </c>
      <c r="Q2346" s="1636" t="s">
        <v>8</v>
      </c>
      <c r="R2346" s="1703" t="str">
        <f>IFERROR(VLOOKUP(F2346,#REF!,14,FALSE),"")</f>
        <v/>
      </c>
      <c r="S2346" s="1704" t="str">
        <f t="shared" si="339"/>
        <v/>
      </c>
      <c r="T2346" s="1379">
        <f t="shared" si="343"/>
        <v>8.6919401485046528</v>
      </c>
      <c r="U2346" s="1379">
        <f t="shared" si="344"/>
        <v>16.008591101759105</v>
      </c>
      <c r="V2346" s="1695">
        <f t="shared" si="340"/>
        <v>6.2584477033433306</v>
      </c>
      <c r="W2346" s="1767">
        <f t="shared" si="345"/>
        <v>0.54295472307675707</v>
      </c>
      <c r="X2346" s="1695">
        <v>260</v>
      </c>
    </row>
    <row r="2347" spans="1:24" x14ac:dyDescent="0.2">
      <c r="A2347" s="1649" t="s">
        <v>256</v>
      </c>
      <c r="B2347" s="1677">
        <f>AVERAGE(W2344:W2350)</f>
        <v>0.71186774308283829</v>
      </c>
      <c r="C2347" s="1651">
        <v>45435</v>
      </c>
      <c r="D2347" s="1695">
        <v>70</v>
      </c>
      <c r="E2347" s="1696" t="s">
        <v>293</v>
      </c>
      <c r="F2347" s="1534" t="s">
        <v>323</v>
      </c>
      <c r="G2347" s="1697">
        <v>2.2847222222222224E-2</v>
      </c>
      <c r="H2347" s="1698">
        <v>5.7</v>
      </c>
      <c r="I2347" s="1699">
        <f t="shared" si="342"/>
        <v>4.0082846003898637E-3</v>
      </c>
      <c r="J2347" s="1700">
        <v>120</v>
      </c>
      <c r="K2347" s="1755">
        <v>29</v>
      </c>
      <c r="L2347" s="1578">
        <v>211</v>
      </c>
      <c r="M2347" s="1700">
        <v>16</v>
      </c>
      <c r="N2347" s="1701">
        <f t="shared" si="338"/>
        <v>1.090636292223095</v>
      </c>
      <c r="O2347" s="1702" t="s">
        <v>340</v>
      </c>
      <c r="P2347" s="1635" t="str">
        <f>IFERROR(VLOOKUP(F2347,#REF!,12,FALSE),"")</f>
        <v/>
      </c>
      <c r="Q2347" s="1636" t="s">
        <v>8</v>
      </c>
      <c r="R2347" s="1703" t="str">
        <f>IFERROR(VLOOKUP(F2347,#REF!,14,FALSE),"")</f>
        <v/>
      </c>
      <c r="S2347" s="1704">
        <f t="shared" si="339"/>
        <v>1.7583333333333333</v>
      </c>
      <c r="T2347" s="1379">
        <f t="shared" si="343"/>
        <v>11.593091555861131</v>
      </c>
      <c r="U2347" s="1379">
        <f t="shared" si="344"/>
        <v>16.317910361241033</v>
      </c>
      <c r="V2347" s="1695">
        <f t="shared" si="340"/>
        <v>7.3166509532544524</v>
      </c>
      <c r="W2347" s="1767">
        <f t="shared" si="345"/>
        <v>0.71045196959762169</v>
      </c>
      <c r="X2347" s="1695">
        <v>260</v>
      </c>
    </row>
    <row r="2348" spans="1:24" x14ac:dyDescent="0.2">
      <c r="A2348" s="1649" t="s">
        <v>336</v>
      </c>
      <c r="B2348" s="1713">
        <f>IFERROR(AVERAGE(N2344:N2350),"")</f>
        <v>1.0739533140353654</v>
      </c>
      <c r="C2348" s="1651">
        <v>45436</v>
      </c>
      <c r="D2348" s="1695">
        <v>71</v>
      </c>
      <c r="E2348" s="1696" t="s">
        <v>293</v>
      </c>
      <c r="F2348" s="1550" t="s">
        <v>323</v>
      </c>
      <c r="G2348" s="1697">
        <v>2.4236111111111111E-2</v>
      </c>
      <c r="H2348" s="1698">
        <v>5.76</v>
      </c>
      <c r="I2348" s="1699">
        <f t="shared" si="342"/>
        <v>4.2076581790123462E-3</v>
      </c>
      <c r="J2348" s="1700">
        <v>104</v>
      </c>
      <c r="K2348" s="1755">
        <v>27</v>
      </c>
      <c r="L2348" s="1578">
        <v>196</v>
      </c>
      <c r="M2348" s="1700">
        <v>20</v>
      </c>
      <c r="N2348" s="1701">
        <f t="shared" si="338"/>
        <v>1.0634950248756219</v>
      </c>
      <c r="O2348" s="1702" t="s">
        <v>333</v>
      </c>
      <c r="P2348" s="1635" t="str">
        <f>IFERROR(VLOOKUP(F2348,#REF!,12,FALSE),"")</f>
        <v/>
      </c>
      <c r="Q2348" s="1636" t="s">
        <v>8</v>
      </c>
      <c r="R2348" s="1703" t="str">
        <f>IFERROR(VLOOKUP(F2348,#REF!,14,FALSE),"")</f>
        <v/>
      </c>
      <c r="S2348" s="1704"/>
      <c r="T2348" s="1379">
        <f t="shared" si="343"/>
        <v>13.794078476452398</v>
      </c>
      <c r="U2348" s="1379">
        <f t="shared" si="344"/>
        <v>16.572245828830532</v>
      </c>
      <c r="V2348" s="1695">
        <f t="shared" si="340"/>
        <v>4.7248188053799023</v>
      </c>
      <c r="W2348" s="1767">
        <f t="shared" si="345"/>
        <v>0.83236023764835843</v>
      </c>
      <c r="X2348" s="1695">
        <v>260</v>
      </c>
    </row>
    <row r="2349" spans="1:24" x14ac:dyDescent="0.2">
      <c r="A2349" s="1649" t="s">
        <v>337</v>
      </c>
      <c r="B2349" s="1681">
        <f>IFERROR(AVERAGE(S2344:S2350),"")</f>
        <v>1.6533019943019944</v>
      </c>
      <c r="C2349" s="1651">
        <v>45437</v>
      </c>
      <c r="D2349" s="1695"/>
      <c r="E2349" s="1696"/>
      <c r="F2349" s="1628"/>
      <c r="G2349" s="1697"/>
      <c r="H2349" s="1698" t="str">
        <f>IFERROR(VLOOKUP(F2349,#REF!,10,FALSE),"")</f>
        <v/>
      </c>
      <c r="I2349" s="1699" t="str">
        <f t="shared" si="342"/>
        <v/>
      </c>
      <c r="J2349" s="1700"/>
      <c r="K2349" s="1755"/>
      <c r="L2349" s="1578"/>
      <c r="M2349" s="1700"/>
      <c r="N2349" s="1701" t="str">
        <f t="shared" si="338"/>
        <v/>
      </c>
      <c r="O2349" s="1702"/>
      <c r="P2349" s="1635" t="str">
        <f>IFERROR(VLOOKUP(F2349,#REF!,12,FALSE),"")</f>
        <v/>
      </c>
      <c r="Q2349" s="1636" t="s">
        <v>8</v>
      </c>
      <c r="R2349" s="1703" t="str">
        <f>IFERROR(VLOOKUP(F2349,#REF!,14,FALSE),"")</f>
        <v/>
      </c>
      <c r="S2349" s="1704" t="str">
        <f t="shared" si="339"/>
        <v/>
      </c>
      <c r="T2349" s="1379">
        <f t="shared" si="343"/>
        <v>11.823495836959198</v>
      </c>
      <c r="U2349" s="1379">
        <f t="shared" si="344"/>
        <v>16.177668547191711</v>
      </c>
      <c r="V2349" s="1695">
        <f t="shared" si="340"/>
        <v>2.7781673523781336</v>
      </c>
      <c r="W2349" s="1767">
        <f t="shared" si="345"/>
        <v>0.7308528915936805</v>
      </c>
      <c r="X2349" s="1695">
        <v>260</v>
      </c>
    </row>
    <row r="2350" spans="1:24" ht="16" thickBot="1" x14ac:dyDescent="0.25">
      <c r="A2350" s="1650" t="s">
        <v>5</v>
      </c>
      <c r="B2350" s="1678">
        <f>IFERROR(SUM(M2344:M2350),"")</f>
        <v>74</v>
      </c>
      <c r="C2350" s="1360">
        <v>45438</v>
      </c>
      <c r="D2350" s="683">
        <v>72</v>
      </c>
      <c r="E2350" s="684" t="s">
        <v>292</v>
      </c>
      <c r="F2350" s="1538" t="s">
        <v>323</v>
      </c>
      <c r="G2350" s="1361">
        <v>2.5289351851851851E-2</v>
      </c>
      <c r="H2350" s="1362">
        <v>5.9</v>
      </c>
      <c r="I2350" s="1363">
        <f t="shared" si="342"/>
        <v>4.2863308223477711E-3</v>
      </c>
      <c r="J2350" s="1364">
        <v>117</v>
      </c>
      <c r="K2350" s="1747">
        <v>26</v>
      </c>
      <c r="L2350" s="1705">
        <v>193</v>
      </c>
      <c r="M2350" s="1364">
        <v>20</v>
      </c>
      <c r="N2350" s="1365">
        <f t="shared" si="338"/>
        <v>1.0667973690867696</v>
      </c>
      <c r="O2350" s="1366" t="s">
        <v>346</v>
      </c>
      <c r="P2350" s="1706" t="str">
        <f>IFERROR(VLOOKUP(F2350,#REF!,12,FALSE),"")</f>
        <v/>
      </c>
      <c r="Q2350" s="1707" t="s">
        <v>8</v>
      </c>
      <c r="R2350" s="1708" t="str">
        <f>IFERROR(VLOOKUP(F2350,#REF!,14,FALSE),"")</f>
        <v/>
      </c>
      <c r="S2350" s="1191">
        <f t="shared" si="339"/>
        <v>1.6495726495726495</v>
      </c>
      <c r="T2350" s="1732">
        <f t="shared" si="343"/>
        <v>13.848710717393597</v>
      </c>
      <c r="U2350" s="1732">
        <f t="shared" si="344"/>
        <v>16.411533581782386</v>
      </c>
      <c r="V2350" s="683">
        <f t="shared" si="340"/>
        <v>4.354172710232513</v>
      </c>
      <c r="W2350" s="1768">
        <f t="shared" si="345"/>
        <v>0.84384013525502277</v>
      </c>
      <c r="X2350" s="683">
        <v>260</v>
      </c>
    </row>
    <row r="2351" spans="1:24" ht="16" thickBot="1" x14ac:dyDescent="0.25">
      <c r="A2351" s="1962">
        <f>WEEKNUM(C2351,1)</f>
        <v>22</v>
      </c>
      <c r="B2351" s="1963"/>
      <c r="C2351" s="1687">
        <v>45439</v>
      </c>
      <c r="D2351" s="1369"/>
      <c r="E2351" s="1370"/>
      <c r="F2351" s="1536"/>
      <c r="G2351" s="1371"/>
      <c r="H2351" s="1372" t="str">
        <f>IFERROR(VLOOKUP(F2351,#REF!,10,FALSE),"")</f>
        <v/>
      </c>
      <c r="I2351" s="1373" t="str">
        <f t="shared" si="342"/>
        <v/>
      </c>
      <c r="J2351" s="1374"/>
      <c r="K2351" s="1745"/>
      <c r="L2351" s="1577"/>
      <c r="M2351" s="1374"/>
      <c r="N2351" s="1375" t="str">
        <f t="shared" si="338"/>
        <v/>
      </c>
      <c r="O2351" s="1376"/>
      <c r="P2351" s="795" t="str">
        <f>IFERROR(VLOOKUP(F2351,#REF!,12,FALSE),"")</f>
        <v/>
      </c>
      <c r="Q2351" s="1254" t="s">
        <v>8</v>
      </c>
      <c r="R2351" s="1694" t="str">
        <f>IFERROR(VLOOKUP(F2351,#REF!,14,FALSE),"")</f>
        <v/>
      </c>
      <c r="S2351" s="1377" t="str">
        <f t="shared" si="339"/>
        <v/>
      </c>
      <c r="T2351" s="1369">
        <f t="shared" si="343"/>
        <v>11.870323472051656</v>
      </c>
      <c r="U2351" s="1369">
        <f t="shared" si="344"/>
        <v>16.020782782216138</v>
      </c>
      <c r="V2351" s="1369">
        <f t="shared" si="340"/>
        <v>2.5628228643887887</v>
      </c>
      <c r="W2351" s="1766">
        <f t="shared" si="345"/>
        <v>0.74093280168733722</v>
      </c>
      <c r="X2351" s="1369">
        <v>260</v>
      </c>
    </row>
    <row r="2352" spans="1:24" x14ac:dyDescent="0.2">
      <c r="A2352" s="1648" t="s">
        <v>142</v>
      </c>
      <c r="B2352" s="1679">
        <f>SUM(H2351:H2357)</f>
        <v>0</v>
      </c>
      <c r="C2352" s="1724">
        <v>45440</v>
      </c>
      <c r="D2352" s="1695"/>
      <c r="E2352" s="1696"/>
      <c r="F2352" s="1534"/>
      <c r="G2352" s="1697"/>
      <c r="H2352" s="1698" t="str">
        <f>IFERROR(VLOOKUP(F2352,#REF!,10,FALSE),"")</f>
        <v/>
      </c>
      <c r="I2352" s="1699" t="str">
        <f t="shared" si="342"/>
        <v/>
      </c>
      <c r="J2352" s="1700"/>
      <c r="K2352" s="1755"/>
      <c r="L2352" s="1578"/>
      <c r="M2352" s="1700"/>
      <c r="N2352" s="1701" t="str">
        <f t="shared" si="338"/>
        <v/>
      </c>
      <c r="O2352" s="1702"/>
      <c r="P2352" s="1635" t="str">
        <f>IFERROR(VLOOKUP(F2352,#REF!,12,FALSE),"")</f>
        <v/>
      </c>
      <c r="Q2352" s="1636" t="s">
        <v>8</v>
      </c>
      <c r="R2352" s="1703" t="str">
        <f>IFERROR(VLOOKUP(F2352,#REF!,14,FALSE),"")</f>
        <v/>
      </c>
      <c r="S2352" s="1704" t="str">
        <f t="shared" si="339"/>
        <v/>
      </c>
      <c r="T2352" s="1735">
        <f t="shared" si="343"/>
        <v>10.174562976044276</v>
      </c>
      <c r="U2352" s="1735">
        <f t="shared" si="344"/>
        <v>15.639335573115753</v>
      </c>
      <c r="V2352" s="1695">
        <f t="shared" si="340"/>
        <v>4.1504593101644822</v>
      </c>
      <c r="W2352" s="1767">
        <f t="shared" si="345"/>
        <v>0.65057514294497898</v>
      </c>
      <c r="X2352" s="1695">
        <v>260</v>
      </c>
    </row>
    <row r="2353" spans="1:24" x14ac:dyDescent="0.2">
      <c r="A2353" s="1649" t="s">
        <v>347</v>
      </c>
      <c r="B2353" s="1680">
        <f>SUM(K2351:K2357)</f>
        <v>0</v>
      </c>
      <c r="C2353" s="1724">
        <v>45441</v>
      </c>
      <c r="D2353" s="1695"/>
      <c r="E2353" s="1696"/>
      <c r="F2353" s="1534"/>
      <c r="G2353" s="1697"/>
      <c r="H2353" s="1698" t="str">
        <f>IFERROR(VLOOKUP(F2353,#REF!,10,FALSE),"")</f>
        <v/>
      </c>
      <c r="I2353" s="1699" t="str">
        <f t="shared" si="342"/>
        <v/>
      </c>
      <c r="J2353" s="1700"/>
      <c r="K2353" s="1755"/>
      <c r="L2353" s="1578"/>
      <c r="M2353" s="1700"/>
      <c r="N2353" s="1701" t="str">
        <f t="shared" si="338"/>
        <v/>
      </c>
      <c r="O2353" s="1702"/>
      <c r="P2353" s="1635" t="str">
        <f>IFERROR(VLOOKUP(F2353,#REF!,12,FALSE),"")</f>
        <v/>
      </c>
      <c r="Q2353" s="1636" t="s">
        <v>8</v>
      </c>
      <c r="R2353" s="1703" t="str">
        <f>IFERROR(VLOOKUP(F2353,#REF!,14,FALSE),"")</f>
        <v/>
      </c>
      <c r="S2353" s="1704" t="str">
        <f t="shared" si="339"/>
        <v/>
      </c>
      <c r="T2353" s="1735">
        <f t="shared" si="343"/>
        <v>8.7210539794665234</v>
      </c>
      <c r="U2353" s="1735">
        <f t="shared" si="344"/>
        <v>15.26697044042252</v>
      </c>
      <c r="V2353" s="1695">
        <f t="shared" si="340"/>
        <v>5.4647725970714767</v>
      </c>
      <c r="W2353" s="1767">
        <f t="shared" si="345"/>
        <v>0.57123671087851824</v>
      </c>
      <c r="X2353" s="1695">
        <v>260</v>
      </c>
    </row>
    <row r="2354" spans="1:24" x14ac:dyDescent="0.2">
      <c r="A2354" s="1649" t="s">
        <v>256</v>
      </c>
      <c r="B2354" s="1677">
        <f>AVERAGE(W2351:W2357)</f>
        <v>0.51870891823112608</v>
      </c>
      <c r="C2354" s="1724">
        <v>45442</v>
      </c>
      <c r="D2354" s="1695"/>
      <c r="E2354" s="1696"/>
      <c r="F2354" s="1534"/>
      <c r="G2354" s="1697"/>
      <c r="H2354" s="1698" t="str">
        <f>IFERROR(VLOOKUP(F2354,#REF!,10,FALSE),"")</f>
        <v/>
      </c>
      <c r="I2354" s="1699" t="str">
        <f t="shared" si="342"/>
        <v/>
      </c>
      <c r="J2354" s="1700"/>
      <c r="K2354" s="1755"/>
      <c r="L2354" s="1578"/>
      <c r="M2354" s="1700"/>
      <c r="N2354" s="1701" t="str">
        <f t="shared" si="338"/>
        <v/>
      </c>
      <c r="O2354" s="1702"/>
      <c r="P2354" s="1635" t="str">
        <f>IFERROR(VLOOKUP(F2354,#REF!,12,FALSE),"")</f>
        <v/>
      </c>
      <c r="Q2354" s="1636" t="s">
        <v>8</v>
      </c>
      <c r="R2354" s="1703" t="str">
        <f>IFERROR(VLOOKUP(F2354,#REF!,14,FALSE),"")</f>
        <v/>
      </c>
      <c r="S2354" s="1704" t="str">
        <f t="shared" si="339"/>
        <v/>
      </c>
      <c r="T2354" s="1735">
        <f t="shared" si="343"/>
        <v>7.4751891252570202</v>
      </c>
      <c r="U2354" s="1735">
        <f t="shared" si="344"/>
        <v>14.903471144221983</v>
      </c>
      <c r="V2354" s="1695">
        <f t="shared" si="340"/>
        <v>6.545916460955997</v>
      </c>
      <c r="W2354" s="1767">
        <f t="shared" si="345"/>
        <v>0.50157369735674773</v>
      </c>
      <c r="X2354" s="1695">
        <v>260</v>
      </c>
    </row>
    <row r="2355" spans="1:24" x14ac:dyDescent="0.2">
      <c r="A2355" s="1649" t="s">
        <v>336</v>
      </c>
      <c r="B2355" s="1713" t="str">
        <f>IFERROR(AVERAGE(N2351:N2357),"")</f>
        <v/>
      </c>
      <c r="C2355" s="1874">
        <v>45443</v>
      </c>
      <c r="D2355" s="1695"/>
      <c r="E2355" s="1696"/>
      <c r="F2355" s="1550"/>
      <c r="G2355" s="1697"/>
      <c r="H2355" s="1698" t="str">
        <f>IFERROR(VLOOKUP(F2355,#REF!,10,FALSE),"")</f>
        <v/>
      </c>
      <c r="I2355" s="1699" t="str">
        <f t="shared" si="342"/>
        <v/>
      </c>
      <c r="J2355" s="1700"/>
      <c r="K2355" s="1755"/>
      <c r="L2355" s="1578"/>
      <c r="M2355" s="1700"/>
      <c r="N2355" s="1701" t="str">
        <f t="shared" si="338"/>
        <v/>
      </c>
      <c r="O2355" s="1702"/>
      <c r="P2355" s="1635" t="str">
        <f>IFERROR(VLOOKUP(F2355,#REF!,12,FALSE),"")</f>
        <v/>
      </c>
      <c r="Q2355" s="1636" t="s">
        <v>8</v>
      </c>
      <c r="R2355" s="1703" t="str">
        <f>IFERROR(VLOOKUP(F2355,#REF!,14,FALSE),"")</f>
        <v/>
      </c>
      <c r="S2355" s="1704" t="str">
        <f t="shared" si="339"/>
        <v/>
      </c>
      <c r="T2355" s="1735">
        <f t="shared" si="343"/>
        <v>6.4073049645060172</v>
      </c>
      <c r="U2355" s="1735">
        <f t="shared" si="344"/>
        <v>14.548626593169079</v>
      </c>
      <c r="V2355" s="1695">
        <f t="shared" si="340"/>
        <v>7.4282820189649632</v>
      </c>
      <c r="W2355" s="1767">
        <f t="shared" si="345"/>
        <v>0.44040617328885168</v>
      </c>
      <c r="X2355" s="1695">
        <v>260</v>
      </c>
    </row>
    <row r="2356" spans="1:24" x14ac:dyDescent="0.2">
      <c r="A2356" s="1649" t="s">
        <v>337</v>
      </c>
      <c r="B2356" s="1681" t="str">
        <f>IFERROR(AVERAGE(S2351:S2357),"")</f>
        <v/>
      </c>
      <c r="C2356" s="1874">
        <v>45444</v>
      </c>
      <c r="D2356" s="1695"/>
      <c r="E2356" s="1696"/>
      <c r="F2356" s="1628"/>
      <c r="G2356" s="1697"/>
      <c r="H2356" s="1698" t="str">
        <f>IFERROR(VLOOKUP(F2356,#REF!,10,FALSE),"")</f>
        <v/>
      </c>
      <c r="I2356" s="1699" t="str">
        <f t="shared" si="342"/>
        <v/>
      </c>
      <c r="J2356" s="1700"/>
      <c r="K2356" s="1755"/>
      <c r="L2356" s="1578"/>
      <c r="M2356" s="1700"/>
      <c r="N2356" s="1701" t="str">
        <f t="shared" si="338"/>
        <v/>
      </c>
      <c r="O2356" s="1702"/>
      <c r="P2356" s="1635" t="str">
        <f>IFERROR(VLOOKUP(F2356,#REF!,12,FALSE),"")</f>
        <v/>
      </c>
      <c r="Q2356" s="1636" t="s">
        <v>8</v>
      </c>
      <c r="R2356" s="1703" t="str">
        <f>IFERROR(VLOOKUP(F2356,#REF!,14,FALSE),"")</f>
        <v/>
      </c>
      <c r="S2356" s="1704" t="str">
        <f t="shared" si="339"/>
        <v/>
      </c>
      <c r="T2356" s="1735">
        <f t="shared" si="343"/>
        <v>5.4919756838623002</v>
      </c>
      <c r="U2356" s="1735">
        <f t="shared" si="344"/>
        <v>14.202230721903149</v>
      </c>
      <c r="V2356" s="1695">
        <f t="shared" si="340"/>
        <v>8.1413216286630607</v>
      </c>
      <c r="W2356" s="1767">
        <f t="shared" si="345"/>
        <v>0.38669810337557703</v>
      </c>
      <c r="X2356" s="1695">
        <v>260</v>
      </c>
    </row>
    <row r="2357" spans="1:24" ht="16" thickBot="1" x14ac:dyDescent="0.25">
      <c r="A2357" s="1650" t="s">
        <v>5</v>
      </c>
      <c r="B2357" s="1678">
        <f>IFERROR(SUM(M2351:M2357),"")</f>
        <v>0</v>
      </c>
      <c r="C2357" s="1875">
        <v>45445</v>
      </c>
      <c r="D2357" s="683"/>
      <c r="E2357" s="684"/>
      <c r="F2357" s="1538"/>
      <c r="G2357" s="1361"/>
      <c r="H2357" s="1362" t="str">
        <f>IFERROR(VLOOKUP(F2357,#REF!,10,FALSE),"")</f>
        <v/>
      </c>
      <c r="I2357" s="1363" t="str">
        <f t="shared" si="342"/>
        <v/>
      </c>
      <c r="J2357" s="1364"/>
      <c r="K2357" s="1747"/>
      <c r="L2357" s="1705"/>
      <c r="M2357" s="1364"/>
      <c r="N2357" s="1365" t="str">
        <f t="shared" si="338"/>
        <v/>
      </c>
      <c r="O2357" s="1366"/>
      <c r="P2357" s="1706" t="str">
        <f>IFERROR(VLOOKUP(F2357,#REF!,12,FALSE),"")</f>
        <v/>
      </c>
      <c r="Q2357" s="1707" t="s">
        <v>8</v>
      </c>
      <c r="R2357" s="1708" t="str">
        <f>IFERROR(VLOOKUP(F2357,#REF!,14,FALSE),"")</f>
        <v/>
      </c>
      <c r="S2357" s="1191" t="str">
        <f t="shared" si="339"/>
        <v/>
      </c>
      <c r="T2357" s="1731">
        <f t="shared" si="343"/>
        <v>4.7074077290248288</v>
      </c>
      <c r="U2357" s="1731">
        <f t="shared" si="344"/>
        <v>13.864082371381645</v>
      </c>
      <c r="V2357" s="683">
        <f t="shared" si="340"/>
        <v>8.7102550380408488</v>
      </c>
      <c r="W2357" s="1768">
        <f t="shared" si="345"/>
        <v>0.33953979808587254</v>
      </c>
      <c r="X2357" s="683">
        <v>260</v>
      </c>
    </row>
    <row r="2358" spans="1:24" ht="16" thickBot="1" x14ac:dyDescent="0.25">
      <c r="A2358" s="1962">
        <f>WEEKNUM(C2358,1)</f>
        <v>23</v>
      </c>
      <c r="B2358" s="1963"/>
      <c r="C2358" s="1876">
        <v>45446</v>
      </c>
      <c r="D2358" s="1369"/>
      <c r="E2358" s="1370"/>
      <c r="F2358" s="1536"/>
      <c r="G2358" s="1371"/>
      <c r="H2358" s="1372" t="str">
        <f>IFERROR(VLOOKUP(F2358,#REF!,10,FALSE),"")</f>
        <v/>
      </c>
      <c r="I2358" s="1373" t="str">
        <f t="shared" si="342"/>
        <v/>
      </c>
      <c r="J2358" s="1374"/>
      <c r="K2358" s="1745"/>
      <c r="L2358" s="1577"/>
      <c r="M2358" s="1374"/>
      <c r="N2358" s="1375" t="str">
        <f t="shared" si="338"/>
        <v/>
      </c>
      <c r="O2358" s="1376"/>
      <c r="P2358" s="795" t="str">
        <f>IFERROR(VLOOKUP(F2358,#REF!,12,FALSE),"")</f>
        <v/>
      </c>
      <c r="Q2358" s="1254" t="s">
        <v>8</v>
      </c>
      <c r="R2358" s="1694" t="str">
        <f>IFERROR(VLOOKUP(F2358,#REF!,14,FALSE),"")</f>
        <v/>
      </c>
      <c r="S2358" s="1377" t="str">
        <f t="shared" si="339"/>
        <v/>
      </c>
      <c r="T2358" s="70">
        <f t="shared" si="343"/>
        <v>4.0349209105927102</v>
      </c>
      <c r="U2358" s="70">
        <f t="shared" si="344"/>
        <v>13.533985172063035</v>
      </c>
      <c r="V2358" s="1369">
        <f t="shared" si="340"/>
        <v>9.1566746423568155</v>
      </c>
      <c r="W2358" s="1766">
        <f t="shared" si="345"/>
        <v>0.29813250563637583</v>
      </c>
      <c r="X2358" s="1369">
        <v>260</v>
      </c>
    </row>
    <row r="2359" spans="1:24" x14ac:dyDescent="0.2">
      <c r="A2359" s="1648" t="s">
        <v>142</v>
      </c>
      <c r="B2359" s="1679">
        <f>SUM(H2358:H2364)</f>
        <v>23.46</v>
      </c>
      <c r="C2359" s="1874">
        <v>45447</v>
      </c>
      <c r="D2359" s="1695">
        <v>73</v>
      </c>
      <c r="E2359" s="1696" t="s">
        <v>292</v>
      </c>
      <c r="F2359" s="1534" t="s">
        <v>323</v>
      </c>
      <c r="G2359" s="1697">
        <v>1.4456018518518519E-2</v>
      </c>
      <c r="H2359" s="1698">
        <v>3.15</v>
      </c>
      <c r="I2359" s="1699">
        <f t="shared" si="342"/>
        <v>4.5892122281011175E-3</v>
      </c>
      <c r="J2359" s="1700">
        <v>124</v>
      </c>
      <c r="K2359" s="1755">
        <v>13</v>
      </c>
      <c r="L2359" s="1578">
        <v>181</v>
      </c>
      <c r="M2359" s="1700">
        <v>12</v>
      </c>
      <c r="N2359" s="1701">
        <f t="shared" si="338"/>
        <v>1.0711632314617392</v>
      </c>
      <c r="O2359" s="1702" t="s">
        <v>340</v>
      </c>
      <c r="P2359" s="1635" t="str">
        <f>IFERROR(VLOOKUP(F2359,#REF!,12,FALSE),"")</f>
        <v/>
      </c>
      <c r="Q2359" s="1636" t="s">
        <v>8</v>
      </c>
      <c r="R2359" s="1703" t="str">
        <f>IFERROR(VLOOKUP(F2359,#REF!,14,FALSE),"")</f>
        <v/>
      </c>
      <c r="S2359" s="1704">
        <f t="shared" si="339"/>
        <v>1.4596774193548387</v>
      </c>
      <c r="T2359" s="1379">
        <f t="shared" si="343"/>
        <v>5.3156464947937518</v>
      </c>
      <c r="U2359" s="1379">
        <f t="shared" si="344"/>
        <v>13.521271239394867</v>
      </c>
      <c r="V2359" s="1695">
        <f t="shared" si="340"/>
        <v>9.4990642614703251</v>
      </c>
      <c r="W2359" s="1767">
        <f t="shared" si="345"/>
        <v>0.3931321545644586</v>
      </c>
      <c r="X2359" s="1695">
        <v>260</v>
      </c>
    </row>
    <row r="2360" spans="1:24" x14ac:dyDescent="0.2">
      <c r="A2360" s="1649" t="s">
        <v>347</v>
      </c>
      <c r="B2360" s="1680">
        <f>SUM(K2358:K2364)</f>
        <v>116</v>
      </c>
      <c r="C2360" s="1651">
        <v>45448</v>
      </c>
      <c r="D2360" s="1695">
        <v>74</v>
      </c>
      <c r="E2360" s="1696" t="s">
        <v>293</v>
      </c>
      <c r="F2360" s="1534" t="s">
        <v>323</v>
      </c>
      <c r="G2360" s="1697">
        <v>2.6041666666666668E-2</v>
      </c>
      <c r="H2360" s="1698">
        <v>6.59</v>
      </c>
      <c r="I2360" s="1699">
        <f t="shared" si="342"/>
        <v>3.9516944865958525E-3</v>
      </c>
      <c r="J2360" s="1700">
        <v>128</v>
      </c>
      <c r="K2360" s="1755">
        <v>37</v>
      </c>
      <c r="L2360" s="1578">
        <v>214</v>
      </c>
      <c r="M2360" s="1700">
        <v>23</v>
      </c>
      <c r="N2360" s="1701">
        <f t="shared" si="338"/>
        <v>1.0905261250651146</v>
      </c>
      <c r="O2360" s="1702" t="s">
        <v>340</v>
      </c>
      <c r="P2360" s="1635" t="str">
        <f>IFERROR(VLOOKUP(F2360,#REF!,12,FALSE),"")</f>
        <v/>
      </c>
      <c r="Q2360" s="1636" t="s">
        <v>8</v>
      </c>
      <c r="R2360" s="1703" t="str">
        <f>IFERROR(VLOOKUP(F2360,#REF!,14,FALSE),"")</f>
        <v/>
      </c>
      <c r="S2360" s="1704">
        <f t="shared" si="339"/>
        <v>1.671875</v>
      </c>
      <c r="T2360" s="1379">
        <f t="shared" si="343"/>
        <v>9.8419827098232169</v>
      </c>
      <c r="U2360" s="1379">
        <f t="shared" si="344"/>
        <v>14.080288590837846</v>
      </c>
      <c r="V2360" s="1695">
        <f t="shared" si="340"/>
        <v>8.2056247446011152</v>
      </c>
      <c r="W2360" s="1767">
        <f t="shared" si="345"/>
        <v>0.69899012696568397</v>
      </c>
      <c r="X2360" s="1695">
        <v>258</v>
      </c>
    </row>
    <row r="2361" spans="1:24" x14ac:dyDescent="0.2">
      <c r="A2361" s="1649" t="s">
        <v>256</v>
      </c>
      <c r="B2361" s="1677">
        <f>AVERAGE(W2358:W2364)</f>
        <v>0.65806789422266321</v>
      </c>
      <c r="C2361" s="1651">
        <v>45449</v>
      </c>
      <c r="D2361" s="1695"/>
      <c r="E2361" s="1696"/>
      <c r="F2361" s="1534"/>
      <c r="G2361" s="1697"/>
      <c r="H2361" s="1698" t="str">
        <f>IFERROR(VLOOKUP(F2361,#REF!,10,FALSE),"")</f>
        <v/>
      </c>
      <c r="I2361" s="1699" t="str">
        <f t="shared" si="342"/>
        <v/>
      </c>
      <c r="J2361" s="1700"/>
      <c r="K2361" s="1755"/>
      <c r="L2361" s="1578"/>
      <c r="M2361" s="1700"/>
      <c r="N2361" s="1701" t="str">
        <f t="shared" si="338"/>
        <v/>
      </c>
      <c r="O2361" s="1702"/>
      <c r="P2361" s="1635" t="str">
        <f>IFERROR(VLOOKUP(F2361,#REF!,12,FALSE),"")</f>
        <v/>
      </c>
      <c r="Q2361" s="1636" t="s">
        <v>8</v>
      </c>
      <c r="R2361" s="1703" t="str">
        <f>IFERROR(VLOOKUP(F2361,#REF!,14,FALSE),"")</f>
        <v/>
      </c>
      <c r="S2361" s="1704" t="str">
        <f t="shared" si="339"/>
        <v/>
      </c>
      <c r="T2361" s="1379">
        <f t="shared" si="343"/>
        <v>8.4359851798484708</v>
      </c>
      <c r="U2361" s="1379">
        <f t="shared" si="344"/>
        <v>13.745043624389325</v>
      </c>
      <c r="V2361" s="1695">
        <f t="shared" si="340"/>
        <v>4.2383058810146288</v>
      </c>
      <c r="W2361" s="1767">
        <f t="shared" si="345"/>
        <v>0.61374742855523468</v>
      </c>
      <c r="X2361" s="1695">
        <v>258</v>
      </c>
    </row>
    <row r="2362" spans="1:24" x14ac:dyDescent="0.2">
      <c r="A2362" s="1649" t="s">
        <v>336</v>
      </c>
      <c r="B2362" s="1713">
        <f>IFERROR(AVERAGE(N2358:N2364),"")</f>
        <v>1.0805639209126094</v>
      </c>
      <c r="C2362" s="1651">
        <v>45450</v>
      </c>
      <c r="D2362" s="1695">
        <v>75</v>
      </c>
      <c r="E2362" s="1696" t="s">
        <v>293</v>
      </c>
      <c r="F2362" s="1550" t="s">
        <v>343</v>
      </c>
      <c r="G2362" s="1697">
        <v>2.8078703703703703E-2</v>
      </c>
      <c r="H2362" s="1698">
        <v>7.1</v>
      </c>
      <c r="I2362" s="1699">
        <f t="shared" si="342"/>
        <v>3.9547470005216485E-3</v>
      </c>
      <c r="J2362" s="1700">
        <v>128</v>
      </c>
      <c r="K2362" s="1755">
        <v>39</v>
      </c>
      <c r="L2362" s="1578">
        <v>214</v>
      </c>
      <c r="M2362" s="1700">
        <v>19</v>
      </c>
      <c r="N2362" s="1701">
        <f t="shared" ref="N2362:N2425" si="346">IFERROR((L2362/67)/(1/(I2362*24)/3.6),"")</f>
        <v>1.0913685095648518</v>
      </c>
      <c r="O2362" s="1702" t="s">
        <v>340</v>
      </c>
      <c r="P2362" s="1635" t="str">
        <f>IFERROR(VLOOKUP(F2362,#REF!,12,FALSE),"")</f>
        <v/>
      </c>
      <c r="Q2362" s="1636" t="s">
        <v>8</v>
      </c>
      <c r="R2362" s="1703" t="str">
        <f>IFERROR(VLOOKUP(F2362,#REF!,14,FALSE),"")</f>
        <v/>
      </c>
      <c r="S2362" s="1704">
        <f t="shared" ref="S2362:S2425" si="347">IFERROR(L2362/J2362,"")</f>
        <v>1.671875</v>
      </c>
      <c r="T2362" s="1379">
        <f t="shared" si="343"/>
        <v>12.802273011298688</v>
      </c>
      <c r="U2362" s="1379">
        <f t="shared" si="344"/>
        <v>14.346352109522913</v>
      </c>
      <c r="V2362" s="1695">
        <f t="shared" ref="V2362:V2425" si="348">U2361-T2361</f>
        <v>5.3090584445408542</v>
      </c>
      <c r="W2362" s="1767">
        <f t="shared" si="345"/>
        <v>0.89237130899643213</v>
      </c>
      <c r="X2362" s="1695">
        <v>258</v>
      </c>
    </row>
    <row r="2363" spans="1:24" x14ac:dyDescent="0.2">
      <c r="A2363" s="1649" t="s">
        <v>337</v>
      </c>
      <c r="B2363" s="1681">
        <f>IFERROR(AVERAGE(S2358:S2364),"")</f>
        <v>1.5872204912023462</v>
      </c>
      <c r="C2363" s="1651">
        <v>45451</v>
      </c>
      <c r="D2363" s="1695"/>
      <c r="E2363" s="1696"/>
      <c r="F2363" s="1628"/>
      <c r="G2363" s="1697"/>
      <c r="H2363" s="1698" t="str">
        <f>IFERROR(VLOOKUP(F2363,#REF!,10,FALSE),"")</f>
        <v/>
      </c>
      <c r="I2363" s="1699" t="str">
        <f t="shared" si="342"/>
        <v/>
      </c>
      <c r="J2363" s="1700"/>
      <c r="K2363" s="1755"/>
      <c r="L2363" s="1578"/>
      <c r="M2363" s="1700"/>
      <c r="N2363" s="1701" t="str">
        <f t="shared" si="346"/>
        <v/>
      </c>
      <c r="O2363" s="1702"/>
      <c r="P2363" s="1635" t="str">
        <f>IFERROR(VLOOKUP(F2363,#REF!,12,FALSE),"")</f>
        <v/>
      </c>
      <c r="Q2363" s="1636" t="s">
        <v>8</v>
      </c>
      <c r="R2363" s="1703" t="str">
        <f>IFERROR(VLOOKUP(F2363,#REF!,14,FALSE),"")</f>
        <v/>
      </c>
      <c r="S2363" s="1704" t="str">
        <f t="shared" si="347"/>
        <v/>
      </c>
      <c r="T2363" s="1379">
        <f t="shared" si="343"/>
        <v>10.973376866827447</v>
      </c>
      <c r="U2363" s="1379">
        <f t="shared" si="344"/>
        <v>14.004772297391415</v>
      </c>
      <c r="V2363" s="1695">
        <f t="shared" si="348"/>
        <v>1.5440790982242252</v>
      </c>
      <c r="W2363" s="1767">
        <f t="shared" si="345"/>
        <v>0.78354553960662332</v>
      </c>
      <c r="X2363" s="1695">
        <v>258</v>
      </c>
    </row>
    <row r="2364" spans="1:24" ht="16" thickBot="1" x14ac:dyDescent="0.25">
      <c r="A2364" s="1650" t="s">
        <v>5</v>
      </c>
      <c r="B2364" s="1678">
        <f>IFERROR(SUM(M2358:M2364),"")</f>
        <v>74</v>
      </c>
      <c r="C2364" s="1360">
        <v>45452</v>
      </c>
      <c r="D2364" s="683">
        <v>76</v>
      </c>
      <c r="E2364" s="684" t="s">
        <v>292</v>
      </c>
      <c r="F2364" s="1538" t="s">
        <v>279</v>
      </c>
      <c r="G2364" s="1361">
        <v>2.9351851851851851E-2</v>
      </c>
      <c r="H2364" s="1362">
        <v>6.62</v>
      </c>
      <c r="I2364" s="1363">
        <f t="shared" si="342"/>
        <v>4.4338144791316999E-3</v>
      </c>
      <c r="J2364" s="1364">
        <v>121</v>
      </c>
      <c r="K2364" s="1747">
        <v>27</v>
      </c>
      <c r="L2364" s="1705">
        <v>187</v>
      </c>
      <c r="M2364" s="1364">
        <v>20</v>
      </c>
      <c r="N2364" s="1365">
        <f t="shared" si="346"/>
        <v>1.069197817558732</v>
      </c>
      <c r="O2364" s="1366" t="s">
        <v>346</v>
      </c>
      <c r="P2364" s="1706" t="str">
        <f>IFERROR(VLOOKUP(F2364,#REF!,12,FALSE),"")</f>
        <v/>
      </c>
      <c r="Q2364" s="1707" t="s">
        <v>8</v>
      </c>
      <c r="R2364" s="1708" t="str">
        <f>IFERROR(VLOOKUP(F2364,#REF!,14,FALSE),"")</f>
        <v/>
      </c>
      <c r="S2364" s="1191">
        <f t="shared" si="347"/>
        <v>1.5454545454545454</v>
      </c>
      <c r="T2364" s="1737">
        <f t="shared" si="343"/>
        <v>13.26289445728067</v>
      </c>
      <c r="U2364" s="1737">
        <f t="shared" si="344"/>
        <v>14.314182480786858</v>
      </c>
      <c r="V2364" s="683">
        <f t="shared" si="348"/>
        <v>3.0313954305639683</v>
      </c>
      <c r="W2364" s="1768">
        <f t="shared" si="345"/>
        <v>0.9265561952338337</v>
      </c>
      <c r="X2364" s="683">
        <v>256</v>
      </c>
    </row>
    <row r="2365" spans="1:24" ht="16" thickBot="1" x14ac:dyDescent="0.25">
      <c r="A2365" s="1962">
        <f>WEEKNUM(C2365,1)</f>
        <v>24</v>
      </c>
      <c r="B2365" s="1963"/>
      <c r="C2365" s="1368">
        <v>45453</v>
      </c>
      <c r="D2365" s="1369"/>
      <c r="E2365" s="1370"/>
      <c r="F2365" s="1536"/>
      <c r="G2365" s="1371"/>
      <c r="H2365" s="1372" t="str">
        <f>IFERROR(VLOOKUP(F2365,#REF!,10,FALSE),"")</f>
        <v/>
      </c>
      <c r="I2365" s="1373" t="str">
        <f t="shared" si="342"/>
        <v/>
      </c>
      <c r="J2365" s="1374"/>
      <c r="K2365" s="1745"/>
      <c r="L2365" s="1577"/>
      <c r="M2365" s="1374"/>
      <c r="N2365" s="1375" t="str">
        <f t="shared" si="346"/>
        <v/>
      </c>
      <c r="O2365" s="1376"/>
      <c r="P2365" s="795" t="str">
        <f>IFERROR(VLOOKUP(F2365,#REF!,12,FALSE),"")</f>
        <v/>
      </c>
      <c r="Q2365" s="1254" t="s">
        <v>8</v>
      </c>
      <c r="R2365" s="1694" t="str">
        <f>IFERROR(VLOOKUP(F2365,#REF!,14,FALSE),"")</f>
        <v/>
      </c>
      <c r="S2365" s="1377" t="str">
        <f t="shared" si="347"/>
        <v/>
      </c>
      <c r="T2365" s="1369">
        <f t="shared" si="343"/>
        <v>11.368195249097717</v>
      </c>
      <c r="U2365" s="1369">
        <f t="shared" si="344"/>
        <v>13.973368612196694</v>
      </c>
      <c r="V2365" s="1369">
        <f t="shared" si="348"/>
        <v>1.0512880235061886</v>
      </c>
      <c r="W2365" s="1766">
        <f t="shared" si="345"/>
        <v>0.81356153727848812</v>
      </c>
      <c r="X2365" s="1369">
        <v>256</v>
      </c>
    </row>
    <row r="2366" spans="1:24" x14ac:dyDescent="0.2">
      <c r="A2366" s="1648" t="s">
        <v>142</v>
      </c>
      <c r="B2366" s="1679">
        <f>SUM(H2365:H2371)</f>
        <v>16.079999999999998</v>
      </c>
      <c r="C2366" s="1651">
        <v>45454</v>
      </c>
      <c r="D2366" s="1695"/>
      <c r="E2366" s="1696"/>
      <c r="F2366" s="1534"/>
      <c r="G2366" s="1697"/>
      <c r="H2366" s="1698" t="str">
        <f>IFERROR(VLOOKUP(F2366,#REF!,10,FALSE),"")</f>
        <v/>
      </c>
      <c r="I2366" s="1699" t="str">
        <f t="shared" si="342"/>
        <v/>
      </c>
      <c r="J2366" s="1700"/>
      <c r="K2366" s="1755"/>
      <c r="L2366" s="1578"/>
      <c r="M2366" s="1700"/>
      <c r="N2366" s="1701" t="str">
        <f t="shared" si="346"/>
        <v/>
      </c>
      <c r="O2366" s="1702"/>
      <c r="P2366" s="1635" t="str">
        <f>IFERROR(VLOOKUP(F2366,#REF!,12,FALSE),"")</f>
        <v/>
      </c>
      <c r="Q2366" s="1636" t="s">
        <v>8</v>
      </c>
      <c r="R2366" s="1703" t="str">
        <f>IFERROR(VLOOKUP(F2366,#REF!,14,FALSE),"")</f>
        <v/>
      </c>
      <c r="S2366" s="1704" t="str">
        <f t="shared" si="347"/>
        <v/>
      </c>
      <c r="T2366" s="1735">
        <f t="shared" si="343"/>
        <v>9.7441673563694717</v>
      </c>
      <c r="U2366" s="1735">
        <f t="shared" si="344"/>
        <v>13.640669359525344</v>
      </c>
      <c r="V2366" s="1695">
        <f t="shared" si="348"/>
        <v>2.6051733630989773</v>
      </c>
      <c r="W2366" s="1767">
        <f t="shared" si="345"/>
        <v>0.71434671565916041</v>
      </c>
      <c r="X2366" s="1695">
        <v>256</v>
      </c>
    </row>
    <row r="2367" spans="1:24" x14ac:dyDescent="0.2">
      <c r="A2367" s="1649" t="s">
        <v>347</v>
      </c>
      <c r="B2367" s="1680">
        <f>SUM(K2365:K2371)</f>
        <v>83</v>
      </c>
      <c r="C2367" s="1651">
        <v>45455</v>
      </c>
      <c r="D2367" s="1695">
        <v>77</v>
      </c>
      <c r="E2367" s="1696" t="s">
        <v>293</v>
      </c>
      <c r="F2367" s="1534" t="s">
        <v>343</v>
      </c>
      <c r="G2367" s="1697">
        <v>3.1238425925925926E-2</v>
      </c>
      <c r="H2367" s="1698">
        <v>7.6</v>
      </c>
      <c r="I2367" s="1699">
        <f t="shared" si="342"/>
        <v>4.1103192007797273E-3</v>
      </c>
      <c r="J2367" s="1700">
        <v>122</v>
      </c>
      <c r="K2367" s="1755">
        <v>38</v>
      </c>
      <c r="L2367" s="1578">
        <v>202</v>
      </c>
      <c r="M2367" s="1700">
        <v>23</v>
      </c>
      <c r="N2367" s="1701">
        <f t="shared" si="346"/>
        <v>1.0706952081696779</v>
      </c>
      <c r="O2367" s="1702" t="s">
        <v>333</v>
      </c>
      <c r="P2367" s="1635" t="str">
        <f>IFERROR(VLOOKUP(F2367,#REF!,12,FALSE),"")</f>
        <v/>
      </c>
      <c r="Q2367" s="1636" t="s">
        <v>8</v>
      </c>
      <c r="R2367" s="1703" t="str">
        <f>IFERROR(VLOOKUP(F2367,#REF!,14,FALSE),"")</f>
        <v/>
      </c>
      <c r="S2367" s="1704">
        <f t="shared" si="347"/>
        <v>1.6557377049180328</v>
      </c>
      <c r="T2367" s="1735">
        <f t="shared" si="343"/>
        <v>13.780714876888119</v>
      </c>
      <c r="U2367" s="1735">
        <f t="shared" si="344"/>
        <v>14.220653422393788</v>
      </c>
      <c r="V2367" s="1695">
        <f t="shared" si="348"/>
        <v>3.8965020031558719</v>
      </c>
      <c r="W2367" s="1767">
        <f t="shared" si="345"/>
        <v>0.96906340852011197</v>
      </c>
      <c r="X2367" s="1695">
        <v>256</v>
      </c>
    </row>
    <row r="2368" spans="1:24" x14ac:dyDescent="0.2">
      <c r="A2368" s="1649" t="s">
        <v>256</v>
      </c>
      <c r="B2368" s="1677">
        <f>AVERAGE(W2365:W2371)</f>
        <v>0.93629460451661994</v>
      </c>
      <c r="C2368" s="1651">
        <v>45456</v>
      </c>
      <c r="D2368" s="1695">
        <v>78</v>
      </c>
      <c r="E2368" s="1696" t="s">
        <v>292</v>
      </c>
      <c r="F2368" s="1534" t="s">
        <v>322</v>
      </c>
      <c r="G2368" s="1697">
        <v>3.3587962962962965E-2</v>
      </c>
      <c r="H2368" s="1698">
        <v>8.48</v>
      </c>
      <c r="I2368" s="1699">
        <f t="shared" si="342"/>
        <v>3.9608446890286517E-3</v>
      </c>
      <c r="J2368" s="1700">
        <v>119</v>
      </c>
      <c r="K2368" s="1755">
        <v>45</v>
      </c>
      <c r="L2368" s="1578">
        <v>210</v>
      </c>
      <c r="M2368" s="1700">
        <v>24</v>
      </c>
      <c r="N2368" s="1701">
        <f t="shared" si="346"/>
        <v>1.0726203886229231</v>
      </c>
      <c r="O2368" s="1702" t="s">
        <v>340</v>
      </c>
      <c r="P2368" s="1635" t="str">
        <f>IFERROR(VLOOKUP(F2368,#REF!,12,FALSE),"")</f>
        <v/>
      </c>
      <c r="Q2368" s="1636" t="s">
        <v>8</v>
      </c>
      <c r="R2368" s="1703" t="str">
        <f>IFERROR(VLOOKUP(F2368,#REF!,14,FALSE),"")</f>
        <v/>
      </c>
      <c r="S2368" s="1704">
        <f t="shared" si="347"/>
        <v>1.7647058823529411</v>
      </c>
      <c r="T2368" s="1735">
        <f t="shared" si="343"/>
        <v>18.240612751618386</v>
      </c>
      <c r="U2368" s="1735">
        <f t="shared" si="344"/>
        <v>14.953495007574888</v>
      </c>
      <c r="V2368" s="1695">
        <f t="shared" si="348"/>
        <v>0.4399385455056688</v>
      </c>
      <c r="W2368" s="1767">
        <f t="shared" si="345"/>
        <v>1.2198227064895775</v>
      </c>
      <c r="X2368" s="1695">
        <v>256</v>
      </c>
    </row>
    <row r="2369" spans="1:24" x14ac:dyDescent="0.2">
      <c r="A2369" s="1649" t="s">
        <v>336</v>
      </c>
      <c r="B2369" s="1713">
        <f>IFERROR(AVERAGE(N2365:N2371),"")</f>
        <v>1.0716577983963005</v>
      </c>
      <c r="C2369" s="1651">
        <v>45457</v>
      </c>
      <c r="D2369" s="1695"/>
      <c r="E2369" s="1696"/>
      <c r="F2369" s="1550"/>
      <c r="G2369" s="1697"/>
      <c r="H2369" s="1698" t="str">
        <f>IFERROR(VLOOKUP(F2369,#REF!,10,FALSE),"")</f>
        <v/>
      </c>
      <c r="I2369" s="1699" t="str">
        <f t="shared" si="342"/>
        <v/>
      </c>
      <c r="J2369" s="1700"/>
      <c r="K2369" s="1755"/>
      <c r="L2369" s="1578"/>
      <c r="M2369" s="1700"/>
      <c r="N2369" s="1701" t="str">
        <f t="shared" si="346"/>
        <v/>
      </c>
      <c r="O2369" s="1702"/>
      <c r="P2369" s="1635" t="str">
        <f>IFERROR(VLOOKUP(F2369,#REF!,12,FALSE),"")</f>
        <v/>
      </c>
      <c r="Q2369" s="1636" t="s">
        <v>8</v>
      </c>
      <c r="R2369" s="1703" t="str">
        <f>IFERROR(VLOOKUP(F2369,#REF!,14,FALSE),"")</f>
        <v/>
      </c>
      <c r="S2369" s="1704" t="str">
        <f t="shared" si="347"/>
        <v/>
      </c>
      <c r="T2369" s="1735">
        <f t="shared" si="343"/>
        <v>15.634810929958617</v>
      </c>
      <c r="U2369" s="1735">
        <f t="shared" si="344"/>
        <v>14.597459412156439</v>
      </c>
      <c r="V2369" s="1695">
        <f t="shared" si="348"/>
        <v>-3.2871177440434973</v>
      </c>
      <c r="W2369" s="1767">
        <f t="shared" si="345"/>
        <v>1.0710638398445071</v>
      </c>
      <c r="X2369" s="1695">
        <v>254</v>
      </c>
    </row>
    <row r="2370" spans="1:24" x14ac:dyDescent="0.2">
      <c r="A2370" s="1649" t="s">
        <v>337</v>
      </c>
      <c r="B2370" s="1681">
        <f>IFERROR(AVERAGE(S2365:S2371),"")</f>
        <v>1.7102217936354869</v>
      </c>
      <c r="C2370" s="1651">
        <v>45458</v>
      </c>
      <c r="D2370" s="1695"/>
      <c r="E2370" s="1696"/>
      <c r="F2370" s="1628"/>
      <c r="G2370" s="1697"/>
      <c r="H2370" s="1698" t="str">
        <f>IFERROR(VLOOKUP(F2370,#REF!,10,FALSE),"")</f>
        <v/>
      </c>
      <c r="I2370" s="1699" t="str">
        <f t="shared" si="342"/>
        <v/>
      </c>
      <c r="J2370" s="1700"/>
      <c r="K2370" s="1755"/>
      <c r="L2370" s="1578"/>
      <c r="M2370" s="1700"/>
      <c r="N2370" s="1701" t="str">
        <f t="shared" si="346"/>
        <v/>
      </c>
      <c r="O2370" s="1702"/>
      <c r="P2370" s="1635" t="str">
        <f>IFERROR(VLOOKUP(F2370,#REF!,12,FALSE),"")</f>
        <v/>
      </c>
      <c r="Q2370" s="1636" t="s">
        <v>8</v>
      </c>
      <c r="R2370" s="1703" t="str">
        <f>IFERROR(VLOOKUP(F2370,#REF!,14,FALSE),"")</f>
        <v/>
      </c>
      <c r="S2370" s="1704" t="str">
        <f t="shared" si="347"/>
        <v/>
      </c>
      <c r="T2370" s="1735">
        <f t="shared" si="343"/>
        <v>13.4012665113931</v>
      </c>
      <c r="U2370" s="1735">
        <f t="shared" si="344"/>
        <v>14.249900854724142</v>
      </c>
      <c r="V2370" s="1695">
        <f t="shared" si="348"/>
        <v>-1.0373515178021773</v>
      </c>
      <c r="W2370" s="1767">
        <f t="shared" si="345"/>
        <v>0.940446298400055</v>
      </c>
      <c r="X2370" s="1695">
        <v>254</v>
      </c>
    </row>
    <row r="2371" spans="1:24" ht="16" thickBot="1" x14ac:dyDescent="0.25">
      <c r="A2371" s="1650" t="s">
        <v>5</v>
      </c>
      <c r="B2371" s="1678">
        <f>IFERROR(SUM(M2365:M2371),"")</f>
        <v>47</v>
      </c>
      <c r="C2371" s="1360">
        <v>45459</v>
      </c>
      <c r="D2371" s="683"/>
      <c r="E2371" s="684"/>
      <c r="F2371" s="1538"/>
      <c r="G2371" s="1361"/>
      <c r="H2371" s="1362" t="str">
        <f>IFERROR(VLOOKUP(F2371,#REF!,10,FALSE),"")</f>
        <v/>
      </c>
      <c r="I2371" s="1363" t="str">
        <f t="shared" si="342"/>
        <v/>
      </c>
      <c r="J2371" s="1364"/>
      <c r="K2371" s="1747"/>
      <c r="L2371" s="1705"/>
      <c r="M2371" s="1364"/>
      <c r="N2371" s="1365" t="str">
        <f t="shared" si="346"/>
        <v/>
      </c>
      <c r="O2371" s="1366"/>
      <c r="P2371" s="1706" t="str">
        <f>IFERROR(VLOOKUP(F2371,#REF!,12,FALSE),"")</f>
        <v/>
      </c>
      <c r="Q2371" s="1707" t="s">
        <v>8</v>
      </c>
      <c r="R2371" s="1708" t="str">
        <f>IFERROR(VLOOKUP(F2371,#REF!,14,FALSE),"")</f>
        <v/>
      </c>
      <c r="S2371" s="1191" t="str">
        <f t="shared" si="347"/>
        <v/>
      </c>
      <c r="T2371" s="1731">
        <f t="shared" si="343"/>
        <v>11.486799866908372</v>
      </c>
      <c r="U2371" s="1731">
        <f t="shared" si="344"/>
        <v>13.910617501040234</v>
      </c>
      <c r="V2371" s="683">
        <f t="shared" si="348"/>
        <v>0.84863434333104237</v>
      </c>
      <c r="W2371" s="1768">
        <f t="shared" si="345"/>
        <v>0.8257577254244387</v>
      </c>
      <c r="X2371" s="683">
        <v>254</v>
      </c>
    </row>
    <row r="2372" spans="1:24" ht="16" thickBot="1" x14ac:dyDescent="0.25">
      <c r="A2372" s="1962">
        <f>WEEKNUM(C2372,1)</f>
        <v>25</v>
      </c>
      <c r="B2372" s="1963"/>
      <c r="C2372" s="1368">
        <v>45460</v>
      </c>
      <c r="D2372" s="1369"/>
      <c r="E2372" s="1370"/>
      <c r="F2372" s="1536"/>
      <c r="G2372" s="1371"/>
      <c r="H2372" s="1372" t="str">
        <f>IFERROR(VLOOKUP(F2372,#REF!,10,FALSE),"")</f>
        <v/>
      </c>
      <c r="I2372" s="1373" t="str">
        <f t="shared" si="342"/>
        <v/>
      </c>
      <c r="J2372" s="1374"/>
      <c r="K2372" s="1745"/>
      <c r="L2372" s="1577"/>
      <c r="M2372" s="1374"/>
      <c r="N2372" s="1375" t="str">
        <f t="shared" si="346"/>
        <v/>
      </c>
      <c r="O2372" s="1376"/>
      <c r="P2372" s="795" t="str">
        <f>IFERROR(VLOOKUP(F2372,#REF!,12,FALSE),"")</f>
        <v/>
      </c>
      <c r="Q2372" s="1254" t="s">
        <v>8</v>
      </c>
      <c r="R2372" s="1694" t="str">
        <f>IFERROR(VLOOKUP(F2372,#REF!,14,FALSE),"")</f>
        <v/>
      </c>
      <c r="S2372" s="1377" t="str">
        <f t="shared" si="347"/>
        <v/>
      </c>
      <c r="T2372" s="70">
        <f t="shared" si="343"/>
        <v>9.8458284573500325</v>
      </c>
      <c r="U2372" s="70">
        <f t="shared" si="344"/>
        <v>13.579412322444037</v>
      </c>
      <c r="V2372" s="1369">
        <f t="shared" si="348"/>
        <v>2.4238176341318614</v>
      </c>
      <c r="W2372" s="1766">
        <f t="shared" si="345"/>
        <v>0.72505556378731195</v>
      </c>
      <c r="X2372" s="1369">
        <v>254</v>
      </c>
    </row>
    <row r="2373" spans="1:24" x14ac:dyDescent="0.2">
      <c r="A2373" s="1648" t="s">
        <v>142</v>
      </c>
      <c r="B2373" s="1679">
        <f>SUM(H2372:H2378)</f>
        <v>4.75</v>
      </c>
      <c r="C2373" s="1651">
        <v>45461</v>
      </c>
      <c r="D2373" s="1695"/>
      <c r="E2373" s="1696"/>
      <c r="F2373" s="1534"/>
      <c r="G2373" s="1697"/>
      <c r="H2373" s="1698" t="str">
        <f>IFERROR(VLOOKUP(F2373,#REF!,10,FALSE),"")</f>
        <v/>
      </c>
      <c r="I2373" s="1699" t="str">
        <f t="shared" si="342"/>
        <v/>
      </c>
      <c r="J2373" s="1700"/>
      <c r="K2373" s="1755"/>
      <c r="L2373" s="1578"/>
      <c r="M2373" s="1700"/>
      <c r="N2373" s="1701" t="str">
        <f t="shared" si="346"/>
        <v/>
      </c>
      <c r="O2373" s="1702"/>
      <c r="P2373" s="1635" t="str">
        <f>IFERROR(VLOOKUP(F2373,#REF!,12,FALSE),"")</f>
        <v/>
      </c>
      <c r="Q2373" s="1636" t="s">
        <v>8</v>
      </c>
      <c r="R2373" s="1703" t="str">
        <f>IFERROR(VLOOKUP(F2373,#REF!,14,FALSE),"")</f>
        <v/>
      </c>
      <c r="S2373" s="1704" t="str">
        <f t="shared" si="347"/>
        <v/>
      </c>
      <c r="T2373" s="1379">
        <f t="shared" si="343"/>
        <v>8.4392815348714567</v>
      </c>
      <c r="U2373" s="1379">
        <f t="shared" si="344"/>
        <v>13.256092981433465</v>
      </c>
      <c r="V2373" s="1695">
        <f t="shared" si="348"/>
        <v>3.7335838650940048</v>
      </c>
      <c r="W2373" s="1767">
        <f t="shared" si="345"/>
        <v>0.63663415356934705</v>
      </c>
      <c r="X2373" s="1695">
        <v>254</v>
      </c>
    </row>
    <row r="2374" spans="1:24" x14ac:dyDescent="0.2">
      <c r="A2374" s="1649" t="s">
        <v>347</v>
      </c>
      <c r="B2374" s="1680">
        <f>SUM(K2372:K2378)</f>
        <v>23</v>
      </c>
      <c r="C2374" s="1651">
        <v>45462</v>
      </c>
      <c r="D2374" s="1695"/>
      <c r="E2374" s="1696"/>
      <c r="F2374" s="1534"/>
      <c r="G2374" s="1697"/>
      <c r="H2374" s="1698" t="str">
        <f>IFERROR(VLOOKUP(F2374,#REF!,10,FALSE),"")</f>
        <v/>
      </c>
      <c r="I2374" s="1699" t="str">
        <f t="shared" si="342"/>
        <v/>
      </c>
      <c r="J2374" s="1700"/>
      <c r="K2374" s="1755"/>
      <c r="L2374" s="1578"/>
      <c r="M2374" s="1700"/>
      <c r="N2374" s="1701" t="str">
        <f t="shared" si="346"/>
        <v/>
      </c>
      <c r="O2374" s="1702"/>
      <c r="P2374" s="1635" t="str">
        <f>IFERROR(VLOOKUP(F2374,#REF!,12,FALSE),"")</f>
        <v/>
      </c>
      <c r="Q2374" s="1636" t="s">
        <v>8</v>
      </c>
      <c r="R2374" s="1703" t="str">
        <f>IFERROR(VLOOKUP(F2374,#REF!,14,FALSE),"")</f>
        <v/>
      </c>
      <c r="S2374" s="1704" t="str">
        <f t="shared" si="347"/>
        <v/>
      </c>
      <c r="T2374" s="1379">
        <f t="shared" si="343"/>
        <v>7.2336698870326774</v>
      </c>
      <c r="U2374" s="1379">
        <f t="shared" si="344"/>
        <v>12.940471719970763</v>
      </c>
      <c r="V2374" s="1695">
        <f t="shared" si="348"/>
        <v>4.8168114465620082</v>
      </c>
      <c r="W2374" s="1767">
        <f t="shared" si="345"/>
        <v>0.55899584215845111</v>
      </c>
      <c r="X2374" s="1695">
        <v>254</v>
      </c>
    </row>
    <row r="2375" spans="1:24" x14ac:dyDescent="0.2">
      <c r="A2375" s="1649" t="s">
        <v>256</v>
      </c>
      <c r="B2375" s="1677">
        <f>AVERAGE(W2372:W2378)</f>
        <v>0.59720351003750505</v>
      </c>
      <c r="C2375" s="1651">
        <v>45463</v>
      </c>
      <c r="D2375" s="1695"/>
      <c r="E2375" s="1696"/>
      <c r="F2375" s="1534"/>
      <c r="G2375" s="1697"/>
      <c r="H2375" s="1698" t="str">
        <f>IFERROR(VLOOKUP(F2375,#REF!,10,FALSE),"")</f>
        <v/>
      </c>
      <c r="I2375" s="1699" t="str">
        <f t="shared" si="342"/>
        <v/>
      </c>
      <c r="J2375" s="1700"/>
      <c r="K2375" s="1755"/>
      <c r="L2375" s="1578"/>
      <c r="M2375" s="1700"/>
      <c r="N2375" s="1701" t="str">
        <f t="shared" si="346"/>
        <v/>
      </c>
      <c r="O2375" s="1702"/>
      <c r="P2375" s="1635" t="str">
        <f>IFERROR(VLOOKUP(F2375,#REF!,12,FALSE),"")</f>
        <v/>
      </c>
      <c r="Q2375" s="1636" t="s">
        <v>8</v>
      </c>
      <c r="R2375" s="1703" t="str">
        <f>IFERROR(VLOOKUP(F2375,#REF!,14,FALSE),"")</f>
        <v/>
      </c>
      <c r="S2375" s="1704" t="str">
        <f t="shared" si="347"/>
        <v/>
      </c>
      <c r="T2375" s="1379">
        <f t="shared" si="343"/>
        <v>6.2002884745994375</v>
      </c>
      <c r="U2375" s="1379">
        <f t="shared" si="344"/>
        <v>12.632365250447648</v>
      </c>
      <c r="V2375" s="1695">
        <f t="shared" si="348"/>
        <v>5.7068018329380852</v>
      </c>
      <c r="W2375" s="1767">
        <f t="shared" si="345"/>
        <v>0.49082561750498149</v>
      </c>
      <c r="X2375" s="1695">
        <v>254</v>
      </c>
    </row>
    <row r="2376" spans="1:24" x14ac:dyDescent="0.2">
      <c r="A2376" s="1649" t="s">
        <v>336</v>
      </c>
      <c r="B2376" s="1713">
        <f>IFERROR(AVERAGE(N2372:N2378),"")</f>
        <v>1.0937156323644932</v>
      </c>
      <c r="C2376" s="1651">
        <v>45464</v>
      </c>
      <c r="D2376" s="1695">
        <v>79</v>
      </c>
      <c r="E2376" s="1696" t="s">
        <v>293</v>
      </c>
      <c r="F2376" s="1550" t="s">
        <v>323</v>
      </c>
      <c r="G2376" s="1697">
        <v>2.0659722222222222E-2</v>
      </c>
      <c r="H2376" s="1698">
        <v>4.75</v>
      </c>
      <c r="I2376" s="1699">
        <f t="shared" si="342"/>
        <v>4.3494152046783625E-3</v>
      </c>
      <c r="J2376" s="1700">
        <v>120</v>
      </c>
      <c r="K2376" s="1755">
        <v>23</v>
      </c>
      <c r="L2376" s="1578">
        <v>195</v>
      </c>
      <c r="M2376" s="1700">
        <v>22</v>
      </c>
      <c r="N2376" s="1701">
        <f t="shared" si="346"/>
        <v>1.0937156323644932</v>
      </c>
      <c r="O2376" s="1702" t="s">
        <v>340</v>
      </c>
      <c r="P2376" s="1635" t="str">
        <f>IFERROR(VLOOKUP(F2376,#REF!,12,FALSE),"")</f>
        <v/>
      </c>
      <c r="Q2376" s="1636" t="s">
        <v>8</v>
      </c>
      <c r="R2376" s="1703" t="str">
        <f>IFERROR(VLOOKUP(F2376,#REF!,14,FALSE),"")</f>
        <v/>
      </c>
      <c r="S2376" s="1704">
        <f t="shared" si="347"/>
        <v>1.625</v>
      </c>
      <c r="T2376" s="1379">
        <f t="shared" si="343"/>
        <v>8.600247263942375</v>
      </c>
      <c r="U2376" s="1379">
        <f t="shared" si="344"/>
        <v>12.879213696865561</v>
      </c>
      <c r="V2376" s="1695">
        <f t="shared" si="348"/>
        <v>6.4320767758482109</v>
      </c>
      <c r="W2376" s="1767">
        <f t="shared" si="345"/>
        <v>0.66776182664283568</v>
      </c>
      <c r="X2376" s="1695">
        <v>253</v>
      </c>
    </row>
    <row r="2377" spans="1:24" x14ac:dyDescent="0.2">
      <c r="A2377" s="1649" t="s">
        <v>337</v>
      </c>
      <c r="B2377" s="1681">
        <f>IFERROR(AVERAGE(S2372:S2378),"")</f>
        <v>1.625</v>
      </c>
      <c r="C2377" s="1651">
        <v>45465</v>
      </c>
      <c r="D2377" s="1695"/>
      <c r="E2377" s="1696"/>
      <c r="F2377" s="1628"/>
      <c r="G2377" s="1697"/>
      <c r="H2377" s="1698" t="str">
        <f>IFERROR(VLOOKUP(F2377,#REF!,10,FALSE),"")</f>
        <v/>
      </c>
      <c r="I2377" s="1699" t="str">
        <f t="shared" si="342"/>
        <v/>
      </c>
      <c r="J2377" s="1700"/>
      <c r="K2377" s="1755"/>
      <c r="L2377" s="1578"/>
      <c r="M2377" s="1700"/>
      <c r="N2377" s="1701" t="str">
        <f t="shared" si="346"/>
        <v/>
      </c>
      <c r="O2377" s="1702"/>
      <c r="P2377" s="1635" t="str">
        <f>IFERROR(VLOOKUP(F2377,#REF!,12,FALSE),"")</f>
        <v/>
      </c>
      <c r="Q2377" s="1636" t="s">
        <v>8</v>
      </c>
      <c r="R2377" s="1703" t="str">
        <f>IFERROR(VLOOKUP(F2377,#REF!,14,FALSE),"")</f>
        <v/>
      </c>
      <c r="S2377" s="1704" t="str">
        <f t="shared" si="347"/>
        <v/>
      </c>
      <c r="T2377" s="1379">
        <f t="shared" si="343"/>
        <v>7.3716405119506074</v>
      </c>
      <c r="U2377" s="1379">
        <f t="shared" si="344"/>
        <v>12.572565751702095</v>
      </c>
      <c r="V2377" s="1695">
        <f t="shared" si="348"/>
        <v>4.2789664329231858</v>
      </c>
      <c r="W2377" s="1767">
        <f t="shared" si="345"/>
        <v>0.58632745754005078</v>
      </c>
      <c r="X2377" s="1695">
        <v>253</v>
      </c>
    </row>
    <row r="2378" spans="1:24" ht="16" thickBot="1" x14ac:dyDescent="0.25">
      <c r="A2378" s="1650" t="s">
        <v>5</v>
      </c>
      <c r="B2378" s="1678">
        <f>IFERROR(SUM(M2372:M2378),"")</f>
        <v>22</v>
      </c>
      <c r="C2378" s="1360">
        <v>45466</v>
      </c>
      <c r="D2378" s="683"/>
      <c r="E2378" s="684"/>
      <c r="F2378" s="1538"/>
      <c r="G2378" s="1361"/>
      <c r="H2378" s="1362" t="str">
        <f>IFERROR(VLOOKUP(F2378,#REF!,10,FALSE),"")</f>
        <v/>
      </c>
      <c r="I2378" s="1363" t="str">
        <f t="shared" si="342"/>
        <v/>
      </c>
      <c r="J2378" s="1364"/>
      <c r="K2378" s="1747"/>
      <c r="L2378" s="1705"/>
      <c r="M2378" s="1364"/>
      <c r="N2378" s="1365" t="str">
        <f t="shared" si="346"/>
        <v/>
      </c>
      <c r="O2378" s="1366"/>
      <c r="P2378" s="1706" t="str">
        <f>IFERROR(VLOOKUP(F2378,#REF!,12,FALSE),"")</f>
        <v/>
      </c>
      <c r="Q2378" s="1707" t="s">
        <v>8</v>
      </c>
      <c r="R2378" s="1708" t="str">
        <f>IFERROR(VLOOKUP(F2378,#REF!,14,FALSE),"")</f>
        <v/>
      </c>
      <c r="S2378" s="1191" t="str">
        <f t="shared" si="347"/>
        <v/>
      </c>
      <c r="T2378" s="1737">
        <f t="shared" si="343"/>
        <v>6.3185490102433777</v>
      </c>
      <c r="U2378" s="1737">
        <f t="shared" si="344"/>
        <v>12.27321894809014</v>
      </c>
      <c r="V2378" s="683">
        <f t="shared" si="348"/>
        <v>5.2009252397514878</v>
      </c>
      <c r="W2378" s="1768">
        <f t="shared" si="345"/>
        <v>0.51482410905955689</v>
      </c>
      <c r="X2378" s="683">
        <v>253</v>
      </c>
    </row>
    <row r="2379" spans="1:24" ht="16" thickBot="1" x14ac:dyDescent="0.25">
      <c r="A2379" s="1962">
        <f>WEEKNUM(C2379,1)</f>
        <v>26</v>
      </c>
      <c r="B2379" s="1963"/>
      <c r="C2379" s="1368">
        <v>45467</v>
      </c>
      <c r="D2379" s="1369"/>
      <c r="E2379" s="1370"/>
      <c r="F2379" s="1536"/>
      <c r="G2379" s="1371"/>
      <c r="H2379" s="1372" t="str">
        <f>IFERROR(VLOOKUP(F2379,#REF!,10,FALSE),"")</f>
        <v/>
      </c>
      <c r="I2379" s="1373" t="str">
        <f t="shared" si="342"/>
        <v/>
      </c>
      <c r="J2379" s="1374"/>
      <c r="K2379" s="1745"/>
      <c r="L2379" s="1577"/>
      <c r="M2379" s="1374"/>
      <c r="N2379" s="1375" t="str">
        <f t="shared" si="346"/>
        <v/>
      </c>
      <c r="O2379" s="1376"/>
      <c r="P2379" s="795" t="str">
        <f>IFERROR(VLOOKUP(F2379,#REF!,12,FALSE),"")</f>
        <v/>
      </c>
      <c r="Q2379" s="1254" t="s">
        <v>8</v>
      </c>
      <c r="R2379" s="1694" t="str">
        <f>IFERROR(VLOOKUP(F2379,#REF!,14,FALSE),"")</f>
        <v/>
      </c>
      <c r="S2379" s="1377" t="str">
        <f t="shared" si="347"/>
        <v/>
      </c>
      <c r="T2379" s="1369">
        <f t="shared" si="343"/>
        <v>5.4158991516371806</v>
      </c>
      <c r="U2379" s="1369">
        <f t="shared" si="344"/>
        <v>11.980999449326088</v>
      </c>
      <c r="V2379" s="1369">
        <f t="shared" si="348"/>
        <v>5.954669937846762</v>
      </c>
      <c r="W2379" s="1766">
        <f t="shared" si="345"/>
        <v>0.45204068112546458</v>
      </c>
      <c r="X2379" s="1369">
        <v>253</v>
      </c>
    </row>
    <row r="2380" spans="1:24" x14ac:dyDescent="0.2">
      <c r="A2380" s="1648" t="s">
        <v>142</v>
      </c>
      <c r="B2380" s="1679">
        <f>SUM(H2379:H2385)</f>
        <v>0</v>
      </c>
      <c r="C2380" s="1651">
        <v>45468</v>
      </c>
      <c r="D2380" s="1695"/>
      <c r="E2380" s="1696"/>
      <c r="F2380" s="1534"/>
      <c r="G2380" s="1697"/>
      <c r="H2380" s="1698" t="str">
        <f>IFERROR(VLOOKUP(F2380,#REF!,10,FALSE),"")</f>
        <v/>
      </c>
      <c r="I2380" s="1699" t="str">
        <f t="shared" si="342"/>
        <v/>
      </c>
      <c r="J2380" s="1700"/>
      <c r="K2380" s="1755"/>
      <c r="L2380" s="1578"/>
      <c r="M2380" s="1700"/>
      <c r="N2380" s="1701" t="str">
        <f t="shared" si="346"/>
        <v/>
      </c>
      <c r="O2380" s="1702"/>
      <c r="P2380" s="1635" t="str">
        <f>IFERROR(VLOOKUP(F2380,#REF!,12,FALSE),"")</f>
        <v/>
      </c>
      <c r="Q2380" s="1636" t="s">
        <v>8</v>
      </c>
      <c r="R2380" s="1703" t="str">
        <f>IFERROR(VLOOKUP(F2380,#REF!,14,FALSE),"")</f>
        <v/>
      </c>
      <c r="S2380" s="1704" t="str">
        <f t="shared" si="347"/>
        <v/>
      </c>
      <c r="T2380" s="1735">
        <f>T2379+(K2380-T2379)/7</f>
        <v>4.6421992728318688</v>
      </c>
      <c r="U2380" s="1735">
        <f t="shared" si="344"/>
        <v>11.695737557675466</v>
      </c>
      <c r="V2380" s="1695">
        <f t="shared" si="348"/>
        <v>6.5651002976889075</v>
      </c>
      <c r="W2380" s="1767">
        <f>T2380/U2380</f>
        <v>0.39691376879309082</v>
      </c>
      <c r="X2380" s="1695">
        <v>253</v>
      </c>
    </row>
    <row r="2381" spans="1:24" x14ac:dyDescent="0.2">
      <c r="A2381" s="1649" t="s">
        <v>347</v>
      </c>
      <c r="B2381" s="1680">
        <f>SUM(K2379:K2385)</f>
        <v>0</v>
      </c>
      <c r="C2381" s="1651">
        <v>45469</v>
      </c>
      <c r="D2381" s="1695"/>
      <c r="E2381" s="1696"/>
      <c r="F2381" s="1534"/>
      <c r="G2381" s="1697"/>
      <c r="H2381" s="1698" t="str">
        <f>IFERROR(VLOOKUP(F2381,#REF!,10,FALSE),"")</f>
        <v/>
      </c>
      <c r="I2381" s="1699" t="str">
        <f t="shared" si="342"/>
        <v/>
      </c>
      <c r="J2381" s="1700"/>
      <c r="K2381" s="1755"/>
      <c r="L2381" s="1578"/>
      <c r="M2381" s="1700"/>
      <c r="N2381" s="1701" t="str">
        <f t="shared" si="346"/>
        <v/>
      </c>
      <c r="O2381" s="1702"/>
      <c r="P2381" s="1635" t="str">
        <f>IFERROR(VLOOKUP(F2381,#REF!,12,FALSE),"")</f>
        <v/>
      </c>
      <c r="Q2381" s="1636" t="s">
        <v>8</v>
      </c>
      <c r="R2381" s="1703" t="str">
        <f>IFERROR(VLOOKUP(F2381,#REF!,14,FALSE),"")</f>
        <v/>
      </c>
      <c r="S2381" s="1704" t="str">
        <f t="shared" si="347"/>
        <v/>
      </c>
      <c r="T2381" s="1735">
        <f t="shared" si="343"/>
        <v>3.979027948141602</v>
      </c>
      <c r="U2381" s="1735">
        <f t="shared" si="344"/>
        <v>11.41726761582605</v>
      </c>
      <c r="V2381" s="1695">
        <f t="shared" si="348"/>
        <v>7.0535382848435972</v>
      </c>
      <c r="W2381" s="1767">
        <f t="shared" si="345"/>
        <v>0.34850965064759198</v>
      </c>
      <c r="X2381" s="1695">
        <v>251</v>
      </c>
    </row>
    <row r="2382" spans="1:24" x14ac:dyDescent="0.2">
      <c r="A2382" s="1649" t="s">
        <v>256</v>
      </c>
      <c r="B2382" s="1677">
        <f>AVERAGE(W2379:W2385)</f>
        <v>0.31646261600117048</v>
      </c>
      <c r="C2382" s="1651">
        <v>45470</v>
      </c>
      <c r="D2382" s="1695"/>
      <c r="E2382" s="1696"/>
      <c r="F2382" s="1534"/>
      <c r="G2382" s="1697"/>
      <c r="H2382" s="1698" t="str">
        <f>IFERROR(VLOOKUP(F2382,#REF!,10,FALSE),"")</f>
        <v/>
      </c>
      <c r="I2382" s="1699" t="str">
        <f t="shared" si="342"/>
        <v/>
      </c>
      <c r="J2382" s="1700"/>
      <c r="K2382" s="1755"/>
      <c r="L2382" s="1578"/>
      <c r="M2382" s="1700"/>
      <c r="N2382" s="1701" t="str">
        <f t="shared" si="346"/>
        <v/>
      </c>
      <c r="O2382" s="1702"/>
      <c r="P2382" s="1635" t="str">
        <f>IFERROR(VLOOKUP(F2382,#REF!,12,FALSE),"")</f>
        <v/>
      </c>
      <c r="Q2382" s="1636" t="s">
        <v>8</v>
      </c>
      <c r="R2382" s="1703" t="str">
        <f>IFERROR(VLOOKUP(F2382,#REF!,14,FALSE),"")</f>
        <v/>
      </c>
      <c r="S2382" s="1704" t="str">
        <f t="shared" si="347"/>
        <v/>
      </c>
      <c r="T2382" s="1735">
        <f t="shared" si="343"/>
        <v>3.4105953841213732</v>
      </c>
      <c r="U2382" s="1735">
        <f t="shared" si="344"/>
        <v>11.145427910687335</v>
      </c>
      <c r="V2382" s="1695">
        <f t="shared" si="348"/>
        <v>7.4382396676844484</v>
      </c>
      <c r="W2382" s="1767">
        <f t="shared" si="345"/>
        <v>0.30600847373934903</v>
      </c>
      <c r="X2382" s="1695">
        <v>251</v>
      </c>
    </row>
    <row r="2383" spans="1:24" x14ac:dyDescent="0.2">
      <c r="A2383" s="1649" t="s">
        <v>336</v>
      </c>
      <c r="B2383" s="1713" t="str">
        <f>IFERROR(AVERAGE(N2379:N2385),"")</f>
        <v/>
      </c>
      <c r="C2383" s="1651">
        <v>45471</v>
      </c>
      <c r="D2383" s="1695"/>
      <c r="E2383" s="1696"/>
      <c r="F2383" s="1550"/>
      <c r="G2383" s="1697"/>
      <c r="H2383" s="1698" t="str">
        <f>IFERROR(VLOOKUP(F2383,#REF!,10,FALSE),"")</f>
        <v/>
      </c>
      <c r="I2383" s="1699" t="str">
        <f t="shared" si="342"/>
        <v/>
      </c>
      <c r="J2383" s="1700"/>
      <c r="K2383" s="1755"/>
      <c r="L2383" s="1578"/>
      <c r="M2383" s="1700"/>
      <c r="N2383" s="1701" t="str">
        <f t="shared" si="346"/>
        <v/>
      </c>
      <c r="O2383" s="1702"/>
      <c r="P2383" s="1635" t="str">
        <f>IFERROR(VLOOKUP(F2383,#REF!,12,FALSE),"")</f>
        <v/>
      </c>
      <c r="Q2383" s="1636" t="s">
        <v>8</v>
      </c>
      <c r="R2383" s="1703" t="str">
        <f>IFERROR(VLOOKUP(F2383,#REF!,14,FALSE),"")</f>
        <v/>
      </c>
      <c r="S2383" s="1704" t="str">
        <f t="shared" si="347"/>
        <v/>
      </c>
      <c r="T2383" s="1735">
        <f t="shared" si="343"/>
        <v>2.9233674721040344</v>
      </c>
      <c r="U2383" s="1735">
        <f t="shared" si="344"/>
        <v>10.880060579480494</v>
      </c>
      <c r="V2383" s="1695">
        <f t="shared" si="348"/>
        <v>7.7348325265659614</v>
      </c>
      <c r="W2383" s="1767">
        <f t="shared" si="345"/>
        <v>0.26869036718576988</v>
      </c>
      <c r="X2383" s="1695">
        <v>251</v>
      </c>
    </row>
    <row r="2384" spans="1:24" x14ac:dyDescent="0.2">
      <c r="A2384" s="1649" t="s">
        <v>337</v>
      </c>
      <c r="B2384" s="1681" t="str">
        <f>IFERROR(AVERAGE(S2379:S2385),"")</f>
        <v/>
      </c>
      <c r="C2384" s="1651">
        <v>45472</v>
      </c>
      <c r="D2384" s="1695"/>
      <c r="E2384" s="1696"/>
      <c r="F2384" s="1628"/>
      <c r="G2384" s="1697"/>
      <c r="H2384" s="1698" t="str">
        <f>IFERROR(VLOOKUP(F2384,#REF!,10,FALSE),"")</f>
        <v/>
      </c>
      <c r="I2384" s="1699" t="str">
        <f t="shared" si="342"/>
        <v/>
      </c>
      <c r="J2384" s="1700"/>
      <c r="K2384" s="1755"/>
      <c r="L2384" s="1578"/>
      <c r="M2384" s="1700"/>
      <c r="N2384" s="1701" t="str">
        <f t="shared" si="346"/>
        <v/>
      </c>
      <c r="O2384" s="1702"/>
      <c r="P2384" s="1635" t="str">
        <f>IFERROR(VLOOKUP(F2384,#REF!,12,FALSE),"")</f>
        <v/>
      </c>
      <c r="Q2384" s="1636" t="s">
        <v>8</v>
      </c>
      <c r="R2384" s="1703" t="str">
        <f>IFERROR(VLOOKUP(F2384,#REF!,14,FALSE),"")</f>
        <v/>
      </c>
      <c r="S2384" s="1704" t="str">
        <f t="shared" si="347"/>
        <v/>
      </c>
      <c r="T2384" s="1735">
        <f t="shared" si="343"/>
        <v>2.5057435475177439</v>
      </c>
      <c r="U2384" s="1735">
        <f t="shared" si="344"/>
        <v>10.621011518064291</v>
      </c>
      <c r="V2384" s="1695">
        <f t="shared" si="348"/>
        <v>7.9566931073764593</v>
      </c>
      <c r="W2384" s="1767">
        <f t="shared" si="345"/>
        <v>0.2359232492362858</v>
      </c>
      <c r="X2384" s="1695">
        <v>251</v>
      </c>
    </row>
    <row r="2385" spans="1:24" ht="16" thickBot="1" x14ac:dyDescent="0.25">
      <c r="A2385" s="1650" t="s">
        <v>5</v>
      </c>
      <c r="B2385" s="1678">
        <f>IFERROR(SUM(M2379:M2385),"")</f>
        <v>0</v>
      </c>
      <c r="C2385" s="1360">
        <v>45473</v>
      </c>
      <c r="D2385" s="683"/>
      <c r="E2385" s="684"/>
      <c r="F2385" s="1538"/>
      <c r="G2385" s="1361"/>
      <c r="H2385" s="1362" t="str">
        <f>IFERROR(VLOOKUP(F2385,#REF!,10,FALSE),"")</f>
        <v/>
      </c>
      <c r="I2385" s="1363" t="str">
        <f t="shared" si="342"/>
        <v/>
      </c>
      <c r="J2385" s="1364"/>
      <c r="K2385" s="1747"/>
      <c r="L2385" s="1705"/>
      <c r="M2385" s="1364"/>
      <c r="N2385" s="1365" t="str">
        <f t="shared" si="346"/>
        <v/>
      </c>
      <c r="O2385" s="1366"/>
      <c r="P2385" s="1706" t="str">
        <f>IFERROR(VLOOKUP(F2385,#REF!,12,FALSE),"")</f>
        <v/>
      </c>
      <c r="Q2385" s="1707" t="s">
        <v>8</v>
      </c>
      <c r="R2385" s="1708" t="str">
        <f>IFERROR(VLOOKUP(F2385,#REF!,14,FALSE),"")</f>
        <v/>
      </c>
      <c r="S2385" s="1191" t="str">
        <f t="shared" si="347"/>
        <v/>
      </c>
      <c r="T2385" s="1731">
        <f t="shared" si="343"/>
        <v>2.1477801835866375</v>
      </c>
      <c r="U2385" s="1731">
        <f t="shared" si="344"/>
        <v>10.368130291443713</v>
      </c>
      <c r="V2385" s="683">
        <f t="shared" si="348"/>
        <v>8.1152679705465474</v>
      </c>
      <c r="W2385" s="1768">
        <f t="shared" si="345"/>
        <v>0.20715212128064117</v>
      </c>
      <c r="X2385" s="683">
        <v>249</v>
      </c>
    </row>
    <row r="2386" spans="1:24" ht="16" thickBot="1" x14ac:dyDescent="0.25">
      <c r="A2386" s="1962">
        <f>WEEKNUM(C2386,1)</f>
        <v>27</v>
      </c>
      <c r="B2386" s="1963"/>
      <c r="C2386" s="1368">
        <v>45474</v>
      </c>
      <c r="D2386" s="1369"/>
      <c r="E2386" s="1370"/>
      <c r="F2386" s="1536"/>
      <c r="G2386" s="1371"/>
      <c r="H2386" s="1372" t="str">
        <f>IFERROR(VLOOKUP(F2386,#REF!,10,FALSE),"")</f>
        <v/>
      </c>
      <c r="I2386" s="1373" t="str">
        <f t="shared" si="342"/>
        <v/>
      </c>
      <c r="J2386" s="1374"/>
      <c r="K2386" s="1745"/>
      <c r="L2386" s="1577"/>
      <c r="M2386" s="1374"/>
      <c r="N2386" s="1375" t="str">
        <f t="shared" si="346"/>
        <v/>
      </c>
      <c r="O2386" s="1376"/>
      <c r="P2386" s="795" t="str">
        <f>IFERROR(VLOOKUP(F2386,#REF!,12,FALSE),"")</f>
        <v/>
      </c>
      <c r="Q2386" s="1254" t="s">
        <v>8</v>
      </c>
      <c r="R2386" s="1694" t="str">
        <f>IFERROR(VLOOKUP(F2386,#REF!,14,FALSE),"")</f>
        <v/>
      </c>
      <c r="S2386" s="1377" t="str">
        <f t="shared" si="347"/>
        <v/>
      </c>
      <c r="T2386" s="70">
        <f t="shared" si="343"/>
        <v>1.8409544430742608</v>
      </c>
      <c r="U2386" s="70">
        <f t="shared" si="344"/>
        <v>10.121270046409338</v>
      </c>
      <c r="V2386" s="1369">
        <f t="shared" si="348"/>
        <v>8.220350107857076</v>
      </c>
      <c r="W2386" s="1766">
        <f t="shared" si="345"/>
        <v>0.18188966746592886</v>
      </c>
      <c r="X2386" s="1369">
        <v>249</v>
      </c>
    </row>
    <row r="2387" spans="1:24" x14ac:dyDescent="0.2">
      <c r="A2387" s="1648" t="s">
        <v>142</v>
      </c>
      <c r="B2387" s="1679">
        <f>SUM(H2386:H2392)</f>
        <v>19.11</v>
      </c>
      <c r="C2387" s="1651">
        <v>45475</v>
      </c>
      <c r="D2387" s="1695">
        <v>80</v>
      </c>
      <c r="E2387" s="1696" t="s">
        <v>292</v>
      </c>
      <c r="F2387" s="1534" t="s">
        <v>323</v>
      </c>
      <c r="G2387" s="1697">
        <v>2.435185185185185E-2</v>
      </c>
      <c r="H2387" s="1698">
        <v>5.48</v>
      </c>
      <c r="I2387" s="1699">
        <f t="shared" si="342"/>
        <v>4.4437685861043515E-3</v>
      </c>
      <c r="J2387" s="1700">
        <v>123</v>
      </c>
      <c r="K2387" s="1755">
        <v>23</v>
      </c>
      <c r="L2387" s="1578">
        <v>184</v>
      </c>
      <c r="M2387" s="1700">
        <v>17</v>
      </c>
      <c r="N2387" s="1701">
        <f t="shared" si="346"/>
        <v>1.0544067981261573</v>
      </c>
      <c r="O2387" s="1702" t="s">
        <v>333</v>
      </c>
      <c r="P2387" s="1635" t="str">
        <f>IFERROR(VLOOKUP(F2387,#REF!,12,FALSE),"")</f>
        <v/>
      </c>
      <c r="Q2387" s="1636" t="s">
        <v>8</v>
      </c>
      <c r="R2387" s="1703" t="str">
        <f>IFERROR(VLOOKUP(F2387,#REF!,14,FALSE),"")</f>
        <v/>
      </c>
      <c r="S2387" s="1704">
        <f t="shared" si="347"/>
        <v>1.4959349593495934</v>
      </c>
      <c r="T2387" s="1379">
        <f t="shared" si="343"/>
        <v>4.8636752369207947</v>
      </c>
      <c r="U2387" s="1379">
        <f t="shared" si="344"/>
        <v>10.427906473875781</v>
      </c>
      <c r="V2387" s="1695">
        <f t="shared" si="348"/>
        <v>8.280315603335076</v>
      </c>
      <c r="W2387" s="1767">
        <f t="shared" si="345"/>
        <v>0.46640955680849078</v>
      </c>
      <c r="X2387" s="1695">
        <v>249</v>
      </c>
    </row>
    <row r="2388" spans="1:24" x14ac:dyDescent="0.2">
      <c r="A2388" s="1649" t="s">
        <v>347</v>
      </c>
      <c r="B2388" s="1680">
        <f>SUM(K2386:K2392)</f>
        <v>97</v>
      </c>
      <c r="C2388" s="1651">
        <v>45476</v>
      </c>
      <c r="D2388" s="1695"/>
      <c r="E2388" s="1696"/>
      <c r="F2388" s="1534"/>
      <c r="G2388" s="1697"/>
      <c r="H2388" s="1698" t="str">
        <f>IFERROR(VLOOKUP(F2388,#REF!,10,FALSE),"")</f>
        <v/>
      </c>
      <c r="I2388" s="1699" t="str">
        <f t="shared" si="342"/>
        <v/>
      </c>
      <c r="J2388" s="1700"/>
      <c r="K2388" s="1755"/>
      <c r="L2388" s="1578"/>
      <c r="M2388" s="1700"/>
      <c r="N2388" s="1701" t="str">
        <f t="shared" si="346"/>
        <v/>
      </c>
      <c r="O2388" s="1702"/>
      <c r="P2388" s="1635" t="str">
        <f>IFERROR(VLOOKUP(F2388,#REF!,12,FALSE),"")</f>
        <v/>
      </c>
      <c r="Q2388" s="1636" t="s">
        <v>8</v>
      </c>
      <c r="R2388" s="1703" t="str">
        <f>IFERROR(VLOOKUP(F2388,#REF!,14,FALSE),"")</f>
        <v/>
      </c>
      <c r="S2388" s="1704" t="str">
        <f t="shared" si="347"/>
        <v/>
      </c>
      <c r="T2388" s="1379">
        <f t="shared" si="343"/>
        <v>4.1688644887892528</v>
      </c>
      <c r="U2388" s="1379">
        <f t="shared" si="344"/>
        <v>10.179622986402549</v>
      </c>
      <c r="V2388" s="1695">
        <f t="shared" si="348"/>
        <v>5.5642312369549867</v>
      </c>
      <c r="W2388" s="1767">
        <f t="shared" si="345"/>
        <v>0.40953034256355286</v>
      </c>
      <c r="X2388" s="1695">
        <v>249</v>
      </c>
    </row>
    <row r="2389" spans="1:24" x14ac:dyDescent="0.2">
      <c r="A2389" s="1649" t="s">
        <v>256</v>
      </c>
      <c r="B2389" s="1677">
        <f>AVERAGE(W2386:W2392)</f>
        <v>0.68911678653624542</v>
      </c>
      <c r="C2389" s="1651">
        <v>45477</v>
      </c>
      <c r="D2389" s="1695">
        <v>81</v>
      </c>
      <c r="E2389" s="1696" t="s">
        <v>292</v>
      </c>
      <c r="F2389" s="1534" t="s">
        <v>323</v>
      </c>
      <c r="G2389" s="1697">
        <v>2.5324074074074075E-2</v>
      </c>
      <c r="H2389" s="1698">
        <v>6.09</v>
      </c>
      <c r="I2389" s="1699">
        <f t="shared" si="342"/>
        <v>4.1583044456607677E-3</v>
      </c>
      <c r="J2389" s="1700">
        <v>127</v>
      </c>
      <c r="K2389" s="1755">
        <v>32</v>
      </c>
      <c r="L2389" s="1578">
        <v>199</v>
      </c>
      <c r="M2389" s="1700">
        <v>21</v>
      </c>
      <c r="N2389" s="1701">
        <f t="shared" si="346"/>
        <v>1.0671078107001937</v>
      </c>
      <c r="O2389" s="1702" t="s">
        <v>340</v>
      </c>
      <c r="P2389" s="1635" t="str">
        <f>IFERROR(VLOOKUP(F2389,#REF!,12,FALSE),"")</f>
        <v/>
      </c>
      <c r="Q2389" s="1636" t="s">
        <v>8</v>
      </c>
      <c r="R2389" s="1703" t="str">
        <f>IFERROR(VLOOKUP(F2389,#REF!,14,FALSE),"")</f>
        <v/>
      </c>
      <c r="S2389" s="1704">
        <f t="shared" si="347"/>
        <v>1.5669291338582678</v>
      </c>
      <c r="T2389" s="1379">
        <f t="shared" si="343"/>
        <v>8.1447409903907886</v>
      </c>
      <c r="U2389" s="1379">
        <f t="shared" si="344"/>
        <v>10.699155772440584</v>
      </c>
      <c r="V2389" s="1695">
        <f t="shared" si="348"/>
        <v>6.0107584976132964</v>
      </c>
      <c r="W2389" s="1767">
        <f t="shared" si="345"/>
        <v>0.76125080928071132</v>
      </c>
      <c r="X2389" s="1695">
        <v>249</v>
      </c>
    </row>
    <row r="2390" spans="1:24" x14ac:dyDescent="0.2">
      <c r="A2390" s="1649" t="s">
        <v>336</v>
      </c>
      <c r="B2390" s="1713">
        <f>IFERROR(AVERAGE(N2386:N2392),"")</f>
        <v>1.0665477322188106</v>
      </c>
      <c r="C2390" s="1651">
        <v>45478</v>
      </c>
      <c r="D2390" s="1695">
        <v>82</v>
      </c>
      <c r="E2390" s="1696" t="s">
        <v>292</v>
      </c>
      <c r="F2390" s="1550" t="s">
        <v>322</v>
      </c>
      <c r="G2390" s="1697">
        <v>3.1053240740740742E-2</v>
      </c>
      <c r="H2390" s="1698">
        <v>7.54</v>
      </c>
      <c r="I2390" s="1699">
        <f t="shared" si="342"/>
        <v>4.1184669417428038E-3</v>
      </c>
      <c r="J2390" s="1700">
        <v>126</v>
      </c>
      <c r="K2390" s="1755">
        <v>42</v>
      </c>
      <c r="L2390" s="1578">
        <v>203</v>
      </c>
      <c r="M2390" s="1700">
        <v>25</v>
      </c>
      <c r="N2390" s="1701">
        <f t="shared" si="346"/>
        <v>1.0781285878300806</v>
      </c>
      <c r="O2390" s="1702" t="s">
        <v>346</v>
      </c>
      <c r="P2390" s="1635" t="str">
        <f>IFERROR(VLOOKUP(F2390,#REF!,12,FALSE),"")</f>
        <v/>
      </c>
      <c r="Q2390" s="1636" t="s">
        <v>8</v>
      </c>
      <c r="R2390" s="1703" t="str">
        <f>IFERROR(VLOOKUP(F2390,#REF!,14,FALSE),"")</f>
        <v/>
      </c>
      <c r="S2390" s="1704">
        <f t="shared" si="347"/>
        <v>1.6111111111111112</v>
      </c>
      <c r="T2390" s="1379">
        <f t="shared" si="343"/>
        <v>12.981206563192105</v>
      </c>
      <c r="U2390" s="1379">
        <f t="shared" si="344"/>
        <v>11.444413968334855</v>
      </c>
      <c r="V2390" s="1695">
        <f t="shared" si="348"/>
        <v>2.5544147820497951</v>
      </c>
      <c r="W2390" s="1767">
        <f t="shared" si="345"/>
        <v>1.1342832056852667</v>
      </c>
      <c r="X2390" s="1695">
        <v>247</v>
      </c>
    </row>
    <row r="2391" spans="1:24" x14ac:dyDescent="0.2">
      <c r="A2391" s="1649" t="s">
        <v>337</v>
      </c>
      <c r="B2391" s="1681">
        <f>IFERROR(AVERAGE(S2386:S2392),"")</f>
        <v>1.557991734772991</v>
      </c>
      <c r="C2391" s="1651">
        <v>45479</v>
      </c>
      <c r="D2391" s="1695"/>
      <c r="E2391" s="1696"/>
      <c r="F2391" s="1628"/>
      <c r="G2391" s="1697"/>
      <c r="H2391" s="1698" t="str">
        <f>IFERROR(VLOOKUP(F2391,#REF!,10,FALSE),"")</f>
        <v/>
      </c>
      <c r="I2391" s="1699" t="str">
        <f t="shared" si="342"/>
        <v/>
      </c>
      <c r="J2391" s="1700"/>
      <c r="K2391" s="1755"/>
      <c r="L2391" s="1578"/>
      <c r="M2391" s="1700"/>
      <c r="N2391" s="1701" t="str">
        <f t="shared" si="346"/>
        <v/>
      </c>
      <c r="O2391" s="1702"/>
      <c r="P2391" s="1635" t="str">
        <f>IFERROR(VLOOKUP(F2391,#REF!,12,FALSE),"")</f>
        <v/>
      </c>
      <c r="Q2391" s="1636" t="s">
        <v>8</v>
      </c>
      <c r="R2391" s="1703" t="str">
        <f>IFERROR(VLOOKUP(F2391,#REF!,14,FALSE),"")</f>
        <v/>
      </c>
      <c r="S2391" s="1704" t="str">
        <f t="shared" si="347"/>
        <v/>
      </c>
      <c r="T2391" s="1379">
        <f t="shared" si="343"/>
        <v>11.12674848273609</v>
      </c>
      <c r="U2391" s="1379">
        <f t="shared" si="344"/>
        <v>11.17192792146974</v>
      </c>
      <c r="V2391" s="1695">
        <f t="shared" si="348"/>
        <v>-1.5367925948572498</v>
      </c>
      <c r="W2391" s="1767">
        <f t="shared" si="345"/>
        <v>0.99595598547974651</v>
      </c>
      <c r="X2391" s="1695">
        <v>247</v>
      </c>
    </row>
    <row r="2392" spans="1:24" ht="16" thickBot="1" x14ac:dyDescent="0.25">
      <c r="A2392" s="1650" t="s">
        <v>5</v>
      </c>
      <c r="B2392" s="1678">
        <f>IFERROR(SUM(M2386:M2392),"")</f>
        <v>63</v>
      </c>
      <c r="C2392" s="1360">
        <v>45480</v>
      </c>
      <c r="D2392" s="683"/>
      <c r="E2392" s="684"/>
      <c r="F2392" s="1538"/>
      <c r="G2392" s="1361"/>
      <c r="H2392" s="1362" t="str">
        <f>IFERROR(VLOOKUP(F2392,#REF!,10,FALSE),"")</f>
        <v/>
      </c>
      <c r="I2392" s="1363" t="str">
        <f t="shared" si="342"/>
        <v/>
      </c>
      <c r="J2392" s="1364"/>
      <c r="K2392" s="1747"/>
      <c r="L2392" s="1705"/>
      <c r="M2392" s="1364"/>
      <c r="N2392" s="1365" t="str">
        <f t="shared" si="346"/>
        <v/>
      </c>
      <c r="O2392" s="1366"/>
      <c r="P2392" s="1706" t="str">
        <f>IFERROR(VLOOKUP(F2392,#REF!,12,FALSE),"")</f>
        <v/>
      </c>
      <c r="Q2392" s="1707" t="s">
        <v>8</v>
      </c>
      <c r="R2392" s="1708" t="str">
        <f>IFERROR(VLOOKUP(F2392,#REF!,14,FALSE),"")</f>
        <v/>
      </c>
      <c r="S2392" s="1191" t="str">
        <f t="shared" si="347"/>
        <v/>
      </c>
      <c r="T2392" s="1737">
        <f t="shared" si="343"/>
        <v>9.5372129852023626</v>
      </c>
      <c r="U2392" s="1737">
        <f t="shared" si="344"/>
        <v>10.905929637625222</v>
      </c>
      <c r="V2392" s="683">
        <f t="shared" si="348"/>
        <v>4.5179438733649491E-2</v>
      </c>
      <c r="W2392" s="1768">
        <f t="shared" si="345"/>
        <v>0.87449793847002122</v>
      </c>
      <c r="X2392" s="683">
        <v>247</v>
      </c>
    </row>
    <row r="2393" spans="1:24" ht="16" thickBot="1" x14ac:dyDescent="0.25">
      <c r="A2393" s="1962">
        <f>WEEKNUM(C2393,1)</f>
        <v>28</v>
      </c>
      <c r="B2393" s="1963"/>
      <c r="C2393" s="1368">
        <v>45481</v>
      </c>
      <c r="D2393" s="1369">
        <v>83</v>
      </c>
      <c r="E2393" s="1370" t="s">
        <v>293</v>
      </c>
      <c r="F2393" s="1536" t="s">
        <v>323</v>
      </c>
      <c r="G2393" s="1371">
        <v>2.2210648148148149E-2</v>
      </c>
      <c r="H2393" s="1372">
        <v>5.48</v>
      </c>
      <c r="I2393" s="1373">
        <f t="shared" si="342"/>
        <v>4.0530379832387133E-3</v>
      </c>
      <c r="J2393" s="1374">
        <v>123</v>
      </c>
      <c r="K2393" s="1745">
        <v>30</v>
      </c>
      <c r="L2393" s="1577">
        <v>203</v>
      </c>
      <c r="M2393" s="1374">
        <v>21</v>
      </c>
      <c r="N2393" s="1375">
        <f t="shared" si="346"/>
        <v>1.0610006536659768</v>
      </c>
      <c r="O2393" s="1376" t="s">
        <v>333</v>
      </c>
      <c r="P2393" s="795" t="str">
        <f>IFERROR(VLOOKUP(F2393,#REF!,12,FALSE),"")</f>
        <v/>
      </c>
      <c r="Q2393" s="1254" t="s">
        <v>8</v>
      </c>
      <c r="R2393" s="1694" t="str">
        <f>IFERROR(VLOOKUP(F2393,#REF!,14,FALSE),"")</f>
        <v/>
      </c>
      <c r="S2393" s="1377">
        <f t="shared" si="347"/>
        <v>1.6504065040650406</v>
      </c>
      <c r="T2393" s="1369">
        <f t="shared" si="343"/>
        <v>12.460468273030596</v>
      </c>
      <c r="U2393" s="1369">
        <f t="shared" si="344"/>
        <v>11.360550360538907</v>
      </c>
      <c r="V2393" s="1369">
        <f t="shared" si="348"/>
        <v>1.3687166524228598</v>
      </c>
      <c r="W2393" s="1766">
        <f t="shared" si="345"/>
        <v>1.0968190692866673</v>
      </c>
      <c r="X2393" s="1369">
        <v>247</v>
      </c>
    </row>
    <row r="2394" spans="1:24" x14ac:dyDescent="0.2">
      <c r="A2394" s="1648" t="s">
        <v>142</v>
      </c>
      <c r="B2394" s="1679">
        <f>SUM(H2393:H2399)</f>
        <v>12.18</v>
      </c>
      <c r="C2394" s="1651">
        <v>45482</v>
      </c>
      <c r="D2394" s="1695"/>
      <c r="E2394" s="1696"/>
      <c r="F2394" s="1534"/>
      <c r="G2394" s="1697"/>
      <c r="H2394" s="1698" t="str">
        <f>IFERROR(VLOOKUP(F2394,#REF!,10,FALSE),"")</f>
        <v/>
      </c>
      <c r="I2394" s="1699" t="str">
        <f t="shared" si="342"/>
        <v/>
      </c>
      <c r="J2394" s="1700"/>
      <c r="K2394" s="1755"/>
      <c r="L2394" s="1578"/>
      <c r="M2394" s="1700"/>
      <c r="N2394" s="1701" t="str">
        <f t="shared" si="346"/>
        <v/>
      </c>
      <c r="O2394" s="1702"/>
      <c r="P2394" s="1635" t="str">
        <f>IFERROR(VLOOKUP(F2394,#REF!,12,FALSE),"")</f>
        <v/>
      </c>
      <c r="Q2394" s="1636" t="s">
        <v>8</v>
      </c>
      <c r="R2394" s="1703" t="str">
        <f>IFERROR(VLOOKUP(F2394,#REF!,14,FALSE),"")</f>
        <v/>
      </c>
      <c r="S2394" s="1704" t="str">
        <f t="shared" si="347"/>
        <v/>
      </c>
      <c r="T2394" s="1735">
        <f t="shared" si="343"/>
        <v>10.680401376883369</v>
      </c>
      <c r="U2394" s="1735">
        <f t="shared" si="344"/>
        <v>11.090061066240361</v>
      </c>
      <c r="V2394" s="1695">
        <f t="shared" si="348"/>
        <v>-1.0999179124916889</v>
      </c>
      <c r="W2394" s="1767">
        <f t="shared" si="345"/>
        <v>0.96306064620292742</v>
      </c>
      <c r="X2394" s="1695">
        <v>247</v>
      </c>
    </row>
    <row r="2395" spans="1:24" x14ac:dyDescent="0.2">
      <c r="A2395" s="1649" t="s">
        <v>347</v>
      </c>
      <c r="B2395" s="1680">
        <f>SUM(K2393:K2399)</f>
        <v>64</v>
      </c>
      <c r="C2395" s="1651">
        <v>45483</v>
      </c>
      <c r="D2395" s="1695">
        <v>84</v>
      </c>
      <c r="E2395" s="1696" t="s">
        <v>292</v>
      </c>
      <c r="F2395" s="1534" t="s">
        <v>343</v>
      </c>
      <c r="G2395" s="1697">
        <v>2.8298611111111111E-2</v>
      </c>
      <c r="H2395" s="1698">
        <v>6.7</v>
      </c>
      <c r="I2395" s="1699">
        <f t="shared" si="342"/>
        <v>4.2236733001658373E-3</v>
      </c>
      <c r="J2395" s="1700">
        <v>131</v>
      </c>
      <c r="K2395" s="1755">
        <v>34</v>
      </c>
      <c r="L2395" s="1578">
        <v>196</v>
      </c>
      <c r="M2395" s="1700">
        <v>19</v>
      </c>
      <c r="N2395" s="1701">
        <f t="shared" si="346"/>
        <v>1.0675428826019158</v>
      </c>
      <c r="O2395" s="1702" t="s">
        <v>340</v>
      </c>
      <c r="P2395" s="1635" t="str">
        <f>IFERROR(VLOOKUP(F2395,#REF!,12,FALSE),"")</f>
        <v/>
      </c>
      <c r="Q2395" s="1636" t="s">
        <v>8</v>
      </c>
      <c r="R2395" s="1703" t="str">
        <f>IFERROR(VLOOKUP(F2395,#REF!,14,FALSE),"")</f>
        <v/>
      </c>
      <c r="S2395" s="1704">
        <f t="shared" si="347"/>
        <v>1.4961832061068703</v>
      </c>
      <c r="T2395" s="1735">
        <f t="shared" si="343"/>
        <v>14.011772608757173</v>
      </c>
      <c r="U2395" s="1735">
        <f t="shared" si="344"/>
        <v>11.635535802758447</v>
      </c>
      <c r="V2395" s="1695">
        <f t="shared" si="348"/>
        <v>0.40965968935699237</v>
      </c>
      <c r="W2395" s="1767">
        <f t="shared" si="345"/>
        <v>1.2042223792939033</v>
      </c>
      <c r="X2395" s="1695">
        <v>247</v>
      </c>
    </row>
    <row r="2396" spans="1:24" x14ac:dyDescent="0.2">
      <c r="A2396" s="1649" t="s">
        <v>256</v>
      </c>
      <c r="B2396" s="1677">
        <f>AVERAGE(W2393:W2399)</f>
        <v>0.96869527504026343</v>
      </c>
      <c r="C2396" s="1651">
        <v>45484</v>
      </c>
      <c r="D2396" s="1695"/>
      <c r="E2396" s="1696"/>
      <c r="F2396" s="1534"/>
      <c r="G2396" s="1697"/>
      <c r="H2396" s="1698" t="str">
        <f>IFERROR(VLOOKUP(F2396,#REF!,10,FALSE),"")</f>
        <v/>
      </c>
      <c r="I2396" s="1699" t="str">
        <f t="shared" ref="I2396:I2459" si="349">IFERROR(G2396/H2396,"")</f>
        <v/>
      </c>
      <c r="J2396" s="1700"/>
      <c r="K2396" s="1755"/>
      <c r="L2396" s="1578"/>
      <c r="M2396" s="1700"/>
      <c r="N2396" s="1701" t="str">
        <f t="shared" si="346"/>
        <v/>
      </c>
      <c r="O2396" s="1702"/>
      <c r="P2396" s="1635" t="str">
        <f>IFERROR(VLOOKUP(F2396,#REF!,12,FALSE),"")</f>
        <v/>
      </c>
      <c r="Q2396" s="1636" t="s">
        <v>8</v>
      </c>
      <c r="R2396" s="1703" t="str">
        <f>IFERROR(VLOOKUP(F2396,#REF!,14,FALSE),"")</f>
        <v/>
      </c>
      <c r="S2396" s="1704" t="str">
        <f t="shared" si="347"/>
        <v/>
      </c>
      <c r="T2396" s="1735">
        <f t="shared" si="343"/>
        <v>12.010090807506149</v>
      </c>
      <c r="U2396" s="1735">
        <f t="shared" si="344"/>
        <v>11.358499236026104</v>
      </c>
      <c r="V2396" s="1695">
        <f t="shared" si="348"/>
        <v>-2.376236805998726</v>
      </c>
      <c r="W2396" s="1767">
        <f t="shared" si="345"/>
        <v>1.0573659915751346</v>
      </c>
      <c r="X2396" s="1695">
        <v>247</v>
      </c>
    </row>
    <row r="2397" spans="1:24" x14ac:dyDescent="0.2">
      <c r="A2397" s="1649" t="s">
        <v>336</v>
      </c>
      <c r="B2397" s="1713">
        <f>IFERROR(AVERAGE(N2393:N2399),"")</f>
        <v>1.0642717681339464</v>
      </c>
      <c r="C2397" s="1651">
        <v>45485</v>
      </c>
      <c r="D2397" s="1695"/>
      <c r="E2397" s="1696"/>
      <c r="F2397" s="1550"/>
      <c r="G2397" s="1697"/>
      <c r="H2397" s="1698" t="str">
        <f>IFERROR(VLOOKUP(F2397,#REF!,10,FALSE),"")</f>
        <v/>
      </c>
      <c r="I2397" s="1699" t="str">
        <f t="shared" si="349"/>
        <v/>
      </c>
      <c r="J2397" s="1700"/>
      <c r="K2397" s="1755"/>
      <c r="L2397" s="1578"/>
      <c r="M2397" s="1700"/>
      <c r="N2397" s="1701" t="str">
        <f t="shared" si="346"/>
        <v/>
      </c>
      <c r="O2397" s="1702"/>
      <c r="P2397" s="1635" t="str">
        <f>IFERROR(VLOOKUP(F2397,#REF!,12,FALSE),"")</f>
        <v/>
      </c>
      <c r="Q2397" s="1636" t="s">
        <v>8</v>
      </c>
      <c r="R2397" s="1703" t="str">
        <f>IFERROR(VLOOKUP(F2397,#REF!,14,FALSE),"")</f>
        <v/>
      </c>
      <c r="S2397" s="1704" t="str">
        <f t="shared" si="347"/>
        <v/>
      </c>
      <c r="T2397" s="1735">
        <f t="shared" si="343"/>
        <v>10.294363549290985</v>
      </c>
      <c r="U2397" s="1735">
        <f t="shared" si="344"/>
        <v>11.088058778025482</v>
      </c>
      <c r="V2397" s="1695">
        <f t="shared" si="348"/>
        <v>-0.65159157148004532</v>
      </c>
      <c r="W2397" s="1767">
        <f t="shared" si="345"/>
        <v>0.92841891943182542</v>
      </c>
      <c r="X2397" s="1695">
        <v>247</v>
      </c>
    </row>
    <row r="2398" spans="1:24" x14ac:dyDescent="0.2">
      <c r="A2398" s="1649" t="s">
        <v>337</v>
      </c>
      <c r="B2398" s="1681">
        <f>IFERROR(AVERAGE(S2393:S2399),"")</f>
        <v>1.5732948550859556</v>
      </c>
      <c r="C2398" s="1651">
        <v>45486</v>
      </c>
      <c r="D2398" s="1695"/>
      <c r="E2398" s="1696"/>
      <c r="F2398" s="1628"/>
      <c r="G2398" s="1697"/>
      <c r="H2398" s="1698" t="str">
        <f>IFERROR(VLOOKUP(F2398,#REF!,10,FALSE),"")</f>
        <v/>
      </c>
      <c r="I2398" s="1699" t="str">
        <f t="shared" si="349"/>
        <v/>
      </c>
      <c r="J2398" s="1700"/>
      <c r="K2398" s="1755"/>
      <c r="L2398" s="1578"/>
      <c r="M2398" s="1700"/>
      <c r="N2398" s="1701" t="str">
        <f t="shared" si="346"/>
        <v/>
      </c>
      <c r="O2398" s="1702"/>
      <c r="P2398" s="1635" t="str">
        <f>IFERROR(VLOOKUP(F2398,#REF!,12,FALSE),"")</f>
        <v/>
      </c>
      <c r="Q2398" s="1636" t="s">
        <v>8</v>
      </c>
      <c r="R2398" s="1703" t="str">
        <f>IFERROR(VLOOKUP(F2398,#REF!,14,FALSE),"")</f>
        <v/>
      </c>
      <c r="S2398" s="1704" t="str">
        <f t="shared" si="347"/>
        <v/>
      </c>
      <c r="T2398" s="1735">
        <f t="shared" si="343"/>
        <v>8.8237401851065584</v>
      </c>
      <c r="U2398" s="1735">
        <f t="shared" si="344"/>
        <v>10.824057378548686</v>
      </c>
      <c r="V2398" s="1695">
        <f t="shared" si="348"/>
        <v>0.7936952287344976</v>
      </c>
      <c r="W2398" s="1767">
        <f t="shared" si="345"/>
        <v>0.81519709998891987</v>
      </c>
      <c r="X2398" s="1695">
        <v>247</v>
      </c>
    </row>
    <row r="2399" spans="1:24" ht="16" thickBot="1" x14ac:dyDescent="0.25">
      <c r="A2399" s="1650" t="s">
        <v>5</v>
      </c>
      <c r="B2399" s="1678">
        <f>IFERROR(SUM(M2393:M2399),"")</f>
        <v>40</v>
      </c>
      <c r="C2399" s="1360">
        <v>45487</v>
      </c>
      <c r="D2399" s="683"/>
      <c r="E2399" s="684"/>
      <c r="F2399" s="1538"/>
      <c r="G2399" s="1361"/>
      <c r="H2399" s="1362" t="str">
        <f>IFERROR(VLOOKUP(F2399,#REF!,10,FALSE),"")</f>
        <v/>
      </c>
      <c r="I2399" s="1363" t="str">
        <f t="shared" si="349"/>
        <v/>
      </c>
      <c r="J2399" s="1364"/>
      <c r="K2399" s="1747"/>
      <c r="L2399" s="1705"/>
      <c r="M2399" s="1364"/>
      <c r="N2399" s="1365" t="str">
        <f t="shared" si="346"/>
        <v/>
      </c>
      <c r="O2399" s="1366"/>
      <c r="P2399" s="1706" t="str">
        <f>IFERROR(VLOOKUP(F2399,#REF!,12,FALSE),"")</f>
        <v/>
      </c>
      <c r="Q2399" s="1707" t="s">
        <v>8</v>
      </c>
      <c r="R2399" s="1708" t="str">
        <f>IFERROR(VLOOKUP(F2399,#REF!,14,FALSE),"")</f>
        <v/>
      </c>
      <c r="S2399" s="1191" t="str">
        <f t="shared" si="347"/>
        <v/>
      </c>
      <c r="T2399" s="1731">
        <f t="shared" si="343"/>
        <v>7.5632058729484788</v>
      </c>
      <c r="U2399" s="1731">
        <f t="shared" si="344"/>
        <v>10.566341726678479</v>
      </c>
      <c r="V2399" s="683">
        <f t="shared" si="348"/>
        <v>2.0003171934421271</v>
      </c>
      <c r="W2399" s="1768">
        <f t="shared" si="345"/>
        <v>0.71578281950246625</v>
      </c>
      <c r="X2399" s="683">
        <v>247</v>
      </c>
    </row>
    <row r="2400" spans="1:24" ht="16" thickBot="1" x14ac:dyDescent="0.25">
      <c r="A2400" s="1962">
        <f>WEEKNUM(C2400,1)</f>
        <v>29</v>
      </c>
      <c r="B2400" s="1963"/>
      <c r="C2400" s="1368">
        <v>45488</v>
      </c>
      <c r="D2400" s="1369">
        <v>85</v>
      </c>
      <c r="E2400" s="1370" t="s">
        <v>293</v>
      </c>
      <c r="F2400" s="1546" t="s">
        <v>323</v>
      </c>
      <c r="G2400" s="1371">
        <v>2.5381944444444443E-2</v>
      </c>
      <c r="H2400" s="1372">
        <v>6.13</v>
      </c>
      <c r="I2400" s="1373">
        <f t="shared" si="349"/>
        <v>4.1406108392242156E-3</v>
      </c>
      <c r="J2400" s="1374">
        <v>129</v>
      </c>
      <c r="K2400" s="1745">
        <v>36</v>
      </c>
      <c r="L2400" s="1577">
        <v>204</v>
      </c>
      <c r="M2400" s="1374">
        <v>21</v>
      </c>
      <c r="N2400" s="1375">
        <f t="shared" si="346"/>
        <v>1.0892649314601544</v>
      </c>
      <c r="O2400" s="1376" t="s">
        <v>340</v>
      </c>
      <c r="P2400" s="795" t="str">
        <f>IFERROR(VLOOKUP(F2400,#REF!,12,FALSE),"")</f>
        <v/>
      </c>
      <c r="Q2400" s="1254" t="s">
        <v>8</v>
      </c>
      <c r="R2400" s="1694" t="str">
        <f>IFERROR(VLOOKUP(F2400,#REF!,14,FALSE),"")</f>
        <v/>
      </c>
      <c r="S2400" s="1377"/>
      <c r="T2400" s="70">
        <f t="shared" si="343"/>
        <v>11.625605033955839</v>
      </c>
      <c r="U2400" s="70">
        <f t="shared" si="344"/>
        <v>11.17190501890042</v>
      </c>
      <c r="V2400" s="1369">
        <f t="shared" si="348"/>
        <v>3.0031358537299999</v>
      </c>
      <c r="W2400" s="1766">
        <f t="shared" si="345"/>
        <v>1.0406108013170412</v>
      </c>
      <c r="X2400" s="1369">
        <v>247</v>
      </c>
    </row>
    <row r="2401" spans="1:24" x14ac:dyDescent="0.2">
      <c r="A2401" s="1648" t="s">
        <v>142</v>
      </c>
      <c r="B2401" s="1679">
        <f>SUM(H2400:H2406)</f>
        <v>19.600000000000001</v>
      </c>
      <c r="C2401" s="1651">
        <v>45489</v>
      </c>
      <c r="D2401" s="1695">
        <v>86</v>
      </c>
      <c r="E2401" s="1696" t="s">
        <v>292</v>
      </c>
      <c r="F2401" s="1878" t="s">
        <v>323</v>
      </c>
      <c r="G2401" s="1697">
        <v>2.7905092592592592E-2</v>
      </c>
      <c r="H2401" s="1698">
        <v>6.79</v>
      </c>
      <c r="I2401" s="1699">
        <f t="shared" si="349"/>
        <v>4.1097338133420603E-3</v>
      </c>
      <c r="J2401" s="1700">
        <v>128</v>
      </c>
      <c r="K2401" s="1755">
        <v>35</v>
      </c>
      <c r="L2401" s="1578">
        <v>199</v>
      </c>
      <c r="M2401" s="1700">
        <v>19</v>
      </c>
      <c r="N2401" s="1701">
        <f t="shared" si="346"/>
        <v>1.0546435715384781</v>
      </c>
      <c r="O2401" s="1702" t="s">
        <v>333</v>
      </c>
      <c r="P2401" s="1635" t="str">
        <f>IFERROR(VLOOKUP(F2401,#REF!,12,FALSE),"")</f>
        <v/>
      </c>
      <c r="Q2401" s="1636" t="s">
        <v>8</v>
      </c>
      <c r="R2401" s="1703" t="str">
        <f>IFERROR(VLOOKUP(F2401,#REF!,14,FALSE),"")</f>
        <v/>
      </c>
      <c r="S2401" s="1704">
        <f t="shared" si="347"/>
        <v>1.5546875</v>
      </c>
      <c r="T2401" s="1379">
        <f t="shared" si="343"/>
        <v>14.96480431481929</v>
      </c>
      <c r="U2401" s="1379">
        <f t="shared" si="344"/>
        <v>11.739240613688505</v>
      </c>
      <c r="V2401" s="1695">
        <f t="shared" si="348"/>
        <v>-0.45370001505541957</v>
      </c>
      <c r="W2401" s="1767">
        <f t="shared" si="345"/>
        <v>1.2747676623451798</v>
      </c>
      <c r="X2401" s="1695">
        <v>247</v>
      </c>
    </row>
    <row r="2402" spans="1:24" x14ac:dyDescent="0.2">
      <c r="A2402" s="1649" t="s">
        <v>347</v>
      </c>
      <c r="B2402" s="1680">
        <f>SUM(K2400:K2406)</f>
        <v>106</v>
      </c>
      <c r="C2402" s="1651">
        <v>45490</v>
      </c>
      <c r="D2402" s="1695"/>
      <c r="E2402" s="1696"/>
      <c r="F2402" s="1547"/>
      <c r="G2402" s="1697"/>
      <c r="H2402" s="1698" t="str">
        <f>IFERROR(VLOOKUP(F2402,#REF!,10,FALSE),"")</f>
        <v/>
      </c>
      <c r="I2402" s="1699" t="str">
        <f t="shared" si="349"/>
        <v/>
      </c>
      <c r="J2402" s="1700"/>
      <c r="K2402" s="1755"/>
      <c r="L2402" s="1578"/>
      <c r="M2402" s="1700"/>
      <c r="N2402" s="1701" t="str">
        <f t="shared" si="346"/>
        <v/>
      </c>
      <c r="O2402" s="1702"/>
      <c r="P2402" s="1635" t="str">
        <f>IFERROR(VLOOKUP(F2402,#REF!,12,FALSE),"")</f>
        <v/>
      </c>
      <c r="Q2402" s="1636" t="s">
        <v>8</v>
      </c>
      <c r="R2402" s="1703" t="str">
        <f>IFERROR(VLOOKUP(F2402,#REF!,14,FALSE),"")</f>
        <v/>
      </c>
      <c r="S2402" s="1704" t="str">
        <f t="shared" si="347"/>
        <v/>
      </c>
      <c r="T2402" s="1379">
        <f t="shared" si="343"/>
        <v>12.826975126987962</v>
      </c>
      <c r="U2402" s="1379">
        <f t="shared" si="344"/>
        <v>11.45973488479116</v>
      </c>
      <c r="V2402" s="1695">
        <f t="shared" si="348"/>
        <v>-3.2255637011307847</v>
      </c>
      <c r="W2402" s="1767">
        <f t="shared" si="345"/>
        <v>1.1193081913274749</v>
      </c>
      <c r="X2402" s="1695">
        <v>247</v>
      </c>
    </row>
    <row r="2403" spans="1:24" x14ac:dyDescent="0.2">
      <c r="A2403" s="1649" t="s">
        <v>256</v>
      </c>
      <c r="B2403" s="1677">
        <f>AVERAGE(W2400:W2406)</f>
        <v>1.0596111802596098</v>
      </c>
      <c r="C2403" s="1651">
        <v>45491</v>
      </c>
      <c r="D2403" s="1695"/>
      <c r="E2403" s="1696"/>
      <c r="F2403" s="1547"/>
      <c r="G2403" s="1697"/>
      <c r="H2403" s="1698" t="str">
        <f>IFERROR(VLOOKUP(F2403,#REF!,10,FALSE),"")</f>
        <v/>
      </c>
      <c r="I2403" s="1699" t="str">
        <f t="shared" si="349"/>
        <v/>
      </c>
      <c r="J2403" s="1700"/>
      <c r="K2403" s="1755"/>
      <c r="L2403" s="1578"/>
      <c r="M2403" s="1700"/>
      <c r="N2403" s="1701" t="str">
        <f t="shared" si="346"/>
        <v/>
      </c>
      <c r="O2403" s="1702"/>
      <c r="P2403" s="1635" t="str">
        <f>IFERROR(VLOOKUP(F2403,#REF!,12,FALSE),"")</f>
        <v/>
      </c>
      <c r="Q2403" s="1636" t="s">
        <v>8</v>
      </c>
      <c r="R2403" s="1703" t="str">
        <f>IFERROR(VLOOKUP(F2403,#REF!,14,FALSE),"")</f>
        <v/>
      </c>
      <c r="S2403" s="1704" t="str">
        <f t="shared" si="347"/>
        <v/>
      </c>
      <c r="T2403" s="1379">
        <f t="shared" si="343"/>
        <v>10.994550108846825</v>
      </c>
      <c r="U2403" s="1379">
        <f t="shared" si="344"/>
        <v>11.186884054200895</v>
      </c>
      <c r="V2403" s="1695">
        <f t="shared" si="348"/>
        <v>-1.367240242196802</v>
      </c>
      <c r="W2403" s="1767">
        <f t="shared" si="345"/>
        <v>0.98280719238509984</v>
      </c>
      <c r="X2403" s="1695">
        <v>247</v>
      </c>
    </row>
    <row r="2404" spans="1:24" x14ac:dyDescent="0.2">
      <c r="A2404" s="1649" t="s">
        <v>336</v>
      </c>
      <c r="B2404" s="1713">
        <f>IFERROR(AVERAGE(N2400:N2406),"")</f>
        <v>1.0732234706721393</v>
      </c>
      <c r="C2404" s="1651">
        <v>45492</v>
      </c>
      <c r="D2404" s="1695"/>
      <c r="E2404" s="1696"/>
      <c r="F2404" s="1547"/>
      <c r="G2404" s="1697"/>
      <c r="H2404" s="1698" t="str">
        <f>IFERROR(VLOOKUP(F2404,#REF!,10,FALSE),"")</f>
        <v/>
      </c>
      <c r="I2404" s="1699" t="str">
        <f t="shared" si="349"/>
        <v/>
      </c>
      <c r="J2404" s="1700"/>
      <c r="K2404" s="1755"/>
      <c r="L2404" s="1578"/>
      <c r="M2404" s="1700"/>
      <c r="N2404" s="1701" t="str">
        <f t="shared" si="346"/>
        <v/>
      </c>
      <c r="O2404" s="1702"/>
      <c r="P2404" s="1635" t="str">
        <f>IFERROR(VLOOKUP(F2404,#REF!,12,FALSE),"")</f>
        <v/>
      </c>
      <c r="Q2404" s="1636" t="s">
        <v>8</v>
      </c>
      <c r="R2404" s="1703" t="str">
        <f>IFERROR(VLOOKUP(F2404,#REF!,14,FALSE),"")</f>
        <v/>
      </c>
      <c r="S2404" s="1704" t="str">
        <f t="shared" si="347"/>
        <v/>
      </c>
      <c r="T2404" s="1379">
        <f t="shared" si="343"/>
        <v>9.423900093297279</v>
      </c>
      <c r="U2404" s="1379">
        <f t="shared" si="344"/>
        <v>10.920529671958016</v>
      </c>
      <c r="V2404" s="1695">
        <f t="shared" si="348"/>
        <v>0.19233394535407022</v>
      </c>
      <c r="W2404" s="1767">
        <f t="shared" si="345"/>
        <v>0.8629526567283804</v>
      </c>
      <c r="X2404" s="1695">
        <v>247</v>
      </c>
    </row>
    <row r="2405" spans="1:24" x14ac:dyDescent="0.2">
      <c r="A2405" s="1649" t="s">
        <v>337</v>
      </c>
      <c r="B2405" s="1681">
        <f>IFERROR(AVERAGE(S2400:S2406),"")</f>
        <v>1.5913933367768593</v>
      </c>
      <c r="C2405" s="1651">
        <v>45493</v>
      </c>
      <c r="D2405" s="1695">
        <v>87</v>
      </c>
      <c r="E2405" s="1696" t="s">
        <v>292</v>
      </c>
      <c r="F2405" s="1547" t="s">
        <v>322</v>
      </c>
      <c r="G2405" s="1697">
        <v>2.8287037037037038E-2</v>
      </c>
      <c r="H2405" s="1698">
        <v>6.68</v>
      </c>
      <c r="I2405" s="1699">
        <f t="shared" si="349"/>
        <v>4.2345863827899762E-3</v>
      </c>
      <c r="J2405" s="1700">
        <v>121</v>
      </c>
      <c r="K2405" s="1755">
        <v>35</v>
      </c>
      <c r="L2405" s="1578">
        <v>197</v>
      </c>
      <c r="M2405" s="1700">
        <v>26</v>
      </c>
      <c r="N2405" s="1701">
        <f t="shared" si="346"/>
        <v>1.0757619090177855</v>
      </c>
      <c r="O2405" s="1702" t="s">
        <v>340</v>
      </c>
      <c r="P2405" s="1635" t="str">
        <f>IFERROR(VLOOKUP(F2405,#REF!,12,FALSE),"")</f>
        <v/>
      </c>
      <c r="Q2405" s="1636" t="s">
        <v>8</v>
      </c>
      <c r="R2405" s="1703" t="str">
        <f>IFERROR(VLOOKUP(F2405,#REF!,14,FALSE),"")</f>
        <v/>
      </c>
      <c r="S2405" s="1704">
        <f t="shared" si="347"/>
        <v>1.6280991735537189</v>
      </c>
      <c r="T2405" s="1379">
        <f t="shared" si="343"/>
        <v>13.077628651397667</v>
      </c>
      <c r="U2405" s="1379">
        <f t="shared" si="344"/>
        <v>11.493850394054254</v>
      </c>
      <c r="V2405" s="1695">
        <f t="shared" si="348"/>
        <v>1.4966295786607375</v>
      </c>
      <c r="W2405" s="1767">
        <f t="shared" si="345"/>
        <v>1.1377935333282829</v>
      </c>
      <c r="X2405" s="1695">
        <v>245</v>
      </c>
    </row>
    <row r="2406" spans="1:24" ht="16" thickBot="1" x14ac:dyDescent="0.25">
      <c r="A2406" s="1650" t="s">
        <v>5</v>
      </c>
      <c r="B2406" s="1678">
        <f>IFERROR(SUM(M2400:M2406),"")</f>
        <v>66</v>
      </c>
      <c r="C2406" s="1360">
        <v>45494</v>
      </c>
      <c r="D2406" s="683"/>
      <c r="E2406" s="684"/>
      <c r="F2406" s="1429"/>
      <c r="G2406" s="1361"/>
      <c r="H2406" s="1362" t="str">
        <f>IFERROR(VLOOKUP(F2406,#REF!,10,FALSE),"")</f>
        <v/>
      </c>
      <c r="I2406" s="1363" t="str">
        <f t="shared" si="349"/>
        <v/>
      </c>
      <c r="J2406" s="1364"/>
      <c r="K2406" s="1747"/>
      <c r="L2406" s="1705"/>
      <c r="M2406" s="1364"/>
      <c r="N2406" s="1365" t="str">
        <f t="shared" si="346"/>
        <v/>
      </c>
      <c r="O2406" s="1366"/>
      <c r="P2406" s="1706" t="str">
        <f>IFERROR(VLOOKUP(F2406,#REF!,12,FALSE),"")</f>
        <v/>
      </c>
      <c r="Q2406" s="1707" t="s">
        <v>8</v>
      </c>
      <c r="R2406" s="1708" t="str">
        <f>IFERROR(VLOOKUP(F2406,#REF!,14,FALSE),"")</f>
        <v/>
      </c>
      <c r="S2406" s="1882" t="str">
        <f t="shared" si="347"/>
        <v/>
      </c>
      <c r="T2406" s="1829">
        <f t="shared" ref="T2406:T2469" si="350">T2405+(K2406-T2405)/7</f>
        <v>11.209395986912286</v>
      </c>
      <c r="U2406" s="1829">
        <f t="shared" ref="U2406:U2469" si="351">U2405+(K2406-U2405)/42</f>
        <v>11.220187289433914</v>
      </c>
      <c r="V2406" s="1829">
        <f t="shared" si="348"/>
        <v>-1.5837782573434129</v>
      </c>
      <c r="W2406" s="1768">
        <f t="shared" ref="W2406:W2469" si="352">T2406/U2406</f>
        <v>0.99903822438580947</v>
      </c>
      <c r="X2406" s="1829">
        <v>211</v>
      </c>
    </row>
    <row r="2407" spans="1:24" ht="16" thickBot="1" x14ac:dyDescent="0.25">
      <c r="A2407" s="1962">
        <f>WEEKNUM(C2407,1)</f>
        <v>30</v>
      </c>
      <c r="B2407" s="1963"/>
      <c r="C2407" s="1368">
        <v>45495</v>
      </c>
      <c r="D2407" s="1369"/>
      <c r="E2407" s="1370"/>
      <c r="F2407" s="1546"/>
      <c r="G2407" s="1371"/>
      <c r="H2407" s="1372" t="str">
        <f>IFERROR(VLOOKUP(F2407,#REF!,10,FALSE),"")</f>
        <v/>
      </c>
      <c r="I2407" s="1373" t="str">
        <f t="shared" si="349"/>
        <v/>
      </c>
      <c r="J2407" s="1374"/>
      <c r="K2407" s="1745"/>
      <c r="L2407" s="1577"/>
      <c r="M2407" s="1374"/>
      <c r="N2407" s="1375" t="str">
        <f t="shared" si="346"/>
        <v/>
      </c>
      <c r="O2407" s="1376"/>
      <c r="P2407" s="795" t="str">
        <f>IFERROR(VLOOKUP(F2407,#REF!,12,FALSE),"")</f>
        <v/>
      </c>
      <c r="Q2407" s="1254" t="s">
        <v>8</v>
      </c>
      <c r="R2407" s="1694" t="str">
        <f>IFERROR(VLOOKUP(F2407,#REF!,14,FALSE),"")</f>
        <v/>
      </c>
      <c r="S2407" s="1244" t="str">
        <f t="shared" si="347"/>
        <v/>
      </c>
      <c r="T2407" s="70">
        <f t="shared" si="350"/>
        <v>9.6080537030676734</v>
      </c>
      <c r="U2407" s="70">
        <f t="shared" si="351"/>
        <v>10.953039973018821</v>
      </c>
      <c r="V2407" s="70">
        <f t="shared" si="348"/>
        <v>1.079130252162841E-2</v>
      </c>
      <c r="W2407" s="1839">
        <f t="shared" si="352"/>
        <v>0.87720429458266191</v>
      </c>
      <c r="X2407" s="70">
        <v>211</v>
      </c>
    </row>
    <row r="2408" spans="1:24" x14ac:dyDescent="0.2">
      <c r="A2408" s="1648" t="s">
        <v>142</v>
      </c>
      <c r="B2408" s="1679">
        <f>SUM(H2407:H2413)</f>
        <v>21.759999999999998</v>
      </c>
      <c r="C2408" s="1651">
        <v>45496</v>
      </c>
      <c r="D2408" s="1695">
        <v>88</v>
      </c>
      <c r="E2408" s="1696" t="s">
        <v>292</v>
      </c>
      <c r="F2408" s="1878" t="s">
        <v>343</v>
      </c>
      <c r="G2408" s="1697">
        <v>2.8784722222222222E-2</v>
      </c>
      <c r="H2408" s="1698">
        <v>6.73</v>
      </c>
      <c r="I2408" s="1699">
        <f t="shared" si="349"/>
        <v>4.2770761102856195E-3</v>
      </c>
      <c r="J2408" s="1700">
        <v>123</v>
      </c>
      <c r="K2408" s="1755">
        <v>59</v>
      </c>
      <c r="L2408" s="1578">
        <v>195</v>
      </c>
      <c r="M2408" s="1700">
        <v>30</v>
      </c>
      <c r="N2408" s="1701">
        <f t="shared" si="346"/>
        <v>1.0755250493446586</v>
      </c>
      <c r="O2408" s="1702" t="s">
        <v>340</v>
      </c>
      <c r="P2408" s="1635" t="str">
        <f>IFERROR(VLOOKUP(F2408,#REF!,12,FALSE),"")</f>
        <v/>
      </c>
      <c r="Q2408" s="1636" t="s">
        <v>8</v>
      </c>
      <c r="R2408" s="1703" t="str">
        <f>IFERROR(VLOOKUP(F2408,#REF!,14,FALSE),"")</f>
        <v/>
      </c>
      <c r="S2408" s="1704">
        <f t="shared" si="347"/>
        <v>1.5853658536585367</v>
      </c>
      <c r="T2408" s="1379">
        <f t="shared" si="350"/>
        <v>16.664046031200861</v>
      </c>
      <c r="U2408" s="1379">
        <f t="shared" si="351"/>
        <v>12.097015211756469</v>
      </c>
      <c r="V2408" s="1695">
        <f t="shared" si="348"/>
        <v>1.3449862699511481</v>
      </c>
      <c r="W2408" s="1767">
        <f t="shared" si="352"/>
        <v>1.3775336923612305</v>
      </c>
      <c r="X2408" s="1695">
        <v>211</v>
      </c>
    </row>
    <row r="2409" spans="1:24" x14ac:dyDescent="0.2">
      <c r="A2409" s="1649" t="s">
        <v>347</v>
      </c>
      <c r="B2409" s="1680">
        <f>SUM(K2407:K2413)</f>
        <v>221</v>
      </c>
      <c r="C2409" s="1651">
        <v>45497</v>
      </c>
      <c r="D2409" s="1695">
        <v>89</v>
      </c>
      <c r="E2409" s="1696" t="s">
        <v>292</v>
      </c>
      <c r="F2409" s="1547" t="s">
        <v>343</v>
      </c>
      <c r="G2409" s="1697">
        <v>2.675925925925926E-2</v>
      </c>
      <c r="H2409" s="1698">
        <v>6.68</v>
      </c>
      <c r="I2409" s="1699">
        <f t="shared" si="349"/>
        <v>4.0058771346196502E-3</v>
      </c>
      <c r="J2409" s="1700">
        <v>123</v>
      </c>
      <c r="K2409" s="1755">
        <v>68</v>
      </c>
      <c r="L2409" s="1578">
        <v>206</v>
      </c>
      <c r="M2409" s="1700">
        <v>18</v>
      </c>
      <c r="N2409" s="1701">
        <f t="shared" si="346"/>
        <v>1.0641522924300655</v>
      </c>
      <c r="O2409" s="1702" t="s">
        <v>340</v>
      </c>
      <c r="P2409" s="1635" t="str">
        <f>IFERROR(VLOOKUP(F2409,#REF!,12,FALSE),"")</f>
        <v/>
      </c>
      <c r="Q2409" s="1636" t="s">
        <v>8</v>
      </c>
      <c r="R2409" s="1703" t="str">
        <f>IFERROR(VLOOKUP(F2409,#REF!,14,FALSE),"")</f>
        <v/>
      </c>
      <c r="S2409" s="1704">
        <f t="shared" si="347"/>
        <v>1.6747967479674797</v>
      </c>
      <c r="T2409" s="1379">
        <f t="shared" si="350"/>
        <v>23.99775374102931</v>
      </c>
      <c r="U2409" s="1379">
        <f t="shared" si="351"/>
        <v>13.4280386590956</v>
      </c>
      <c r="V2409" s="1695">
        <f t="shared" si="348"/>
        <v>-4.5670308194443923</v>
      </c>
      <c r="W2409" s="1767">
        <f t="shared" si="352"/>
        <v>1.7871376714256195</v>
      </c>
      <c r="X2409" s="1695">
        <v>208</v>
      </c>
    </row>
    <row r="2410" spans="1:24" x14ac:dyDescent="0.2">
      <c r="A2410" s="1649" t="s">
        <v>256</v>
      </c>
      <c r="B2410" s="1677">
        <f>AVERAGE(W2407:W2413)</f>
        <v>1.6300201740128153</v>
      </c>
      <c r="C2410" s="1651">
        <v>45498</v>
      </c>
      <c r="D2410" s="1695">
        <v>90</v>
      </c>
      <c r="E2410" s="1696" t="s">
        <v>292</v>
      </c>
      <c r="F2410" s="1547" t="s">
        <v>322</v>
      </c>
      <c r="G2410" s="1697">
        <v>3.2233796296296295E-2</v>
      </c>
      <c r="H2410" s="1698">
        <v>8.35</v>
      </c>
      <c r="I2410" s="1699">
        <f t="shared" si="349"/>
        <v>3.8603348857839878E-3</v>
      </c>
      <c r="J2410" s="1700">
        <v>128</v>
      </c>
      <c r="K2410" s="1755">
        <v>94</v>
      </c>
      <c r="L2410" s="1578">
        <v>210</v>
      </c>
      <c r="M2410" s="1700">
        <v>23</v>
      </c>
      <c r="N2410" s="1701">
        <f t="shared" si="346"/>
        <v>1.0454017338457415</v>
      </c>
      <c r="O2410" s="1702" t="s">
        <v>345</v>
      </c>
      <c r="P2410" s="1635" t="str">
        <f>IFERROR(VLOOKUP(F2410,#REF!,12,FALSE),"")</f>
        <v/>
      </c>
      <c r="Q2410" s="1636" t="s">
        <v>8</v>
      </c>
      <c r="R2410" s="1703" t="str">
        <f>IFERROR(VLOOKUP(F2410,#REF!,14,FALSE),"")</f>
        <v/>
      </c>
      <c r="S2410" s="1704">
        <f t="shared" si="347"/>
        <v>1.640625</v>
      </c>
      <c r="T2410" s="1379">
        <f t="shared" si="350"/>
        <v>33.998074635167981</v>
      </c>
      <c r="U2410" s="1379">
        <f t="shared" si="351"/>
        <v>15.346418691021896</v>
      </c>
      <c r="V2410" s="1695">
        <f t="shared" si="348"/>
        <v>-10.56971508193371</v>
      </c>
      <c r="W2410" s="1767">
        <f t="shared" si="352"/>
        <v>2.2153751516670042</v>
      </c>
      <c r="X2410" s="1695">
        <v>230</v>
      </c>
    </row>
    <row r="2411" spans="1:24" x14ac:dyDescent="0.2">
      <c r="A2411" s="1649" t="s">
        <v>336</v>
      </c>
      <c r="B2411" s="1713">
        <f>IFERROR(AVERAGE(N2407:N2413),"")</f>
        <v>1.0616930252068217</v>
      </c>
      <c r="C2411" s="1651">
        <v>45499</v>
      </c>
      <c r="D2411" s="1695"/>
      <c r="E2411" s="1696"/>
      <c r="F2411" s="1547"/>
      <c r="G2411" s="1697"/>
      <c r="H2411" s="1698" t="str">
        <f>IFERROR(VLOOKUP(F2411,#REF!,10,FALSE),"")</f>
        <v/>
      </c>
      <c r="I2411" s="1699" t="str">
        <f t="shared" si="349"/>
        <v/>
      </c>
      <c r="J2411" s="1700"/>
      <c r="K2411" s="1755"/>
      <c r="L2411" s="1578"/>
      <c r="M2411" s="1700"/>
      <c r="N2411" s="1701" t="str">
        <f t="shared" si="346"/>
        <v/>
      </c>
      <c r="O2411" s="1702"/>
      <c r="P2411" s="1635" t="str">
        <f>IFERROR(VLOOKUP(F2411,#REF!,12,FALSE),"")</f>
        <v/>
      </c>
      <c r="Q2411" s="1636" t="s">
        <v>8</v>
      </c>
      <c r="R2411" s="1703" t="str">
        <f>IFERROR(VLOOKUP(F2411,#REF!,14,FALSE),"")</f>
        <v/>
      </c>
      <c r="S2411" s="1704" t="str">
        <f t="shared" si="347"/>
        <v/>
      </c>
      <c r="T2411" s="1379">
        <f t="shared" si="350"/>
        <v>29.141206830143986</v>
      </c>
      <c r="U2411" s="1379">
        <f t="shared" si="351"/>
        <v>14.981027769807088</v>
      </c>
      <c r="V2411" s="1695">
        <f t="shared" si="348"/>
        <v>-18.651655944146086</v>
      </c>
      <c r="W2411" s="1767">
        <f t="shared" si="352"/>
        <v>1.9452074502441989</v>
      </c>
      <c r="X2411" s="1695">
        <v>230</v>
      </c>
    </row>
    <row r="2412" spans="1:24" x14ac:dyDescent="0.2">
      <c r="A2412" s="1649" t="s">
        <v>337</v>
      </c>
      <c r="B2412" s="1681">
        <f>IFERROR(AVERAGE(S2407:S2413),"")</f>
        <v>1.6335958672086719</v>
      </c>
      <c r="C2412" s="1651">
        <v>45500</v>
      </c>
      <c r="D2412" s="1695"/>
      <c r="E2412" s="1696"/>
      <c r="F2412" s="1547"/>
      <c r="G2412" s="1697"/>
      <c r="H2412" s="1698" t="str">
        <f>IFERROR(VLOOKUP(F2412,#REF!,10,FALSE),"")</f>
        <v/>
      </c>
      <c r="I2412" s="1699" t="str">
        <f t="shared" si="349"/>
        <v/>
      </c>
      <c r="J2412" s="1700"/>
      <c r="K2412" s="1755"/>
      <c r="L2412" s="1578"/>
      <c r="M2412" s="1700"/>
      <c r="N2412" s="1701" t="str">
        <f t="shared" si="346"/>
        <v/>
      </c>
      <c r="O2412" s="1702"/>
      <c r="P2412" s="1635" t="str">
        <f>IFERROR(VLOOKUP(F2412,#REF!,12,FALSE),"")</f>
        <v/>
      </c>
      <c r="Q2412" s="1636" t="s">
        <v>8</v>
      </c>
      <c r="R2412" s="1703" t="str">
        <f>IFERROR(VLOOKUP(F2412,#REF!,14,FALSE),"")</f>
        <v/>
      </c>
      <c r="S2412" s="1704" t="str">
        <f t="shared" si="347"/>
        <v/>
      </c>
      <c r="T2412" s="1379">
        <f t="shared" si="350"/>
        <v>24.97817728298056</v>
      </c>
      <c r="U2412" s="1379">
        <f t="shared" si="351"/>
        <v>14.62433663243073</v>
      </c>
      <c r="V2412" s="1695">
        <f t="shared" si="348"/>
        <v>-14.160179060336898</v>
      </c>
      <c r="W2412" s="1767">
        <f t="shared" si="352"/>
        <v>1.7079870294827113</v>
      </c>
      <c r="X2412" s="1695">
        <v>230</v>
      </c>
    </row>
    <row r="2413" spans="1:24" ht="16" thickBot="1" x14ac:dyDescent="0.25">
      <c r="A2413" s="1650" t="s">
        <v>5</v>
      </c>
      <c r="B2413" s="1678">
        <f>IFERROR(SUM(M2407:M2413),"")</f>
        <v>71</v>
      </c>
      <c r="C2413" s="1360">
        <v>45501</v>
      </c>
      <c r="D2413" s="683"/>
      <c r="E2413" s="684"/>
      <c r="F2413" s="1429"/>
      <c r="G2413" s="1361"/>
      <c r="H2413" s="1362" t="str">
        <f>IFERROR(VLOOKUP(F2413,#REF!,10,FALSE),"")</f>
        <v/>
      </c>
      <c r="I2413" s="1363" t="str">
        <f t="shared" si="349"/>
        <v/>
      </c>
      <c r="J2413" s="1364"/>
      <c r="K2413" s="1747"/>
      <c r="L2413" s="1705"/>
      <c r="M2413" s="1364"/>
      <c r="N2413" s="1365" t="str">
        <f t="shared" si="346"/>
        <v/>
      </c>
      <c r="O2413" s="1366"/>
      <c r="P2413" s="1706" t="str">
        <f>IFERROR(VLOOKUP(F2413,#REF!,12,FALSE),"")</f>
        <v/>
      </c>
      <c r="Q2413" s="1707" t="s">
        <v>8</v>
      </c>
      <c r="R2413" s="1708" t="str">
        <f>IFERROR(VLOOKUP(F2413,#REF!,14,FALSE),"")</f>
        <v/>
      </c>
      <c r="S2413" s="1882" t="str">
        <f t="shared" si="347"/>
        <v/>
      </c>
      <c r="T2413" s="1829">
        <f t="shared" si="350"/>
        <v>21.409866242554767</v>
      </c>
      <c r="U2413" s="1829">
        <f t="shared" si="351"/>
        <v>14.276138141182379</v>
      </c>
      <c r="V2413" s="1829">
        <f t="shared" si="348"/>
        <v>-10.353840650549831</v>
      </c>
      <c r="W2413" s="1768">
        <f t="shared" si="352"/>
        <v>1.4996959283262832</v>
      </c>
      <c r="X2413" s="1829">
        <v>230</v>
      </c>
    </row>
    <row r="2414" spans="1:24" ht="16" thickBot="1" x14ac:dyDescent="0.25">
      <c r="A2414" s="1962">
        <f>WEEKNUM(C2414,1)</f>
        <v>31</v>
      </c>
      <c r="B2414" s="1963"/>
      <c r="C2414" s="1368">
        <v>45502</v>
      </c>
      <c r="D2414" s="1369">
        <v>91</v>
      </c>
      <c r="E2414" s="1370" t="s">
        <v>292</v>
      </c>
      <c r="F2414" s="1546" t="s">
        <v>323</v>
      </c>
      <c r="G2414" s="1371">
        <v>2.9155092592592594E-2</v>
      </c>
      <c r="H2414" s="1372">
        <v>6.89</v>
      </c>
      <c r="I2414" s="1373">
        <f t="shared" si="349"/>
        <v>4.2315083588668496E-3</v>
      </c>
      <c r="J2414" s="1374">
        <v>115</v>
      </c>
      <c r="K2414" s="1745">
        <v>45</v>
      </c>
      <c r="L2414" s="1577">
        <v>195</v>
      </c>
      <c r="M2414" s="1374">
        <v>18</v>
      </c>
      <c r="N2414" s="1375">
        <f t="shared" si="346"/>
        <v>1.06406646015207</v>
      </c>
      <c r="O2414" s="1376" t="s">
        <v>340</v>
      </c>
      <c r="P2414" s="795" t="str">
        <f>IFERROR(VLOOKUP(F2414,#REF!,12,FALSE),"")</f>
        <v/>
      </c>
      <c r="Q2414" s="1254" t="s">
        <v>8</v>
      </c>
      <c r="R2414" s="1694" t="str">
        <f>IFERROR(VLOOKUP(F2414,#REF!,14,FALSE),"")</f>
        <v/>
      </c>
      <c r="S2414" s="1244">
        <f t="shared" si="347"/>
        <v>1.6956521739130435</v>
      </c>
      <c r="T2414" s="70">
        <f t="shared" si="350"/>
        <v>24.77988535076123</v>
      </c>
      <c r="U2414" s="70">
        <f t="shared" si="351"/>
        <v>15.007658661630417</v>
      </c>
      <c r="V2414" s="70">
        <f t="shared" si="348"/>
        <v>-7.1337281013723874</v>
      </c>
      <c r="W2414" s="1839">
        <f t="shared" si="352"/>
        <v>1.6511493171226728</v>
      </c>
      <c r="X2414" s="70">
        <v>230</v>
      </c>
    </row>
    <row r="2415" spans="1:24" x14ac:dyDescent="0.2">
      <c r="A2415" s="1648" t="s">
        <v>142</v>
      </c>
      <c r="B2415" s="1679">
        <f>SUM(H2414:H2420)</f>
        <v>34.72</v>
      </c>
      <c r="C2415" s="1651">
        <v>45503</v>
      </c>
      <c r="D2415" s="1695">
        <v>92</v>
      </c>
      <c r="E2415" s="1696" t="s">
        <v>292</v>
      </c>
      <c r="F2415" s="1878" t="s">
        <v>323</v>
      </c>
      <c r="G2415" s="1697">
        <v>2.6643518518518518E-2</v>
      </c>
      <c r="H2415" s="1698">
        <v>6.69</v>
      </c>
      <c r="I2415" s="1699">
        <f t="shared" si="349"/>
        <v>3.9825887172673415E-3</v>
      </c>
      <c r="J2415" s="1700">
        <v>113</v>
      </c>
      <c r="K2415" s="1755">
        <v>47</v>
      </c>
      <c r="L2415" s="1578">
        <v>204</v>
      </c>
      <c r="M2415" s="1700">
        <v>17</v>
      </c>
      <c r="N2415" s="1701">
        <f t="shared" si="346"/>
        <v>1.0476942641054814</v>
      </c>
      <c r="O2415" s="1702" t="s">
        <v>333</v>
      </c>
      <c r="P2415" s="1635" t="str">
        <f>IFERROR(VLOOKUP(F2415,#REF!,12,FALSE),"")</f>
        <v/>
      </c>
      <c r="Q2415" s="1636" t="s">
        <v>8</v>
      </c>
      <c r="R2415" s="1703" t="str">
        <f>IFERROR(VLOOKUP(F2415,#REF!,14,FALSE),"")</f>
        <v/>
      </c>
      <c r="S2415" s="1704">
        <f t="shared" si="347"/>
        <v>1.8053097345132743</v>
      </c>
      <c r="T2415" s="1379">
        <f t="shared" si="350"/>
        <v>27.954187443509625</v>
      </c>
      <c r="U2415" s="1379">
        <f t="shared" si="351"/>
        <v>15.769381074448741</v>
      </c>
      <c r="V2415" s="1695">
        <f t="shared" si="348"/>
        <v>-9.7722266891308127</v>
      </c>
      <c r="W2415" s="1767">
        <f t="shared" si="352"/>
        <v>1.7726876731265011</v>
      </c>
      <c r="X2415" s="1695">
        <v>230</v>
      </c>
    </row>
    <row r="2416" spans="1:24" x14ac:dyDescent="0.2">
      <c r="A2416" s="1649" t="s">
        <v>347</v>
      </c>
      <c r="B2416" s="1680">
        <f>SUM(K2414:K2420)</f>
        <v>243</v>
      </c>
      <c r="C2416" s="1651">
        <v>45504</v>
      </c>
      <c r="D2416" s="1695"/>
      <c r="E2416" s="1696"/>
      <c r="F2416" s="1547"/>
      <c r="G2416" s="1697"/>
      <c r="H2416" s="1698" t="str">
        <f>IFERROR(VLOOKUP(F2416,#REF!,10,FALSE),"")</f>
        <v/>
      </c>
      <c r="I2416" s="1699" t="str">
        <f t="shared" si="349"/>
        <v/>
      </c>
      <c r="J2416" s="1700"/>
      <c r="K2416" s="1755"/>
      <c r="L2416" s="1578"/>
      <c r="M2416" s="1700"/>
      <c r="N2416" s="1701" t="str">
        <f t="shared" si="346"/>
        <v/>
      </c>
      <c r="O2416" s="1702"/>
      <c r="P2416" s="1635" t="str">
        <f>IFERROR(VLOOKUP(F2416,#REF!,12,FALSE),"")</f>
        <v/>
      </c>
      <c r="Q2416" s="1636" t="s">
        <v>8</v>
      </c>
      <c r="R2416" s="1703" t="str">
        <f>IFERROR(VLOOKUP(F2416,#REF!,14,FALSE),"")</f>
        <v/>
      </c>
      <c r="S2416" s="1704" t="str">
        <f t="shared" si="347"/>
        <v/>
      </c>
      <c r="T2416" s="1379">
        <f t="shared" si="350"/>
        <v>23.960732094436821</v>
      </c>
      <c r="U2416" s="1379">
        <f t="shared" si="351"/>
        <v>15.3939196202952</v>
      </c>
      <c r="V2416" s="1695">
        <f t="shared" si="348"/>
        <v>-12.184806369060883</v>
      </c>
      <c r="W2416" s="1767">
        <f t="shared" si="352"/>
        <v>1.5565062495744888</v>
      </c>
      <c r="X2416" s="1695">
        <v>230</v>
      </c>
    </row>
    <row r="2417" spans="1:25" x14ac:dyDescent="0.2">
      <c r="A2417" s="1649" t="s">
        <v>256</v>
      </c>
      <c r="B2417" s="1677">
        <f>AVERAGE(W2414:W2420)</f>
        <v>1.672573087652437</v>
      </c>
      <c r="C2417" s="1651">
        <v>45505</v>
      </c>
      <c r="D2417" s="1695">
        <v>93</v>
      </c>
      <c r="E2417" s="1696" t="s">
        <v>292</v>
      </c>
      <c r="F2417" s="1547" t="s">
        <v>343</v>
      </c>
      <c r="G2417" s="1697">
        <v>2.824074074074074E-2</v>
      </c>
      <c r="H2417" s="1698">
        <v>6.9</v>
      </c>
      <c r="I2417" s="1699">
        <f t="shared" si="349"/>
        <v>4.0928609769189479E-3</v>
      </c>
      <c r="J2417" s="1700">
        <v>117</v>
      </c>
      <c r="K2417" s="1755">
        <v>49</v>
      </c>
      <c r="L2417" s="1578">
        <v>202</v>
      </c>
      <c r="M2417" s="1700">
        <v>19</v>
      </c>
      <c r="N2417" s="1701">
        <f t="shared" si="346"/>
        <v>1.0661475232532984</v>
      </c>
      <c r="O2417" s="1702" t="s">
        <v>328</v>
      </c>
      <c r="P2417" s="1635" t="str">
        <f>IFERROR(VLOOKUP(F2417,#REF!,12,FALSE),"")</f>
        <v/>
      </c>
      <c r="Q2417" s="1636" t="s">
        <v>8</v>
      </c>
      <c r="R2417" s="1703" t="str">
        <f>IFERROR(VLOOKUP(F2417,#REF!,14,FALSE),"")</f>
        <v/>
      </c>
      <c r="S2417" s="1704">
        <f t="shared" si="347"/>
        <v>1.7264957264957266</v>
      </c>
      <c r="T2417" s="1379">
        <f t="shared" si="350"/>
        <v>27.537770366660133</v>
      </c>
      <c r="U2417" s="1379">
        <f t="shared" si="351"/>
        <v>16.194064391240552</v>
      </c>
      <c r="V2417" s="1695">
        <f t="shared" si="348"/>
        <v>-8.5668124741416207</v>
      </c>
      <c r="W2417" s="1767">
        <f t="shared" si="352"/>
        <v>1.7004854186917675</v>
      </c>
      <c r="X2417" s="1695">
        <v>230</v>
      </c>
    </row>
    <row r="2418" spans="1:25" x14ac:dyDescent="0.2">
      <c r="A2418" s="1649" t="s">
        <v>336</v>
      </c>
      <c r="B2418" s="1713">
        <f>IFERROR(AVERAGE(N2414:N2420),"")</f>
        <v>1.065213675781425</v>
      </c>
      <c r="C2418" s="1651">
        <v>45506</v>
      </c>
      <c r="D2418" s="1695">
        <v>94</v>
      </c>
      <c r="E2418" s="1696" t="s">
        <v>292</v>
      </c>
      <c r="F2418" s="1547" t="s">
        <v>322</v>
      </c>
      <c r="G2418" s="1697">
        <v>2.5138888888888891E-2</v>
      </c>
      <c r="H2418" s="1698">
        <v>5.93</v>
      </c>
      <c r="I2418" s="1699">
        <f t="shared" si="349"/>
        <v>4.239272999812629E-3</v>
      </c>
      <c r="J2418" s="1700">
        <v>116</v>
      </c>
      <c r="K2418" s="1755">
        <v>40</v>
      </c>
      <c r="L2418" s="1578">
        <v>196</v>
      </c>
      <c r="M2418" s="1700">
        <v>20</v>
      </c>
      <c r="N2418" s="1701">
        <f t="shared" si="346"/>
        <v>1.0714857416123431</v>
      </c>
      <c r="O2418" s="1702" t="s">
        <v>340</v>
      </c>
      <c r="P2418" s="1635" t="str">
        <f>IFERROR(VLOOKUP(F2418,#REF!,12,FALSE),"")</f>
        <v/>
      </c>
      <c r="Q2418" s="1636" t="s">
        <v>8</v>
      </c>
      <c r="R2418" s="1703" t="str">
        <f>IFERROR(VLOOKUP(F2418,#REF!,14,FALSE),"")</f>
        <v/>
      </c>
      <c r="S2418" s="1704">
        <f t="shared" si="347"/>
        <v>1.6896551724137931</v>
      </c>
      <c r="T2418" s="1379">
        <f t="shared" si="350"/>
        <v>29.318088885708686</v>
      </c>
      <c r="U2418" s="1379">
        <f t="shared" si="351"/>
        <v>16.760872381925299</v>
      </c>
      <c r="V2418" s="1695">
        <f t="shared" si="348"/>
        <v>-11.343705975419581</v>
      </c>
      <c r="W2418" s="1767">
        <f t="shared" si="352"/>
        <v>1.7491982647230775</v>
      </c>
      <c r="X2418" s="1695">
        <v>230</v>
      </c>
    </row>
    <row r="2419" spans="1:25" x14ac:dyDescent="0.2">
      <c r="A2419" s="1649" t="s">
        <v>337</v>
      </c>
      <c r="B2419" s="1681">
        <f>IFERROR(AVERAGE(S2414:S2420),"")</f>
        <v>1.7078320102860651</v>
      </c>
      <c r="C2419" s="1651">
        <v>45507</v>
      </c>
      <c r="D2419" s="1695"/>
      <c r="E2419" s="1696"/>
      <c r="F2419" s="1547"/>
      <c r="G2419" s="1697"/>
      <c r="H2419" s="1698" t="str">
        <f>IFERROR(VLOOKUP(F2419,#REF!,10,FALSE),"")</f>
        <v/>
      </c>
      <c r="I2419" s="1699" t="str">
        <f t="shared" si="349"/>
        <v/>
      </c>
      <c r="J2419" s="1700"/>
      <c r="K2419" s="1755"/>
      <c r="L2419" s="1578"/>
      <c r="M2419" s="1700"/>
      <c r="N2419" s="1701" t="str">
        <f t="shared" si="346"/>
        <v/>
      </c>
      <c r="O2419" s="1702"/>
      <c r="P2419" s="1635" t="str">
        <f>IFERROR(VLOOKUP(F2419,#REF!,12,FALSE),"")</f>
        <v/>
      </c>
      <c r="Q2419" s="1636" t="s">
        <v>8</v>
      </c>
      <c r="R2419" s="1703" t="str">
        <f>IFERROR(VLOOKUP(F2419,#REF!,14,FALSE),"")</f>
        <v/>
      </c>
      <c r="S2419" s="1704" t="str">
        <f t="shared" si="347"/>
        <v/>
      </c>
      <c r="T2419" s="1379">
        <f t="shared" si="350"/>
        <v>25.129790473464588</v>
      </c>
      <c r="U2419" s="1379">
        <f t="shared" si="351"/>
        <v>16.361803991879459</v>
      </c>
      <c r="V2419" s="1695">
        <f t="shared" si="348"/>
        <v>-12.557216503783387</v>
      </c>
      <c r="W2419" s="1767">
        <f t="shared" si="352"/>
        <v>1.5358814031714827</v>
      </c>
      <c r="X2419" s="1695">
        <v>230</v>
      </c>
    </row>
    <row r="2420" spans="1:25" ht="16" thickBot="1" x14ac:dyDescent="0.25">
      <c r="A2420" s="1650" t="s">
        <v>5</v>
      </c>
      <c r="B2420" s="1678">
        <f>IFERROR(SUM(M2414:M2420),"")</f>
        <v>97</v>
      </c>
      <c r="C2420" s="1360">
        <v>45508</v>
      </c>
      <c r="D2420" s="683">
        <v>95</v>
      </c>
      <c r="E2420" s="684" t="s">
        <v>292</v>
      </c>
      <c r="F2420" s="1429" t="s">
        <v>279</v>
      </c>
      <c r="G2420" s="1361">
        <v>3.3680555555555554E-2</v>
      </c>
      <c r="H2420" s="1362">
        <v>8.31</v>
      </c>
      <c r="I2420" s="1363">
        <f t="shared" si="349"/>
        <v>4.0530151089717874E-3</v>
      </c>
      <c r="J2420" s="1364">
        <v>127</v>
      </c>
      <c r="K2420" s="1747">
        <v>62</v>
      </c>
      <c r="L2420" s="1705">
        <v>206</v>
      </c>
      <c r="M2420" s="1364">
        <v>23</v>
      </c>
      <c r="N2420" s="1365">
        <f t="shared" si="346"/>
        <v>1.0766743897839324</v>
      </c>
      <c r="O2420" s="1883" t="s">
        <v>346</v>
      </c>
      <c r="P2420" s="1884" t="str">
        <f>IFERROR(VLOOKUP(F2420,#REF!,12,FALSE),"")</f>
        <v/>
      </c>
      <c r="Q2420" s="1885" t="s">
        <v>8</v>
      </c>
      <c r="R2420" s="1301" t="str">
        <f>IFERROR(VLOOKUP(F2420,#REF!,14,FALSE),"")</f>
        <v/>
      </c>
      <c r="S2420" s="1882">
        <f t="shared" si="347"/>
        <v>1.6220472440944882</v>
      </c>
      <c r="T2420" s="1829">
        <f t="shared" si="350"/>
        <v>30.396963262969649</v>
      </c>
      <c r="U2420" s="1829">
        <f t="shared" si="351"/>
        <v>17.448427706358519</v>
      </c>
      <c r="V2420" s="1829">
        <f t="shared" si="348"/>
        <v>-8.7679864815851296</v>
      </c>
      <c r="W2420" s="1768">
        <f t="shared" si="352"/>
        <v>1.7421032871570687</v>
      </c>
      <c r="X2420" s="1829">
        <v>230</v>
      </c>
    </row>
    <row r="2421" spans="1:25" ht="16" thickBot="1" x14ac:dyDescent="0.25">
      <c r="A2421" s="1962">
        <f>WEEKNUM(C2421,1)</f>
        <v>32</v>
      </c>
      <c r="B2421" s="1963"/>
      <c r="C2421" s="1876">
        <v>45509</v>
      </c>
      <c r="D2421" s="1369"/>
      <c r="E2421" s="1370"/>
      <c r="F2421" s="1546"/>
      <c r="G2421" s="1371"/>
      <c r="H2421" s="1372" t="str">
        <f>IFERROR(VLOOKUP(F2421,#REF!,10,FALSE),"")</f>
        <v/>
      </c>
      <c r="I2421" s="1373" t="str">
        <f t="shared" si="349"/>
        <v/>
      </c>
      <c r="J2421" s="1374"/>
      <c r="K2421" s="1745"/>
      <c r="L2421" s="1577"/>
      <c r="M2421" s="1374"/>
      <c r="N2421" s="1375" t="str">
        <f t="shared" si="346"/>
        <v/>
      </c>
      <c r="O2421" s="1241"/>
      <c r="P2421" s="79" t="str">
        <f>IFERROR(VLOOKUP(F2421,#REF!,12,FALSE),"")</f>
        <v/>
      </c>
      <c r="Q2421" s="80" t="s">
        <v>8</v>
      </c>
      <c r="R2421" s="1243" t="str">
        <f>IFERROR(VLOOKUP(F2421,#REF!,14,FALSE),"")</f>
        <v/>
      </c>
      <c r="S2421" s="1244" t="str">
        <f t="shared" si="347"/>
        <v/>
      </c>
      <c r="T2421" s="70">
        <f t="shared" si="350"/>
        <v>26.054539939688269</v>
      </c>
      <c r="U2421" s="70">
        <f t="shared" si="351"/>
        <v>17.032988951445219</v>
      </c>
      <c r="V2421" s="70">
        <f t="shared" si="348"/>
        <v>-12.94853555661113</v>
      </c>
      <c r="W2421" s="1839">
        <f t="shared" si="352"/>
        <v>1.5296516667720603</v>
      </c>
      <c r="X2421" s="1369">
        <v>230</v>
      </c>
    </row>
    <row r="2422" spans="1:25" x14ac:dyDescent="0.2">
      <c r="A2422" s="1648" t="s">
        <v>142</v>
      </c>
      <c r="B2422" s="1679">
        <f>SUM(H2421:H2427)</f>
        <v>8.33</v>
      </c>
      <c r="C2422" s="1874">
        <v>45510</v>
      </c>
      <c r="D2422" s="1695"/>
      <c r="E2422" s="1696"/>
      <c r="F2422" s="1547"/>
      <c r="G2422" s="1697"/>
      <c r="H2422" s="1698" t="str">
        <f>IFERROR(VLOOKUP(F2422,#REF!,10,FALSE),"")</f>
        <v/>
      </c>
      <c r="I2422" s="1699" t="str">
        <f t="shared" si="349"/>
        <v/>
      </c>
      <c r="J2422" s="1700"/>
      <c r="K2422" s="1755"/>
      <c r="L2422" s="1578"/>
      <c r="M2422" s="1700"/>
      <c r="N2422" s="1701" t="str">
        <f t="shared" si="346"/>
        <v/>
      </c>
      <c r="O2422" s="1702"/>
      <c r="P2422" s="1635" t="str">
        <f>IFERROR(VLOOKUP(F2422,#REF!,12,FALSE),"")</f>
        <v/>
      </c>
      <c r="Q2422" s="1636" t="s">
        <v>8</v>
      </c>
      <c r="R2422" s="1703" t="str">
        <f>IFERROR(VLOOKUP(F2422,#REF!,14,FALSE),"")</f>
        <v/>
      </c>
      <c r="S2422" s="1704" t="str">
        <f t="shared" si="347"/>
        <v/>
      </c>
      <c r="T2422" s="1379">
        <f t="shared" si="350"/>
        <v>22.332462805447086</v>
      </c>
      <c r="U2422" s="1379">
        <f t="shared" si="351"/>
        <v>16.627441595458428</v>
      </c>
      <c r="V2422" s="1695">
        <f t="shared" si="348"/>
        <v>-9.0215509882430496</v>
      </c>
      <c r="W2422" s="1767">
        <f t="shared" si="352"/>
        <v>1.3431087805803457</v>
      </c>
      <c r="X2422" s="1828">
        <v>230</v>
      </c>
    </row>
    <row r="2423" spans="1:25" x14ac:dyDescent="0.2">
      <c r="A2423" s="1649" t="s">
        <v>347</v>
      </c>
      <c r="B2423" s="1680">
        <f>SUM(K2421:K2427)</f>
        <v>64</v>
      </c>
      <c r="C2423" s="1874">
        <v>45511</v>
      </c>
      <c r="D2423" s="1695"/>
      <c r="E2423" s="1696"/>
      <c r="F2423" s="1547"/>
      <c r="G2423" s="1697"/>
      <c r="H2423" s="1698" t="str">
        <f>IFERROR(VLOOKUP(F2423,#REF!,10,FALSE),"")</f>
        <v/>
      </c>
      <c r="I2423" s="1699" t="str">
        <f t="shared" si="349"/>
        <v/>
      </c>
      <c r="J2423" s="1700"/>
      <c r="K2423" s="1755"/>
      <c r="L2423" s="1578"/>
      <c r="M2423" s="1700"/>
      <c r="N2423" s="1701" t="str">
        <f t="shared" si="346"/>
        <v/>
      </c>
      <c r="O2423" s="1702"/>
      <c r="P2423" s="1635" t="str">
        <f>IFERROR(VLOOKUP(F2423,#REF!,12,FALSE),"")</f>
        <v/>
      </c>
      <c r="Q2423" s="1636" t="s">
        <v>8</v>
      </c>
      <c r="R2423" s="1703" t="str">
        <f>IFERROR(VLOOKUP(F2423,#REF!,14,FALSE),"")</f>
        <v/>
      </c>
      <c r="S2423" s="1704" t="str">
        <f t="shared" si="347"/>
        <v/>
      </c>
      <c r="T2423" s="1379">
        <f t="shared" si="350"/>
        <v>19.142110976097502</v>
      </c>
      <c r="U2423" s="1379">
        <f t="shared" si="351"/>
        <v>16.231550128899894</v>
      </c>
      <c r="V2423" s="1695">
        <f t="shared" si="348"/>
        <v>-5.7050212099886579</v>
      </c>
      <c r="W2423" s="1767">
        <f t="shared" si="352"/>
        <v>1.1793150268510353</v>
      </c>
      <c r="X2423" s="1828">
        <v>230</v>
      </c>
    </row>
    <row r="2424" spans="1:25" x14ac:dyDescent="0.2">
      <c r="A2424" s="1649" t="s">
        <v>256</v>
      </c>
      <c r="B2424" s="1677">
        <f>AVERAGE(W2421:W2427)</f>
        <v>1.2778163946322361</v>
      </c>
      <c r="C2424" s="1874">
        <v>45512</v>
      </c>
      <c r="D2424" s="1695">
        <v>96</v>
      </c>
      <c r="E2424" s="1696" t="s">
        <v>292</v>
      </c>
      <c r="F2424" s="1547" t="s">
        <v>322</v>
      </c>
      <c r="G2424" s="1697">
        <v>3.5266203703703702E-2</v>
      </c>
      <c r="H2424" s="1698">
        <v>8.33</v>
      </c>
      <c r="I2424" s="1699">
        <f t="shared" si="349"/>
        <v>4.2336378996042862E-3</v>
      </c>
      <c r="J2424" s="1700">
        <v>132</v>
      </c>
      <c r="K2424" s="1755">
        <v>64</v>
      </c>
      <c r="L2424" s="1578">
        <v>194</v>
      </c>
      <c r="M2424" s="1700">
        <v>24</v>
      </c>
      <c r="N2424" s="1701">
        <f t="shared" si="346"/>
        <v>1.0591424629553317</v>
      </c>
      <c r="O2424" s="1702" t="s">
        <v>340</v>
      </c>
      <c r="P2424" s="1635" t="str">
        <f>IFERROR(VLOOKUP(F2424,#REF!,12,FALSE),"")</f>
        <v/>
      </c>
      <c r="Q2424" s="1636" t="s">
        <v>8</v>
      </c>
      <c r="R2424" s="1703" t="str">
        <f>IFERROR(VLOOKUP(F2424,#REF!,14,FALSE),"")</f>
        <v/>
      </c>
      <c r="S2424" s="1704">
        <f t="shared" si="347"/>
        <v>1.4696969696969697</v>
      </c>
      <c r="T2424" s="1379">
        <f t="shared" si="350"/>
        <v>25.550380836655002</v>
      </c>
      <c r="U2424" s="1379">
        <f t="shared" si="351"/>
        <v>17.368894173449895</v>
      </c>
      <c r="V2424" s="1695">
        <f t="shared" si="348"/>
        <v>-2.9105608471976083</v>
      </c>
      <c r="W2424" s="1767">
        <f t="shared" si="352"/>
        <v>1.471042461396957</v>
      </c>
      <c r="X2424" s="1828">
        <v>233</v>
      </c>
    </row>
    <row r="2425" spans="1:25" x14ac:dyDescent="0.2">
      <c r="A2425" s="1649" t="s">
        <v>336</v>
      </c>
      <c r="B2425" s="1713">
        <f>IFERROR(AVERAGE(N2421:N2427),"")</f>
        <v>1.0591424629553317</v>
      </c>
      <c r="C2425" s="1874">
        <v>45513</v>
      </c>
      <c r="D2425" s="1695"/>
      <c r="E2425" s="1696"/>
      <c r="F2425" s="1547"/>
      <c r="G2425" s="1697"/>
      <c r="H2425" s="1698" t="str">
        <f>IFERROR(VLOOKUP(F2425,#REF!,10,FALSE),"")</f>
        <v/>
      </c>
      <c r="I2425" s="1699" t="str">
        <f t="shared" si="349"/>
        <v/>
      </c>
      <c r="J2425" s="1700"/>
      <c r="K2425" s="1755"/>
      <c r="L2425" s="1578"/>
      <c r="M2425" s="1700"/>
      <c r="N2425" s="1701" t="str">
        <f t="shared" si="346"/>
        <v/>
      </c>
      <c r="O2425" s="1702"/>
      <c r="P2425" s="1635" t="str">
        <f>IFERROR(VLOOKUP(F2425,#REF!,12,FALSE),"")</f>
        <v/>
      </c>
      <c r="Q2425" s="1636" t="s">
        <v>8</v>
      </c>
      <c r="R2425" s="1703" t="str">
        <f>IFERROR(VLOOKUP(F2425,#REF!,14,FALSE),"")</f>
        <v/>
      </c>
      <c r="S2425" s="1704" t="str">
        <f t="shared" si="347"/>
        <v/>
      </c>
      <c r="T2425" s="1379">
        <f t="shared" si="350"/>
        <v>21.900326431418573</v>
      </c>
      <c r="U2425" s="1379">
        <f t="shared" si="351"/>
        <v>16.95534907408204</v>
      </c>
      <c r="V2425" s="1695">
        <f t="shared" si="348"/>
        <v>-8.1814866632051064</v>
      </c>
      <c r="W2425" s="1767">
        <f t="shared" si="352"/>
        <v>1.2916470392753772</v>
      </c>
      <c r="X2425" s="1828">
        <v>233</v>
      </c>
      <c r="Y2425" s="1895"/>
    </row>
    <row r="2426" spans="1:25" x14ac:dyDescent="0.2">
      <c r="A2426" s="1649" t="s">
        <v>337</v>
      </c>
      <c r="B2426" s="1681">
        <f>IFERROR(AVERAGE(S2421:S2427),"")</f>
        <v>1.4696969696969697</v>
      </c>
      <c r="C2426" s="1874">
        <v>45514</v>
      </c>
      <c r="D2426" s="1695"/>
      <c r="E2426" s="1696"/>
      <c r="F2426" s="1547"/>
      <c r="G2426" s="1697"/>
      <c r="H2426" s="1698" t="str">
        <f>IFERROR(VLOOKUP(F2426,#REF!,10,FALSE),"")</f>
        <v/>
      </c>
      <c r="I2426" s="1699" t="str">
        <f t="shared" si="349"/>
        <v/>
      </c>
      <c r="J2426" s="1700"/>
      <c r="K2426" s="1755"/>
      <c r="L2426" s="1578"/>
      <c r="M2426" s="1700"/>
      <c r="N2426" s="1701" t="str">
        <f t="shared" ref="N2426:N2489" si="353">IFERROR((L2426/67)/(1/(I2426*24)/3.6),"")</f>
        <v/>
      </c>
      <c r="O2426" s="1702"/>
      <c r="P2426" s="1635" t="str">
        <f>IFERROR(VLOOKUP(F2426,#REF!,12,FALSE),"")</f>
        <v/>
      </c>
      <c r="Q2426" s="1636" t="s">
        <v>8</v>
      </c>
      <c r="R2426" s="1703" t="str">
        <f>IFERROR(VLOOKUP(F2426,#REF!,14,FALSE),"")</f>
        <v/>
      </c>
      <c r="S2426" s="1704" t="str">
        <f t="shared" ref="S2426:S2489" si="354">IFERROR(L2426/J2426,"")</f>
        <v/>
      </c>
      <c r="T2426" s="1379">
        <f t="shared" si="350"/>
        <v>18.771708369787348</v>
      </c>
      <c r="U2426" s="1379">
        <f t="shared" si="351"/>
        <v>16.551650286603895</v>
      </c>
      <c r="V2426" s="1695">
        <f t="shared" ref="V2426:V2489" si="355">U2425-T2425</f>
        <v>-4.9449773573365334</v>
      </c>
      <c r="W2426" s="1767">
        <f t="shared" si="352"/>
        <v>1.1341291076564286</v>
      </c>
      <c r="X2426" s="1828">
        <v>233</v>
      </c>
      <c r="Y2426" s="1895"/>
    </row>
    <row r="2427" spans="1:25" ht="16" thickBot="1" x14ac:dyDescent="0.25">
      <c r="A2427" s="1650" t="s">
        <v>5</v>
      </c>
      <c r="B2427" s="1678">
        <f>IFERROR(SUM(M2421:M2427),"")</f>
        <v>24</v>
      </c>
      <c r="C2427" s="1875">
        <v>45515</v>
      </c>
      <c r="D2427" s="683"/>
      <c r="E2427" s="684"/>
      <c r="F2427" s="1429"/>
      <c r="G2427" s="1361"/>
      <c r="H2427" s="1362" t="str">
        <f>IFERROR(VLOOKUP(F2427,#REF!,10,FALSE),"")</f>
        <v/>
      </c>
      <c r="I2427" s="1363" t="str">
        <f t="shared" si="349"/>
        <v/>
      </c>
      <c r="J2427" s="1364"/>
      <c r="K2427" s="1747"/>
      <c r="L2427" s="1705"/>
      <c r="M2427" s="1364"/>
      <c r="N2427" s="1365" t="str">
        <f t="shared" si="353"/>
        <v/>
      </c>
      <c r="O2427" s="1366"/>
      <c r="P2427" s="1706" t="str">
        <f>IFERROR(VLOOKUP(F2427,#REF!,12,FALSE),"")</f>
        <v/>
      </c>
      <c r="Q2427" s="1707" t="s">
        <v>8</v>
      </c>
      <c r="R2427" s="1301" t="str">
        <f>IFERROR(VLOOKUP(F2427,#REF!,14,FALSE),"")</f>
        <v/>
      </c>
      <c r="S2427" s="1882" t="str">
        <f t="shared" si="354"/>
        <v/>
      </c>
      <c r="T2427" s="1829">
        <f t="shared" si="350"/>
        <v>16.090035745532013</v>
      </c>
      <c r="U2427" s="1829">
        <f t="shared" si="351"/>
        <v>16.157563375018089</v>
      </c>
      <c r="V2427" s="1829">
        <f t="shared" si="355"/>
        <v>-2.2200580831834529</v>
      </c>
      <c r="W2427" s="1768">
        <f t="shared" si="352"/>
        <v>0.99582067989344958</v>
      </c>
      <c r="X2427" s="1829">
        <v>233</v>
      </c>
      <c r="Y2427" s="1895"/>
    </row>
    <row r="2428" spans="1:25" ht="16" thickBot="1" x14ac:dyDescent="0.25">
      <c r="A2428" s="1962">
        <f>WEEKNUM(C2428,1)</f>
        <v>33</v>
      </c>
      <c r="B2428" s="1963"/>
      <c r="C2428" s="1876">
        <v>45516</v>
      </c>
      <c r="D2428" s="1369"/>
      <c r="E2428" s="1370"/>
      <c r="F2428" s="1546"/>
      <c r="G2428" s="1371"/>
      <c r="H2428" s="1372" t="str">
        <f>IFERROR(VLOOKUP(F2428,#REF!,10,FALSE),"")</f>
        <v/>
      </c>
      <c r="I2428" s="1373" t="str">
        <f t="shared" si="349"/>
        <v/>
      </c>
      <c r="J2428" s="1374"/>
      <c r="K2428" s="1745"/>
      <c r="L2428" s="1577"/>
      <c r="M2428" s="1374"/>
      <c r="N2428" s="1375" t="str">
        <f t="shared" si="353"/>
        <v/>
      </c>
      <c r="O2428" s="1376"/>
      <c r="P2428" s="795" t="str">
        <f>IFERROR(VLOOKUP(F2428,#REF!,12,FALSE),"")</f>
        <v/>
      </c>
      <c r="Q2428" s="1254" t="s">
        <v>8</v>
      </c>
      <c r="R2428" s="1243" t="str">
        <f>IFERROR(VLOOKUP(F2428,#REF!,14,FALSE),"")</f>
        <v/>
      </c>
      <c r="S2428" s="1244" t="str">
        <f t="shared" si="354"/>
        <v/>
      </c>
      <c r="T2428" s="70">
        <f t="shared" si="350"/>
        <v>13.791459210456011</v>
      </c>
      <c r="U2428" s="70">
        <f t="shared" si="351"/>
        <v>15.772859485136706</v>
      </c>
      <c r="V2428" s="70">
        <f t="shared" si="355"/>
        <v>6.7527629486075824E-2</v>
      </c>
      <c r="W2428" s="1839">
        <f t="shared" si="352"/>
        <v>0.87437913356498009</v>
      </c>
      <c r="X2428" s="70">
        <v>233</v>
      </c>
      <c r="Y2428" s="1895"/>
    </row>
    <row r="2429" spans="1:25" x14ac:dyDescent="0.2">
      <c r="A2429" s="1648" t="s">
        <v>142</v>
      </c>
      <c r="B2429" s="1679">
        <f>SUM(H2428:H2434)</f>
        <v>21.06</v>
      </c>
      <c r="C2429" s="1874">
        <v>45517</v>
      </c>
      <c r="D2429" s="1695"/>
      <c r="E2429" s="1696"/>
      <c r="F2429" s="1503"/>
      <c r="G2429" s="1697"/>
      <c r="H2429" s="1698" t="str">
        <f>IFERROR(VLOOKUP(F2429,#REF!,10,FALSE),"")</f>
        <v/>
      </c>
      <c r="I2429" s="1699" t="str">
        <f t="shared" si="349"/>
        <v/>
      </c>
      <c r="J2429" s="1700"/>
      <c r="K2429" s="1755"/>
      <c r="L2429" s="1578"/>
      <c r="M2429" s="1700"/>
      <c r="N2429" s="1701" t="str">
        <f t="shared" si="353"/>
        <v/>
      </c>
      <c r="O2429" s="1702"/>
      <c r="P2429" s="1635" t="str">
        <f>IFERROR(VLOOKUP(F2429,#REF!,12,FALSE),"")</f>
        <v/>
      </c>
      <c r="Q2429" s="1636" t="s">
        <v>8</v>
      </c>
      <c r="R2429" s="1703" t="str">
        <f>IFERROR(VLOOKUP(F2429,#REF!,14,FALSE),"")</f>
        <v/>
      </c>
      <c r="S2429" s="1704" t="str">
        <f t="shared" si="354"/>
        <v/>
      </c>
      <c r="T2429" s="1379">
        <f t="shared" si="350"/>
        <v>11.821250751819438</v>
      </c>
      <c r="U2429" s="1379">
        <f t="shared" si="351"/>
        <v>15.39731521168107</v>
      </c>
      <c r="V2429" s="1695">
        <f t="shared" si="355"/>
        <v>1.9814002746806949</v>
      </c>
      <c r="W2429" s="1767">
        <f t="shared" si="352"/>
        <v>0.76774753191071421</v>
      </c>
      <c r="X2429" s="1828">
        <v>233</v>
      </c>
      <c r="Y2429" s="1895"/>
    </row>
    <row r="2430" spans="1:25" x14ac:dyDescent="0.2">
      <c r="A2430" s="1649" t="s">
        <v>347</v>
      </c>
      <c r="B2430" s="1680">
        <f>SUM(K2428:K2434)</f>
        <v>132</v>
      </c>
      <c r="C2430" s="1874">
        <v>45518</v>
      </c>
      <c r="D2430" s="1695"/>
      <c r="E2430" s="1696"/>
      <c r="F2430" s="1503"/>
      <c r="G2430" s="1697"/>
      <c r="H2430" s="1698" t="str">
        <f>IFERROR(VLOOKUP(F2430,#REF!,10,FALSE),"")</f>
        <v/>
      </c>
      <c r="I2430" s="1699" t="str">
        <f t="shared" si="349"/>
        <v/>
      </c>
      <c r="J2430" s="1700"/>
      <c r="K2430" s="1755"/>
      <c r="L2430" s="1578"/>
      <c r="M2430" s="1700"/>
      <c r="N2430" s="1701" t="str">
        <f t="shared" si="353"/>
        <v/>
      </c>
      <c r="O2430" s="1702"/>
      <c r="P2430" s="1635" t="str">
        <f>IFERROR(VLOOKUP(F2430,#REF!,12,FALSE),"")</f>
        <v/>
      </c>
      <c r="Q2430" s="1636" t="s">
        <v>8</v>
      </c>
      <c r="R2430" s="1703" t="str">
        <f>IFERROR(VLOOKUP(F2430,#REF!,14,FALSE),"")</f>
        <v/>
      </c>
      <c r="S2430" s="1704" t="str">
        <f t="shared" si="354"/>
        <v/>
      </c>
      <c r="T2430" s="1379">
        <f t="shared" si="350"/>
        <v>10.132500644416661</v>
      </c>
      <c r="U2430" s="1379">
        <f t="shared" si="351"/>
        <v>15.030712468545806</v>
      </c>
      <c r="V2430" s="1695">
        <f t="shared" si="355"/>
        <v>3.576064459861632</v>
      </c>
      <c r="W2430" s="1767">
        <f t="shared" si="352"/>
        <v>0.67411978411672469</v>
      </c>
      <c r="X2430" s="1828">
        <v>233</v>
      </c>
      <c r="Y2430" s="1895"/>
    </row>
    <row r="2431" spans="1:25" x14ac:dyDescent="0.2">
      <c r="A2431" s="1649" t="s">
        <v>256</v>
      </c>
      <c r="B2431" s="1677">
        <f>AVERAGE(W2428:W2434)</f>
        <v>0.9891487495419643</v>
      </c>
      <c r="C2431" s="1726">
        <v>45519</v>
      </c>
      <c r="D2431" s="1695">
        <v>97</v>
      </c>
      <c r="E2431" s="1696" t="s">
        <v>292</v>
      </c>
      <c r="F2431" s="1547" t="s">
        <v>279</v>
      </c>
      <c r="G2431" s="1697">
        <v>4.494212962962963E-2</v>
      </c>
      <c r="H2431" s="1698">
        <v>10.29</v>
      </c>
      <c r="I2431" s="1699">
        <f t="shared" si="349"/>
        <v>4.3675538998668257E-3</v>
      </c>
      <c r="J2431" s="1700">
        <v>124</v>
      </c>
      <c r="K2431" s="1755">
        <v>67</v>
      </c>
      <c r="L2431" s="1578">
        <v>188</v>
      </c>
      <c r="M2431" s="1700">
        <v>35</v>
      </c>
      <c r="N2431" s="1701">
        <f t="shared" si="353"/>
        <v>1.058851515019654</v>
      </c>
      <c r="O2431" s="1702" t="s">
        <v>340</v>
      </c>
      <c r="P2431" s="1635" t="str">
        <f>IFERROR(VLOOKUP(F2431,#REF!,12,FALSE),"")</f>
        <v/>
      </c>
      <c r="Q2431" s="1636" t="s">
        <v>8</v>
      </c>
      <c r="R2431" s="1703" t="str">
        <f>IFERROR(VLOOKUP(F2431,#REF!,14,FALSE),"")</f>
        <v/>
      </c>
      <c r="S2431" s="1704">
        <f t="shared" si="354"/>
        <v>1.5161290322580645</v>
      </c>
      <c r="T2431" s="1379">
        <f t="shared" si="350"/>
        <v>18.256429123785708</v>
      </c>
      <c r="U2431" s="1379">
        <f t="shared" si="351"/>
        <v>16.268076457389952</v>
      </c>
      <c r="V2431" s="1695">
        <f t="shared" si="355"/>
        <v>4.8982118241291452</v>
      </c>
      <c r="W2431" s="1767">
        <f t="shared" si="352"/>
        <v>1.122224202203852</v>
      </c>
      <c r="X2431" s="1828">
        <v>233</v>
      </c>
      <c r="Y2431" s="1895"/>
    </row>
    <row r="2432" spans="1:25" x14ac:dyDescent="0.2">
      <c r="A2432" s="1649" t="s">
        <v>336</v>
      </c>
      <c r="B2432" s="1713">
        <f>IFERROR(AVERAGE(N2428:N2434),"")</f>
        <v>1.0584103609549966</v>
      </c>
      <c r="C2432" s="1874">
        <v>45520</v>
      </c>
      <c r="D2432" s="1695"/>
      <c r="E2432" s="1696"/>
      <c r="F2432" s="1547"/>
      <c r="G2432" s="1697"/>
      <c r="H2432" s="1698" t="str">
        <f>IFERROR(VLOOKUP(F2432,#REF!,10,FALSE),"")</f>
        <v/>
      </c>
      <c r="I2432" s="1699" t="str">
        <f t="shared" si="349"/>
        <v/>
      </c>
      <c r="J2432" s="1700"/>
      <c r="K2432" s="1755"/>
      <c r="L2432" s="1578"/>
      <c r="M2432" s="1700"/>
      <c r="N2432" s="1701" t="str">
        <f t="shared" si="353"/>
        <v/>
      </c>
      <c r="O2432" s="1702"/>
      <c r="P2432" s="1635" t="str">
        <f>IFERROR(VLOOKUP(F2432,#REF!,12,FALSE),"")</f>
        <v/>
      </c>
      <c r="Q2432" s="1636" t="s">
        <v>8</v>
      </c>
      <c r="R2432" s="1703" t="str">
        <f>IFERROR(VLOOKUP(F2432,#REF!,14,FALSE),"")</f>
        <v/>
      </c>
      <c r="S2432" s="1704" t="str">
        <f t="shared" si="354"/>
        <v/>
      </c>
      <c r="T2432" s="1379">
        <f t="shared" si="350"/>
        <v>15.648367820387749</v>
      </c>
      <c r="U2432" s="1379">
        <f t="shared" si="351"/>
        <v>15.880741303642573</v>
      </c>
      <c r="V2432" s="1695">
        <f t="shared" si="355"/>
        <v>-1.9883526663957554</v>
      </c>
      <c r="W2432" s="1767">
        <f t="shared" si="352"/>
        <v>0.98536759217899206</v>
      </c>
      <c r="X2432" s="1828">
        <v>233</v>
      </c>
      <c r="Y2432" s="1895"/>
    </row>
    <row r="2433" spans="1:25" x14ac:dyDescent="0.2">
      <c r="A2433" s="1649" t="s">
        <v>337</v>
      </c>
      <c r="B2433" s="1681">
        <f>IFERROR(AVERAGE(S2428:S2434),"")</f>
        <v>1.5241935483870968</v>
      </c>
      <c r="C2433" s="1874">
        <v>45521</v>
      </c>
      <c r="D2433" s="1695">
        <v>98</v>
      </c>
      <c r="E2433" s="1696" t="s">
        <v>292</v>
      </c>
      <c r="F2433" s="1877" t="s">
        <v>279</v>
      </c>
      <c r="G2433" s="1697">
        <v>4.6504629629629625E-2</v>
      </c>
      <c r="H2433" s="1698">
        <v>10.77</v>
      </c>
      <c r="I2433" s="1699">
        <f t="shared" si="349"/>
        <v>4.3179786099934656E-3</v>
      </c>
      <c r="J2433" s="1700">
        <v>124</v>
      </c>
      <c r="K2433" s="1755">
        <v>65</v>
      </c>
      <c r="L2433" s="1578">
        <v>190</v>
      </c>
      <c r="M2433" s="1700">
        <v>32</v>
      </c>
      <c r="N2433" s="1701">
        <f t="shared" si="353"/>
        <v>1.0579692068903392</v>
      </c>
      <c r="O2433" s="1702" t="s">
        <v>333</v>
      </c>
      <c r="P2433" s="1635" t="str">
        <f>IFERROR(VLOOKUP(F2433,#REF!,12,FALSE),"")</f>
        <v/>
      </c>
      <c r="Q2433" s="1636" t="s">
        <v>8</v>
      </c>
      <c r="R2433" s="1703" t="str">
        <f>IFERROR(VLOOKUP(F2433,#REF!,14,FALSE),"")</f>
        <v/>
      </c>
      <c r="S2433" s="1704">
        <f t="shared" si="354"/>
        <v>1.532258064516129</v>
      </c>
      <c r="T2433" s="1379">
        <f t="shared" si="350"/>
        <v>22.698600988903785</v>
      </c>
      <c r="U2433" s="1379">
        <f t="shared" si="351"/>
        <v>17.050247463079653</v>
      </c>
      <c r="V2433" s="1695">
        <f t="shared" si="355"/>
        <v>0.23237348325482365</v>
      </c>
      <c r="W2433" s="1767">
        <f t="shared" si="352"/>
        <v>1.3312769235786748</v>
      </c>
      <c r="X2433" s="1828">
        <v>233</v>
      </c>
      <c r="Y2433" s="1895"/>
    </row>
    <row r="2434" spans="1:25" ht="16" thickBot="1" x14ac:dyDescent="0.25">
      <c r="A2434" s="1650" t="s">
        <v>5</v>
      </c>
      <c r="B2434" s="1678">
        <f>IFERROR(SUM(M2428:M2434),"")</f>
        <v>67</v>
      </c>
      <c r="C2434" s="1875">
        <v>45522</v>
      </c>
      <c r="D2434" s="683"/>
      <c r="E2434" s="684"/>
      <c r="F2434" s="1538"/>
      <c r="G2434" s="1361"/>
      <c r="H2434" s="1362" t="str">
        <f>IFERROR(VLOOKUP(F2434,#REF!,10,FALSE),"")</f>
        <v/>
      </c>
      <c r="I2434" s="1363" t="str">
        <f t="shared" si="349"/>
        <v/>
      </c>
      <c r="J2434" s="1364"/>
      <c r="K2434" s="1747"/>
      <c r="L2434" s="1705"/>
      <c r="M2434" s="1364"/>
      <c r="N2434" s="1365" t="str">
        <f t="shared" si="353"/>
        <v/>
      </c>
      <c r="O2434" s="1366"/>
      <c r="P2434" s="1884" t="str">
        <f>IFERROR(VLOOKUP(F2434,#REF!,12,FALSE),"")</f>
        <v/>
      </c>
      <c r="Q2434" s="1885" t="s">
        <v>8</v>
      </c>
      <c r="R2434" s="1301" t="str">
        <f>IFERROR(VLOOKUP(F2434,#REF!,14,FALSE),"")</f>
        <v/>
      </c>
      <c r="S2434" s="1882" t="str">
        <f t="shared" si="354"/>
        <v/>
      </c>
      <c r="T2434" s="1829">
        <f t="shared" si="350"/>
        <v>19.455943704774672</v>
      </c>
      <c r="U2434" s="1829">
        <f t="shared" si="351"/>
        <v>16.644289190149184</v>
      </c>
      <c r="V2434" s="1829">
        <f t="shared" si="355"/>
        <v>-5.6483535258241311</v>
      </c>
      <c r="W2434" s="1768">
        <f t="shared" si="352"/>
        <v>1.168926079239812</v>
      </c>
      <c r="X2434" s="1829">
        <v>233</v>
      </c>
      <c r="Y2434" s="1895"/>
    </row>
    <row r="2435" spans="1:25" ht="16" thickBot="1" x14ac:dyDescent="0.25">
      <c r="A2435" s="1962">
        <f>WEEKNUM(C2435,1)</f>
        <v>34</v>
      </c>
      <c r="B2435" s="1963"/>
      <c r="C2435" s="1879">
        <v>45523</v>
      </c>
      <c r="D2435" s="1369"/>
      <c r="E2435" s="1370"/>
      <c r="F2435" s="1546"/>
      <c r="G2435" s="1371"/>
      <c r="H2435" s="1372" t="str">
        <f>IFERROR(VLOOKUP(F2435,#REF!,10,FALSE),"")</f>
        <v/>
      </c>
      <c r="I2435" s="1373" t="str">
        <f t="shared" si="349"/>
        <v/>
      </c>
      <c r="J2435" s="1374"/>
      <c r="K2435" s="1745"/>
      <c r="L2435" s="1577"/>
      <c r="M2435" s="1374"/>
      <c r="N2435" s="1375" t="str">
        <f t="shared" si="353"/>
        <v/>
      </c>
      <c r="O2435" s="1376"/>
      <c r="P2435" s="79" t="str">
        <f>IFERROR(VLOOKUP(F2435,#REF!,12,FALSE),"")</f>
        <v/>
      </c>
      <c r="Q2435" s="80" t="s">
        <v>8</v>
      </c>
      <c r="R2435" s="1243" t="str">
        <f>IFERROR(VLOOKUP(F2435,#REF!,14,FALSE),"")</f>
        <v/>
      </c>
      <c r="S2435" s="1244" t="str">
        <f t="shared" si="354"/>
        <v/>
      </c>
      <c r="T2435" s="70">
        <f t="shared" si="350"/>
        <v>16.676523175521147</v>
      </c>
      <c r="U2435" s="70">
        <f t="shared" si="351"/>
        <v>16.247996590383728</v>
      </c>
      <c r="V2435" s="70">
        <f t="shared" si="355"/>
        <v>-2.8116545146254879</v>
      </c>
      <c r="W2435" s="1839">
        <f t="shared" si="352"/>
        <v>1.0263741183569082</v>
      </c>
      <c r="X2435" s="1369">
        <v>233</v>
      </c>
      <c r="Y2435" s="1895"/>
    </row>
    <row r="2436" spans="1:25" x14ac:dyDescent="0.2">
      <c r="A2436" s="1648" t="s">
        <v>142</v>
      </c>
      <c r="B2436" s="1679">
        <f>SUM(H2435:H2441)</f>
        <v>6.03</v>
      </c>
      <c r="C2436" s="1880">
        <v>45524</v>
      </c>
      <c r="D2436" s="1695"/>
      <c r="E2436" s="1696"/>
      <c r="F2436" s="1878"/>
      <c r="G2436" s="1697"/>
      <c r="H2436" s="1698" t="str">
        <f>IFERROR(VLOOKUP(F2436,#REF!,10,FALSE),"")</f>
        <v/>
      </c>
      <c r="I2436" s="1699" t="str">
        <f t="shared" si="349"/>
        <v/>
      </c>
      <c r="J2436" s="1700"/>
      <c r="K2436" s="1755"/>
      <c r="L2436" s="1578"/>
      <c r="M2436" s="1700"/>
      <c r="N2436" s="1701" t="str">
        <f t="shared" si="353"/>
        <v/>
      </c>
      <c r="O2436" s="1702"/>
      <c r="P2436" s="1635" t="str">
        <f>IFERROR(VLOOKUP(F2436,#REF!,12,FALSE),"")</f>
        <v/>
      </c>
      <c r="Q2436" s="1636" t="s">
        <v>8</v>
      </c>
      <c r="R2436" s="1703" t="str">
        <f>IFERROR(VLOOKUP(F2436,#REF!,14,FALSE),"")</f>
        <v/>
      </c>
      <c r="S2436" s="1704" t="str">
        <f t="shared" si="354"/>
        <v/>
      </c>
      <c r="T2436" s="1379">
        <f t="shared" si="350"/>
        <v>14.294162721875269</v>
      </c>
      <c r="U2436" s="1379">
        <f t="shared" si="351"/>
        <v>15.861139528707925</v>
      </c>
      <c r="V2436" s="1695">
        <f t="shared" si="355"/>
        <v>-0.42852658513741915</v>
      </c>
      <c r="W2436" s="1767">
        <f t="shared" si="352"/>
        <v>0.901206542947529</v>
      </c>
      <c r="X2436" s="1828">
        <v>233</v>
      </c>
      <c r="Y2436" s="1"/>
    </row>
    <row r="2437" spans="1:25" x14ac:dyDescent="0.2">
      <c r="A2437" s="1649" t="s">
        <v>347</v>
      </c>
      <c r="B2437" s="1680">
        <f>SUM(K2435:K2441)</f>
        <v>37</v>
      </c>
      <c r="C2437" s="1880">
        <v>45525</v>
      </c>
      <c r="D2437" s="1695">
        <v>99</v>
      </c>
      <c r="E2437" s="1696" t="s">
        <v>292</v>
      </c>
      <c r="F2437" s="1878" t="s">
        <v>322</v>
      </c>
      <c r="G2437" s="1697">
        <v>2.5381944444444443E-2</v>
      </c>
      <c r="H2437" s="1698">
        <v>6.03</v>
      </c>
      <c r="I2437" s="1699">
        <f t="shared" si="349"/>
        <v>4.2092776856458448E-3</v>
      </c>
      <c r="J2437" s="1700">
        <v>111</v>
      </c>
      <c r="K2437" s="1755">
        <v>37</v>
      </c>
      <c r="L2437" s="1578">
        <v>197</v>
      </c>
      <c r="M2437" s="1700">
        <v>22</v>
      </c>
      <c r="N2437" s="1701">
        <f t="shared" si="353"/>
        <v>1.0693324422662804</v>
      </c>
      <c r="O2437" s="1702" t="s">
        <v>340</v>
      </c>
      <c r="P2437" s="1635" t="str">
        <f>IFERROR(VLOOKUP(F2437,#REF!,12,FALSE),"")</f>
        <v/>
      </c>
      <c r="Q2437" s="1636" t="s">
        <v>8</v>
      </c>
      <c r="R2437" s="1703" t="str">
        <f>IFERROR(VLOOKUP(F2437,#REF!,14,FALSE),"")</f>
        <v/>
      </c>
      <c r="S2437" s="1704">
        <f t="shared" si="354"/>
        <v>1.7747747747747749</v>
      </c>
      <c r="T2437" s="1379">
        <f t="shared" si="350"/>
        <v>17.537853761607373</v>
      </c>
      <c r="U2437" s="1379">
        <f t="shared" si="351"/>
        <v>16.364445730405354</v>
      </c>
      <c r="V2437" s="1695">
        <f t="shared" si="355"/>
        <v>1.5669768068326562</v>
      </c>
      <c r="W2437" s="1767">
        <f t="shared" si="352"/>
        <v>1.0717047219645095</v>
      </c>
      <c r="X2437" s="1828">
        <v>233</v>
      </c>
      <c r="Y2437" s="1"/>
    </row>
    <row r="2438" spans="1:25" x14ac:dyDescent="0.2">
      <c r="A2438" s="1649" t="s">
        <v>256</v>
      </c>
      <c r="B2438" s="1677">
        <f>AVERAGE(W2435:W2441)</f>
        <v>0.8755786760003883</v>
      </c>
      <c r="C2438" s="1880">
        <v>45526</v>
      </c>
      <c r="D2438" s="1695"/>
      <c r="E2438" s="1696"/>
      <c r="F2438" s="1547"/>
      <c r="G2438" s="1697"/>
      <c r="H2438" s="1698" t="str">
        <f>IFERROR(VLOOKUP(F2438,#REF!,10,FALSE),"")</f>
        <v/>
      </c>
      <c r="I2438" s="1699" t="str">
        <f t="shared" si="349"/>
        <v/>
      </c>
      <c r="J2438" s="1700"/>
      <c r="K2438" s="1755"/>
      <c r="L2438" s="1578"/>
      <c r="M2438" s="1700"/>
      <c r="N2438" s="1701" t="str">
        <f t="shared" si="353"/>
        <v/>
      </c>
      <c r="O2438" s="1702"/>
      <c r="P2438" s="1635" t="str">
        <f>IFERROR(VLOOKUP(F2438,#REF!,12,FALSE),"")</f>
        <v/>
      </c>
      <c r="Q2438" s="1636" t="s">
        <v>8</v>
      </c>
      <c r="R2438" s="1703" t="str">
        <f>IFERROR(VLOOKUP(F2438,#REF!,14,FALSE),"")</f>
        <v/>
      </c>
      <c r="S2438" s="1704" t="str">
        <f t="shared" si="354"/>
        <v/>
      </c>
      <c r="T2438" s="1379">
        <f t="shared" si="350"/>
        <v>15.032446081377749</v>
      </c>
      <c r="U2438" s="1379">
        <f t="shared" si="351"/>
        <v>15.974816070157607</v>
      </c>
      <c r="V2438" s="1695">
        <f t="shared" si="355"/>
        <v>-1.173408031202019</v>
      </c>
      <c r="W2438" s="1767">
        <f t="shared" si="352"/>
        <v>0.9410090241639596</v>
      </c>
      <c r="X2438" s="1828">
        <v>233</v>
      </c>
      <c r="Y2438" s="1"/>
    </row>
    <row r="2439" spans="1:25" x14ac:dyDescent="0.2">
      <c r="A2439" s="1649" t="s">
        <v>336</v>
      </c>
      <c r="B2439" s="1713">
        <f>IFERROR(AVERAGE(N2435:N2441),"")</f>
        <v>1.0693324422662804</v>
      </c>
      <c r="C2439" s="1880">
        <v>45527</v>
      </c>
      <c r="D2439" s="1695"/>
      <c r="E2439" s="1696"/>
      <c r="F2439" s="1547"/>
      <c r="G2439" s="1697"/>
      <c r="H2439" s="1698" t="str">
        <f>IFERROR(VLOOKUP(F2439,#REF!,10,FALSE),"")</f>
        <v/>
      </c>
      <c r="I2439" s="1699" t="str">
        <f t="shared" si="349"/>
        <v/>
      </c>
      <c r="J2439" s="1700"/>
      <c r="K2439" s="1755"/>
      <c r="L2439" s="1578"/>
      <c r="M2439" s="1700"/>
      <c r="N2439" s="1701" t="str">
        <f t="shared" si="353"/>
        <v/>
      </c>
      <c r="O2439" s="1702"/>
      <c r="P2439" s="1635" t="str">
        <f>IFERROR(VLOOKUP(F2439,#REF!,12,FALSE),"")</f>
        <v/>
      </c>
      <c r="Q2439" s="1636" t="s">
        <v>8</v>
      </c>
      <c r="R2439" s="1703" t="str">
        <f>IFERROR(VLOOKUP(F2439,#REF!,14,FALSE),"")</f>
        <v/>
      </c>
      <c r="S2439" s="1704" t="str">
        <f t="shared" si="354"/>
        <v/>
      </c>
      <c r="T2439" s="1379">
        <f t="shared" si="350"/>
        <v>12.884953784038071</v>
      </c>
      <c r="U2439" s="1379">
        <f t="shared" si="351"/>
        <v>15.594463306582426</v>
      </c>
      <c r="V2439" s="1695">
        <f t="shared" si="355"/>
        <v>0.94236998877985734</v>
      </c>
      <c r="W2439" s="1767">
        <f t="shared" si="352"/>
        <v>0.82625182609518399</v>
      </c>
      <c r="X2439" s="1828">
        <v>233</v>
      </c>
      <c r="Y2439" s="1"/>
    </row>
    <row r="2440" spans="1:25" x14ac:dyDescent="0.2">
      <c r="A2440" s="1649" t="s">
        <v>337</v>
      </c>
      <c r="B2440" s="1681">
        <f>IFERROR(AVERAGE(S2435:S2441),"")</f>
        <v>1.7747747747747749</v>
      </c>
      <c r="C2440" s="1880">
        <v>45528</v>
      </c>
      <c r="D2440" s="1695"/>
      <c r="E2440" s="1696"/>
      <c r="F2440" s="1547"/>
      <c r="G2440" s="1697"/>
      <c r="H2440" s="1698" t="str">
        <f>IFERROR(VLOOKUP(F2440,#REF!,10,FALSE),"")</f>
        <v/>
      </c>
      <c r="I2440" s="1699" t="str">
        <f t="shared" si="349"/>
        <v/>
      </c>
      <c r="J2440" s="1700"/>
      <c r="K2440" s="1755"/>
      <c r="L2440" s="1578"/>
      <c r="M2440" s="1700"/>
      <c r="N2440" s="1701" t="str">
        <f t="shared" si="353"/>
        <v/>
      </c>
      <c r="O2440" s="1886"/>
      <c r="P2440" s="1887" t="str">
        <f>IFERROR(VLOOKUP(F2440,#REF!,12,FALSE),"")</f>
        <v/>
      </c>
      <c r="Q2440" s="1888" t="s">
        <v>8</v>
      </c>
      <c r="R2440" s="1889" t="str">
        <f>IFERROR(VLOOKUP(F2440,#REF!,14,FALSE),"")</f>
        <v/>
      </c>
      <c r="S2440" s="1890" t="str">
        <f t="shared" si="354"/>
        <v/>
      </c>
      <c r="T2440" s="1828">
        <f t="shared" si="350"/>
        <v>11.044246100604061</v>
      </c>
      <c r="U2440" s="1828">
        <f t="shared" si="351"/>
        <v>15.223166561187607</v>
      </c>
      <c r="V2440" s="1828">
        <f t="shared" si="355"/>
        <v>2.7095095225443551</v>
      </c>
      <c r="W2440" s="1891">
        <f t="shared" si="352"/>
        <v>0.72548940827869812</v>
      </c>
      <c r="X2440" s="1828">
        <v>233</v>
      </c>
      <c r="Y2440" s="5"/>
    </row>
    <row r="2441" spans="1:25" ht="16" thickBot="1" x14ac:dyDescent="0.25">
      <c r="A2441" s="1650" t="s">
        <v>5</v>
      </c>
      <c r="B2441" s="1678">
        <f>IFERROR(SUM(M2435:M2441),"")</f>
        <v>22</v>
      </c>
      <c r="C2441" s="1881">
        <v>45529</v>
      </c>
      <c r="D2441" s="683"/>
      <c r="E2441" s="684"/>
      <c r="F2441" s="1429"/>
      <c r="G2441" s="1361"/>
      <c r="H2441" s="1362" t="str">
        <f>IFERROR(VLOOKUP(F2441,#REF!,10,FALSE),"")</f>
        <v/>
      </c>
      <c r="I2441" s="1363" t="str">
        <f t="shared" si="349"/>
        <v/>
      </c>
      <c r="J2441" s="1364"/>
      <c r="K2441" s="1747"/>
      <c r="L2441" s="1705"/>
      <c r="M2441" s="1364"/>
      <c r="N2441" s="1365" t="str">
        <f t="shared" si="353"/>
        <v/>
      </c>
      <c r="O2441" s="1366"/>
      <c r="P2441" s="1892" t="str">
        <f>IFERROR(VLOOKUP(F2441,#REF!,12,FALSE),"")</f>
        <v/>
      </c>
      <c r="Q2441" s="1893" t="s">
        <v>8</v>
      </c>
      <c r="R2441" s="1894" t="str">
        <f>IFERROR(VLOOKUP(F2441,#REF!,14,FALSE),"")</f>
        <v/>
      </c>
      <c r="S2441" s="1191" t="str">
        <f t="shared" si="354"/>
        <v/>
      </c>
      <c r="T2441" s="1829">
        <f t="shared" si="350"/>
        <v>9.466496657660624</v>
      </c>
      <c r="U2441" s="1829">
        <f t="shared" si="351"/>
        <v>14.860710214492665</v>
      </c>
      <c r="V2441" s="683">
        <f t="shared" si="355"/>
        <v>4.1789204605835462</v>
      </c>
      <c r="W2441" s="1768">
        <f t="shared" si="352"/>
        <v>0.63701509019593006</v>
      </c>
      <c r="X2441" s="683">
        <v>233</v>
      </c>
      <c r="Y2441" s="5"/>
    </row>
    <row r="2442" spans="1:25" ht="16" thickBot="1" x14ac:dyDescent="0.25">
      <c r="A2442" s="1962">
        <f>WEEKNUM(C2442,1)</f>
        <v>35</v>
      </c>
      <c r="B2442" s="1963"/>
      <c r="C2442" s="1368">
        <v>45530</v>
      </c>
      <c r="D2442" s="1369"/>
      <c r="E2442" s="1370"/>
      <c r="F2442" s="1546"/>
      <c r="G2442" s="1371"/>
      <c r="H2442" s="1372" t="str">
        <f>IFERROR(VLOOKUP(F2442,#REF!,10,FALSE),"")</f>
        <v/>
      </c>
      <c r="I2442" s="1373" t="str">
        <f t="shared" si="349"/>
        <v/>
      </c>
      <c r="J2442" s="1374"/>
      <c r="K2442" s="1745"/>
      <c r="L2442" s="1577"/>
      <c r="M2442" s="1374"/>
      <c r="N2442" s="1375" t="str">
        <f t="shared" si="353"/>
        <v/>
      </c>
      <c r="O2442" s="1241"/>
      <c r="P2442" s="79" t="str">
        <f>IFERROR(VLOOKUP(F2442,#REF!,12,FALSE),"")</f>
        <v/>
      </c>
      <c r="Q2442" s="80" t="s">
        <v>8</v>
      </c>
      <c r="R2442" s="1243" t="str">
        <f>IFERROR(VLOOKUP(F2442,#REF!,14,FALSE),"")</f>
        <v/>
      </c>
      <c r="S2442" s="1244" t="str">
        <f t="shared" si="354"/>
        <v/>
      </c>
      <c r="T2442" s="70">
        <f t="shared" si="350"/>
        <v>8.1141399922805348</v>
      </c>
      <c r="U2442" s="70">
        <f t="shared" si="351"/>
        <v>14.506883780814269</v>
      </c>
      <c r="V2442" s="70">
        <f t="shared" si="355"/>
        <v>5.3942135568320406</v>
      </c>
      <c r="W2442" s="1839">
        <f t="shared" si="352"/>
        <v>0.55933032309886543</v>
      </c>
      <c r="X2442" s="70">
        <v>233</v>
      </c>
      <c r="Y2442" s="5"/>
    </row>
    <row r="2443" spans="1:25" x14ac:dyDescent="0.2">
      <c r="A2443" s="1648" t="s">
        <v>142</v>
      </c>
      <c r="B2443" s="1679">
        <f>SUM(H2442:H2448)</f>
        <v>29.83</v>
      </c>
      <c r="C2443" s="1651">
        <v>45531</v>
      </c>
      <c r="D2443" s="1695">
        <v>100</v>
      </c>
      <c r="E2443" s="1696" t="s">
        <v>293</v>
      </c>
      <c r="F2443" s="1878" t="s">
        <v>279</v>
      </c>
      <c r="G2443" s="1697">
        <v>4.0162037037037038E-2</v>
      </c>
      <c r="H2443" s="1698">
        <v>9.25</v>
      </c>
      <c r="I2443" s="1699">
        <f t="shared" si="349"/>
        <v>4.3418418418418418E-3</v>
      </c>
      <c r="J2443" s="1700"/>
      <c r="K2443" s="1755">
        <v>66</v>
      </c>
      <c r="L2443" s="1578">
        <v>200</v>
      </c>
      <c r="M2443" s="1700">
        <v>144</v>
      </c>
      <c r="N2443" s="1701">
        <f t="shared" si="353"/>
        <v>1.1198063735377168</v>
      </c>
      <c r="O2443" s="1702" t="s">
        <v>345</v>
      </c>
      <c r="P2443" s="1635" t="str">
        <f>IFERROR(VLOOKUP(F2443,#REF!,12,FALSE),"")</f>
        <v/>
      </c>
      <c r="Q2443" s="1636" t="s">
        <v>8</v>
      </c>
      <c r="R2443" s="1703" t="str">
        <f>IFERROR(VLOOKUP(F2443,#REF!,14,FALSE),"")</f>
        <v/>
      </c>
      <c r="S2443" s="1704"/>
      <c r="T2443" s="1379">
        <f t="shared" si="350"/>
        <v>16.383548564811889</v>
      </c>
      <c r="U2443" s="1379">
        <f t="shared" si="351"/>
        <v>15.732910357461549</v>
      </c>
      <c r="V2443" s="1695">
        <f t="shared" si="355"/>
        <v>6.3927437885337337</v>
      </c>
      <c r="W2443" s="1767">
        <f t="shared" si="352"/>
        <v>1.0413552351451469</v>
      </c>
      <c r="X2443" s="1828">
        <v>233</v>
      </c>
      <c r="Y2443" s="5"/>
    </row>
    <row r="2444" spans="1:25" x14ac:dyDescent="0.2">
      <c r="A2444" s="1649" t="s">
        <v>347</v>
      </c>
      <c r="B2444" s="1680">
        <f>SUM(K2442:K2448)</f>
        <v>204</v>
      </c>
      <c r="C2444" s="1651">
        <v>45532</v>
      </c>
      <c r="D2444" s="1695"/>
      <c r="E2444" s="1696"/>
      <c r="F2444" s="1547"/>
      <c r="G2444" s="1697"/>
      <c r="H2444" s="1698" t="str">
        <f>IFERROR(VLOOKUP(F2444,#REF!,10,FALSE),"")</f>
        <v/>
      </c>
      <c r="I2444" s="1699" t="str">
        <f t="shared" si="349"/>
        <v/>
      </c>
      <c r="J2444" s="1700"/>
      <c r="K2444" s="1755"/>
      <c r="L2444" s="1578"/>
      <c r="M2444" s="1700"/>
      <c r="N2444" s="1701" t="str">
        <f t="shared" si="353"/>
        <v/>
      </c>
      <c r="O2444" s="1702"/>
      <c r="P2444" s="1635" t="str">
        <f>IFERROR(VLOOKUP(F2444,#REF!,12,FALSE),"")</f>
        <v/>
      </c>
      <c r="Q2444" s="1636" t="s">
        <v>8</v>
      </c>
      <c r="R2444" s="1703" t="str">
        <f>IFERROR(VLOOKUP(F2444,#REF!,14,FALSE),"")</f>
        <v/>
      </c>
      <c r="S2444" s="1704" t="str">
        <f t="shared" si="354"/>
        <v/>
      </c>
      <c r="T2444" s="1379">
        <f t="shared" si="350"/>
        <v>14.043041626981619</v>
      </c>
      <c r="U2444" s="1379">
        <f t="shared" si="351"/>
        <v>15.358317253712464</v>
      </c>
      <c r="V2444" s="1695">
        <f t="shared" si="355"/>
        <v>-0.65063820735034028</v>
      </c>
      <c r="W2444" s="1767">
        <f t="shared" si="352"/>
        <v>0.91436069427378763</v>
      </c>
      <c r="X2444" s="1828">
        <v>233</v>
      </c>
    </row>
    <row r="2445" spans="1:25" x14ac:dyDescent="0.2">
      <c r="A2445" s="1649" t="s">
        <v>256</v>
      </c>
      <c r="B2445" s="1677">
        <f>AVERAGE(W2442:W2448)</f>
        <v>0.99443401838424528</v>
      </c>
      <c r="C2445" s="1651">
        <v>45533</v>
      </c>
      <c r="D2445" s="1695"/>
      <c r="E2445" s="1696"/>
      <c r="F2445" s="1547"/>
      <c r="G2445" s="1697"/>
      <c r="H2445" s="1698" t="str">
        <f>IFERROR(VLOOKUP(F2445,#REF!,10,FALSE),"")</f>
        <v/>
      </c>
      <c r="I2445" s="1699" t="str">
        <f t="shared" si="349"/>
        <v/>
      </c>
      <c r="J2445" s="1700"/>
      <c r="K2445" s="1755"/>
      <c r="L2445" s="1578"/>
      <c r="M2445" s="1700"/>
      <c r="N2445" s="1701" t="str">
        <f t="shared" si="353"/>
        <v/>
      </c>
      <c r="O2445" s="1702"/>
      <c r="P2445" s="1635" t="str">
        <f>IFERROR(VLOOKUP(F2445,#REF!,12,FALSE),"")</f>
        <v/>
      </c>
      <c r="Q2445" s="1636" t="s">
        <v>8</v>
      </c>
      <c r="R2445" s="1703" t="str">
        <f>IFERROR(VLOOKUP(F2445,#REF!,14,FALSE),"")</f>
        <v/>
      </c>
      <c r="S2445" s="1704" t="str">
        <f t="shared" si="354"/>
        <v/>
      </c>
      <c r="T2445" s="1379">
        <f t="shared" si="350"/>
        <v>12.036892823127102</v>
      </c>
      <c r="U2445" s="1379">
        <f t="shared" si="351"/>
        <v>14.992643033385976</v>
      </c>
      <c r="V2445" s="1695">
        <f t="shared" si="355"/>
        <v>1.3152756267308447</v>
      </c>
      <c r="W2445" s="1767">
        <f t="shared" si="352"/>
        <v>0.8028532925330818</v>
      </c>
      <c r="X2445" s="1828">
        <v>233</v>
      </c>
    </row>
    <row r="2446" spans="1:25" x14ac:dyDescent="0.2">
      <c r="A2446" s="1649" t="s">
        <v>336</v>
      </c>
      <c r="B2446" s="1713">
        <f>IFERROR(AVERAGE(N2442:N2448),"")</f>
        <v>1.0830720085438748</v>
      </c>
      <c r="C2446" s="1651">
        <v>45534</v>
      </c>
      <c r="D2446" s="1695">
        <v>101</v>
      </c>
      <c r="E2446" s="1696" t="s">
        <v>292</v>
      </c>
      <c r="F2446" s="1547" t="s">
        <v>279</v>
      </c>
      <c r="G2446" s="1697">
        <v>3.425925925925926E-2</v>
      </c>
      <c r="H2446" s="1698">
        <v>8.5500000000000007</v>
      </c>
      <c r="I2446" s="1699">
        <f t="shared" si="349"/>
        <v>4.0069309075157029E-3</v>
      </c>
      <c r="J2446" s="1700">
        <v>127</v>
      </c>
      <c r="K2446" s="1755">
        <v>58</v>
      </c>
      <c r="L2446" s="1578">
        <v>204</v>
      </c>
      <c r="M2446" s="1700">
        <v>25</v>
      </c>
      <c r="N2446" s="1701">
        <f t="shared" si="353"/>
        <v>1.0540979313956533</v>
      </c>
      <c r="O2446" s="1702" t="s">
        <v>345</v>
      </c>
      <c r="P2446" s="1635" t="str">
        <f>IFERROR(VLOOKUP(F2446,#REF!,12,FALSE),"")</f>
        <v/>
      </c>
      <c r="Q2446" s="1636" t="s">
        <v>8</v>
      </c>
      <c r="R2446" s="1703" t="str">
        <f>IFERROR(VLOOKUP(F2446,#REF!,14,FALSE),"")</f>
        <v/>
      </c>
      <c r="S2446" s="1704">
        <f t="shared" si="354"/>
        <v>1.6062992125984252</v>
      </c>
      <c r="T2446" s="1379">
        <f t="shared" si="350"/>
        <v>18.603050991251802</v>
      </c>
      <c r="U2446" s="1379">
        <f t="shared" si="351"/>
        <v>16.016627723067263</v>
      </c>
      <c r="V2446" s="1695">
        <f t="shared" si="355"/>
        <v>2.9557502102588735</v>
      </c>
      <c r="W2446" s="1767">
        <f t="shared" si="352"/>
        <v>1.1614836351886704</v>
      </c>
      <c r="X2446" s="1828">
        <v>233</v>
      </c>
    </row>
    <row r="2447" spans="1:25" x14ac:dyDescent="0.2">
      <c r="A2447" s="1649" t="s">
        <v>337</v>
      </c>
      <c r="B2447" s="1681">
        <f>IFERROR(AVERAGE(S2442:S2448),"")</f>
        <v>1.6071496062992128</v>
      </c>
      <c r="C2447" s="1651">
        <v>45535</v>
      </c>
      <c r="D2447" s="1695"/>
      <c r="E2447" s="1696"/>
      <c r="F2447" s="1547"/>
      <c r="G2447" s="1697"/>
      <c r="H2447" s="1698" t="str">
        <f>IFERROR(VLOOKUP(F2447,#REF!,10,FALSE),"")</f>
        <v/>
      </c>
      <c r="I2447" s="1699" t="str">
        <f t="shared" si="349"/>
        <v/>
      </c>
      <c r="J2447" s="1700"/>
      <c r="K2447" s="1755"/>
      <c r="L2447" s="1578"/>
      <c r="M2447" s="1700"/>
      <c r="N2447" s="1701" t="str">
        <f t="shared" si="353"/>
        <v/>
      </c>
      <c r="O2447" s="1702"/>
      <c r="P2447" s="1635" t="str">
        <f>IFERROR(VLOOKUP(F2447,#REF!,12,FALSE),"")</f>
        <v/>
      </c>
      <c r="Q2447" s="1636" t="s">
        <v>8</v>
      </c>
      <c r="R2447" s="1703" t="str">
        <f>IFERROR(VLOOKUP(F2447,#REF!,14,FALSE),"")</f>
        <v/>
      </c>
      <c r="S2447" s="1704" t="str">
        <f t="shared" si="354"/>
        <v/>
      </c>
      <c r="T2447" s="1379">
        <f t="shared" si="350"/>
        <v>15.945472278215831</v>
      </c>
      <c r="U2447" s="1379">
        <f t="shared" si="351"/>
        <v>15.635279443946613</v>
      </c>
      <c r="V2447" s="1695">
        <f t="shared" si="355"/>
        <v>-2.5864232681845394</v>
      </c>
      <c r="W2447" s="1767">
        <f t="shared" si="352"/>
        <v>1.0198392894339545</v>
      </c>
      <c r="X2447" s="1828">
        <v>233</v>
      </c>
    </row>
    <row r="2448" spans="1:25" ht="16" thickBot="1" x14ac:dyDescent="0.25">
      <c r="A2448" s="1650" t="s">
        <v>5</v>
      </c>
      <c r="B2448" s="1678">
        <f>IFERROR(SUM(M2442:M2448),"")</f>
        <v>208</v>
      </c>
      <c r="C2448" s="1360">
        <v>45536</v>
      </c>
      <c r="D2448" s="683">
        <v>102</v>
      </c>
      <c r="E2448" s="684" t="s">
        <v>292</v>
      </c>
      <c r="F2448" s="1429" t="s">
        <v>279</v>
      </c>
      <c r="G2448" s="1361">
        <v>4.9907407407407407E-2</v>
      </c>
      <c r="H2448" s="1362">
        <v>12.03</v>
      </c>
      <c r="I2448" s="1363">
        <f t="shared" si="349"/>
        <v>4.1485791693605494E-3</v>
      </c>
      <c r="J2448" s="1364">
        <v>125</v>
      </c>
      <c r="K2448" s="1747">
        <v>80</v>
      </c>
      <c r="L2448" s="1705">
        <v>201</v>
      </c>
      <c r="M2448" s="1364">
        <v>39</v>
      </c>
      <c r="N2448" s="1365">
        <f t="shared" si="353"/>
        <v>1.0753117206982543</v>
      </c>
      <c r="O2448" s="1366" t="s">
        <v>346</v>
      </c>
      <c r="P2448" s="1706" t="str">
        <f>IFERROR(VLOOKUP(F2448,#REF!,12,FALSE),"")</f>
        <v/>
      </c>
      <c r="Q2448" s="1707" t="s">
        <v>8</v>
      </c>
      <c r="R2448" s="1708" t="str">
        <f>IFERROR(VLOOKUP(F2448,#REF!,14,FALSE),"")</f>
        <v/>
      </c>
      <c r="S2448" s="1191">
        <f t="shared" si="354"/>
        <v>1.6080000000000001</v>
      </c>
      <c r="T2448" s="1379">
        <f t="shared" si="350"/>
        <v>25.09611909561357</v>
      </c>
      <c r="U2448" s="1379">
        <f t="shared" si="351"/>
        <v>17.167772790519312</v>
      </c>
      <c r="V2448" s="683">
        <f t="shared" si="355"/>
        <v>-0.31019283426921795</v>
      </c>
      <c r="W2448" s="1768">
        <f t="shared" si="352"/>
        <v>1.4618156590162115</v>
      </c>
      <c r="X2448" s="683">
        <v>233</v>
      </c>
    </row>
    <row r="2449" spans="1:25" ht="16" thickBot="1" x14ac:dyDescent="0.25">
      <c r="A2449" s="1962">
        <f>WEEKNUM(C2449,1)</f>
        <v>36</v>
      </c>
      <c r="B2449" s="1963"/>
      <c r="C2449" s="1368">
        <v>45537</v>
      </c>
      <c r="D2449" s="1369"/>
      <c r="E2449" s="1370"/>
      <c r="F2449" s="1546"/>
      <c r="G2449" s="1371"/>
      <c r="H2449" s="1372" t="str">
        <f>IFERROR(VLOOKUP(F2449,#REF!,10,FALSE),"")</f>
        <v/>
      </c>
      <c r="I2449" s="1373" t="str">
        <f t="shared" si="349"/>
        <v/>
      </c>
      <c r="J2449" s="1374"/>
      <c r="K2449" s="1745"/>
      <c r="L2449" s="1577"/>
      <c r="M2449" s="1374"/>
      <c r="N2449" s="1375" t="str">
        <f t="shared" si="353"/>
        <v/>
      </c>
      <c r="O2449" s="1376"/>
      <c r="P2449" s="795" t="str">
        <f>IFERROR(VLOOKUP(F2449,#REF!,12,FALSE),"")</f>
        <v/>
      </c>
      <c r="Q2449" s="1254" t="s">
        <v>8</v>
      </c>
      <c r="R2449" s="1694" t="str">
        <f>IFERROR(VLOOKUP(F2449,#REF!,14,FALSE),"")</f>
        <v/>
      </c>
      <c r="S2449" s="1377" t="str">
        <f t="shared" si="354"/>
        <v/>
      </c>
      <c r="T2449" s="1379">
        <f t="shared" si="350"/>
        <v>21.510959224811632</v>
      </c>
      <c r="U2449" s="1379">
        <f t="shared" si="351"/>
        <v>16.759016295506946</v>
      </c>
      <c r="V2449" s="1369">
        <f t="shared" si="355"/>
        <v>-7.9283463050942586</v>
      </c>
      <c r="W2449" s="1766">
        <f t="shared" si="352"/>
        <v>1.2835454566971614</v>
      </c>
      <c r="X2449" s="1369">
        <v>233</v>
      </c>
    </row>
    <row r="2450" spans="1:25" x14ac:dyDescent="0.2">
      <c r="A2450" s="1648" t="s">
        <v>142</v>
      </c>
      <c r="B2450" s="1679">
        <f>SUM(H2449:H2455)</f>
        <v>38.58</v>
      </c>
      <c r="C2450" s="1651">
        <v>45538</v>
      </c>
      <c r="D2450" s="1695">
        <v>103</v>
      </c>
      <c r="E2450" s="1696" t="s">
        <v>292</v>
      </c>
      <c r="F2450" s="1878" t="s">
        <v>343</v>
      </c>
      <c r="G2450" s="1697">
        <v>2.6979166666666665E-2</v>
      </c>
      <c r="H2450" s="1698">
        <v>6.28</v>
      </c>
      <c r="I2450" s="1699">
        <f t="shared" si="349"/>
        <v>4.2960456475583863E-3</v>
      </c>
      <c r="J2450" s="1700"/>
      <c r="K2450" s="1755">
        <v>37</v>
      </c>
      <c r="L2450" s="1578">
        <v>191</v>
      </c>
      <c r="M2450" s="1700">
        <v>23</v>
      </c>
      <c r="N2450" s="1701">
        <f t="shared" si="353"/>
        <v>1.0581352790189182</v>
      </c>
      <c r="O2450" s="1702" t="s">
        <v>333</v>
      </c>
      <c r="P2450" s="1635" t="str">
        <f>IFERROR(VLOOKUP(F2450,#REF!,12,FALSE),"")</f>
        <v/>
      </c>
      <c r="Q2450" s="1636" t="s">
        <v>8</v>
      </c>
      <c r="R2450" s="1703" t="str">
        <f>IFERROR(VLOOKUP(F2450,#REF!,14,FALSE),"")</f>
        <v/>
      </c>
      <c r="S2450" s="1704" t="str">
        <f t="shared" si="354"/>
        <v/>
      </c>
      <c r="T2450" s="1379">
        <f t="shared" si="350"/>
        <v>23.723679335552827</v>
      </c>
      <c r="U2450" s="1379">
        <f t="shared" si="351"/>
        <v>17.240944478947256</v>
      </c>
      <c r="V2450" s="1695">
        <f t="shared" si="355"/>
        <v>-4.7519429293046862</v>
      </c>
      <c r="W2450" s="1767">
        <f t="shared" si="352"/>
        <v>1.3760081046906434</v>
      </c>
      <c r="X2450" s="1695">
        <v>233</v>
      </c>
    </row>
    <row r="2451" spans="1:25" x14ac:dyDescent="0.2">
      <c r="A2451" s="1649" t="s">
        <v>347</v>
      </c>
      <c r="B2451" s="1680">
        <f>SUM(K2449:K2455)</f>
        <v>268</v>
      </c>
      <c r="C2451" s="1651">
        <v>45539</v>
      </c>
      <c r="D2451" s="1695">
        <v>104</v>
      </c>
      <c r="E2451" s="1696" t="s">
        <v>292</v>
      </c>
      <c r="F2451" s="1878" t="s">
        <v>343</v>
      </c>
      <c r="G2451" s="1697">
        <v>2.5486111111111112E-2</v>
      </c>
      <c r="H2451" s="1698">
        <v>6.21</v>
      </c>
      <c r="I2451" s="1699">
        <f t="shared" si="349"/>
        <v>4.1040436571837544E-3</v>
      </c>
      <c r="J2451" s="1700">
        <v>120</v>
      </c>
      <c r="K2451" s="1755">
        <v>42</v>
      </c>
      <c r="L2451" s="1578">
        <v>202</v>
      </c>
      <c r="M2451" s="1700">
        <v>22</v>
      </c>
      <c r="N2451" s="1701">
        <f t="shared" si="353"/>
        <v>1.069060494628308</v>
      </c>
      <c r="O2451" s="1702" t="s">
        <v>340</v>
      </c>
      <c r="P2451" s="1635" t="str">
        <f>IFERROR(VLOOKUP(F2451,#REF!,12,FALSE),"")</f>
        <v/>
      </c>
      <c r="Q2451" s="1636" t="s">
        <v>8</v>
      </c>
      <c r="R2451" s="1703" t="str">
        <f>IFERROR(VLOOKUP(F2451,#REF!,14,FALSE),"")</f>
        <v/>
      </c>
      <c r="S2451" s="1704">
        <f t="shared" si="354"/>
        <v>1.6833333333333333</v>
      </c>
      <c r="T2451" s="1379">
        <f t="shared" si="350"/>
        <v>26.334582287616708</v>
      </c>
      <c r="U2451" s="1379">
        <f t="shared" si="351"/>
        <v>17.830445800877083</v>
      </c>
      <c r="V2451" s="1695">
        <f t="shared" si="355"/>
        <v>-6.4827348566055711</v>
      </c>
      <c r="W2451" s="1767">
        <f t="shared" si="352"/>
        <v>1.4769446923374909</v>
      </c>
      <c r="X2451" s="1695">
        <v>233</v>
      </c>
    </row>
    <row r="2452" spans="1:25" x14ac:dyDescent="0.2">
      <c r="A2452" s="1649" t="s">
        <v>256</v>
      </c>
      <c r="B2452" s="1677">
        <f>AVERAGE(W2449:W2455)</f>
        <v>1.5325349939742821</v>
      </c>
      <c r="C2452" s="1651">
        <v>45540</v>
      </c>
      <c r="D2452" s="1695"/>
      <c r="E2452" s="1696"/>
      <c r="F2452" s="1547"/>
      <c r="G2452" s="1697"/>
      <c r="H2452" s="1698" t="str">
        <f>IFERROR(VLOOKUP(F2452,#REF!,10,FALSE),"")</f>
        <v/>
      </c>
      <c r="I2452" s="1699" t="str">
        <f t="shared" si="349"/>
        <v/>
      </c>
      <c r="J2452" s="1700"/>
      <c r="K2452" s="1755"/>
      <c r="L2452" s="1578"/>
      <c r="M2452" s="1700"/>
      <c r="N2452" s="1701" t="str">
        <f t="shared" si="353"/>
        <v/>
      </c>
      <c r="O2452" s="1702"/>
      <c r="P2452" s="1635" t="str">
        <f>IFERROR(VLOOKUP(F2452,#REF!,12,FALSE),"")</f>
        <v/>
      </c>
      <c r="Q2452" s="1636" t="s">
        <v>8</v>
      </c>
      <c r="R2452" s="1703" t="str">
        <f>IFERROR(VLOOKUP(F2452,#REF!,14,FALSE),"")</f>
        <v/>
      </c>
      <c r="S2452" s="1704" t="str">
        <f t="shared" si="354"/>
        <v/>
      </c>
      <c r="T2452" s="1379">
        <f t="shared" si="350"/>
        <v>22.572499103671465</v>
      </c>
      <c r="U2452" s="1379">
        <f t="shared" si="351"/>
        <v>17.405911377046678</v>
      </c>
      <c r="V2452" s="1695">
        <f t="shared" si="355"/>
        <v>-8.5041364867396254</v>
      </c>
      <c r="W2452" s="1767">
        <f t="shared" si="352"/>
        <v>1.2968294859548699</v>
      </c>
      <c r="X2452" s="1695">
        <v>233</v>
      </c>
    </row>
    <row r="2453" spans="1:25" x14ac:dyDescent="0.2">
      <c r="A2453" s="1649" t="s">
        <v>336</v>
      </c>
      <c r="B2453" s="1713">
        <f>IFERROR(AVERAGE(N2449:N2455),"")</f>
        <v>1.0667176863397732</v>
      </c>
      <c r="C2453" s="1651">
        <v>45541</v>
      </c>
      <c r="D2453" s="1695">
        <v>105</v>
      </c>
      <c r="E2453" s="1696" t="s">
        <v>292</v>
      </c>
      <c r="F2453" s="1547" t="s">
        <v>322</v>
      </c>
      <c r="G2453" s="1697">
        <v>3.5370370370370371E-2</v>
      </c>
      <c r="H2453" s="1698">
        <v>8.77</v>
      </c>
      <c r="I2453" s="1699">
        <f t="shared" si="349"/>
        <v>4.0331095063136117E-3</v>
      </c>
      <c r="J2453" s="1700">
        <v>124</v>
      </c>
      <c r="K2453" s="1755">
        <v>60</v>
      </c>
      <c r="L2453" s="1578">
        <v>205</v>
      </c>
      <c r="M2453" s="1700">
        <v>27</v>
      </c>
      <c r="N2453" s="1701">
        <f t="shared" si="353"/>
        <v>1.0661856056093537</v>
      </c>
      <c r="O2453" s="1702" t="s">
        <v>340</v>
      </c>
      <c r="P2453" s="1635" t="str">
        <f>IFERROR(VLOOKUP(F2453,#REF!,12,FALSE),"")</f>
        <v/>
      </c>
      <c r="Q2453" s="1636" t="s">
        <v>8</v>
      </c>
      <c r="R2453" s="1703" t="str">
        <f>IFERROR(VLOOKUP(F2453,#REF!,14,FALSE),"")</f>
        <v/>
      </c>
      <c r="S2453" s="1704">
        <f t="shared" si="354"/>
        <v>1.653225806451613</v>
      </c>
      <c r="T2453" s="1379">
        <f t="shared" si="350"/>
        <v>27.919284946004112</v>
      </c>
      <c r="U2453" s="1379">
        <f t="shared" si="351"/>
        <v>18.420056344259851</v>
      </c>
      <c r="V2453" s="1695">
        <f t="shared" si="355"/>
        <v>-5.1665877266247868</v>
      </c>
      <c r="W2453" s="1767">
        <f t="shared" si="352"/>
        <v>1.5157003010310799</v>
      </c>
      <c r="X2453" s="1695">
        <v>233</v>
      </c>
    </row>
    <row r="2454" spans="1:25" x14ac:dyDescent="0.2">
      <c r="A2454" s="1649" t="s">
        <v>337</v>
      </c>
      <c r="B2454" s="1681">
        <f>IFERROR(AVERAGE(S2449:S2455),"")</f>
        <v>1.6385021694019997</v>
      </c>
      <c r="C2454" s="1651">
        <v>45542</v>
      </c>
      <c r="D2454" s="1695">
        <v>106</v>
      </c>
      <c r="E2454" s="1696" t="s">
        <v>292</v>
      </c>
      <c r="F2454" s="1547" t="s">
        <v>274</v>
      </c>
      <c r="G2454" s="1697">
        <v>6.8657407407407403E-2</v>
      </c>
      <c r="H2454" s="1698">
        <v>17.32</v>
      </c>
      <c r="I2454" s="1699">
        <f t="shared" si="349"/>
        <v>3.9640535454623215E-3</v>
      </c>
      <c r="J2454" s="1700">
        <v>133</v>
      </c>
      <c r="K2454" s="1755">
        <v>129</v>
      </c>
      <c r="L2454" s="1578">
        <v>210</v>
      </c>
      <c r="M2454" s="1700">
        <v>68</v>
      </c>
      <c r="N2454" s="1701">
        <f t="shared" si="353"/>
        <v>1.0734893661025129</v>
      </c>
      <c r="O2454" s="1702" t="s">
        <v>346</v>
      </c>
      <c r="P2454" s="1635" t="str">
        <f>IFERROR(VLOOKUP(F2454,#REF!,12,FALSE),"")</f>
        <v/>
      </c>
      <c r="Q2454" s="1636" t="s">
        <v>8</v>
      </c>
      <c r="R2454" s="1703" t="str">
        <f>IFERROR(VLOOKUP(F2454,#REF!,14,FALSE),"")</f>
        <v/>
      </c>
      <c r="S2454" s="1704">
        <f t="shared" si="354"/>
        <v>1.5789473684210527</v>
      </c>
      <c r="T2454" s="1379">
        <f t="shared" si="350"/>
        <v>42.359387096574949</v>
      </c>
      <c r="U2454" s="1379">
        <f t="shared" si="351"/>
        <v>21.052912145586998</v>
      </c>
      <c r="V2454" s="1695">
        <f t="shared" si="355"/>
        <v>-9.4992286017442602</v>
      </c>
      <c r="W2454" s="1767">
        <f t="shared" si="352"/>
        <v>2.0120440727462068</v>
      </c>
      <c r="X2454" s="1695">
        <v>233</v>
      </c>
    </row>
    <row r="2455" spans="1:25" ht="16" thickBot="1" x14ac:dyDescent="0.25">
      <c r="A2455" s="1650" t="s">
        <v>5</v>
      </c>
      <c r="B2455" s="1678">
        <f>IFERROR(SUM(M2449:M2455),"")</f>
        <v>140</v>
      </c>
      <c r="C2455" s="1360">
        <v>45543</v>
      </c>
      <c r="D2455" s="683"/>
      <c r="E2455" s="684"/>
      <c r="F2455" s="1642"/>
      <c r="G2455" s="1361"/>
      <c r="H2455" s="1362"/>
      <c r="I2455" s="1363" t="str">
        <f t="shared" si="349"/>
        <v/>
      </c>
      <c r="J2455" s="1364"/>
      <c r="K2455" s="1747"/>
      <c r="L2455" s="1705"/>
      <c r="M2455" s="1364"/>
      <c r="N2455" s="1365" t="str">
        <f t="shared" si="353"/>
        <v/>
      </c>
      <c r="O2455" s="1366"/>
      <c r="P2455" s="1706" t="str">
        <f>IFERROR(VLOOKUP(F2455,#REF!,12,FALSE),"")</f>
        <v/>
      </c>
      <c r="Q2455" s="1707" t="s">
        <v>8</v>
      </c>
      <c r="R2455" s="1708" t="str">
        <f>IFERROR(VLOOKUP(F2455,#REF!,14,FALSE),"")</f>
        <v/>
      </c>
      <c r="S2455" s="1882" t="str">
        <f t="shared" si="354"/>
        <v/>
      </c>
      <c r="T2455" s="1829">
        <f t="shared" si="350"/>
        <v>36.308046082778525</v>
      </c>
      <c r="U2455" s="1829">
        <f t="shared" si="351"/>
        <v>20.551652332596831</v>
      </c>
      <c r="V2455" s="1829">
        <f t="shared" si="355"/>
        <v>-21.306474950987951</v>
      </c>
      <c r="W2455" s="1768">
        <f t="shared" si="352"/>
        <v>1.766672844362523</v>
      </c>
      <c r="X2455" s="1829">
        <v>233</v>
      </c>
    </row>
    <row r="2456" spans="1:25" ht="16" thickBot="1" x14ac:dyDescent="0.25">
      <c r="A2456" s="1962">
        <f>WEEKNUM(C2456,1)</f>
        <v>37</v>
      </c>
      <c r="B2456" s="1963"/>
      <c r="C2456" s="1368">
        <v>45544</v>
      </c>
      <c r="D2456" s="1369">
        <v>107</v>
      </c>
      <c r="E2456" s="1370" t="s">
        <v>292</v>
      </c>
      <c r="F2456" s="1546" t="s">
        <v>322</v>
      </c>
      <c r="G2456" s="1371">
        <v>2.7303240740740743E-2</v>
      </c>
      <c r="H2456" s="1372">
        <v>6.5</v>
      </c>
      <c r="I2456" s="1373">
        <f t="shared" si="349"/>
        <v>4.2004985754985754E-3</v>
      </c>
      <c r="J2456" s="1374">
        <v>122</v>
      </c>
      <c r="K2456" s="1745">
        <v>41</v>
      </c>
      <c r="L2456" s="1577">
        <v>197</v>
      </c>
      <c r="M2456" s="1374">
        <v>22</v>
      </c>
      <c r="N2456" s="1375">
        <f t="shared" si="353"/>
        <v>1.0671021814006887</v>
      </c>
      <c r="O2456" s="1376" t="s">
        <v>333</v>
      </c>
      <c r="P2456" s="795" t="str">
        <f>IFERROR(VLOOKUP(F2456,#REF!,12,FALSE),"")</f>
        <v/>
      </c>
      <c r="Q2456" s="1254" t="s">
        <v>8</v>
      </c>
      <c r="R2456" s="1694" t="str">
        <f>IFERROR(VLOOKUP(F2456,#REF!,14,FALSE),"")</f>
        <v/>
      </c>
      <c r="S2456" s="1244">
        <f t="shared" si="354"/>
        <v>1.6147540983606556</v>
      </c>
      <c r="T2456" s="70">
        <f t="shared" si="350"/>
        <v>36.978325213810166</v>
      </c>
      <c r="U2456" s="70">
        <f t="shared" si="351"/>
        <v>21.038517753249288</v>
      </c>
      <c r="V2456" s="70">
        <f t="shared" si="355"/>
        <v>-15.756393750181694</v>
      </c>
      <c r="W2456" s="1839">
        <f t="shared" si="352"/>
        <v>1.75764878721549</v>
      </c>
      <c r="X2456" s="1369">
        <v>233</v>
      </c>
    </row>
    <row r="2457" spans="1:25" x14ac:dyDescent="0.2">
      <c r="A2457" s="1648" t="s">
        <v>142</v>
      </c>
      <c r="B2457" s="1679">
        <f>SUM(H2456:H2462)</f>
        <v>35.56</v>
      </c>
      <c r="C2457" s="1651">
        <v>45545</v>
      </c>
      <c r="D2457" s="1695"/>
      <c r="E2457" s="1696"/>
      <c r="F2457" s="1503"/>
      <c r="G2457" s="1697"/>
      <c r="H2457" s="1698" t="str">
        <f>IFERROR(VLOOKUP(F2457,#REF!,10,FALSE),"")</f>
        <v/>
      </c>
      <c r="I2457" s="1699" t="str">
        <f t="shared" si="349"/>
        <v/>
      </c>
      <c r="J2457" s="1700"/>
      <c r="K2457" s="1755"/>
      <c r="L2457" s="1578"/>
      <c r="M2457" s="1700"/>
      <c r="N2457" s="1701" t="str">
        <f t="shared" si="353"/>
        <v/>
      </c>
      <c r="O2457" s="1702"/>
      <c r="P2457" s="1635" t="str">
        <f>IFERROR(VLOOKUP(F2457,#REF!,12,FALSE),"")</f>
        <v/>
      </c>
      <c r="Q2457" s="1636" t="s">
        <v>8</v>
      </c>
      <c r="R2457" s="1703" t="str">
        <f>IFERROR(VLOOKUP(F2457,#REF!,14,FALSE),"")</f>
        <v/>
      </c>
      <c r="S2457" s="1704" t="str">
        <f t="shared" si="354"/>
        <v/>
      </c>
      <c r="T2457" s="1379">
        <f t="shared" si="350"/>
        <v>31.695707326122999</v>
      </c>
      <c r="U2457" s="1379">
        <f t="shared" si="351"/>
        <v>20.537600663886209</v>
      </c>
      <c r="V2457" s="1695">
        <f t="shared" si="355"/>
        <v>-15.939807460560878</v>
      </c>
      <c r="W2457" s="1767">
        <f t="shared" si="352"/>
        <v>1.5433013741404302</v>
      </c>
      <c r="X2457" s="1896">
        <v>233</v>
      </c>
    </row>
    <row r="2458" spans="1:25" x14ac:dyDescent="0.2">
      <c r="A2458" s="1649" t="s">
        <v>347</v>
      </c>
      <c r="B2458" s="1680">
        <f>SUM(K2456:K2462)</f>
        <v>266</v>
      </c>
      <c r="C2458" s="1651">
        <v>45546</v>
      </c>
      <c r="D2458" s="1695">
        <v>108</v>
      </c>
      <c r="E2458" s="1696" t="s">
        <v>292</v>
      </c>
      <c r="F2458" s="1503" t="s">
        <v>322</v>
      </c>
      <c r="G2458" s="1697">
        <v>2.3668981481481482E-2</v>
      </c>
      <c r="H2458" s="1698">
        <v>5.97</v>
      </c>
      <c r="I2458" s="1699">
        <f t="shared" si="349"/>
        <v>3.9646535144860105E-3</v>
      </c>
      <c r="J2458" s="1700">
        <v>119</v>
      </c>
      <c r="K2458" s="1755">
        <v>43</v>
      </c>
      <c r="L2458" s="1578">
        <v>209</v>
      </c>
      <c r="M2458" s="1700">
        <v>22</v>
      </c>
      <c r="N2458" s="1701">
        <f t="shared" si="353"/>
        <v>1.0685392134803369</v>
      </c>
      <c r="O2458" s="1702" t="s">
        <v>340</v>
      </c>
      <c r="P2458" s="1635" t="str">
        <f>IFERROR(VLOOKUP(F2458,#REF!,12,FALSE),"")</f>
        <v/>
      </c>
      <c r="Q2458" s="1636" t="s">
        <v>8</v>
      </c>
      <c r="R2458" s="1703" t="str">
        <f>IFERROR(VLOOKUP(F2458,#REF!,14,FALSE),"")</f>
        <v/>
      </c>
      <c r="S2458" s="1704">
        <f t="shared" si="354"/>
        <v>1.7563025210084033</v>
      </c>
      <c r="T2458" s="1379">
        <f t="shared" si="350"/>
        <v>33.310606279533999</v>
      </c>
      <c r="U2458" s="1379">
        <f t="shared" si="351"/>
        <v>21.072419695698443</v>
      </c>
      <c r="V2458" s="1695">
        <f t="shared" si="355"/>
        <v>-11.15810666223679</v>
      </c>
      <c r="W2458" s="1767">
        <f t="shared" si="352"/>
        <v>1.5807679782656268</v>
      </c>
      <c r="X2458" s="1896">
        <v>233</v>
      </c>
    </row>
    <row r="2459" spans="1:25" x14ac:dyDescent="0.2">
      <c r="A2459" s="1649" t="s">
        <v>256</v>
      </c>
      <c r="B2459" s="1677">
        <f>AVERAGE(W2456:W2462)</f>
        <v>1.6257194832525383</v>
      </c>
      <c r="C2459" s="1651">
        <v>45547</v>
      </c>
      <c r="D2459" s="1695"/>
      <c r="E2459" s="1696"/>
      <c r="F2459" s="1547"/>
      <c r="G2459" s="1697"/>
      <c r="H2459" s="1698" t="str">
        <f>IFERROR(VLOOKUP(F2459,#REF!,10,FALSE),"")</f>
        <v/>
      </c>
      <c r="I2459" s="1699" t="str">
        <f t="shared" si="349"/>
        <v/>
      </c>
      <c r="J2459" s="1700"/>
      <c r="K2459" s="1755"/>
      <c r="L2459" s="1578"/>
      <c r="M2459" s="1700"/>
      <c r="N2459" s="1701" t="str">
        <f t="shared" si="353"/>
        <v/>
      </c>
      <c r="O2459" s="1702"/>
      <c r="P2459" s="1635" t="str">
        <f>IFERROR(VLOOKUP(F2459,#REF!,12,FALSE),"")</f>
        <v/>
      </c>
      <c r="Q2459" s="1636" t="s">
        <v>8</v>
      </c>
      <c r="R2459" s="1703" t="str">
        <f>IFERROR(VLOOKUP(F2459,#REF!,14,FALSE),"")</f>
        <v/>
      </c>
      <c r="S2459" s="1704" t="str">
        <f t="shared" si="354"/>
        <v/>
      </c>
      <c r="T2459" s="1379">
        <f t="shared" si="350"/>
        <v>28.55194823960057</v>
      </c>
      <c r="U2459" s="1379">
        <f t="shared" si="351"/>
        <v>20.570695417229434</v>
      </c>
      <c r="V2459" s="1695">
        <f t="shared" si="355"/>
        <v>-12.238186583835557</v>
      </c>
      <c r="W2459" s="1767">
        <f t="shared" si="352"/>
        <v>1.3879913955503063</v>
      </c>
      <c r="X2459" s="1896">
        <v>233</v>
      </c>
    </row>
    <row r="2460" spans="1:25" x14ac:dyDescent="0.2">
      <c r="A2460" s="1649" t="s">
        <v>336</v>
      </c>
      <c r="B2460" s="1713">
        <f>IFERROR(AVERAGE(N2456:N2462),"")</f>
        <v>1.0680200977684651</v>
      </c>
      <c r="C2460" s="1651">
        <v>45548</v>
      </c>
      <c r="D2460" s="1695">
        <v>109</v>
      </c>
      <c r="E2460" s="1696" t="s">
        <v>292</v>
      </c>
      <c r="F2460" s="1547" t="s">
        <v>344</v>
      </c>
      <c r="G2460" s="1697">
        <v>4.7280092592592596E-2</v>
      </c>
      <c r="H2460" s="1698">
        <v>13.06</v>
      </c>
      <c r="I2460" s="1699">
        <f t="shared" ref="I2460:I2523" si="356">IFERROR(G2460/H2460,"")</f>
        <v>3.6202214848845785E-3</v>
      </c>
      <c r="J2460" s="1700">
        <v>140</v>
      </c>
      <c r="K2460" s="1755">
        <v>122</v>
      </c>
      <c r="L2460" s="1578">
        <v>225</v>
      </c>
      <c r="M2460" s="1700">
        <v>32</v>
      </c>
      <c r="N2460" s="1701">
        <f t="shared" si="353"/>
        <v>1.050404562181436</v>
      </c>
      <c r="O2460" s="1702" t="s">
        <v>345</v>
      </c>
      <c r="P2460" s="1635" t="str">
        <f>IFERROR(VLOOKUP(F2460,#REF!,12,FALSE),"")</f>
        <v/>
      </c>
      <c r="Q2460" s="1636" t="s">
        <v>8</v>
      </c>
      <c r="R2460" s="1703" t="str">
        <f>IFERROR(VLOOKUP(F2460,#REF!,14,FALSE),"")</f>
        <v/>
      </c>
      <c r="S2460" s="1704">
        <f t="shared" si="354"/>
        <v>1.6071428571428572</v>
      </c>
      <c r="T2460" s="1379">
        <f t="shared" si="350"/>
        <v>41.901669919657635</v>
      </c>
      <c r="U2460" s="1379">
        <f t="shared" si="351"/>
        <v>22.985678859676351</v>
      </c>
      <c r="V2460" s="1695">
        <f t="shared" si="355"/>
        <v>-7.9812528223711361</v>
      </c>
      <c r="W2460" s="1767">
        <f t="shared" si="352"/>
        <v>1.8229468085524114</v>
      </c>
      <c r="X2460" s="1896">
        <v>241</v>
      </c>
    </row>
    <row r="2461" spans="1:25" x14ac:dyDescent="0.2">
      <c r="A2461" s="1649" t="s">
        <v>337</v>
      </c>
      <c r="B2461" s="1681">
        <f>IFERROR(AVERAGE(S2456:S2462),"")</f>
        <v>1.6131630078141104</v>
      </c>
      <c r="C2461" s="1651">
        <v>45549</v>
      </c>
      <c r="D2461" s="1695"/>
      <c r="E2461" s="1696"/>
      <c r="F2461" s="1503"/>
      <c r="G2461" s="1697"/>
      <c r="H2461" s="1698" t="str">
        <f>IFERROR(VLOOKUP(F2461,#REF!,10,FALSE),"")</f>
        <v/>
      </c>
      <c r="I2461" s="1699" t="str">
        <f t="shared" si="356"/>
        <v/>
      </c>
      <c r="J2461" s="1700"/>
      <c r="K2461" s="1755"/>
      <c r="L2461" s="1578"/>
      <c r="M2461" s="1700"/>
      <c r="N2461" s="1701" t="str">
        <f t="shared" si="353"/>
        <v/>
      </c>
      <c r="O2461" s="1702"/>
      <c r="P2461" s="1887" t="str">
        <f>IFERROR(VLOOKUP(F2461,#REF!,12,FALSE),"")</f>
        <v/>
      </c>
      <c r="Q2461" s="1888" t="s">
        <v>8</v>
      </c>
      <c r="R2461" s="1889" t="str">
        <f>IFERROR(VLOOKUP(F2461,#REF!,14,FALSE),"")</f>
        <v/>
      </c>
      <c r="S2461" s="1890" t="str">
        <f t="shared" si="354"/>
        <v/>
      </c>
      <c r="T2461" s="1828">
        <f t="shared" si="350"/>
        <v>35.915717073992262</v>
      </c>
      <c r="U2461" s="1828">
        <f t="shared" si="351"/>
        <v>22.438400791588819</v>
      </c>
      <c r="V2461" s="1828">
        <f t="shared" si="355"/>
        <v>-18.915991059981284</v>
      </c>
      <c r="W2461" s="1891">
        <f t="shared" si="352"/>
        <v>1.6006362221435808</v>
      </c>
      <c r="X2461" s="1896">
        <v>241</v>
      </c>
    </row>
    <row r="2462" spans="1:25" ht="16" thickBot="1" x14ac:dyDescent="0.25">
      <c r="A2462" s="1650" t="s">
        <v>5</v>
      </c>
      <c r="B2462" s="1678">
        <f>IFERROR(SUM(M2456:M2462),"")</f>
        <v>111</v>
      </c>
      <c r="C2462" s="1360">
        <v>45550</v>
      </c>
      <c r="D2462" s="683">
        <v>110</v>
      </c>
      <c r="E2462" s="684" t="s">
        <v>292</v>
      </c>
      <c r="F2462" s="1429" t="s">
        <v>279</v>
      </c>
      <c r="G2462" s="1361">
        <v>4.1817129629629628E-2</v>
      </c>
      <c r="H2462" s="1362">
        <v>10.029999999999999</v>
      </c>
      <c r="I2462" s="1363">
        <f t="shared" si="356"/>
        <v>4.1692053469221963E-3</v>
      </c>
      <c r="J2462" s="1364">
        <v>137</v>
      </c>
      <c r="K2462" s="1747">
        <v>60</v>
      </c>
      <c r="L2462" s="1705">
        <v>202</v>
      </c>
      <c r="M2462" s="1364">
        <v>35</v>
      </c>
      <c r="N2462" s="1365">
        <f t="shared" si="353"/>
        <v>1.0860344340113985</v>
      </c>
      <c r="O2462" s="1366" t="s">
        <v>346</v>
      </c>
      <c r="P2462" s="1892" t="str">
        <f>IFERROR(VLOOKUP(F2462,#REF!,12,FALSE),"")</f>
        <v/>
      </c>
      <c r="Q2462" s="1893" t="s">
        <v>8</v>
      </c>
      <c r="R2462" s="1894" t="str">
        <f>IFERROR(VLOOKUP(F2462,#REF!,14,FALSE),"")</f>
        <v/>
      </c>
      <c r="S2462" s="1191">
        <f t="shared" si="354"/>
        <v>1.4744525547445255</v>
      </c>
      <c r="T2462" s="1829">
        <f t="shared" si="350"/>
        <v>39.356328920564799</v>
      </c>
      <c r="U2462" s="1829">
        <f t="shared" si="351"/>
        <v>23.332724582265275</v>
      </c>
      <c r="V2462" s="683">
        <f t="shared" si="355"/>
        <v>-13.477316282403443</v>
      </c>
      <c r="W2462" s="1768">
        <f t="shared" si="352"/>
        <v>1.6867438168999234</v>
      </c>
      <c r="X2462" s="683">
        <v>241</v>
      </c>
    </row>
    <row r="2463" spans="1:25" ht="16" thickBot="1" x14ac:dyDescent="0.25">
      <c r="A2463" s="1962">
        <f>WEEKNUM(C2463,1)</f>
        <v>38</v>
      </c>
      <c r="B2463" s="1963"/>
      <c r="C2463" s="1368">
        <v>45551</v>
      </c>
      <c r="D2463" s="1369"/>
      <c r="E2463" s="1370"/>
      <c r="F2463" s="1546"/>
      <c r="G2463" s="1371"/>
      <c r="H2463" s="1372" t="str">
        <f>IFERROR(VLOOKUP(F2463,#REF!,10,FALSE),"")</f>
        <v/>
      </c>
      <c r="I2463" s="1373" t="str">
        <f t="shared" si="356"/>
        <v/>
      </c>
      <c r="J2463" s="1374"/>
      <c r="K2463" s="1745"/>
      <c r="L2463" s="1577"/>
      <c r="M2463" s="1374"/>
      <c r="N2463" s="1375" t="str">
        <f t="shared" si="353"/>
        <v/>
      </c>
      <c r="O2463" s="1376"/>
      <c r="P2463" s="79" t="str">
        <f>IFERROR(VLOOKUP(F2463,#REF!,12,FALSE),"")</f>
        <v/>
      </c>
      <c r="Q2463" s="80" t="s">
        <v>8</v>
      </c>
      <c r="R2463" s="1243" t="str">
        <f>IFERROR(VLOOKUP(F2463,#REF!,14,FALSE),"")</f>
        <v/>
      </c>
      <c r="S2463" s="1244" t="str">
        <f t="shared" si="354"/>
        <v/>
      </c>
      <c r="T2463" s="70">
        <f t="shared" si="350"/>
        <v>33.733996217626974</v>
      </c>
      <c r="U2463" s="70">
        <f t="shared" si="351"/>
        <v>22.777183520782767</v>
      </c>
      <c r="V2463" s="70">
        <f t="shared" si="355"/>
        <v>-16.023604338299524</v>
      </c>
      <c r="W2463" s="1839">
        <f t="shared" si="352"/>
        <v>1.4810433514243231</v>
      </c>
      <c r="X2463" s="70">
        <v>241</v>
      </c>
      <c r="Y2463" s="4"/>
    </row>
    <row r="2464" spans="1:25" x14ac:dyDescent="0.2">
      <c r="A2464" s="1648" t="s">
        <v>142</v>
      </c>
      <c r="B2464" s="1679">
        <f>SUM(H2463:H2469)</f>
        <v>0</v>
      </c>
      <c r="C2464" s="1651">
        <v>45552</v>
      </c>
      <c r="D2464" s="1695"/>
      <c r="E2464" s="1696"/>
      <c r="F2464" s="1878"/>
      <c r="G2464" s="1697"/>
      <c r="H2464" s="1698" t="str">
        <f>IFERROR(VLOOKUP(F2464,#REF!,10,FALSE),"")</f>
        <v/>
      </c>
      <c r="I2464" s="1699" t="str">
        <f t="shared" si="356"/>
        <v/>
      </c>
      <c r="J2464" s="1700"/>
      <c r="K2464" s="1755"/>
      <c r="L2464" s="1578"/>
      <c r="M2464" s="1700"/>
      <c r="N2464" s="1701" t="str">
        <f t="shared" si="353"/>
        <v/>
      </c>
      <c r="O2464" s="1702"/>
      <c r="P2464" s="1635" t="str">
        <f>IFERROR(VLOOKUP(F2464,#REF!,12,FALSE),"")</f>
        <v/>
      </c>
      <c r="Q2464" s="1636" t="s">
        <v>8</v>
      </c>
      <c r="R2464" s="1703" t="str">
        <f>IFERROR(VLOOKUP(F2464,#REF!,14,FALSE),"")</f>
        <v/>
      </c>
      <c r="S2464" s="1704" t="str">
        <f t="shared" si="354"/>
        <v/>
      </c>
      <c r="T2464" s="1379">
        <f t="shared" si="350"/>
        <v>28.914853900823118</v>
      </c>
      <c r="U2464" s="1379">
        <f t="shared" si="351"/>
        <v>22.234869627430797</v>
      </c>
      <c r="V2464" s="1695">
        <f t="shared" si="355"/>
        <v>-10.956812696844207</v>
      </c>
      <c r="W2464" s="1767">
        <f t="shared" si="352"/>
        <v>1.3004283085676982</v>
      </c>
      <c r="X2464" s="1896">
        <v>241</v>
      </c>
      <c r="Y2464" s="4"/>
    </row>
    <row r="2465" spans="1:25" x14ac:dyDescent="0.2">
      <c r="A2465" s="1649" t="s">
        <v>347</v>
      </c>
      <c r="B2465" s="1680">
        <f>SUM(K2463:K2469)</f>
        <v>0</v>
      </c>
      <c r="C2465" s="1651">
        <v>45553</v>
      </c>
      <c r="D2465" s="1695"/>
      <c r="E2465" s="1696"/>
      <c r="F2465" s="1878"/>
      <c r="G2465" s="1697"/>
      <c r="H2465" s="1698" t="str">
        <f>IFERROR(VLOOKUP(F2465,#REF!,10,FALSE),"")</f>
        <v/>
      </c>
      <c r="I2465" s="1699" t="str">
        <f t="shared" si="356"/>
        <v/>
      </c>
      <c r="J2465" s="1700"/>
      <c r="K2465" s="1755"/>
      <c r="L2465" s="1578"/>
      <c r="M2465" s="1700"/>
      <c r="N2465" s="1701" t="str">
        <f t="shared" si="353"/>
        <v/>
      </c>
      <c r="O2465" s="1702"/>
      <c r="P2465" s="1635" t="str">
        <f>IFERROR(VLOOKUP(F2465,#REF!,12,FALSE),"")</f>
        <v/>
      </c>
      <c r="Q2465" s="1636" t="s">
        <v>8</v>
      </c>
      <c r="R2465" s="1703" t="str">
        <f>IFERROR(VLOOKUP(F2465,#REF!,14,FALSE),"")</f>
        <v/>
      </c>
      <c r="S2465" s="1704" t="str">
        <f t="shared" si="354"/>
        <v/>
      </c>
      <c r="T2465" s="1379">
        <f t="shared" si="350"/>
        <v>24.784160486419815</v>
      </c>
      <c r="U2465" s="1379">
        <f t="shared" si="351"/>
        <v>21.705467969634824</v>
      </c>
      <c r="V2465" s="1695">
        <f t="shared" si="355"/>
        <v>-6.6799842733923214</v>
      </c>
      <c r="W2465" s="1767">
        <f t="shared" si="352"/>
        <v>1.1418394904496862</v>
      </c>
      <c r="X2465" s="1896">
        <v>241</v>
      </c>
      <c r="Y2465" s="4"/>
    </row>
    <row r="2466" spans="1:25" x14ac:dyDescent="0.2">
      <c r="A2466" s="1649" t="s">
        <v>256</v>
      </c>
      <c r="B2466" s="1677">
        <f>AVERAGE(W2463:W2469)</f>
        <v>1.0368421979985363</v>
      </c>
      <c r="C2466" s="1651">
        <v>45554</v>
      </c>
      <c r="D2466" s="1695"/>
      <c r="E2466" s="1696"/>
      <c r="F2466" s="1547"/>
      <c r="G2466" s="1697"/>
      <c r="H2466" s="1698" t="str">
        <f>IFERROR(VLOOKUP(F2466,#REF!,10,FALSE),"")</f>
        <v/>
      </c>
      <c r="I2466" s="1699" t="str">
        <f t="shared" si="356"/>
        <v/>
      </c>
      <c r="J2466" s="1700"/>
      <c r="K2466" s="1755"/>
      <c r="L2466" s="1578"/>
      <c r="M2466" s="1700"/>
      <c r="N2466" s="1701" t="str">
        <f t="shared" si="353"/>
        <v/>
      </c>
      <c r="O2466" s="1702"/>
      <c r="P2466" s="1635" t="str">
        <f>IFERROR(VLOOKUP(F2466,#REF!,12,FALSE),"")</f>
        <v/>
      </c>
      <c r="Q2466" s="1636" t="s">
        <v>8</v>
      </c>
      <c r="R2466" s="1703" t="str">
        <f>IFERROR(VLOOKUP(F2466,#REF!,14,FALSE),"")</f>
        <v/>
      </c>
      <c r="S2466" s="1704" t="str">
        <f t="shared" si="354"/>
        <v/>
      </c>
      <c r="T2466" s="1379">
        <f t="shared" si="350"/>
        <v>21.243566131216983</v>
      </c>
      <c r="U2466" s="1379">
        <f t="shared" si="351"/>
        <v>21.188671113214948</v>
      </c>
      <c r="V2466" s="1695">
        <f t="shared" si="355"/>
        <v>-3.0786925167849901</v>
      </c>
      <c r="W2466" s="1767">
        <f t="shared" si="352"/>
        <v>1.0025907721021636</v>
      </c>
      <c r="X2466" s="1896">
        <v>241</v>
      </c>
      <c r="Y2466" s="4"/>
    </row>
    <row r="2467" spans="1:25" x14ac:dyDescent="0.2">
      <c r="A2467" s="1649" t="s">
        <v>336</v>
      </c>
      <c r="B2467" s="1713" t="str">
        <f>IFERROR(AVERAGE(N2463:N2469),"")</f>
        <v/>
      </c>
      <c r="C2467" s="1651">
        <v>45555</v>
      </c>
      <c r="D2467" s="1695"/>
      <c r="E2467" s="1696"/>
      <c r="F2467" s="1547"/>
      <c r="G2467" s="1697"/>
      <c r="H2467" s="1698" t="str">
        <f>IFERROR(VLOOKUP(F2467,#REF!,10,FALSE),"")</f>
        <v/>
      </c>
      <c r="I2467" s="1699" t="str">
        <f t="shared" si="356"/>
        <v/>
      </c>
      <c r="J2467" s="1700"/>
      <c r="K2467" s="1755"/>
      <c r="L2467" s="1578"/>
      <c r="M2467" s="1700"/>
      <c r="N2467" s="1701" t="str">
        <f t="shared" si="353"/>
        <v/>
      </c>
      <c r="O2467" s="1702"/>
      <c r="P2467" s="1635" t="str">
        <f>IFERROR(VLOOKUP(F2467,#REF!,12,FALSE),"")</f>
        <v/>
      </c>
      <c r="Q2467" s="1636" t="s">
        <v>8</v>
      </c>
      <c r="R2467" s="1703" t="str">
        <f>IFERROR(VLOOKUP(F2467,#REF!,14,FALSE),"")</f>
        <v/>
      </c>
      <c r="S2467" s="1704" t="str">
        <f t="shared" si="354"/>
        <v/>
      </c>
      <c r="T2467" s="1379">
        <f t="shared" si="350"/>
        <v>18.208770969614559</v>
      </c>
      <c r="U2467" s="1379">
        <f t="shared" si="351"/>
        <v>20.684178943852686</v>
      </c>
      <c r="V2467" s="1695">
        <f t="shared" si="355"/>
        <v>-5.4895018002035556E-2</v>
      </c>
      <c r="W2467" s="1767">
        <f t="shared" si="352"/>
        <v>0.8803236047726315</v>
      </c>
      <c r="X2467" s="1896">
        <v>241</v>
      </c>
      <c r="Y2467" s="4"/>
    </row>
    <row r="2468" spans="1:25" x14ac:dyDescent="0.2">
      <c r="A2468" s="1649" t="s">
        <v>337</v>
      </c>
      <c r="B2468" s="1681" t="str">
        <f>IFERROR(AVERAGE(S2463:S2469),"")</f>
        <v/>
      </c>
      <c r="C2468" s="1651">
        <v>45556</v>
      </c>
      <c r="D2468" s="1695"/>
      <c r="E2468" s="1696"/>
      <c r="F2468" s="1547"/>
      <c r="G2468" s="1697"/>
      <c r="H2468" s="1698" t="str">
        <f>IFERROR(VLOOKUP(F2468,#REF!,10,FALSE),"")</f>
        <v/>
      </c>
      <c r="I2468" s="1699" t="str">
        <f t="shared" si="356"/>
        <v/>
      </c>
      <c r="J2468" s="1700"/>
      <c r="K2468" s="1755"/>
      <c r="L2468" s="1578"/>
      <c r="M2468" s="1700"/>
      <c r="N2468" s="1701" t="str">
        <f t="shared" si="353"/>
        <v/>
      </c>
      <c r="O2468" s="1702"/>
      <c r="P2468" s="1635" t="str">
        <f>IFERROR(VLOOKUP(F2468,#REF!,12,FALSE),"")</f>
        <v/>
      </c>
      <c r="Q2468" s="1636" t="s">
        <v>8</v>
      </c>
      <c r="R2468" s="1703" t="str">
        <f>IFERROR(VLOOKUP(F2468,#REF!,14,FALSE),"")</f>
        <v/>
      </c>
      <c r="S2468" s="1704" t="str">
        <f t="shared" si="354"/>
        <v/>
      </c>
      <c r="T2468" s="1379">
        <f t="shared" si="350"/>
        <v>15.607517973955336</v>
      </c>
      <c r="U2468" s="1379">
        <f t="shared" si="351"/>
        <v>20.191698492808573</v>
      </c>
      <c r="V2468" s="1695">
        <f t="shared" si="355"/>
        <v>2.4754079742381272</v>
      </c>
      <c r="W2468" s="1767">
        <f t="shared" si="352"/>
        <v>0.77296706760523748</v>
      </c>
      <c r="X2468" s="1896">
        <v>241</v>
      </c>
      <c r="Y2468" s="1"/>
    </row>
    <row r="2469" spans="1:25" ht="16" thickBot="1" x14ac:dyDescent="0.25">
      <c r="A2469" s="1650" t="s">
        <v>5</v>
      </c>
      <c r="B2469" s="1678">
        <f>IFERROR(SUM(M2463:M2469),"")</f>
        <v>0</v>
      </c>
      <c r="C2469" s="1360">
        <v>45557</v>
      </c>
      <c r="D2469" s="683"/>
      <c r="E2469" s="684"/>
      <c r="F2469" s="1429"/>
      <c r="G2469" s="1361"/>
      <c r="H2469" s="1362" t="str">
        <f>IFERROR(VLOOKUP(F2469,#REF!,10,FALSE),"")</f>
        <v/>
      </c>
      <c r="I2469" s="1363" t="str">
        <f t="shared" si="356"/>
        <v/>
      </c>
      <c r="J2469" s="1364"/>
      <c r="K2469" s="1747"/>
      <c r="L2469" s="1705"/>
      <c r="M2469" s="1364"/>
      <c r="N2469" s="1365" t="str">
        <f t="shared" si="353"/>
        <v/>
      </c>
      <c r="O2469" s="1366"/>
      <c r="P2469" s="1884" t="str">
        <f>IFERROR(VLOOKUP(F2469,#REF!,12,FALSE),"")</f>
        <v/>
      </c>
      <c r="Q2469" s="1885" t="s">
        <v>8</v>
      </c>
      <c r="R2469" s="1301" t="str">
        <f>IFERROR(VLOOKUP(F2469,#REF!,14,FALSE),"")</f>
        <v/>
      </c>
      <c r="S2469" s="1882" t="str">
        <f t="shared" si="354"/>
        <v/>
      </c>
      <c r="T2469" s="1829">
        <f t="shared" si="350"/>
        <v>13.377872549104573</v>
      </c>
      <c r="U2469" s="1829">
        <f t="shared" si="351"/>
        <v>19.71094376678932</v>
      </c>
      <c r="V2469" s="1829">
        <f t="shared" si="355"/>
        <v>4.5841805188532376</v>
      </c>
      <c r="W2469" s="1768">
        <f t="shared" si="352"/>
        <v>0.67870279106801346</v>
      </c>
      <c r="X2469" s="1829">
        <v>241</v>
      </c>
    </row>
    <row r="2470" spans="1:25" ht="16" thickBot="1" x14ac:dyDescent="0.25">
      <c r="A2470" s="1962">
        <f>WEEKNUM(C2470,1)</f>
        <v>39</v>
      </c>
      <c r="B2470" s="1963"/>
      <c r="C2470" s="1368">
        <v>45558</v>
      </c>
      <c r="D2470" s="1369">
        <v>111</v>
      </c>
      <c r="E2470" s="1370" t="s">
        <v>292</v>
      </c>
      <c r="F2470" s="1546" t="s">
        <v>343</v>
      </c>
      <c r="G2470" s="1371">
        <v>2.494212962962963E-2</v>
      </c>
      <c r="H2470" s="1372">
        <v>5.92</v>
      </c>
      <c r="I2470" s="1373">
        <f t="shared" si="356"/>
        <v>4.2131975725725728E-3</v>
      </c>
      <c r="J2470" s="1374">
        <v>114</v>
      </c>
      <c r="K2470" s="1745">
        <v>34</v>
      </c>
      <c r="L2470" s="1577">
        <v>196</v>
      </c>
      <c r="M2470" s="1374">
        <v>20</v>
      </c>
      <c r="N2470" s="1375">
        <f t="shared" si="353"/>
        <v>1.0648951189995968</v>
      </c>
      <c r="O2470" s="1376" t="s">
        <v>340</v>
      </c>
      <c r="P2470" s="79" t="str">
        <f>IFERROR(VLOOKUP(F2470,#REF!,12,FALSE),"")</f>
        <v/>
      </c>
      <c r="Q2470" s="80" t="s">
        <v>8</v>
      </c>
      <c r="R2470" s="1243" t="str">
        <f>IFERROR(VLOOKUP(F2470,#REF!,14,FALSE),"")</f>
        <v/>
      </c>
      <c r="S2470" s="1244">
        <f t="shared" si="354"/>
        <v>1.7192982456140351</v>
      </c>
      <c r="T2470" s="1369">
        <f t="shared" ref="T2470:T2533" si="357">T2469+(K2470-T2469)/7</f>
        <v>16.323890756375349</v>
      </c>
      <c r="U2470" s="1369">
        <f t="shared" ref="U2470:U2533" si="358">U2469+(K2470-U2469)/42</f>
        <v>20.051159391389575</v>
      </c>
      <c r="V2470" s="70">
        <f t="shared" si="355"/>
        <v>6.333071217684747</v>
      </c>
      <c r="W2470" s="1839">
        <f t="shared" ref="W2470:W2533" si="359">T2470/U2470</f>
        <v>0.81411206393308111</v>
      </c>
      <c r="X2470" s="70">
        <v>241</v>
      </c>
    </row>
    <row r="2471" spans="1:25" x14ac:dyDescent="0.2">
      <c r="A2471" s="1648" t="s">
        <v>142</v>
      </c>
      <c r="B2471" s="1679">
        <f>SUM(H2470:H2476)</f>
        <v>12.85</v>
      </c>
      <c r="C2471" s="1651">
        <v>45559</v>
      </c>
      <c r="D2471" s="1695"/>
      <c r="E2471" s="1696"/>
      <c r="F2471" s="1547"/>
      <c r="G2471" s="1697"/>
      <c r="H2471" s="1698" t="str">
        <f>IFERROR(VLOOKUP(F2471,#REF!,10,FALSE),"")</f>
        <v/>
      </c>
      <c r="I2471" s="1699" t="str">
        <f t="shared" si="356"/>
        <v/>
      </c>
      <c r="J2471" s="1700"/>
      <c r="K2471" s="1755"/>
      <c r="L2471" s="1578"/>
      <c r="M2471" s="1700"/>
      <c r="N2471" s="1701" t="str">
        <f t="shared" si="353"/>
        <v/>
      </c>
      <c r="O2471" s="1702"/>
      <c r="P2471" s="1635" t="str">
        <f>IFERROR(VLOOKUP(F2471,#REF!,12,FALSE),"")</f>
        <v/>
      </c>
      <c r="Q2471" s="1636" t="s">
        <v>8</v>
      </c>
      <c r="R2471" s="1703" t="str">
        <f>IFERROR(VLOOKUP(F2471,#REF!,14,FALSE),"")</f>
        <v/>
      </c>
      <c r="S2471" s="1704" t="str">
        <f t="shared" si="354"/>
        <v/>
      </c>
      <c r="T2471" s="1896">
        <f t="shared" si="357"/>
        <v>13.991906362607441</v>
      </c>
      <c r="U2471" s="1896">
        <f t="shared" si="358"/>
        <v>19.573750834451729</v>
      </c>
      <c r="V2471" s="1695">
        <f t="shared" si="355"/>
        <v>3.7272686350142266</v>
      </c>
      <c r="W2471" s="1767">
        <f t="shared" si="359"/>
        <v>0.71483010491685162</v>
      </c>
      <c r="X2471" s="1695">
        <v>241</v>
      </c>
    </row>
    <row r="2472" spans="1:25" x14ac:dyDescent="0.2">
      <c r="A2472" s="1649" t="s">
        <v>347</v>
      </c>
      <c r="B2472" s="1680">
        <f>SUM(K2470:K2476)</f>
        <v>79</v>
      </c>
      <c r="C2472" s="1651">
        <v>45560</v>
      </c>
      <c r="D2472" s="1695">
        <v>112</v>
      </c>
      <c r="E2472" s="1696" t="s">
        <v>293</v>
      </c>
      <c r="F2472" s="1878" t="s">
        <v>343</v>
      </c>
      <c r="G2472" s="1697">
        <v>2.7939814814814813E-2</v>
      </c>
      <c r="H2472" s="1698">
        <v>6.93</v>
      </c>
      <c r="I2472" s="1699">
        <f t="shared" si="356"/>
        <v>4.0317193094970873E-3</v>
      </c>
      <c r="J2472" s="1700">
        <v>124</v>
      </c>
      <c r="K2472" s="1755">
        <v>45</v>
      </c>
      <c r="L2472" s="1578">
        <v>207</v>
      </c>
      <c r="M2472" s="1700">
        <v>21</v>
      </c>
      <c r="N2472" s="1701">
        <f t="shared" si="353"/>
        <v>1.0762163209924402</v>
      </c>
      <c r="O2472" s="1702" t="s">
        <v>333</v>
      </c>
      <c r="P2472" s="1635" t="str">
        <f>IFERROR(VLOOKUP(F2472,#REF!,12,FALSE),"")</f>
        <v/>
      </c>
      <c r="Q2472" s="1636" t="s">
        <v>8</v>
      </c>
      <c r="R2472" s="1703" t="str">
        <f>IFERROR(VLOOKUP(F2472,#REF!,14,FALSE),"")</f>
        <v/>
      </c>
      <c r="S2472" s="1704">
        <f t="shared" si="354"/>
        <v>1.6693548387096775</v>
      </c>
      <c r="T2472" s="1896">
        <f t="shared" si="357"/>
        <v>18.421634025092093</v>
      </c>
      <c r="U2472" s="1896">
        <f t="shared" si="358"/>
        <v>20.179137719345736</v>
      </c>
      <c r="V2472" s="1695">
        <f t="shared" si="355"/>
        <v>5.5818444718442883</v>
      </c>
      <c r="W2472" s="1767">
        <f t="shared" si="359"/>
        <v>0.91290491602281276</v>
      </c>
      <c r="X2472" s="1695">
        <v>241</v>
      </c>
    </row>
    <row r="2473" spans="1:25" x14ac:dyDescent="0.2">
      <c r="A2473" s="1649" t="s">
        <v>256</v>
      </c>
      <c r="B2473" s="1677">
        <f>AVERAGE(W2470:W2476)</f>
        <v>0.72969422478287915</v>
      </c>
      <c r="C2473" s="1651">
        <v>45561</v>
      </c>
      <c r="D2473" s="1695"/>
      <c r="E2473" s="1696"/>
      <c r="F2473" s="1547"/>
      <c r="G2473" s="1697"/>
      <c r="H2473" s="1698" t="str">
        <f>IFERROR(VLOOKUP(F2473,#REF!,10,FALSE),"")</f>
        <v/>
      </c>
      <c r="I2473" s="1699" t="str">
        <f t="shared" si="356"/>
        <v/>
      </c>
      <c r="J2473" s="1700"/>
      <c r="K2473" s="1755"/>
      <c r="L2473" s="1578"/>
      <c r="M2473" s="1700"/>
      <c r="N2473" s="1701" t="str">
        <f t="shared" si="353"/>
        <v/>
      </c>
      <c r="O2473" s="1702"/>
      <c r="P2473" s="1635" t="str">
        <f>IFERROR(VLOOKUP(F2473,#REF!,12,FALSE),"")</f>
        <v/>
      </c>
      <c r="Q2473" s="1636" t="s">
        <v>8</v>
      </c>
      <c r="R2473" s="1703" t="str">
        <f>IFERROR(VLOOKUP(F2473,#REF!,14,FALSE),"")</f>
        <v/>
      </c>
      <c r="S2473" s="1704" t="str">
        <f t="shared" si="354"/>
        <v/>
      </c>
      <c r="T2473" s="1896">
        <f t="shared" si="357"/>
        <v>15.789972021507509</v>
      </c>
      <c r="U2473" s="1896">
        <f t="shared" si="358"/>
        <v>19.698682059361314</v>
      </c>
      <c r="V2473" s="1695">
        <f t="shared" si="355"/>
        <v>1.7575036942536428</v>
      </c>
      <c r="W2473" s="1767">
        <f t="shared" si="359"/>
        <v>0.80157504821515269</v>
      </c>
      <c r="X2473" s="1695">
        <v>241</v>
      </c>
    </row>
    <row r="2474" spans="1:25" x14ac:dyDescent="0.2">
      <c r="A2474" s="1649" t="s">
        <v>336</v>
      </c>
      <c r="B2474" s="1713">
        <f>IFERROR(AVERAGE(N2470:N2476),"")</f>
        <v>1.0705557199960185</v>
      </c>
      <c r="C2474" s="1651">
        <v>45562</v>
      </c>
      <c r="D2474" s="1695"/>
      <c r="E2474" s="1696"/>
      <c r="F2474" s="1547"/>
      <c r="G2474" s="1697"/>
      <c r="H2474" s="1698" t="str">
        <f>IFERROR(VLOOKUP(F2474,#REF!,10,FALSE),"")</f>
        <v/>
      </c>
      <c r="I2474" s="1699" t="str">
        <f t="shared" si="356"/>
        <v/>
      </c>
      <c r="J2474" s="1700"/>
      <c r="K2474" s="1755"/>
      <c r="L2474" s="1578"/>
      <c r="M2474" s="1700"/>
      <c r="N2474" s="1701" t="str">
        <f t="shared" si="353"/>
        <v/>
      </c>
      <c r="O2474" s="1702"/>
      <c r="P2474" s="1635" t="str">
        <f>IFERROR(VLOOKUP(F2474,#REF!,12,FALSE),"")</f>
        <v/>
      </c>
      <c r="Q2474" s="1636" t="s">
        <v>8</v>
      </c>
      <c r="R2474" s="1703" t="str">
        <f>IFERROR(VLOOKUP(F2474,#REF!,14,FALSE),"")</f>
        <v/>
      </c>
      <c r="S2474" s="1704" t="str">
        <f t="shared" si="354"/>
        <v/>
      </c>
      <c r="T2474" s="1896">
        <f t="shared" si="357"/>
        <v>13.534261732720722</v>
      </c>
      <c r="U2474" s="1896">
        <f t="shared" si="358"/>
        <v>19.229665819852713</v>
      </c>
      <c r="V2474" s="1695">
        <f t="shared" si="355"/>
        <v>3.9087100378538047</v>
      </c>
      <c r="W2474" s="1767">
        <f t="shared" si="359"/>
        <v>0.70382199355476815</v>
      </c>
      <c r="X2474" s="1695">
        <v>241</v>
      </c>
    </row>
    <row r="2475" spans="1:25" x14ac:dyDescent="0.2">
      <c r="A2475" s="1649" t="s">
        <v>337</v>
      </c>
      <c r="B2475" s="1681">
        <f>IFERROR(AVERAGE(S2470:S2476),"")</f>
        <v>1.6943265421618563</v>
      </c>
      <c r="C2475" s="1651">
        <v>45563</v>
      </c>
      <c r="D2475" s="1695"/>
      <c r="E2475" s="1696"/>
      <c r="F2475" s="1547"/>
      <c r="G2475" s="1697"/>
      <c r="H2475" s="1698" t="str">
        <f>IFERROR(VLOOKUP(F2475,#REF!,10,FALSE),"")</f>
        <v/>
      </c>
      <c r="I2475" s="1699" t="str">
        <f t="shared" si="356"/>
        <v/>
      </c>
      <c r="J2475" s="1700"/>
      <c r="K2475" s="1755"/>
      <c r="L2475" s="1578"/>
      <c r="M2475" s="1700"/>
      <c r="N2475" s="1701" t="str">
        <f t="shared" si="353"/>
        <v/>
      </c>
      <c r="O2475" s="1702"/>
      <c r="P2475" s="1635" t="str">
        <f>IFERROR(VLOOKUP(F2475,#REF!,12,FALSE),"")</f>
        <v/>
      </c>
      <c r="Q2475" s="1636" t="s">
        <v>8</v>
      </c>
      <c r="R2475" s="1703" t="str">
        <f>IFERROR(VLOOKUP(F2475,#REF!,14,FALSE),"")</f>
        <v/>
      </c>
      <c r="S2475" s="1704" t="str">
        <f t="shared" si="354"/>
        <v/>
      </c>
      <c r="T2475" s="1896">
        <f t="shared" si="357"/>
        <v>11.600795770903476</v>
      </c>
      <c r="U2475" s="1896">
        <f t="shared" si="358"/>
        <v>18.771816633665743</v>
      </c>
      <c r="V2475" s="1695">
        <f t="shared" si="355"/>
        <v>5.6954040871319904</v>
      </c>
      <c r="W2475" s="1767">
        <f t="shared" si="359"/>
        <v>0.61799004312125982</v>
      </c>
      <c r="X2475" s="1695">
        <v>241</v>
      </c>
    </row>
    <row r="2476" spans="1:25" ht="16" thickBot="1" x14ac:dyDescent="0.25">
      <c r="A2476" s="1650" t="s">
        <v>5</v>
      </c>
      <c r="B2476" s="1678">
        <f>IFERROR(SUM(M2470:M2476),"")</f>
        <v>41</v>
      </c>
      <c r="C2476" s="1360">
        <v>45564</v>
      </c>
      <c r="D2476" s="683"/>
      <c r="E2476" s="684"/>
      <c r="F2476" s="1429"/>
      <c r="G2476" s="1361"/>
      <c r="H2476" s="1362" t="str">
        <f>IFERROR(VLOOKUP(F2476,#REF!,10,FALSE),"")</f>
        <v/>
      </c>
      <c r="I2476" s="1363" t="str">
        <f t="shared" si="356"/>
        <v/>
      </c>
      <c r="J2476" s="1364"/>
      <c r="K2476" s="1747"/>
      <c r="L2476" s="1705"/>
      <c r="M2476" s="1364"/>
      <c r="N2476" s="1365" t="str">
        <f t="shared" si="353"/>
        <v/>
      </c>
      <c r="O2476" s="1366"/>
      <c r="P2476" s="1706" t="str">
        <f>IFERROR(VLOOKUP(F2476,#REF!,12,FALSE),"")</f>
        <v/>
      </c>
      <c r="Q2476" s="1707" t="s">
        <v>8</v>
      </c>
      <c r="R2476" s="1708" t="str">
        <f>IFERROR(VLOOKUP(F2476,#REF!,14,FALSE),"")</f>
        <v/>
      </c>
      <c r="S2476" s="1191" t="str">
        <f t="shared" si="354"/>
        <v/>
      </c>
      <c r="T2476" s="1829">
        <f t="shared" si="357"/>
        <v>9.9435392322029799</v>
      </c>
      <c r="U2476" s="1829">
        <f t="shared" si="358"/>
        <v>18.324868618578463</v>
      </c>
      <c r="V2476" s="683">
        <f t="shared" si="355"/>
        <v>7.1710208627622674</v>
      </c>
      <c r="W2476" s="1768">
        <f t="shared" si="359"/>
        <v>0.54262540371622825</v>
      </c>
      <c r="X2476" s="683">
        <v>241</v>
      </c>
    </row>
    <row r="2477" spans="1:25" ht="16" thickBot="1" x14ac:dyDescent="0.25">
      <c r="A2477" s="1962">
        <f>WEEKNUM(C2477,1)</f>
        <v>40</v>
      </c>
      <c r="B2477" s="1963"/>
      <c r="C2477" s="1368">
        <v>45565</v>
      </c>
      <c r="D2477" s="1369"/>
      <c r="E2477" s="1370"/>
      <c r="F2477" s="1546"/>
      <c r="G2477" s="1371"/>
      <c r="H2477" s="1372" t="str">
        <f>IFERROR(VLOOKUP(F2477,#REF!,10,FALSE),"")</f>
        <v/>
      </c>
      <c r="I2477" s="1373" t="str">
        <f t="shared" si="356"/>
        <v/>
      </c>
      <c r="J2477" s="1374"/>
      <c r="K2477" s="1745"/>
      <c r="L2477" s="1577"/>
      <c r="M2477" s="1374"/>
      <c r="N2477" s="1375" t="str">
        <f t="shared" si="353"/>
        <v/>
      </c>
      <c r="O2477" s="1376"/>
      <c r="P2477" s="795" t="str">
        <f>IFERROR(VLOOKUP(F2477,#REF!,12,FALSE),"")</f>
        <v/>
      </c>
      <c r="Q2477" s="1254" t="s">
        <v>8</v>
      </c>
      <c r="R2477" s="1694" t="str">
        <f>IFERROR(VLOOKUP(F2477,#REF!,14,FALSE),"")</f>
        <v/>
      </c>
      <c r="S2477" s="1377" t="str">
        <f t="shared" si="354"/>
        <v/>
      </c>
      <c r="T2477" s="70">
        <f t="shared" si="357"/>
        <v>8.5230336276025547</v>
      </c>
      <c r="U2477" s="70">
        <f t="shared" si="358"/>
        <v>17.888562222898024</v>
      </c>
      <c r="V2477" s="1369">
        <f t="shared" si="355"/>
        <v>8.3813293863754836</v>
      </c>
      <c r="W2477" s="1766">
        <f t="shared" si="359"/>
        <v>0.47645157399473698</v>
      </c>
      <c r="X2477" s="1369">
        <v>241</v>
      </c>
    </row>
    <row r="2478" spans="1:25" x14ac:dyDescent="0.2">
      <c r="A2478" s="1648" t="s">
        <v>142</v>
      </c>
      <c r="B2478" s="1679">
        <f>SUM(H2477:H2483)</f>
        <v>15.36</v>
      </c>
      <c r="C2478" s="1651">
        <v>45566</v>
      </c>
      <c r="D2478" s="1695"/>
      <c r="E2478" s="1696"/>
      <c r="F2478" s="1547"/>
      <c r="G2478" s="1697"/>
      <c r="H2478" s="1698" t="str">
        <f>IFERROR(VLOOKUP(F2478,#REF!,10,FALSE),"")</f>
        <v/>
      </c>
      <c r="I2478" s="1699" t="str">
        <f t="shared" si="356"/>
        <v/>
      </c>
      <c r="J2478" s="1700"/>
      <c r="K2478" s="1755"/>
      <c r="L2478" s="1578"/>
      <c r="M2478" s="1700"/>
      <c r="N2478" s="1701" t="str">
        <f t="shared" si="353"/>
        <v/>
      </c>
      <c r="O2478" s="1702"/>
      <c r="P2478" s="1635" t="str">
        <f>IFERROR(VLOOKUP(F2478,#REF!,12,FALSE),"")</f>
        <v/>
      </c>
      <c r="Q2478" s="1636" t="s">
        <v>8</v>
      </c>
      <c r="R2478" s="1703" t="str">
        <f>IFERROR(VLOOKUP(F2478,#REF!,14,FALSE),"")</f>
        <v/>
      </c>
      <c r="S2478" s="1704" t="str">
        <f t="shared" si="354"/>
        <v/>
      </c>
      <c r="T2478" s="1379">
        <f t="shared" si="357"/>
        <v>7.3054573950879043</v>
      </c>
      <c r="U2478" s="1379">
        <f t="shared" si="358"/>
        <v>17.462644074733785</v>
      </c>
      <c r="V2478" s="1695">
        <f t="shared" si="355"/>
        <v>9.3655285952954692</v>
      </c>
      <c r="W2478" s="1767">
        <f t="shared" si="359"/>
        <v>0.41834772350757399</v>
      </c>
      <c r="X2478" s="1695">
        <v>241</v>
      </c>
    </row>
    <row r="2479" spans="1:25" x14ac:dyDescent="0.2">
      <c r="A2479" s="1649" t="s">
        <v>347</v>
      </c>
      <c r="B2479" s="1680">
        <f>SUM(K2477:K2483)</f>
        <v>96</v>
      </c>
      <c r="C2479" s="1651">
        <v>45567</v>
      </c>
      <c r="D2479" s="1695"/>
      <c r="E2479" s="1696"/>
      <c r="F2479" s="1878"/>
      <c r="G2479" s="1697"/>
      <c r="H2479" s="1698" t="str">
        <f>IFERROR(VLOOKUP(F2479,#REF!,10,FALSE),"")</f>
        <v/>
      </c>
      <c r="I2479" s="1699" t="str">
        <f t="shared" si="356"/>
        <v/>
      </c>
      <c r="J2479" s="1700"/>
      <c r="K2479" s="1755"/>
      <c r="L2479" s="1578"/>
      <c r="M2479" s="1700"/>
      <c r="N2479" s="1701" t="str">
        <f t="shared" si="353"/>
        <v/>
      </c>
      <c r="O2479" s="1702"/>
      <c r="P2479" s="1635" t="str">
        <f>IFERROR(VLOOKUP(F2479,#REF!,12,FALSE),"")</f>
        <v/>
      </c>
      <c r="Q2479" s="1636" t="s">
        <v>8</v>
      </c>
      <c r="R2479" s="1703" t="str">
        <f>IFERROR(VLOOKUP(F2479,#REF!,14,FALSE),"")</f>
        <v/>
      </c>
      <c r="S2479" s="1704" t="str">
        <f t="shared" si="354"/>
        <v/>
      </c>
      <c r="T2479" s="1379">
        <f t="shared" si="357"/>
        <v>6.2618206243610608</v>
      </c>
      <c r="U2479" s="1379">
        <f t="shared" si="358"/>
        <v>17.04686683485917</v>
      </c>
      <c r="V2479" s="1695">
        <f t="shared" si="355"/>
        <v>10.15718667964588</v>
      </c>
      <c r="W2479" s="1767">
        <f t="shared" si="359"/>
        <v>0.36732970844567475</v>
      </c>
      <c r="X2479" s="1695">
        <v>241</v>
      </c>
    </row>
    <row r="2480" spans="1:25" x14ac:dyDescent="0.2">
      <c r="A2480" s="1649" t="s">
        <v>256</v>
      </c>
      <c r="B2480" s="1677">
        <f>AVERAGE(W2477:W2483)</f>
        <v>0.54421506947780807</v>
      </c>
      <c r="C2480" s="1651">
        <v>45568</v>
      </c>
      <c r="D2480" s="1695">
        <v>113</v>
      </c>
      <c r="E2480" s="1696" t="s">
        <v>292</v>
      </c>
      <c r="F2480" s="1547" t="s">
        <v>343</v>
      </c>
      <c r="G2480" s="1697">
        <v>2.7708333333333331E-2</v>
      </c>
      <c r="H2480" s="1698">
        <v>6.79</v>
      </c>
      <c r="I2480" s="1699">
        <f t="shared" ref="I2480" si="360">IFERROR(G2480/H2480,"")</f>
        <v>4.0807560137457038E-3</v>
      </c>
      <c r="J2480" s="1700">
        <v>130</v>
      </c>
      <c r="K2480" s="1755">
        <v>42</v>
      </c>
      <c r="L2480" s="1578">
        <v>205</v>
      </c>
      <c r="M2480" s="1700">
        <v>23</v>
      </c>
      <c r="N2480" s="1701">
        <f t="shared" si="353"/>
        <v>1.0787813509770732</v>
      </c>
      <c r="O2480" s="1702" t="s">
        <v>340</v>
      </c>
      <c r="P2480" s="1635" t="str">
        <f>IFERROR(VLOOKUP(F2480,#REF!,12,FALSE),"")</f>
        <v/>
      </c>
      <c r="Q2480" s="1636" t="s">
        <v>8</v>
      </c>
      <c r="R2480" s="1703" t="str">
        <f>IFERROR(VLOOKUP(F2480,#REF!,14,FALSE),"")</f>
        <v/>
      </c>
      <c r="S2480" s="1704">
        <f t="shared" si="354"/>
        <v>1.5769230769230769</v>
      </c>
      <c r="T2480" s="1379">
        <f t="shared" si="357"/>
        <v>11.367274820880908</v>
      </c>
      <c r="U2480" s="1379">
        <f t="shared" si="358"/>
        <v>17.640989053076808</v>
      </c>
      <c r="V2480" s="1695">
        <f t="shared" si="355"/>
        <v>10.785046210498109</v>
      </c>
      <c r="W2480" s="1767">
        <f t="shared" si="359"/>
        <v>0.64436720564135908</v>
      </c>
      <c r="X2480" s="1695">
        <v>241</v>
      </c>
      <c r="Y2480" s="1"/>
    </row>
    <row r="2481" spans="1:24" x14ac:dyDescent="0.2">
      <c r="A2481" s="1649" t="s">
        <v>336</v>
      </c>
      <c r="B2481" s="1713">
        <f>IFERROR(AVERAGE(N2477:N2483),"")</f>
        <v>1.0728029606206357</v>
      </c>
      <c r="C2481" s="1651">
        <v>45569</v>
      </c>
      <c r="D2481" s="1695"/>
      <c r="E2481" s="1696"/>
      <c r="F2481" s="1547"/>
      <c r="G2481" s="1697"/>
      <c r="H2481" s="1698" t="str">
        <f>IFERROR(VLOOKUP(F2481,#REF!,10,FALSE),"")</f>
        <v/>
      </c>
      <c r="I2481" s="1699" t="str">
        <f t="shared" si="356"/>
        <v/>
      </c>
      <c r="J2481" s="1700"/>
      <c r="K2481" s="1755"/>
      <c r="L2481" s="1578"/>
      <c r="M2481" s="1700"/>
      <c r="N2481" s="1701" t="str">
        <f t="shared" si="353"/>
        <v/>
      </c>
      <c r="O2481" s="1702"/>
      <c r="P2481" s="1635" t="str">
        <f>IFERROR(VLOOKUP(F2481,#REF!,12,FALSE),"")</f>
        <v/>
      </c>
      <c r="Q2481" s="1636" t="s">
        <v>8</v>
      </c>
      <c r="R2481" s="1703" t="str">
        <f>IFERROR(VLOOKUP(F2481,#REF!,14,FALSE),"")</f>
        <v/>
      </c>
      <c r="S2481" s="1704" t="str">
        <f t="shared" si="354"/>
        <v/>
      </c>
      <c r="T2481" s="1379">
        <f t="shared" si="357"/>
        <v>9.7433784178979206</v>
      </c>
      <c r="U2481" s="1379">
        <f t="shared" si="358"/>
        <v>17.220965504194027</v>
      </c>
      <c r="V2481" s="1695">
        <f t="shared" si="355"/>
        <v>6.2737142321958999</v>
      </c>
      <c r="W2481" s="1767">
        <f t="shared" si="359"/>
        <v>0.5657858390997299</v>
      </c>
      <c r="X2481" s="1695">
        <v>241</v>
      </c>
    </row>
    <row r="2482" spans="1:24" x14ac:dyDescent="0.2">
      <c r="A2482" s="1649" t="s">
        <v>337</v>
      </c>
      <c r="B2482" s="1681">
        <f>IFERROR(AVERAGE(S2477:S2483),"")</f>
        <v>1.564580941446613</v>
      </c>
      <c r="C2482" s="1651">
        <v>45570</v>
      </c>
      <c r="D2482" s="1695"/>
      <c r="E2482" s="1696"/>
      <c r="F2482" s="1547"/>
      <c r="G2482" s="1697"/>
      <c r="H2482" s="1698" t="str">
        <f>IFERROR(VLOOKUP(F2482,#REF!,10,FALSE),"")</f>
        <v/>
      </c>
      <c r="I2482" s="1699" t="str">
        <f t="shared" si="356"/>
        <v/>
      </c>
      <c r="J2482" s="1700"/>
      <c r="K2482" s="1755"/>
      <c r="L2482" s="1578"/>
      <c r="M2482" s="1700"/>
      <c r="N2482" s="1701" t="str">
        <f t="shared" si="353"/>
        <v/>
      </c>
      <c r="O2482" s="1702"/>
      <c r="P2482" s="1635" t="str">
        <f>IFERROR(VLOOKUP(F2482,#REF!,12,FALSE),"")</f>
        <v/>
      </c>
      <c r="Q2482" s="1636" t="s">
        <v>8</v>
      </c>
      <c r="R2482" s="1703" t="str">
        <f>IFERROR(VLOOKUP(F2482,#REF!,14,FALSE),"")</f>
        <v/>
      </c>
      <c r="S2482" s="1704" t="str">
        <f t="shared" si="354"/>
        <v/>
      </c>
      <c r="T2482" s="1379">
        <f t="shared" si="357"/>
        <v>8.3514672153410743</v>
      </c>
      <c r="U2482" s="1379">
        <f t="shared" si="358"/>
        <v>16.810942515998931</v>
      </c>
      <c r="V2482" s="1695">
        <f t="shared" si="355"/>
        <v>7.477587086296106</v>
      </c>
      <c r="W2482" s="1767">
        <f t="shared" si="359"/>
        <v>0.49678756603878721</v>
      </c>
      <c r="X2482" s="1695">
        <v>241</v>
      </c>
    </row>
    <row r="2483" spans="1:24" ht="16" thickBot="1" x14ac:dyDescent="0.25">
      <c r="A2483" s="1650" t="s">
        <v>5</v>
      </c>
      <c r="B2483" s="1678">
        <f>IFERROR(SUM(M2477:M2483),"")</f>
        <v>47</v>
      </c>
      <c r="C2483" s="1360">
        <v>45571</v>
      </c>
      <c r="D2483" s="683">
        <v>114</v>
      </c>
      <c r="E2483" s="684" t="s">
        <v>292</v>
      </c>
      <c r="F2483" s="1429" t="s">
        <v>279</v>
      </c>
      <c r="G2483" s="1361">
        <v>3.408564814814815E-2</v>
      </c>
      <c r="H2483" s="1362">
        <v>8.57</v>
      </c>
      <c r="I2483" s="1363">
        <f t="shared" si="356"/>
        <v>3.9773218375902157E-3</v>
      </c>
      <c r="J2483" s="1364">
        <v>134</v>
      </c>
      <c r="K2483" s="1747">
        <v>54</v>
      </c>
      <c r="L2483" s="1705">
        <v>208</v>
      </c>
      <c r="M2483" s="1364">
        <v>24</v>
      </c>
      <c r="N2483" s="1365">
        <f t="shared" si="353"/>
        <v>1.0668245702641983</v>
      </c>
      <c r="O2483" s="1366" t="s">
        <v>340</v>
      </c>
      <c r="P2483" s="1706" t="str">
        <f>IFERROR(VLOOKUP(F2483,#REF!,12,FALSE),"")</f>
        <v/>
      </c>
      <c r="Q2483" s="1707" t="s">
        <v>8</v>
      </c>
      <c r="R2483" s="1708" t="str">
        <f>IFERROR(VLOOKUP(F2483,#REF!,14,FALSE),"")</f>
        <v/>
      </c>
      <c r="S2483" s="1191">
        <f t="shared" si="354"/>
        <v>1.5522388059701493</v>
      </c>
      <c r="T2483" s="1897">
        <f t="shared" si="357"/>
        <v>14.872686184578065</v>
      </c>
      <c r="U2483" s="1897">
        <f t="shared" si="358"/>
        <v>17.696396265618006</v>
      </c>
      <c r="V2483" s="683">
        <f t="shared" si="355"/>
        <v>8.4594753006578571</v>
      </c>
      <c r="W2483" s="1768">
        <f t="shared" si="359"/>
        <v>0.84043586961679462</v>
      </c>
      <c r="X2483" s="683">
        <v>241</v>
      </c>
    </row>
    <row r="2484" spans="1:24" ht="16" thickBot="1" x14ac:dyDescent="0.25">
      <c r="A2484" s="1962">
        <f>WEEKNUM(C2484,1)</f>
        <v>41</v>
      </c>
      <c r="B2484" s="1963"/>
      <c r="C2484" s="1368">
        <v>45572</v>
      </c>
      <c r="D2484" s="1369"/>
      <c r="E2484" s="1370"/>
      <c r="F2484" s="1546"/>
      <c r="G2484" s="1371"/>
      <c r="H2484" s="1372" t="str">
        <f>IFERROR(VLOOKUP(F2484,#REF!,10,FALSE),"")</f>
        <v/>
      </c>
      <c r="I2484" s="1373" t="str">
        <f t="shared" si="356"/>
        <v/>
      </c>
      <c r="J2484" s="1374"/>
      <c r="K2484" s="1745"/>
      <c r="L2484" s="1577"/>
      <c r="M2484" s="1374"/>
      <c r="N2484" s="1375" t="str">
        <f t="shared" si="353"/>
        <v/>
      </c>
      <c r="O2484" s="1376"/>
      <c r="P2484" s="795" t="str">
        <f>IFERROR(VLOOKUP(F2484,#REF!,12,FALSE),"")</f>
        <v/>
      </c>
      <c r="Q2484" s="1254" t="s">
        <v>8</v>
      </c>
      <c r="R2484" s="1694" t="str">
        <f>IFERROR(VLOOKUP(F2484,#REF!,14,FALSE),"")</f>
        <v/>
      </c>
      <c r="S2484" s="1377" t="str">
        <f t="shared" si="354"/>
        <v/>
      </c>
      <c r="T2484" s="1369">
        <f t="shared" si="357"/>
        <v>12.748016729638341</v>
      </c>
      <c r="U2484" s="1369">
        <f t="shared" si="358"/>
        <v>17.275053497389006</v>
      </c>
      <c r="V2484" s="1369">
        <f t="shared" si="355"/>
        <v>2.8237100810399411</v>
      </c>
      <c r="W2484" s="1766">
        <f t="shared" si="359"/>
        <v>0.73794369039523422</v>
      </c>
      <c r="X2484" s="1369">
        <v>241</v>
      </c>
    </row>
    <row r="2485" spans="1:24" x14ac:dyDescent="0.2">
      <c r="A2485" s="1648" t="s">
        <v>142</v>
      </c>
      <c r="B2485" s="1679">
        <f>SUM(H2484:H2490)</f>
        <v>34.97</v>
      </c>
      <c r="C2485" s="1651">
        <v>45573</v>
      </c>
      <c r="D2485" s="1695">
        <v>115</v>
      </c>
      <c r="E2485" s="1696" t="s">
        <v>293</v>
      </c>
      <c r="F2485" s="1878" t="s">
        <v>343</v>
      </c>
      <c r="G2485" s="1697">
        <v>2.7974537037037037E-2</v>
      </c>
      <c r="H2485" s="1698">
        <v>6.96</v>
      </c>
      <c r="I2485" s="1699">
        <f t="shared" si="356"/>
        <v>4.019330034057046E-3</v>
      </c>
      <c r="J2485" s="1700">
        <v>127</v>
      </c>
      <c r="K2485" s="1755">
        <v>45</v>
      </c>
      <c r="L2485" s="1578">
        <v>207</v>
      </c>
      <c r="M2485" s="1700">
        <v>19</v>
      </c>
      <c r="N2485" s="1701">
        <f t="shared" si="353"/>
        <v>1.0729091610910961</v>
      </c>
      <c r="O2485" s="1702" t="s">
        <v>333</v>
      </c>
      <c r="P2485" s="1635" t="str">
        <f>IFERROR(VLOOKUP(F2485,#REF!,12,FALSE),"")</f>
        <v/>
      </c>
      <c r="Q2485" s="1636" t="s">
        <v>8</v>
      </c>
      <c r="R2485" s="1703" t="str">
        <f>IFERROR(VLOOKUP(F2485,#REF!,14,FALSE),"")</f>
        <v/>
      </c>
      <c r="S2485" s="1704">
        <f t="shared" si="354"/>
        <v>1.6299212598425197</v>
      </c>
      <c r="T2485" s="1896">
        <f t="shared" si="357"/>
        <v>17.35544291111858</v>
      </c>
      <c r="U2485" s="1896">
        <f t="shared" si="358"/>
        <v>17.935171271260696</v>
      </c>
      <c r="V2485" s="1695">
        <f t="shared" si="355"/>
        <v>4.5270367677506655</v>
      </c>
      <c r="W2485" s="1767">
        <f t="shared" si="359"/>
        <v>0.96767645252035739</v>
      </c>
      <c r="X2485" s="1695">
        <v>241</v>
      </c>
    </row>
    <row r="2486" spans="1:24" x14ac:dyDescent="0.2">
      <c r="A2486" s="1649" t="s">
        <v>347</v>
      </c>
      <c r="B2486" s="1680">
        <f>SUM(K2484:K2490)</f>
        <v>224</v>
      </c>
      <c r="C2486" s="1651">
        <v>45574</v>
      </c>
      <c r="D2486" s="1695">
        <v>116</v>
      </c>
      <c r="E2486" s="1696" t="s">
        <v>293</v>
      </c>
      <c r="F2486" s="1547" t="s">
        <v>343</v>
      </c>
      <c r="G2486" s="1697">
        <v>3.3067129629629627E-2</v>
      </c>
      <c r="H2486" s="1698">
        <v>8.31</v>
      </c>
      <c r="I2486" s="1699">
        <f t="shared" si="356"/>
        <v>3.9791973080180055E-3</v>
      </c>
      <c r="J2486" s="1700">
        <v>128</v>
      </c>
      <c r="K2486" s="1755">
        <v>59</v>
      </c>
      <c r="L2486" s="1578">
        <v>212</v>
      </c>
      <c r="M2486" s="1700">
        <v>22</v>
      </c>
      <c r="N2486" s="1701">
        <f t="shared" si="353"/>
        <v>1.0878531530075253</v>
      </c>
      <c r="O2486" s="1702" t="s">
        <v>346</v>
      </c>
      <c r="P2486" s="1635" t="str">
        <f>IFERROR(VLOOKUP(F2486,#REF!,12,FALSE),"")</f>
        <v/>
      </c>
      <c r="Q2486" s="1636" t="s">
        <v>8</v>
      </c>
      <c r="R2486" s="1703" t="str">
        <f>IFERROR(VLOOKUP(F2486,#REF!,14,FALSE),"")</f>
        <v/>
      </c>
      <c r="S2486" s="1704">
        <f t="shared" si="354"/>
        <v>1.65625</v>
      </c>
      <c r="T2486" s="1896">
        <f t="shared" si="357"/>
        <v>23.304665352387353</v>
      </c>
      <c r="U2486" s="1896">
        <f t="shared" si="358"/>
        <v>18.912905288611633</v>
      </c>
      <c r="V2486" s="1695">
        <f t="shared" si="355"/>
        <v>0.57972836014211637</v>
      </c>
      <c r="W2486" s="1767">
        <f t="shared" si="359"/>
        <v>1.2322097000306034</v>
      </c>
      <c r="X2486" s="1695">
        <v>241</v>
      </c>
    </row>
    <row r="2487" spans="1:24" x14ac:dyDescent="0.2">
      <c r="A2487" s="1649" t="s">
        <v>256</v>
      </c>
      <c r="B2487" s="1677">
        <f>AVERAGE(W2484:W2490)</f>
        <v>1.1081184235586166</v>
      </c>
      <c r="C2487" s="1651">
        <v>45575</v>
      </c>
      <c r="D2487" s="1695"/>
      <c r="E2487" s="1696"/>
      <c r="F2487" s="1547"/>
      <c r="G2487" s="1697"/>
      <c r="H2487" s="1698" t="str">
        <f>IFERROR(VLOOKUP(F2487,#REF!,10,FALSE),"")</f>
        <v/>
      </c>
      <c r="I2487" s="1699" t="str">
        <f t="shared" si="356"/>
        <v/>
      </c>
      <c r="J2487" s="1700"/>
      <c r="K2487" s="1755"/>
      <c r="L2487" s="1578"/>
      <c r="M2487" s="1700"/>
      <c r="N2487" s="1701" t="str">
        <f t="shared" si="353"/>
        <v/>
      </c>
      <c r="O2487" s="1702"/>
      <c r="P2487" s="1635" t="str">
        <f>IFERROR(VLOOKUP(F2487,#REF!,12,FALSE),"")</f>
        <v/>
      </c>
      <c r="Q2487" s="1636" t="s">
        <v>8</v>
      </c>
      <c r="R2487" s="1703" t="str">
        <f>IFERROR(VLOOKUP(F2487,#REF!,14,FALSE),"")</f>
        <v/>
      </c>
      <c r="S2487" s="1704" t="str">
        <f t="shared" si="354"/>
        <v/>
      </c>
      <c r="T2487" s="1896">
        <f t="shared" si="357"/>
        <v>19.975427444903445</v>
      </c>
      <c r="U2487" s="1896">
        <f t="shared" si="358"/>
        <v>18.462598019835166</v>
      </c>
      <c r="V2487" s="1695">
        <f t="shared" si="355"/>
        <v>-4.3917600637757204</v>
      </c>
      <c r="W2487" s="1767">
        <f t="shared" si="359"/>
        <v>1.0819402244171152</v>
      </c>
      <c r="X2487" s="1695">
        <v>241</v>
      </c>
    </row>
    <row r="2488" spans="1:24" x14ac:dyDescent="0.2">
      <c r="A2488" s="1649" t="s">
        <v>336</v>
      </c>
      <c r="B2488" s="1713">
        <f>IFERROR(AVERAGE(N2484:N2490),"")</f>
        <v>1.0784232163844385</v>
      </c>
      <c r="C2488" s="1651">
        <v>45576</v>
      </c>
      <c r="D2488" s="1695">
        <v>117</v>
      </c>
      <c r="E2488" s="1696" t="s">
        <v>292</v>
      </c>
      <c r="F2488" s="1547" t="s">
        <v>322</v>
      </c>
      <c r="G2488" s="1697">
        <v>2.8252314814814813E-2</v>
      </c>
      <c r="H2488" s="1698">
        <v>7.14</v>
      </c>
      <c r="I2488" s="1699">
        <f t="shared" si="356"/>
        <v>3.9569068368087972E-3</v>
      </c>
      <c r="J2488" s="1700">
        <v>128</v>
      </c>
      <c r="K2488" s="1755">
        <v>47</v>
      </c>
      <c r="L2488" s="1578">
        <v>210</v>
      </c>
      <c r="M2488" s="1700">
        <v>20</v>
      </c>
      <c r="N2488" s="1701">
        <f t="shared" si="353"/>
        <v>1.0715539947322212</v>
      </c>
      <c r="O2488" s="1702" t="s">
        <v>340</v>
      </c>
      <c r="P2488" s="1635" t="str">
        <f>IFERROR(VLOOKUP(F2488,#REF!,12,FALSE),"")</f>
        <v/>
      </c>
      <c r="Q2488" s="1636" t="s">
        <v>8</v>
      </c>
      <c r="R2488" s="1703" t="str">
        <f>IFERROR(VLOOKUP(F2488,#REF!,14,FALSE),"")</f>
        <v/>
      </c>
      <c r="S2488" s="1704">
        <f t="shared" si="354"/>
        <v>1.640625</v>
      </c>
      <c r="T2488" s="1896">
        <f t="shared" si="357"/>
        <v>23.836080667060095</v>
      </c>
      <c r="U2488" s="1896">
        <f t="shared" si="358"/>
        <v>19.142059971743851</v>
      </c>
      <c r="V2488" s="1695">
        <f t="shared" si="355"/>
        <v>-1.5128294250682792</v>
      </c>
      <c r="W2488" s="1767">
        <f t="shared" si="359"/>
        <v>1.2452202480947832</v>
      </c>
      <c r="X2488" s="1695">
        <v>241</v>
      </c>
    </row>
    <row r="2489" spans="1:24" x14ac:dyDescent="0.2">
      <c r="A2489" s="1649" t="s">
        <v>337</v>
      </c>
      <c r="B2489" s="1681">
        <f>IFERROR(AVERAGE(S2484:S2490),"")</f>
        <v>1.6133784542736069</v>
      </c>
      <c r="C2489" s="1651">
        <v>45577</v>
      </c>
      <c r="D2489" s="1695"/>
      <c r="E2489" s="1696"/>
      <c r="F2489" s="1547"/>
      <c r="G2489" s="1697"/>
      <c r="H2489" s="1698" t="str">
        <f>IFERROR(VLOOKUP(F2489,#REF!,10,FALSE),"")</f>
        <v/>
      </c>
      <c r="I2489" s="1699" t="str">
        <f t="shared" si="356"/>
        <v/>
      </c>
      <c r="J2489" s="1700"/>
      <c r="K2489" s="1755"/>
      <c r="L2489" s="1578"/>
      <c r="M2489" s="1700"/>
      <c r="N2489" s="1701" t="str">
        <f t="shared" si="353"/>
        <v/>
      </c>
      <c r="O2489" s="1702"/>
      <c r="P2489" s="1635" t="str">
        <f>IFERROR(VLOOKUP(F2489,#REF!,12,FALSE),"")</f>
        <v/>
      </c>
      <c r="Q2489" s="1636" t="s">
        <v>8</v>
      </c>
      <c r="R2489" s="1703" t="str">
        <f>IFERROR(VLOOKUP(F2489,#REF!,14,FALSE),"")</f>
        <v/>
      </c>
      <c r="S2489" s="1704" t="str">
        <f t="shared" si="354"/>
        <v/>
      </c>
      <c r="T2489" s="1896">
        <f t="shared" si="357"/>
        <v>20.430926286051509</v>
      </c>
      <c r="U2489" s="1896">
        <f t="shared" si="358"/>
        <v>18.686296639083285</v>
      </c>
      <c r="V2489" s="1695">
        <f t="shared" si="355"/>
        <v>-4.6940206953162438</v>
      </c>
      <c r="W2489" s="1767">
        <f t="shared" si="359"/>
        <v>1.093364120278346</v>
      </c>
      <c r="X2489" s="1695">
        <v>241</v>
      </c>
    </row>
    <row r="2490" spans="1:24" ht="16" thickBot="1" x14ac:dyDescent="0.25">
      <c r="A2490" s="1650" t="s">
        <v>5</v>
      </c>
      <c r="B2490" s="1678">
        <f>IFERROR(SUM(M2484:M2490),"")</f>
        <v>111</v>
      </c>
      <c r="C2490" s="1360">
        <v>45578</v>
      </c>
      <c r="D2490" s="683">
        <v>118</v>
      </c>
      <c r="E2490" s="684" t="s">
        <v>292</v>
      </c>
      <c r="F2490" s="1429" t="s">
        <v>279</v>
      </c>
      <c r="G2490" s="1361">
        <v>5.2662037037037035E-2</v>
      </c>
      <c r="H2490" s="1362">
        <v>12.56</v>
      </c>
      <c r="I2490" s="1363">
        <f t="shared" si="356"/>
        <v>4.1928373437131392E-3</v>
      </c>
      <c r="J2490" s="1364">
        <v>131</v>
      </c>
      <c r="K2490" s="1747">
        <v>73</v>
      </c>
      <c r="L2490" s="1705">
        <v>200</v>
      </c>
      <c r="M2490" s="1364">
        <v>50</v>
      </c>
      <c r="N2490" s="1365">
        <f t="shared" ref="N2490:N2553" si="361">IFERROR((L2490/67)/(1/(I2490*24)/3.6),"")</f>
        <v>1.0813765567069111</v>
      </c>
      <c r="O2490" s="1366" t="s">
        <v>346</v>
      </c>
      <c r="P2490" s="1706" t="str">
        <f>IFERROR(VLOOKUP(F2490,#REF!,12,FALSE),"")</f>
        <v/>
      </c>
      <c r="Q2490" s="1707" t="s">
        <v>8</v>
      </c>
      <c r="R2490" s="1708" t="str">
        <f>IFERROR(VLOOKUP(F2490,#REF!,14,FALSE),"")</f>
        <v/>
      </c>
      <c r="S2490" s="1191">
        <f t="shared" ref="S2490:S2553" si="362">IFERROR(L2490/J2490,"")</f>
        <v>1.5267175572519085</v>
      </c>
      <c r="T2490" s="1829">
        <f t="shared" si="357"/>
        <v>27.940793959472721</v>
      </c>
      <c r="U2490" s="1829">
        <f t="shared" si="358"/>
        <v>19.979480052438443</v>
      </c>
      <c r="V2490" s="683">
        <f t="shared" ref="V2490:V2553" si="363">U2489-T2489</f>
        <v>-1.7446296469682245</v>
      </c>
      <c r="W2490" s="1768">
        <f t="shared" si="359"/>
        <v>1.3984745291738772</v>
      </c>
      <c r="X2490" s="683">
        <v>241</v>
      </c>
    </row>
    <row r="2491" spans="1:24" ht="16" thickBot="1" x14ac:dyDescent="0.25">
      <c r="A2491" s="1962">
        <f>WEEKNUM(C2491,1)</f>
        <v>42</v>
      </c>
      <c r="B2491" s="1963"/>
      <c r="C2491" s="1368">
        <v>45579</v>
      </c>
      <c r="D2491" s="1369"/>
      <c r="E2491" s="1370"/>
      <c r="F2491" s="1546"/>
      <c r="G2491" s="1371"/>
      <c r="H2491" s="1372" t="str">
        <f>IFERROR(VLOOKUP(F2491,#REF!,10,FALSE),"")</f>
        <v/>
      </c>
      <c r="I2491" s="1373" t="str">
        <f t="shared" si="356"/>
        <v/>
      </c>
      <c r="J2491" s="1374"/>
      <c r="K2491" s="1745"/>
      <c r="L2491" s="1577"/>
      <c r="M2491" s="1374"/>
      <c r="N2491" s="1375" t="str">
        <f t="shared" si="361"/>
        <v/>
      </c>
      <c r="O2491" s="1376"/>
      <c r="P2491" s="795" t="str">
        <f>IFERROR(VLOOKUP(F2491,#REF!,12,FALSE),"")</f>
        <v/>
      </c>
      <c r="Q2491" s="1254" t="s">
        <v>8</v>
      </c>
      <c r="R2491" s="1694" t="str">
        <f>IFERROR(VLOOKUP(F2491,#REF!,14,FALSE),"")</f>
        <v/>
      </c>
      <c r="S2491" s="1377" t="str">
        <f t="shared" si="362"/>
        <v/>
      </c>
      <c r="T2491" s="70">
        <f t="shared" si="357"/>
        <v>23.949251965262331</v>
      </c>
      <c r="U2491" s="70">
        <f t="shared" si="358"/>
        <v>19.503778146428004</v>
      </c>
      <c r="V2491" s="1369">
        <f t="shared" si="363"/>
        <v>-7.9613139070342775</v>
      </c>
      <c r="W2491" s="1766">
        <f t="shared" si="359"/>
        <v>1.2279288548843799</v>
      </c>
      <c r="X2491" s="1369">
        <v>241</v>
      </c>
    </row>
    <row r="2492" spans="1:24" x14ac:dyDescent="0.2">
      <c r="A2492" s="1648" t="s">
        <v>142</v>
      </c>
      <c r="B2492" s="1679">
        <f>SUM(H2491:H2497)</f>
        <v>31.36</v>
      </c>
      <c r="C2492" s="1651">
        <v>45580</v>
      </c>
      <c r="D2492" s="1695">
        <v>119</v>
      </c>
      <c r="E2492" s="1696" t="s">
        <v>292</v>
      </c>
      <c r="F2492" s="1878" t="s">
        <v>323</v>
      </c>
      <c r="G2492" s="1697">
        <v>2.5509259259259259E-2</v>
      </c>
      <c r="H2492" s="1698">
        <v>5.98</v>
      </c>
      <c r="I2492" s="1699">
        <f t="shared" si="356"/>
        <v>4.2657624179363307E-3</v>
      </c>
      <c r="J2492" s="1700">
        <v>124</v>
      </c>
      <c r="K2492" s="1755">
        <v>35</v>
      </c>
      <c r="L2492" s="1578">
        <v>195</v>
      </c>
      <c r="M2492" s="1700">
        <v>19</v>
      </c>
      <c r="N2492" s="1701">
        <f t="shared" si="361"/>
        <v>1.072680077871512</v>
      </c>
      <c r="O2492" s="1702" t="s">
        <v>340</v>
      </c>
      <c r="P2492" s="1635" t="str">
        <f>IFERROR(VLOOKUP(F2492,#REF!,12,FALSE),"")</f>
        <v/>
      </c>
      <c r="Q2492" s="1636" t="s">
        <v>8</v>
      </c>
      <c r="R2492" s="1703" t="str">
        <f>IFERROR(VLOOKUP(F2492,#REF!,14,FALSE),"")</f>
        <v/>
      </c>
      <c r="S2492" s="1704">
        <f t="shared" si="362"/>
        <v>1.5725806451612903</v>
      </c>
      <c r="T2492" s="1379">
        <f t="shared" si="357"/>
        <v>25.52793025593914</v>
      </c>
      <c r="U2492" s="1379">
        <f t="shared" si="358"/>
        <v>19.87273580960829</v>
      </c>
      <c r="V2492" s="1695">
        <f t="shared" si="363"/>
        <v>-4.4454738188343264</v>
      </c>
      <c r="W2492" s="1767">
        <f t="shared" si="359"/>
        <v>1.2845705040569508</v>
      </c>
      <c r="X2492" s="1695">
        <v>241</v>
      </c>
    </row>
    <row r="2493" spans="1:24" x14ac:dyDescent="0.2">
      <c r="A2493" s="1649" t="s">
        <v>347</v>
      </c>
      <c r="B2493" s="1680">
        <f>SUM(K2491:K2497)</f>
        <v>206</v>
      </c>
      <c r="C2493" s="1651">
        <v>45581</v>
      </c>
      <c r="D2493" s="1695">
        <v>120</v>
      </c>
      <c r="E2493" s="1696" t="s">
        <v>293</v>
      </c>
      <c r="F2493" s="1547" t="s">
        <v>343</v>
      </c>
      <c r="G2493" s="1697">
        <v>2.539351851851852E-2</v>
      </c>
      <c r="H2493" s="1698">
        <v>6.5</v>
      </c>
      <c r="I2493" s="1699">
        <f t="shared" si="356"/>
        <v>3.9066951566951568E-3</v>
      </c>
      <c r="J2493" s="1700">
        <v>124</v>
      </c>
      <c r="K2493" s="1755">
        <v>43</v>
      </c>
      <c r="L2493" s="1578">
        <v>212</v>
      </c>
      <c r="M2493" s="1700">
        <v>22</v>
      </c>
      <c r="N2493" s="1701">
        <f t="shared" si="361"/>
        <v>1.0680321469575202</v>
      </c>
      <c r="O2493" s="1702" t="s">
        <v>333</v>
      </c>
      <c r="P2493" s="1635" t="str">
        <f>IFERROR(VLOOKUP(F2493,#REF!,12,FALSE),"")</f>
        <v/>
      </c>
      <c r="Q2493" s="1636" t="s">
        <v>8</v>
      </c>
      <c r="R2493" s="1703" t="str">
        <f>IFERROR(VLOOKUP(F2493,#REF!,14,FALSE),"")</f>
        <v/>
      </c>
      <c r="S2493" s="1704">
        <f t="shared" si="362"/>
        <v>1.7096774193548387</v>
      </c>
      <c r="T2493" s="1379">
        <f t="shared" si="357"/>
        <v>28.023940219376406</v>
      </c>
      <c r="U2493" s="1379">
        <f t="shared" si="358"/>
        <v>20.423384956998568</v>
      </c>
      <c r="V2493" s="1695">
        <f t="shared" si="363"/>
        <v>-5.6551944463308494</v>
      </c>
      <c r="W2493" s="1767">
        <f t="shared" si="359"/>
        <v>1.3721496352529616</v>
      </c>
      <c r="X2493" s="1695">
        <v>241</v>
      </c>
    </row>
    <row r="2494" spans="1:24" x14ac:dyDescent="0.2">
      <c r="A2494" s="1649" t="s">
        <v>256</v>
      </c>
      <c r="B2494" s="1677">
        <f>AVERAGE(W2491:W2497)</f>
        <v>1.299948727028448</v>
      </c>
      <c r="C2494" s="1651">
        <v>45582</v>
      </c>
      <c r="D2494" s="1695"/>
      <c r="E2494" s="1696"/>
      <c r="F2494" s="1547"/>
      <c r="G2494" s="1697"/>
      <c r="H2494" s="1698" t="str">
        <f>IFERROR(VLOOKUP(F2494,#REF!,10,FALSE),"")</f>
        <v/>
      </c>
      <c r="I2494" s="1699" t="str">
        <f t="shared" si="356"/>
        <v/>
      </c>
      <c r="J2494" s="1700"/>
      <c r="K2494" s="1755"/>
      <c r="L2494" s="1578"/>
      <c r="M2494" s="1700"/>
      <c r="N2494" s="1701" t="str">
        <f t="shared" si="361"/>
        <v/>
      </c>
      <c r="O2494" s="1702"/>
      <c r="P2494" s="1635" t="str">
        <f>IFERROR(VLOOKUP(F2494,#REF!,12,FALSE),"")</f>
        <v/>
      </c>
      <c r="Q2494" s="1636" t="s">
        <v>8</v>
      </c>
      <c r="R2494" s="1703" t="str">
        <f>IFERROR(VLOOKUP(F2494,#REF!,14,FALSE),"")</f>
        <v/>
      </c>
      <c r="S2494" s="1704" t="str">
        <f t="shared" si="362"/>
        <v/>
      </c>
      <c r="T2494" s="1379">
        <f t="shared" si="357"/>
        <v>24.020520188036919</v>
      </c>
      <c r="U2494" s="1379">
        <f t="shared" si="358"/>
        <v>19.937113886593838</v>
      </c>
      <c r="V2494" s="1695">
        <f t="shared" si="363"/>
        <v>-7.6005552623778385</v>
      </c>
      <c r="W2494" s="1767">
        <f t="shared" si="359"/>
        <v>1.2048143138806493</v>
      </c>
      <c r="X2494" s="1695">
        <v>241</v>
      </c>
    </row>
    <row r="2495" spans="1:24" x14ac:dyDescent="0.2">
      <c r="A2495" s="1649" t="s">
        <v>336</v>
      </c>
      <c r="B2495" s="1713">
        <f>IFERROR(AVERAGE(N2491:N2497),"")</f>
        <v>1.072082262532831</v>
      </c>
      <c r="C2495" s="1651">
        <v>45583</v>
      </c>
      <c r="D2495" s="1695">
        <v>121</v>
      </c>
      <c r="E2495" s="1696" t="s">
        <v>293</v>
      </c>
      <c r="F2495" s="1547" t="s">
        <v>322</v>
      </c>
      <c r="G2495" s="1697">
        <v>2.8657407407407406E-2</v>
      </c>
      <c r="H2495" s="1698">
        <v>7.39</v>
      </c>
      <c r="I2495" s="1699">
        <f t="shared" si="356"/>
        <v>3.8778629779982958E-3</v>
      </c>
      <c r="J2495" s="1700">
        <v>128</v>
      </c>
      <c r="K2495" s="1755">
        <v>53</v>
      </c>
      <c r="L2495" s="1578">
        <v>213</v>
      </c>
      <c r="M2495" s="1700">
        <v>23</v>
      </c>
      <c r="N2495" s="1701">
        <f t="shared" si="361"/>
        <v>1.065150566517884</v>
      </c>
      <c r="O2495" s="1702" t="s">
        <v>333</v>
      </c>
      <c r="P2495" s="1635" t="str">
        <f>IFERROR(VLOOKUP(F2495,#REF!,12,FALSE),"")</f>
        <v/>
      </c>
      <c r="Q2495" s="1636" t="s">
        <v>8</v>
      </c>
      <c r="R2495" s="1703" t="str">
        <f>IFERROR(VLOOKUP(F2495,#REF!,14,FALSE),"")</f>
        <v/>
      </c>
      <c r="S2495" s="1704">
        <f t="shared" si="362"/>
        <v>1.6640625</v>
      </c>
      <c r="T2495" s="1379">
        <f t="shared" si="357"/>
        <v>28.160445875460216</v>
      </c>
      <c r="U2495" s="1379">
        <f t="shared" si="358"/>
        <v>20.724325460722557</v>
      </c>
      <c r="V2495" s="1695">
        <f t="shared" si="363"/>
        <v>-4.0834063014430804</v>
      </c>
      <c r="W2495" s="1767">
        <f t="shared" si="359"/>
        <v>1.3588112157778474</v>
      </c>
      <c r="X2495" s="1695">
        <v>236</v>
      </c>
    </row>
    <row r="2496" spans="1:24" x14ac:dyDescent="0.2">
      <c r="A2496" s="1649" t="s">
        <v>337</v>
      </c>
      <c r="B2496" s="1681">
        <f>IFERROR(AVERAGE(S2491:S2497),"")</f>
        <v>1.6269647565136476</v>
      </c>
      <c r="C2496" s="1651">
        <v>45584</v>
      </c>
      <c r="D2496" s="1695"/>
      <c r="E2496" s="1696"/>
      <c r="F2496" s="1547"/>
      <c r="G2496" s="1697"/>
      <c r="H2496" s="1698" t="str">
        <f>IFERROR(VLOOKUP(F2496,#REF!,10,FALSE),"")</f>
        <v/>
      </c>
      <c r="I2496" s="1699" t="str">
        <f t="shared" si="356"/>
        <v/>
      </c>
      <c r="J2496" s="1700"/>
      <c r="K2496" s="1755"/>
      <c r="L2496" s="1578"/>
      <c r="M2496" s="1700"/>
      <c r="N2496" s="1701" t="str">
        <f t="shared" si="361"/>
        <v/>
      </c>
      <c r="O2496" s="1702"/>
      <c r="P2496" s="1635" t="str">
        <f>IFERROR(VLOOKUP(F2496,#REF!,12,FALSE),"")</f>
        <v/>
      </c>
      <c r="Q2496" s="1636" t="s">
        <v>8</v>
      </c>
      <c r="R2496" s="1703" t="str">
        <f>IFERROR(VLOOKUP(F2496,#REF!,14,FALSE),"")</f>
        <v/>
      </c>
      <c r="S2496" s="1704" t="str">
        <f t="shared" si="362"/>
        <v/>
      </c>
      <c r="T2496" s="1379">
        <f t="shared" si="357"/>
        <v>24.137525036108755</v>
      </c>
      <c r="U2496" s="1379">
        <f t="shared" si="358"/>
        <v>20.230889140229163</v>
      </c>
      <c r="V2496" s="1695">
        <f t="shared" si="363"/>
        <v>-7.4361204147376583</v>
      </c>
      <c r="W2496" s="1767">
        <f t="shared" si="359"/>
        <v>1.1931025309268903</v>
      </c>
      <c r="X2496" s="1695">
        <v>236</v>
      </c>
    </row>
    <row r="2497" spans="1:24" ht="16" thickBot="1" x14ac:dyDescent="0.25">
      <c r="A2497" s="1650" t="s">
        <v>5</v>
      </c>
      <c r="B2497" s="1678">
        <f>IFERROR(SUM(M2491:M2497),"")</f>
        <v>105</v>
      </c>
      <c r="C2497" s="1360">
        <v>45585</v>
      </c>
      <c r="D2497" s="683">
        <v>122</v>
      </c>
      <c r="E2497" s="684" t="s">
        <v>292</v>
      </c>
      <c r="F2497" s="1429" t="s">
        <v>279</v>
      </c>
      <c r="G2497" s="1361">
        <v>4.7511574074074074E-2</v>
      </c>
      <c r="H2497" s="1698">
        <v>11.49</v>
      </c>
      <c r="I2497" s="1363">
        <f t="shared" si="356"/>
        <v>4.1350369081004411E-3</v>
      </c>
      <c r="J2497" s="1364">
        <v>130</v>
      </c>
      <c r="K2497" s="1747">
        <v>75</v>
      </c>
      <c r="L2497" s="1705">
        <v>203</v>
      </c>
      <c r="M2497" s="1364">
        <v>41</v>
      </c>
      <c r="N2497" s="1365">
        <f t="shared" si="361"/>
        <v>1.0824662587844069</v>
      </c>
      <c r="O2497" s="1366" t="s">
        <v>346</v>
      </c>
      <c r="P2497" s="1706" t="str">
        <f>IFERROR(VLOOKUP(F2497,#REF!,12,FALSE),"")</f>
        <v/>
      </c>
      <c r="Q2497" s="1707" t="s">
        <v>8</v>
      </c>
      <c r="R2497" s="1708" t="str">
        <f>IFERROR(VLOOKUP(F2497,#REF!,14,FALSE),"")</f>
        <v/>
      </c>
      <c r="S2497" s="1191">
        <f t="shared" si="362"/>
        <v>1.5615384615384615</v>
      </c>
      <c r="T2497" s="1897">
        <f t="shared" si="357"/>
        <v>31.403592888093218</v>
      </c>
      <c r="U2497" s="1897">
        <f t="shared" si="358"/>
        <v>21.534915589271325</v>
      </c>
      <c r="V2497" s="562">
        <f t="shared" si="363"/>
        <v>-3.9066358958795924</v>
      </c>
      <c r="W2497" s="1898">
        <f t="shared" si="359"/>
        <v>1.4582640344194551</v>
      </c>
      <c r="X2497" s="562">
        <v>236</v>
      </c>
    </row>
    <row r="2498" spans="1:24" ht="16" thickBot="1" x14ac:dyDescent="0.25">
      <c r="A2498" s="1962">
        <f>WEEKNUM(C2498,1)</f>
        <v>43</v>
      </c>
      <c r="B2498" s="1963"/>
      <c r="C2498" s="1368">
        <v>45586</v>
      </c>
      <c r="D2498" s="1369">
        <v>123</v>
      </c>
      <c r="E2498" s="1370" t="s">
        <v>293</v>
      </c>
      <c r="F2498" s="1546" t="s">
        <v>323</v>
      </c>
      <c r="G2498" s="1371">
        <v>1.2337962962962964E-2</v>
      </c>
      <c r="H2498" s="1372">
        <v>3.13</v>
      </c>
      <c r="I2498" s="1373">
        <f t="shared" si="356"/>
        <v>3.9418412022245893E-3</v>
      </c>
      <c r="J2498" s="1374">
        <v>117</v>
      </c>
      <c r="K2498" s="1745">
        <v>23</v>
      </c>
      <c r="L2498" s="1577">
        <v>213</v>
      </c>
      <c r="M2498" s="1374">
        <v>8</v>
      </c>
      <c r="N2498" s="1375">
        <f t="shared" si="361"/>
        <v>1.0827237613847696</v>
      </c>
      <c r="O2498" s="1376" t="s">
        <v>340</v>
      </c>
      <c r="P2498" s="795" t="str">
        <f>IFERROR(VLOOKUP(F2498,#REF!,12,FALSE),"")</f>
        <v/>
      </c>
      <c r="Q2498" s="1254" t="s">
        <v>8</v>
      </c>
      <c r="R2498" s="1694" t="str">
        <f>IFERROR(VLOOKUP(F2498,#REF!,14,FALSE),"")</f>
        <v/>
      </c>
      <c r="S2498" s="1377">
        <f t="shared" si="362"/>
        <v>1.8205128205128205</v>
      </c>
      <c r="T2498" s="1369">
        <f t="shared" si="357"/>
        <v>30.203079618365617</v>
      </c>
      <c r="U2498" s="1369">
        <f t="shared" si="358"/>
        <v>21.569798551431532</v>
      </c>
      <c r="V2498" s="1369">
        <f t="shared" si="363"/>
        <v>-9.8686772988218934</v>
      </c>
      <c r="W2498" s="1766">
        <f t="shared" si="359"/>
        <v>1.4002485719256343</v>
      </c>
      <c r="X2498" s="1369">
        <v>236</v>
      </c>
    </row>
    <row r="2499" spans="1:24" x14ac:dyDescent="0.2">
      <c r="A2499" s="1648" t="s">
        <v>142</v>
      </c>
      <c r="B2499" s="1679">
        <f>SUM(H2498:H2504)</f>
        <v>26.810000000000002</v>
      </c>
      <c r="C2499" s="1651">
        <v>45587</v>
      </c>
      <c r="D2499" s="1695">
        <v>124</v>
      </c>
      <c r="E2499" s="1696" t="s">
        <v>292</v>
      </c>
      <c r="F2499" s="1878" t="s">
        <v>323</v>
      </c>
      <c r="G2499" s="1697">
        <v>2.4085648148148148E-2</v>
      </c>
      <c r="H2499" s="1698">
        <v>6.07</v>
      </c>
      <c r="I2499" s="1699">
        <f t="shared" si="356"/>
        <v>3.9679815730062845E-3</v>
      </c>
      <c r="J2499" s="1700">
        <v>120</v>
      </c>
      <c r="K2499" s="1755">
        <v>41</v>
      </c>
      <c r="L2499" s="1578">
        <v>207</v>
      </c>
      <c r="M2499" s="1700">
        <v>18</v>
      </c>
      <c r="N2499" s="1701">
        <f t="shared" si="361"/>
        <v>1.0592023408492957</v>
      </c>
      <c r="O2499" s="1702" t="s">
        <v>340</v>
      </c>
      <c r="P2499" s="1635" t="str">
        <f>IFERROR(VLOOKUP(F2499,#REF!,12,FALSE),"")</f>
        <v/>
      </c>
      <c r="Q2499" s="1636" t="s">
        <v>8</v>
      </c>
      <c r="R2499" s="1703" t="str">
        <f>IFERROR(VLOOKUP(F2499,#REF!,14,FALSE),"")</f>
        <v/>
      </c>
      <c r="S2499" s="1704">
        <f t="shared" si="362"/>
        <v>1.7250000000000001</v>
      </c>
      <c r="T2499" s="1896">
        <f t="shared" si="357"/>
        <v>31.745496815741959</v>
      </c>
      <c r="U2499" s="1896">
        <f t="shared" si="358"/>
        <v>22.032422395445067</v>
      </c>
      <c r="V2499" s="1896">
        <f t="shared" si="363"/>
        <v>-8.6332810669340851</v>
      </c>
      <c r="W2499" s="1767">
        <f t="shared" si="359"/>
        <v>1.440853676729843</v>
      </c>
      <c r="X2499" s="1896">
        <v>236</v>
      </c>
    </row>
    <row r="2500" spans="1:24" x14ac:dyDescent="0.2">
      <c r="A2500" s="1649" t="s">
        <v>347</v>
      </c>
      <c r="B2500" s="1680">
        <f>SUM(K2498:K2504)</f>
        <v>179</v>
      </c>
      <c r="C2500" s="1651">
        <v>45588</v>
      </c>
      <c r="D2500" s="1695"/>
      <c r="E2500" s="1696"/>
      <c r="F2500" s="1547"/>
      <c r="G2500" s="1697"/>
      <c r="H2500" s="1698" t="str">
        <f>IFERROR(VLOOKUP(F2500,#REF!,10,FALSE),"")</f>
        <v/>
      </c>
      <c r="I2500" s="1699" t="str">
        <f t="shared" si="356"/>
        <v/>
      </c>
      <c r="J2500" s="1700"/>
      <c r="K2500" s="1755"/>
      <c r="L2500" s="1578"/>
      <c r="M2500" s="1700"/>
      <c r="N2500" s="1701" t="str">
        <f t="shared" si="361"/>
        <v/>
      </c>
      <c r="O2500" s="1702"/>
      <c r="P2500" s="1635" t="str">
        <f>IFERROR(VLOOKUP(F2500,#REF!,12,FALSE),"")</f>
        <v/>
      </c>
      <c r="Q2500" s="1636" t="s">
        <v>8</v>
      </c>
      <c r="R2500" s="1703" t="str">
        <f>IFERROR(VLOOKUP(F2500,#REF!,14,FALSE),"")</f>
        <v/>
      </c>
      <c r="S2500" s="1704" t="str">
        <f t="shared" si="362"/>
        <v/>
      </c>
      <c r="T2500" s="1896">
        <f t="shared" si="357"/>
        <v>27.210425842064538</v>
      </c>
      <c r="U2500" s="1896">
        <f t="shared" si="358"/>
        <v>21.507840909839231</v>
      </c>
      <c r="V2500" s="1896">
        <f t="shared" si="363"/>
        <v>-9.7130744202968913</v>
      </c>
      <c r="W2500" s="1767">
        <f t="shared" si="359"/>
        <v>1.2651398137140086</v>
      </c>
      <c r="X2500" s="1896">
        <v>236</v>
      </c>
    </row>
    <row r="2501" spans="1:24" x14ac:dyDescent="0.2">
      <c r="A2501" s="1649" t="s">
        <v>256</v>
      </c>
      <c r="B2501" s="1677">
        <f>AVERAGE(W2498:W2504)</f>
        <v>1.2722676037566818</v>
      </c>
      <c r="C2501" s="1651">
        <v>45589</v>
      </c>
      <c r="D2501" s="1695">
        <v>125</v>
      </c>
      <c r="E2501" s="1696" t="s">
        <v>292</v>
      </c>
      <c r="F2501" s="1547" t="s">
        <v>343</v>
      </c>
      <c r="G2501" s="1697">
        <v>2.3854166666666666E-2</v>
      </c>
      <c r="H2501" s="1698">
        <v>5.96</v>
      </c>
      <c r="I2501" s="1699">
        <f t="shared" si="356"/>
        <v>4.0023769574944069E-3</v>
      </c>
      <c r="J2501" s="1700">
        <v>126</v>
      </c>
      <c r="K2501" s="1755">
        <v>39</v>
      </c>
      <c r="L2501" s="1578">
        <v>204</v>
      </c>
      <c r="M2501" s="1700">
        <v>22</v>
      </c>
      <c r="N2501" s="1701">
        <f t="shared" si="361"/>
        <v>1.0528999298807971</v>
      </c>
      <c r="O2501" s="1702" t="s">
        <v>345</v>
      </c>
      <c r="P2501" s="1635" t="str">
        <f>IFERROR(VLOOKUP(F2501,#REF!,12,FALSE),"")</f>
        <v/>
      </c>
      <c r="Q2501" s="1636" t="s">
        <v>8</v>
      </c>
      <c r="R2501" s="1703" t="str">
        <f>IFERROR(VLOOKUP(F2501,#REF!,14,FALSE),"")</f>
        <v/>
      </c>
      <c r="S2501" s="1704">
        <f t="shared" si="362"/>
        <v>1.6190476190476191</v>
      </c>
      <c r="T2501" s="1896">
        <f t="shared" si="357"/>
        <v>28.894650721769604</v>
      </c>
      <c r="U2501" s="1896">
        <f t="shared" si="358"/>
        <v>21.924320888176393</v>
      </c>
      <c r="V2501" s="1896">
        <f t="shared" si="363"/>
        <v>-5.7025849322253066</v>
      </c>
      <c r="W2501" s="1767">
        <f t="shared" si="359"/>
        <v>1.3179268297132183</v>
      </c>
      <c r="X2501" s="1896">
        <v>236</v>
      </c>
    </row>
    <row r="2502" spans="1:24" x14ac:dyDescent="0.2">
      <c r="A2502" s="1649" t="s">
        <v>336</v>
      </c>
      <c r="B2502" s="1713">
        <f>IFERROR(AVERAGE(N2498:N2504),"")</f>
        <v>1.0665733967610198</v>
      </c>
      <c r="C2502" s="1651">
        <v>45590</v>
      </c>
      <c r="D2502" s="1695"/>
      <c r="E2502" s="1696"/>
      <c r="F2502" s="1547"/>
      <c r="G2502" s="1697"/>
      <c r="H2502" s="1698" t="str">
        <f>IFERROR(VLOOKUP(F2502,#REF!,10,FALSE),"")</f>
        <v/>
      </c>
      <c r="I2502" s="1699" t="str">
        <f t="shared" si="356"/>
        <v/>
      </c>
      <c r="J2502" s="1700"/>
      <c r="K2502" s="1755"/>
      <c r="L2502" s="1578"/>
      <c r="M2502" s="1700"/>
      <c r="N2502" s="1701" t="str">
        <f t="shared" si="361"/>
        <v/>
      </c>
      <c r="O2502" s="1702"/>
      <c r="P2502" s="1635" t="str">
        <f>IFERROR(VLOOKUP(F2502,#REF!,12,FALSE),"")</f>
        <v/>
      </c>
      <c r="Q2502" s="1636" t="s">
        <v>8</v>
      </c>
      <c r="R2502" s="1703" t="str">
        <f>IFERROR(VLOOKUP(F2502,#REF!,14,FALSE),"")</f>
        <v/>
      </c>
      <c r="S2502" s="1704" t="str">
        <f t="shared" si="362"/>
        <v/>
      </c>
      <c r="T2502" s="1896">
        <f t="shared" si="357"/>
        <v>24.766843475802517</v>
      </c>
      <c r="U2502" s="1896">
        <f t="shared" si="358"/>
        <v>21.402313247981716</v>
      </c>
      <c r="V2502" s="1896">
        <f t="shared" si="363"/>
        <v>-6.9703298335932118</v>
      </c>
      <c r="W2502" s="1767">
        <f t="shared" si="359"/>
        <v>1.1572040456018502</v>
      </c>
      <c r="X2502" s="1896">
        <v>236</v>
      </c>
    </row>
    <row r="2503" spans="1:24" x14ac:dyDescent="0.2">
      <c r="A2503" s="1649" t="s">
        <v>337</v>
      </c>
      <c r="B2503" s="1681">
        <f>IFERROR(AVERAGE(S2498:S2504),"")</f>
        <v>1.6613691175236975</v>
      </c>
      <c r="C2503" s="1651">
        <v>45591</v>
      </c>
      <c r="D2503" s="1695"/>
      <c r="E2503" s="1696"/>
      <c r="F2503" s="1547"/>
      <c r="G2503" s="1697"/>
      <c r="H2503" s="1698" t="str">
        <f>IFERROR(VLOOKUP(F2503,#REF!,10,FALSE),"")</f>
        <v/>
      </c>
      <c r="I2503" s="1699" t="str">
        <f t="shared" si="356"/>
        <v/>
      </c>
      <c r="J2503" s="1700"/>
      <c r="K2503" s="1755"/>
      <c r="L2503" s="1578"/>
      <c r="M2503" s="1700"/>
      <c r="N2503" s="1701" t="str">
        <f t="shared" si="361"/>
        <v/>
      </c>
      <c r="O2503" s="1702"/>
      <c r="P2503" s="1635" t="str">
        <f>IFERROR(VLOOKUP(F2503,#REF!,12,FALSE),"")</f>
        <v/>
      </c>
      <c r="Q2503" s="1636" t="s">
        <v>8</v>
      </c>
      <c r="R2503" s="1703" t="str">
        <f>IFERROR(VLOOKUP(F2503,#REF!,14,FALSE),"")</f>
        <v/>
      </c>
      <c r="S2503" s="1704" t="str">
        <f t="shared" si="362"/>
        <v/>
      </c>
      <c r="T2503" s="1896">
        <f t="shared" si="357"/>
        <v>21.228722979259299</v>
      </c>
      <c r="U2503" s="1896">
        <f t="shared" si="358"/>
        <v>20.892734361125008</v>
      </c>
      <c r="V2503" s="1896">
        <f t="shared" si="363"/>
        <v>-3.3645302278208007</v>
      </c>
      <c r="W2503" s="1767">
        <f t="shared" si="359"/>
        <v>1.0160816010162588</v>
      </c>
      <c r="X2503" s="1896">
        <v>236</v>
      </c>
    </row>
    <row r="2504" spans="1:24" ht="16" thickBot="1" x14ac:dyDescent="0.25">
      <c r="A2504" s="1650" t="s">
        <v>5</v>
      </c>
      <c r="B2504" s="1678">
        <f>IFERROR(SUM(M2498:M2504),"")</f>
        <v>94</v>
      </c>
      <c r="C2504" s="1360">
        <v>45592</v>
      </c>
      <c r="D2504" s="683">
        <v>126</v>
      </c>
      <c r="E2504" s="684" t="s">
        <v>292</v>
      </c>
      <c r="F2504" s="1429" t="s">
        <v>308</v>
      </c>
      <c r="G2504" s="1361">
        <v>4.9895833333333334E-2</v>
      </c>
      <c r="H2504" s="1362">
        <v>11.65</v>
      </c>
      <c r="I2504" s="1363">
        <f t="shared" si="356"/>
        <v>4.282904148783977E-3</v>
      </c>
      <c r="J2504" s="1364">
        <v>131</v>
      </c>
      <c r="K2504" s="1747">
        <v>76</v>
      </c>
      <c r="L2504" s="1705">
        <v>194</v>
      </c>
      <c r="M2504" s="1364">
        <v>46</v>
      </c>
      <c r="N2504" s="1365">
        <f t="shared" si="361"/>
        <v>1.0714675549292165</v>
      </c>
      <c r="O2504" s="1366" t="s">
        <v>346</v>
      </c>
      <c r="P2504" s="1706" t="str">
        <f>IFERROR(VLOOKUP(F2504,#REF!,12,FALSE),"")</f>
        <v/>
      </c>
      <c r="Q2504" s="1707" t="s">
        <v>8</v>
      </c>
      <c r="R2504" s="1708" t="str">
        <f>IFERROR(VLOOKUP(F2504,#REF!,14,FALSE),"")</f>
        <v/>
      </c>
      <c r="S2504" s="1191">
        <f t="shared" si="362"/>
        <v>1.4809160305343512</v>
      </c>
      <c r="T2504" s="1829">
        <f t="shared" si="357"/>
        <v>29.053191125079397</v>
      </c>
      <c r="U2504" s="1829">
        <f t="shared" si="358"/>
        <v>22.204812114431554</v>
      </c>
      <c r="V2504" s="683">
        <f t="shared" si="363"/>
        <v>-0.33598861813429082</v>
      </c>
      <c r="W2504" s="1768">
        <f t="shared" si="359"/>
        <v>1.3084186875959596</v>
      </c>
      <c r="X2504" s="683">
        <v>236</v>
      </c>
    </row>
    <row r="2505" spans="1:24" ht="16" thickBot="1" x14ac:dyDescent="0.25">
      <c r="A2505" s="1962">
        <f>WEEKNUM(C2505,1)</f>
        <v>44</v>
      </c>
      <c r="B2505" s="1963"/>
      <c r="C2505" s="1368">
        <v>45593</v>
      </c>
      <c r="D2505" s="1369">
        <v>127</v>
      </c>
      <c r="E2505" s="1370" t="s">
        <v>292</v>
      </c>
      <c r="F2505" s="1546" t="s">
        <v>323</v>
      </c>
      <c r="G2505" s="1371">
        <v>2.4398148148148148E-2</v>
      </c>
      <c r="H2505" s="1372">
        <v>6.06</v>
      </c>
      <c r="I2505" s="1373">
        <f t="shared" si="356"/>
        <v>4.0260970541498593E-3</v>
      </c>
      <c r="J2505" s="1374">
        <v>117</v>
      </c>
      <c r="K2505" s="1745">
        <v>41</v>
      </c>
      <c r="L2505" s="1577">
        <v>206</v>
      </c>
      <c r="M2505" s="1374">
        <v>22</v>
      </c>
      <c r="N2505" s="1375">
        <f t="shared" si="361"/>
        <v>1.0695236687847889</v>
      </c>
      <c r="O2505" s="1376" t="s">
        <v>340</v>
      </c>
      <c r="P2505" s="795" t="str">
        <f>IFERROR(VLOOKUP(F2505,#REF!,12,FALSE),"")</f>
        <v/>
      </c>
      <c r="Q2505" s="1254" t="s">
        <v>8</v>
      </c>
      <c r="R2505" s="1694" t="str">
        <f>IFERROR(VLOOKUP(F2505,#REF!,14,FALSE),"")</f>
        <v/>
      </c>
      <c r="S2505" s="1377">
        <f t="shared" si="362"/>
        <v>1.7606837606837606</v>
      </c>
      <c r="T2505" s="70">
        <f t="shared" si="357"/>
        <v>30.759878107210913</v>
      </c>
      <c r="U2505" s="70">
        <f t="shared" si="358"/>
        <v>22.65231658789747</v>
      </c>
      <c r="V2505" s="70">
        <f t="shared" si="363"/>
        <v>-6.848379010647843</v>
      </c>
      <c r="W2505" s="1839">
        <f t="shared" si="359"/>
        <v>1.357913129452071</v>
      </c>
      <c r="X2505" s="70">
        <v>236</v>
      </c>
    </row>
    <row r="2506" spans="1:24" x14ac:dyDescent="0.2">
      <c r="A2506" s="1648" t="s">
        <v>142</v>
      </c>
      <c r="B2506" s="1679">
        <f>SUM(H2505:H2511)</f>
        <v>31.66</v>
      </c>
      <c r="C2506" s="1651">
        <v>45594</v>
      </c>
      <c r="D2506" s="1695"/>
      <c r="E2506" s="1696"/>
      <c r="F2506" s="1878"/>
      <c r="G2506" s="1697"/>
      <c r="H2506" s="1698" t="str">
        <f>IFERROR(VLOOKUP(F2506,#REF!,10,FALSE),"")</f>
        <v/>
      </c>
      <c r="I2506" s="1699" t="str">
        <f t="shared" si="356"/>
        <v/>
      </c>
      <c r="J2506" s="1700"/>
      <c r="K2506" s="1755"/>
      <c r="L2506" s="1578"/>
      <c r="M2506" s="1700"/>
      <c r="N2506" s="1701" t="str">
        <f t="shared" si="361"/>
        <v/>
      </c>
      <c r="O2506" s="1702"/>
      <c r="P2506" s="1635" t="str">
        <f>IFERROR(VLOOKUP(F2506,#REF!,12,FALSE),"")</f>
        <v/>
      </c>
      <c r="Q2506" s="1636" t="s">
        <v>8</v>
      </c>
      <c r="R2506" s="1703" t="str">
        <f>IFERROR(VLOOKUP(F2506,#REF!,14,FALSE),"")</f>
        <v/>
      </c>
      <c r="S2506" s="1704" t="str">
        <f t="shared" si="362"/>
        <v/>
      </c>
      <c r="T2506" s="1379">
        <f t="shared" si="357"/>
        <v>26.365609806180782</v>
      </c>
      <c r="U2506" s="1379">
        <f t="shared" si="358"/>
        <v>22.112975716757056</v>
      </c>
      <c r="V2506" s="1695">
        <f t="shared" si="363"/>
        <v>-8.1075615193134425</v>
      </c>
      <c r="W2506" s="1767">
        <f t="shared" si="359"/>
        <v>1.1923139673237695</v>
      </c>
      <c r="X2506" s="1695">
        <v>236</v>
      </c>
    </row>
    <row r="2507" spans="1:24" x14ac:dyDescent="0.2">
      <c r="A2507" s="1649" t="s">
        <v>347</v>
      </c>
      <c r="B2507" s="1680">
        <f>SUM(K2505:K2511)</f>
        <v>214</v>
      </c>
      <c r="C2507" s="1651">
        <v>45595</v>
      </c>
      <c r="D2507" s="1695">
        <v>128</v>
      </c>
      <c r="E2507" s="1696" t="s">
        <v>292</v>
      </c>
      <c r="F2507" s="1547" t="s">
        <v>343</v>
      </c>
      <c r="G2507" s="1697">
        <v>2.9826388888888888E-2</v>
      </c>
      <c r="H2507" s="1698">
        <v>7.44</v>
      </c>
      <c r="I2507" s="1699">
        <f t="shared" si="356"/>
        <v>4.0089232377538827E-3</v>
      </c>
      <c r="J2507" s="1700">
        <v>121</v>
      </c>
      <c r="K2507" s="1755">
        <v>50</v>
      </c>
      <c r="L2507" s="1578">
        <v>206</v>
      </c>
      <c r="M2507" s="1700">
        <v>25</v>
      </c>
      <c r="N2507" s="1701">
        <f t="shared" si="361"/>
        <v>1.0649614829080403</v>
      </c>
      <c r="O2507" s="1702" t="s">
        <v>340</v>
      </c>
      <c r="P2507" s="1635" t="str">
        <f>IFERROR(VLOOKUP(F2507,#REF!,12,FALSE),"")</f>
        <v/>
      </c>
      <c r="Q2507" s="1636" t="s">
        <v>8</v>
      </c>
      <c r="R2507" s="1703" t="str">
        <f>IFERROR(VLOOKUP(F2507,#REF!,14,FALSE),"")</f>
        <v/>
      </c>
      <c r="S2507" s="1704">
        <f t="shared" si="362"/>
        <v>1.7024793388429753</v>
      </c>
      <c r="T2507" s="1379">
        <f t="shared" si="357"/>
        <v>29.741951262440669</v>
      </c>
      <c r="U2507" s="1379">
        <f t="shared" si="358"/>
        <v>22.776952485405698</v>
      </c>
      <c r="V2507" s="1695">
        <f t="shared" si="363"/>
        <v>-4.2526340894237258</v>
      </c>
      <c r="W2507" s="1767">
        <f t="shared" si="359"/>
        <v>1.3057915136582818</v>
      </c>
      <c r="X2507" s="1695">
        <v>236</v>
      </c>
    </row>
    <row r="2508" spans="1:24" x14ac:dyDescent="0.2">
      <c r="A2508" s="1649" t="s">
        <v>256</v>
      </c>
      <c r="B2508" s="1677">
        <f>AVERAGE(W2505:W2511)</f>
        <v>1.2676497816925749</v>
      </c>
      <c r="C2508" s="1651">
        <v>45596</v>
      </c>
      <c r="D2508" s="1695">
        <v>129</v>
      </c>
      <c r="E2508" s="1696" t="s">
        <v>292</v>
      </c>
      <c r="F2508" s="1547" t="s">
        <v>343</v>
      </c>
      <c r="G2508" s="1697">
        <v>3.2349537037037038E-2</v>
      </c>
      <c r="H2508" s="1698">
        <v>8</v>
      </c>
      <c r="I2508" s="1699">
        <f t="shared" si="356"/>
        <v>4.0436921296296297E-3</v>
      </c>
      <c r="J2508" s="1700">
        <v>121</v>
      </c>
      <c r="K2508" s="1755">
        <v>51</v>
      </c>
      <c r="L2508" s="1578">
        <v>202</v>
      </c>
      <c r="M2508" s="1700">
        <v>26</v>
      </c>
      <c r="N2508" s="1701">
        <f t="shared" si="361"/>
        <v>1.0533395522388058</v>
      </c>
      <c r="O2508" s="1702" t="s">
        <v>333</v>
      </c>
      <c r="P2508" s="1635" t="str">
        <f>IFERROR(VLOOKUP(F2508,#REF!,12,FALSE),"")</f>
        <v/>
      </c>
      <c r="Q2508" s="1636" t="s">
        <v>8</v>
      </c>
      <c r="R2508" s="1703" t="str">
        <f>IFERROR(VLOOKUP(F2508,#REF!,14,FALSE),"")</f>
        <v/>
      </c>
      <c r="S2508" s="1704">
        <f t="shared" si="362"/>
        <v>1.6694214876033058</v>
      </c>
      <c r="T2508" s="1379">
        <f t="shared" si="357"/>
        <v>32.778815367806288</v>
      </c>
      <c r="U2508" s="1379">
        <f t="shared" si="358"/>
        <v>23.448929807181752</v>
      </c>
      <c r="V2508" s="1695">
        <f t="shared" si="363"/>
        <v>-6.9649987770349711</v>
      </c>
      <c r="W2508" s="1767">
        <f t="shared" si="359"/>
        <v>1.3978810818806346</v>
      </c>
      <c r="X2508" s="1695">
        <v>236</v>
      </c>
    </row>
    <row r="2509" spans="1:24" x14ac:dyDescent="0.2">
      <c r="A2509" s="1649" t="s">
        <v>336</v>
      </c>
      <c r="B2509" s="1713">
        <f>IFERROR(AVERAGE(N2505:N2511),"")</f>
        <v>1.0668182338040393</v>
      </c>
      <c r="C2509" s="1651">
        <v>45597</v>
      </c>
      <c r="D2509" s="1695"/>
      <c r="E2509" s="1696"/>
      <c r="F2509" s="1547"/>
      <c r="G2509" s="1697"/>
      <c r="H2509" s="1698" t="str">
        <f>IFERROR(VLOOKUP(F2509,#REF!,10,FALSE),"")</f>
        <v/>
      </c>
      <c r="I2509" s="1699" t="str">
        <f t="shared" si="356"/>
        <v/>
      </c>
      <c r="J2509" s="1700"/>
      <c r="K2509" s="1755"/>
      <c r="L2509" s="1578"/>
      <c r="M2509" s="1700"/>
      <c r="N2509" s="1701" t="str">
        <f t="shared" si="361"/>
        <v/>
      </c>
      <c r="O2509" s="1702"/>
      <c r="P2509" s="1635" t="str">
        <f>IFERROR(VLOOKUP(F2509,#REF!,12,FALSE),"")</f>
        <v/>
      </c>
      <c r="Q2509" s="1636" t="s">
        <v>8</v>
      </c>
      <c r="R2509" s="1703" t="str">
        <f>IFERROR(VLOOKUP(F2509,#REF!,14,FALSE),"")</f>
        <v/>
      </c>
      <c r="S2509" s="1704" t="str">
        <f t="shared" si="362"/>
        <v/>
      </c>
      <c r="T2509" s="1379">
        <f t="shared" si="357"/>
        <v>28.096127458119675</v>
      </c>
      <c r="U2509" s="1379">
        <f t="shared" si="358"/>
        <v>22.890621954629808</v>
      </c>
      <c r="V2509" s="1695">
        <f t="shared" si="363"/>
        <v>-9.3298855606245361</v>
      </c>
      <c r="W2509" s="1767">
        <f t="shared" si="359"/>
        <v>1.2274077792122644</v>
      </c>
      <c r="X2509" s="1695">
        <v>236</v>
      </c>
    </row>
    <row r="2510" spans="1:24" x14ac:dyDescent="0.2">
      <c r="A2510" s="1649" t="s">
        <v>337</v>
      </c>
      <c r="B2510" s="1681">
        <f>IFERROR(AVERAGE(S2505:S2511),"")</f>
        <v>1.6792999929363566</v>
      </c>
      <c r="C2510" s="1651">
        <v>45598</v>
      </c>
      <c r="D2510" s="1695"/>
      <c r="E2510" s="1696"/>
      <c r="F2510" s="1547"/>
      <c r="G2510" s="1697"/>
      <c r="H2510" s="1698" t="str">
        <f>IFERROR(VLOOKUP(F2510,#REF!,10,FALSE),"")</f>
        <v/>
      </c>
      <c r="I2510" s="1699" t="str">
        <f t="shared" si="356"/>
        <v/>
      </c>
      <c r="J2510" s="1700"/>
      <c r="K2510" s="1755"/>
      <c r="L2510" s="1578"/>
      <c r="M2510" s="1700"/>
      <c r="N2510" s="1701" t="str">
        <f t="shared" si="361"/>
        <v/>
      </c>
      <c r="O2510" s="1702"/>
      <c r="P2510" s="1635" t="str">
        <f>IFERROR(VLOOKUP(F2510,#REF!,12,FALSE),"")</f>
        <v/>
      </c>
      <c r="Q2510" s="1636" t="s">
        <v>8</v>
      </c>
      <c r="R2510" s="1703" t="str">
        <f>IFERROR(VLOOKUP(F2510,#REF!,14,FALSE),"")</f>
        <v/>
      </c>
      <c r="S2510" s="1704" t="str">
        <f t="shared" si="362"/>
        <v/>
      </c>
      <c r="T2510" s="1379">
        <f t="shared" si="357"/>
        <v>24.082394964102576</v>
      </c>
      <c r="U2510" s="1379">
        <f t="shared" si="358"/>
        <v>22.345607146186239</v>
      </c>
      <c r="V2510" s="1695">
        <f t="shared" si="363"/>
        <v>-5.2055055034898672</v>
      </c>
      <c r="W2510" s="1767">
        <f t="shared" si="359"/>
        <v>1.0777239036985735</v>
      </c>
      <c r="X2510" s="1695">
        <v>236</v>
      </c>
    </row>
    <row r="2511" spans="1:24" ht="16" thickBot="1" x14ac:dyDescent="0.25">
      <c r="A2511" s="1650" t="s">
        <v>5</v>
      </c>
      <c r="B2511" s="1678">
        <f>IFERROR(SUM(M2505:M2511),"")</f>
        <v>113</v>
      </c>
      <c r="C2511" s="1360">
        <v>45599</v>
      </c>
      <c r="D2511" s="683">
        <v>130</v>
      </c>
      <c r="E2511" s="684" t="s">
        <v>292</v>
      </c>
      <c r="F2511" s="1429" t="s">
        <v>308</v>
      </c>
      <c r="G2511" s="1361">
        <v>4.1284722222222223E-2</v>
      </c>
      <c r="H2511" s="1362">
        <v>10.16</v>
      </c>
      <c r="I2511" s="1363">
        <f t="shared" si="356"/>
        <v>4.0634569116360453E-3</v>
      </c>
      <c r="J2511" s="1364">
        <v>130</v>
      </c>
      <c r="K2511" s="1747">
        <v>72</v>
      </c>
      <c r="L2511" s="1705">
        <v>206</v>
      </c>
      <c r="M2511" s="1364">
        <v>40</v>
      </c>
      <c r="N2511" s="1365">
        <f t="shared" si="361"/>
        <v>1.0794482312845224</v>
      </c>
      <c r="O2511" s="1366" t="s">
        <v>346</v>
      </c>
      <c r="P2511" s="1706" t="str">
        <f>IFERROR(VLOOKUP(F2511,#REF!,12,FALSE),"")</f>
        <v/>
      </c>
      <c r="Q2511" s="1707" t="s">
        <v>8</v>
      </c>
      <c r="R2511" s="1708" t="str">
        <f>IFERROR(VLOOKUP(F2511,#REF!,14,FALSE),"")</f>
        <v/>
      </c>
      <c r="S2511" s="1191">
        <f t="shared" si="362"/>
        <v>1.5846153846153845</v>
      </c>
      <c r="T2511" s="1897">
        <f t="shared" si="357"/>
        <v>30.927767112087921</v>
      </c>
      <c r="U2511" s="1897">
        <f t="shared" si="358"/>
        <v>23.527854595086566</v>
      </c>
      <c r="V2511" s="562">
        <f t="shared" si="363"/>
        <v>-1.736787817916337</v>
      </c>
      <c r="W2511" s="1898">
        <f t="shared" si="359"/>
        <v>1.3145170966224313</v>
      </c>
      <c r="X2511" s="562">
        <v>236</v>
      </c>
    </row>
    <row r="2512" spans="1:24" ht="16" thickBot="1" x14ac:dyDescent="0.25">
      <c r="A2512" s="1962">
        <f>WEEKNUM(C2512,1)</f>
        <v>45</v>
      </c>
      <c r="B2512" s="1963"/>
      <c r="C2512" s="1368">
        <v>45600</v>
      </c>
      <c r="D2512" s="1369"/>
      <c r="E2512" s="1370"/>
      <c r="F2512" s="1546"/>
      <c r="G2512" s="1371"/>
      <c r="H2512" s="1372"/>
      <c r="I2512" s="1373"/>
      <c r="J2512" s="1374"/>
      <c r="K2512" s="1745"/>
      <c r="L2512" s="1577"/>
      <c r="M2512" s="1374"/>
      <c r="N2512" s="1375" t="str">
        <f t="shared" si="361"/>
        <v/>
      </c>
      <c r="O2512" s="1376"/>
      <c r="P2512" s="795" t="str">
        <f>IFERROR(VLOOKUP(F2512,#REF!,12,FALSE),"")</f>
        <v/>
      </c>
      <c r="Q2512" s="1254" t="s">
        <v>8</v>
      </c>
      <c r="R2512" s="1694" t="str">
        <f>IFERROR(VLOOKUP(F2512,#REF!,14,FALSE),"")</f>
        <v/>
      </c>
      <c r="S2512" s="1377" t="str">
        <f t="shared" si="362"/>
        <v/>
      </c>
      <c r="T2512" s="1369">
        <f t="shared" si="357"/>
        <v>26.509514667503932</v>
      </c>
      <c r="U2512" s="1369">
        <f t="shared" si="358"/>
        <v>22.967667580917837</v>
      </c>
      <c r="V2512" s="1369">
        <f t="shared" si="363"/>
        <v>-7.3999125170013542</v>
      </c>
      <c r="W2512" s="1766">
        <f t="shared" si="359"/>
        <v>1.1542101336196957</v>
      </c>
      <c r="X2512" s="1369">
        <v>236</v>
      </c>
    </row>
    <row r="2513" spans="1:24" x14ac:dyDescent="0.2">
      <c r="A2513" s="1648" t="s">
        <v>142</v>
      </c>
      <c r="B2513" s="1679">
        <f>SUM(H2512:H2518)</f>
        <v>0</v>
      </c>
      <c r="C2513" s="1651">
        <v>45601</v>
      </c>
      <c r="D2513" s="1695"/>
      <c r="E2513" s="1696"/>
      <c r="F2513" s="1878"/>
      <c r="G2513" s="1697"/>
      <c r="H2513" s="1698"/>
      <c r="I2513" s="1699"/>
      <c r="J2513" s="1700"/>
      <c r="K2513" s="1755"/>
      <c r="L2513" s="1578"/>
      <c r="M2513" s="1700"/>
      <c r="N2513" s="1701" t="str">
        <f t="shared" si="361"/>
        <v/>
      </c>
      <c r="O2513" s="1702"/>
      <c r="P2513" s="1635" t="str">
        <f>IFERROR(VLOOKUP(F2513,#REF!,12,FALSE),"")</f>
        <v/>
      </c>
      <c r="Q2513" s="1636" t="s">
        <v>8</v>
      </c>
      <c r="R2513" s="1703" t="str">
        <f>IFERROR(VLOOKUP(F2513,#REF!,14,FALSE),"")</f>
        <v/>
      </c>
      <c r="S2513" s="1704" t="str">
        <f t="shared" si="362"/>
        <v/>
      </c>
      <c r="T2513" s="1896">
        <f t="shared" si="357"/>
        <v>22.722441143574798</v>
      </c>
      <c r="U2513" s="1896">
        <f t="shared" si="358"/>
        <v>22.420818352800744</v>
      </c>
      <c r="V2513" s="1896">
        <f t="shared" si="363"/>
        <v>-3.5418470865860954</v>
      </c>
      <c r="W2513" s="1767">
        <f t="shared" si="359"/>
        <v>1.0134528002514402</v>
      </c>
      <c r="X2513" s="1896">
        <v>236</v>
      </c>
    </row>
    <row r="2514" spans="1:24" x14ac:dyDescent="0.2">
      <c r="A2514" s="1649" t="s">
        <v>347</v>
      </c>
      <c r="B2514" s="1680">
        <f>SUM(K2512:K2518)</f>
        <v>0</v>
      </c>
      <c r="C2514" s="1651">
        <v>45602</v>
      </c>
      <c r="D2514" s="1695"/>
      <c r="E2514" s="1696"/>
      <c r="F2514" s="1547"/>
      <c r="G2514" s="1697"/>
      <c r="H2514" s="1698"/>
      <c r="I2514" s="1699"/>
      <c r="J2514" s="1700"/>
      <c r="K2514" s="1755"/>
      <c r="L2514" s="1578"/>
      <c r="M2514" s="1700"/>
      <c r="N2514" s="1701" t="str">
        <f t="shared" si="361"/>
        <v/>
      </c>
      <c r="O2514" s="1702"/>
      <c r="P2514" s="1635" t="str">
        <f>IFERROR(VLOOKUP(F2514,#REF!,12,FALSE),"")</f>
        <v/>
      </c>
      <c r="Q2514" s="1636" t="s">
        <v>8</v>
      </c>
      <c r="R2514" s="1703" t="str">
        <f>IFERROR(VLOOKUP(F2514,#REF!,14,FALSE),"")</f>
        <v/>
      </c>
      <c r="S2514" s="1704" t="str">
        <f t="shared" si="362"/>
        <v/>
      </c>
      <c r="T2514" s="1896">
        <f t="shared" si="357"/>
        <v>19.476378123064112</v>
      </c>
      <c r="U2514" s="1896">
        <f t="shared" si="358"/>
        <v>21.886989344400725</v>
      </c>
      <c r="V2514" s="1896">
        <f t="shared" si="363"/>
        <v>-0.30162279077405429</v>
      </c>
      <c r="W2514" s="1767">
        <f t="shared" si="359"/>
        <v>0.88986099534272811</v>
      </c>
      <c r="X2514" s="1896">
        <v>236</v>
      </c>
    </row>
    <row r="2515" spans="1:24" x14ac:dyDescent="0.2">
      <c r="A2515" s="1649" t="s">
        <v>256</v>
      </c>
      <c r="B2515" s="1677">
        <f>AVERAGE(W2512:W2518)</f>
        <v>0.80803426229456932</v>
      </c>
      <c r="C2515" s="1651">
        <v>45603</v>
      </c>
      <c r="D2515" s="1695"/>
      <c r="E2515" s="1696"/>
      <c r="F2515" s="1547"/>
      <c r="G2515" s="1697"/>
      <c r="H2515" s="1698"/>
      <c r="I2515" s="1699"/>
      <c r="J2515" s="1700"/>
      <c r="K2515" s="1755"/>
      <c r="L2515" s="1578"/>
      <c r="M2515" s="1700"/>
      <c r="N2515" s="1701" t="str">
        <f t="shared" si="361"/>
        <v/>
      </c>
      <c r="O2515" s="1702"/>
      <c r="P2515" s="1635" t="str">
        <f>IFERROR(VLOOKUP(F2515,#REF!,12,FALSE),"")</f>
        <v/>
      </c>
      <c r="Q2515" s="1636" t="s">
        <v>8</v>
      </c>
      <c r="R2515" s="1703" t="str">
        <f>IFERROR(VLOOKUP(F2515,#REF!,14,FALSE),"")</f>
        <v/>
      </c>
      <c r="S2515" s="1704" t="str">
        <f t="shared" si="362"/>
        <v/>
      </c>
      <c r="T2515" s="1896">
        <f t="shared" si="357"/>
        <v>16.694038391197811</v>
      </c>
      <c r="U2515" s="1896">
        <f t="shared" si="358"/>
        <v>21.36587055048642</v>
      </c>
      <c r="V2515" s="1896">
        <f t="shared" si="363"/>
        <v>2.4106112213366124</v>
      </c>
      <c r="W2515" s="1767">
        <f t="shared" si="359"/>
        <v>0.78134136176434665</v>
      </c>
      <c r="X2515" s="1896">
        <v>236</v>
      </c>
    </row>
    <row r="2516" spans="1:24" x14ac:dyDescent="0.2">
      <c r="A2516" s="1649" t="s">
        <v>336</v>
      </c>
      <c r="B2516" s="1713" t="str">
        <f>IFERROR(AVERAGE(N2512:N2518),"")</f>
        <v/>
      </c>
      <c r="C2516" s="1651">
        <v>45604</v>
      </c>
      <c r="D2516" s="1695"/>
      <c r="E2516" s="1696"/>
      <c r="F2516" s="1547"/>
      <c r="G2516" s="1697"/>
      <c r="H2516" s="1698"/>
      <c r="I2516" s="1699"/>
      <c r="J2516" s="1700"/>
      <c r="K2516" s="1755"/>
      <c r="L2516" s="1578"/>
      <c r="M2516" s="1700"/>
      <c r="N2516" s="1701" t="str">
        <f t="shared" si="361"/>
        <v/>
      </c>
      <c r="O2516" s="1702"/>
      <c r="P2516" s="1635" t="str">
        <f>IFERROR(VLOOKUP(F2516,#REF!,12,FALSE),"")</f>
        <v/>
      </c>
      <c r="Q2516" s="1636" t="s">
        <v>8</v>
      </c>
      <c r="R2516" s="1703" t="str">
        <f>IFERROR(VLOOKUP(F2516,#REF!,14,FALSE),"")</f>
        <v/>
      </c>
      <c r="S2516" s="1704" t="str">
        <f t="shared" si="362"/>
        <v/>
      </c>
      <c r="T2516" s="1896">
        <f t="shared" si="357"/>
        <v>14.309175763883838</v>
      </c>
      <c r="U2516" s="1896">
        <f t="shared" si="358"/>
        <v>20.857159346903408</v>
      </c>
      <c r="V2516" s="1896">
        <f t="shared" si="363"/>
        <v>4.6718321592886092</v>
      </c>
      <c r="W2516" s="1767">
        <f t="shared" si="359"/>
        <v>0.68605582984186542</v>
      </c>
      <c r="X2516" s="1896">
        <v>236</v>
      </c>
    </row>
    <row r="2517" spans="1:24" x14ac:dyDescent="0.2">
      <c r="A2517" s="1649" t="s">
        <v>337</v>
      </c>
      <c r="B2517" s="1681" t="str">
        <f>IFERROR(AVERAGE(S2512:S2518),"")</f>
        <v/>
      </c>
      <c r="C2517" s="1651">
        <v>45605</v>
      </c>
      <c r="D2517" s="1695"/>
      <c r="E2517" s="1696"/>
      <c r="F2517" s="1547"/>
      <c r="G2517" s="1697"/>
      <c r="H2517" s="1698"/>
      <c r="I2517" s="1699"/>
      <c r="J2517" s="1700"/>
      <c r="K2517" s="1755"/>
      <c r="L2517" s="1578"/>
      <c r="M2517" s="1700"/>
      <c r="N2517" s="1701" t="str">
        <f t="shared" si="361"/>
        <v/>
      </c>
      <c r="O2517" s="1702"/>
      <c r="P2517" s="1635" t="str">
        <f>IFERROR(VLOOKUP(F2517,#REF!,12,FALSE),"")</f>
        <v/>
      </c>
      <c r="Q2517" s="1636" t="s">
        <v>8</v>
      </c>
      <c r="R2517" s="1703" t="str">
        <f>IFERROR(VLOOKUP(F2517,#REF!,14,FALSE),"")</f>
        <v/>
      </c>
      <c r="S2517" s="1704" t="str">
        <f t="shared" si="362"/>
        <v/>
      </c>
      <c r="T2517" s="1896">
        <f t="shared" si="357"/>
        <v>12.265007797614718</v>
      </c>
      <c r="U2517" s="1896">
        <f t="shared" si="358"/>
        <v>20.360560314834281</v>
      </c>
      <c r="V2517" s="1896">
        <f t="shared" si="363"/>
        <v>6.5479835830195707</v>
      </c>
      <c r="W2517" s="1767">
        <f t="shared" si="359"/>
        <v>0.60239048473919887</v>
      </c>
      <c r="X2517" s="1896">
        <v>236</v>
      </c>
    </row>
    <row r="2518" spans="1:24" ht="16" thickBot="1" x14ac:dyDescent="0.25">
      <c r="A2518" s="1650" t="s">
        <v>5</v>
      </c>
      <c r="B2518" s="1678">
        <f>IFERROR(SUM(M2512:M2518),"")</f>
        <v>0</v>
      </c>
      <c r="C2518" s="1360">
        <v>45606</v>
      </c>
      <c r="D2518" s="683"/>
      <c r="E2518" s="684"/>
      <c r="F2518" s="1429"/>
      <c r="G2518" s="1361"/>
      <c r="H2518" s="1362"/>
      <c r="I2518" s="1363"/>
      <c r="J2518" s="1364"/>
      <c r="K2518" s="1747"/>
      <c r="L2518" s="1705"/>
      <c r="M2518" s="1364"/>
      <c r="N2518" s="1365" t="str">
        <f t="shared" si="361"/>
        <v/>
      </c>
      <c r="O2518" s="1366"/>
      <c r="P2518" s="1706" t="str">
        <f>IFERROR(VLOOKUP(F2518,#REF!,12,FALSE),"")</f>
        <v/>
      </c>
      <c r="Q2518" s="1707" t="s">
        <v>8</v>
      </c>
      <c r="R2518" s="1708" t="str">
        <f>IFERROR(VLOOKUP(F2518,#REF!,14,FALSE),"")</f>
        <v/>
      </c>
      <c r="S2518" s="1191" t="str">
        <f t="shared" si="362"/>
        <v/>
      </c>
      <c r="T2518" s="1829">
        <f t="shared" si="357"/>
        <v>10.512863826526901</v>
      </c>
      <c r="U2518" s="1829">
        <f t="shared" si="358"/>
        <v>19.875785069242987</v>
      </c>
      <c r="V2518" s="683">
        <f t="shared" si="363"/>
        <v>8.0955525172195628</v>
      </c>
      <c r="W2518" s="1768">
        <f t="shared" si="359"/>
        <v>0.52892823050271121</v>
      </c>
      <c r="X2518" s="683">
        <v>236</v>
      </c>
    </row>
    <row r="2519" spans="1:24" ht="16" thickBot="1" x14ac:dyDescent="0.25">
      <c r="A2519" s="1962">
        <f>WEEKNUM(C2519,1)</f>
        <v>46</v>
      </c>
      <c r="B2519" s="1963"/>
      <c r="C2519" s="1368">
        <v>45607</v>
      </c>
      <c r="D2519" s="1369"/>
      <c r="E2519" s="1370"/>
      <c r="F2519" s="1546"/>
      <c r="G2519" s="1371"/>
      <c r="H2519" s="1372" t="str">
        <f>IFERROR(VLOOKUP(F2519,#REF!,10,FALSE),"")</f>
        <v/>
      </c>
      <c r="I2519" s="1373" t="str">
        <f t="shared" si="356"/>
        <v/>
      </c>
      <c r="J2519" s="1374"/>
      <c r="K2519" s="1745"/>
      <c r="L2519" s="1577"/>
      <c r="M2519" s="1374"/>
      <c r="N2519" s="1375" t="str">
        <f t="shared" si="361"/>
        <v/>
      </c>
      <c r="O2519" s="1376"/>
      <c r="P2519" s="795" t="str">
        <f>IFERROR(VLOOKUP(F2519,#REF!,12,FALSE),"")</f>
        <v/>
      </c>
      <c r="Q2519" s="1254" t="s">
        <v>8</v>
      </c>
      <c r="R2519" s="1694" t="str">
        <f>IFERROR(VLOOKUP(F2519,#REF!,14,FALSE),"")</f>
        <v/>
      </c>
      <c r="S2519" s="1377" t="str">
        <f t="shared" si="362"/>
        <v/>
      </c>
      <c r="T2519" s="70">
        <f t="shared" si="357"/>
        <v>9.0110261370230589</v>
      </c>
      <c r="U2519" s="70">
        <f t="shared" si="358"/>
        <v>19.402552091403869</v>
      </c>
      <c r="V2519" s="70">
        <f t="shared" si="363"/>
        <v>9.3629212427160855</v>
      </c>
      <c r="W2519" s="1839">
        <f t="shared" si="359"/>
        <v>0.46442478775847817</v>
      </c>
      <c r="X2519" s="70">
        <v>236</v>
      </c>
    </row>
    <row r="2520" spans="1:24" x14ac:dyDescent="0.2">
      <c r="A2520" s="1648" t="s">
        <v>142</v>
      </c>
      <c r="B2520" s="1679">
        <f>SUM(H2519:H2525)</f>
        <v>26.79</v>
      </c>
      <c r="C2520" s="1651">
        <v>45608</v>
      </c>
      <c r="D2520" s="1695">
        <v>131</v>
      </c>
      <c r="E2520" s="1696" t="s">
        <v>293</v>
      </c>
      <c r="F2520" s="1878" t="s">
        <v>323</v>
      </c>
      <c r="G2520" s="1697">
        <v>2.4733796296296295E-2</v>
      </c>
      <c r="H2520" s="1698">
        <v>6.06</v>
      </c>
      <c r="I2520" s="1699">
        <f t="shared" si="356"/>
        <v>4.0814845373426233E-3</v>
      </c>
      <c r="J2520" s="1700">
        <v>122</v>
      </c>
      <c r="K2520" s="1755">
        <v>42</v>
      </c>
      <c r="L2520" s="1578">
        <v>207</v>
      </c>
      <c r="M2520" s="1700">
        <v>14</v>
      </c>
      <c r="N2520" s="1701">
        <f t="shared" si="361"/>
        <v>1.0895005172159007</v>
      </c>
      <c r="O2520" s="1702" t="s">
        <v>340</v>
      </c>
      <c r="P2520" s="1635" t="str">
        <f>IFERROR(VLOOKUP(F2520,#REF!,12,FALSE),"")</f>
        <v/>
      </c>
      <c r="Q2520" s="1636" t="s">
        <v>8</v>
      </c>
      <c r="R2520" s="1703" t="str">
        <f>IFERROR(VLOOKUP(F2520,#REF!,14,FALSE),"")</f>
        <v/>
      </c>
      <c r="S2520" s="1704">
        <f t="shared" si="362"/>
        <v>1.6967213114754098</v>
      </c>
      <c r="T2520" s="1379">
        <f t="shared" si="357"/>
        <v>13.723736688876908</v>
      </c>
      <c r="U2520" s="1379">
        <f t="shared" si="358"/>
        <v>19.940586565418062</v>
      </c>
      <c r="V2520" s="1695">
        <f t="shared" si="363"/>
        <v>10.391525954380811</v>
      </c>
      <c r="W2520" s="1767">
        <f t="shared" si="359"/>
        <v>0.68823134384006945</v>
      </c>
      <c r="X2520" s="1695">
        <v>236</v>
      </c>
    </row>
    <row r="2521" spans="1:24" x14ac:dyDescent="0.2">
      <c r="A2521" s="1649" t="s">
        <v>347</v>
      </c>
      <c r="B2521" s="1680">
        <f>SUM(K2519:K2525)</f>
        <v>177</v>
      </c>
      <c r="C2521" s="1651">
        <v>45609</v>
      </c>
      <c r="D2521" s="1695">
        <v>132</v>
      </c>
      <c r="E2521" s="1696" t="s">
        <v>293</v>
      </c>
      <c r="F2521" s="1547" t="s">
        <v>323</v>
      </c>
      <c r="G2521" s="1697">
        <v>2.4039351851851853E-2</v>
      </c>
      <c r="H2521" s="1698">
        <v>6.05</v>
      </c>
      <c r="I2521" s="1699">
        <f t="shared" si="356"/>
        <v>3.9734465870829511E-3</v>
      </c>
      <c r="J2521" s="1700">
        <v>129</v>
      </c>
      <c r="K2521" s="1755">
        <v>42</v>
      </c>
      <c r="L2521" s="1578">
        <v>209</v>
      </c>
      <c r="M2521" s="1700">
        <v>14</v>
      </c>
      <c r="N2521" s="1701">
        <f t="shared" si="361"/>
        <v>1.070909090909091</v>
      </c>
      <c r="O2521" s="1702" t="s">
        <v>333</v>
      </c>
      <c r="P2521" s="1635" t="str">
        <f>IFERROR(VLOOKUP(F2521,#REF!,12,FALSE),"")</f>
        <v/>
      </c>
      <c r="Q2521" s="1636" t="s">
        <v>8</v>
      </c>
      <c r="R2521" s="1703" t="str">
        <f>IFERROR(VLOOKUP(F2521,#REF!,14,FALSE),"")</f>
        <v/>
      </c>
      <c r="S2521" s="1704">
        <f t="shared" si="362"/>
        <v>1.6201550387596899</v>
      </c>
      <c r="T2521" s="1379">
        <f t="shared" si="357"/>
        <v>17.763202876180209</v>
      </c>
      <c r="U2521" s="1379">
        <f t="shared" si="358"/>
        <v>20.46581069481287</v>
      </c>
      <c r="V2521" s="1695">
        <f t="shared" si="363"/>
        <v>6.2168498765411542</v>
      </c>
      <c r="W2521" s="1767">
        <f t="shared" si="359"/>
        <v>0.86794523515661925</v>
      </c>
      <c r="X2521" s="1695">
        <v>236</v>
      </c>
    </row>
    <row r="2522" spans="1:24" x14ac:dyDescent="0.2">
      <c r="A2522" s="1649" t="s">
        <v>256</v>
      </c>
      <c r="B2522" s="1677">
        <f>AVERAGE(W2519:W2525)</f>
        <v>0.80121443623811961</v>
      </c>
      <c r="C2522" s="1651">
        <v>45610</v>
      </c>
      <c r="D2522" s="1695"/>
      <c r="E2522" s="1696"/>
      <c r="F2522" s="1547"/>
      <c r="G2522" s="1697"/>
      <c r="H2522" s="1698" t="str">
        <f>IFERROR(VLOOKUP(F2522,#REF!,10,FALSE),"")</f>
        <v/>
      </c>
      <c r="I2522" s="1699" t="str">
        <f t="shared" si="356"/>
        <v/>
      </c>
      <c r="J2522" s="1700"/>
      <c r="K2522" s="1755"/>
      <c r="L2522" s="1578"/>
      <c r="M2522" s="1700"/>
      <c r="N2522" s="1701" t="str">
        <f t="shared" si="361"/>
        <v/>
      </c>
      <c r="O2522" s="1702"/>
      <c r="P2522" s="1635" t="str">
        <f>IFERROR(VLOOKUP(F2522,#REF!,12,FALSE),"")</f>
        <v/>
      </c>
      <c r="Q2522" s="1636" t="s">
        <v>8</v>
      </c>
      <c r="R2522" s="1703" t="str">
        <f>IFERROR(VLOOKUP(F2522,#REF!,14,FALSE),"")</f>
        <v/>
      </c>
      <c r="S2522" s="1704" t="str">
        <f t="shared" si="362"/>
        <v/>
      </c>
      <c r="T2522" s="1379">
        <f t="shared" si="357"/>
        <v>15.225602465297321</v>
      </c>
      <c r="U2522" s="1379">
        <f t="shared" si="358"/>
        <v>19.978529487793516</v>
      </c>
      <c r="V2522" s="1695">
        <f t="shared" si="363"/>
        <v>2.7026078186326608</v>
      </c>
      <c r="W2522" s="1767">
        <f t="shared" si="359"/>
        <v>0.7620982552594705</v>
      </c>
      <c r="X2522" s="1695">
        <v>236</v>
      </c>
    </row>
    <row r="2523" spans="1:24" x14ac:dyDescent="0.2">
      <c r="A2523" s="1649" t="s">
        <v>336</v>
      </c>
      <c r="B2523" s="1713">
        <f>IFERROR(AVERAGE(N2519:N2525),"")</f>
        <v>1.074784127130185</v>
      </c>
      <c r="C2523" s="1651">
        <v>45611</v>
      </c>
      <c r="D2523" s="1695">
        <v>133</v>
      </c>
      <c r="E2523" s="1696" t="s">
        <v>292</v>
      </c>
      <c r="F2523" s="1547" t="s">
        <v>322</v>
      </c>
      <c r="G2523" s="1697">
        <v>2.8703703703703703E-2</v>
      </c>
      <c r="H2523" s="1698">
        <v>7.06</v>
      </c>
      <c r="I2523" s="1699">
        <f t="shared" si="356"/>
        <v>4.0656804112894768E-3</v>
      </c>
      <c r="J2523" s="1700">
        <v>130</v>
      </c>
      <c r="K2523" s="1755">
        <v>48</v>
      </c>
      <c r="L2523" s="1578">
        <v>204</v>
      </c>
      <c r="M2523" s="1700">
        <v>24</v>
      </c>
      <c r="N2523" s="1701">
        <f t="shared" si="361"/>
        <v>1.069553084436176</v>
      </c>
      <c r="O2523" s="1702" t="s">
        <v>340</v>
      </c>
      <c r="P2523" s="1635" t="str">
        <f>IFERROR(VLOOKUP(F2523,#REF!,12,FALSE),"")</f>
        <v/>
      </c>
      <c r="Q2523" s="1636" t="s">
        <v>8</v>
      </c>
      <c r="R2523" s="1703" t="str">
        <f>IFERROR(VLOOKUP(F2523,#REF!,14,FALSE),"")</f>
        <v/>
      </c>
      <c r="S2523" s="1704">
        <f t="shared" si="362"/>
        <v>1.5692307692307692</v>
      </c>
      <c r="T2523" s="1379">
        <f t="shared" si="357"/>
        <v>19.907659255969133</v>
      </c>
      <c r="U2523" s="1379">
        <f t="shared" si="358"/>
        <v>20.645707357131766</v>
      </c>
      <c r="V2523" s="1695">
        <f t="shared" si="363"/>
        <v>4.7529270224961948</v>
      </c>
      <c r="W2523" s="1767">
        <f t="shared" si="359"/>
        <v>0.96425174064536545</v>
      </c>
      <c r="X2523" s="1695">
        <v>236</v>
      </c>
    </row>
    <row r="2524" spans="1:24" x14ac:dyDescent="0.2">
      <c r="A2524" s="1649" t="s">
        <v>337</v>
      </c>
      <c r="B2524" s="1681">
        <f>IFERROR(AVERAGE(S2519:S2525),"")</f>
        <v>1.5965267798664673</v>
      </c>
      <c r="C2524" s="1651">
        <v>45612</v>
      </c>
      <c r="D2524" s="1695"/>
      <c r="E2524" s="1696"/>
      <c r="F2524" s="1547"/>
      <c r="G2524" s="1697"/>
      <c r="H2524" s="1698" t="str">
        <f>IFERROR(VLOOKUP(F2524,#REF!,10,FALSE),"")</f>
        <v/>
      </c>
      <c r="I2524" s="1699" t="str">
        <f t="shared" ref="I2524:I2548" si="364">IFERROR(G2524/H2524,"")</f>
        <v/>
      </c>
      <c r="J2524" s="1700"/>
      <c r="K2524" s="1755"/>
      <c r="L2524" s="1578"/>
      <c r="M2524" s="1700"/>
      <c r="N2524" s="1701" t="str">
        <f t="shared" si="361"/>
        <v/>
      </c>
      <c r="O2524" s="1702"/>
      <c r="P2524" s="1635" t="str">
        <f>IFERROR(VLOOKUP(F2524,#REF!,12,FALSE),"")</f>
        <v/>
      </c>
      <c r="Q2524" s="1636" t="s">
        <v>8</v>
      </c>
      <c r="R2524" s="1703" t="str">
        <f>IFERROR(VLOOKUP(F2524,#REF!,14,FALSE),"")</f>
        <v/>
      </c>
      <c r="S2524" s="1704" t="str">
        <f t="shared" si="362"/>
        <v/>
      </c>
      <c r="T2524" s="1379">
        <f t="shared" si="357"/>
        <v>17.063707933687827</v>
      </c>
      <c r="U2524" s="1379">
        <f t="shared" si="358"/>
        <v>20.154142896247677</v>
      </c>
      <c r="V2524" s="1695">
        <f t="shared" si="363"/>
        <v>0.73804810116263297</v>
      </c>
      <c r="W2524" s="1767">
        <f t="shared" si="359"/>
        <v>0.84666006495690616</v>
      </c>
      <c r="X2524" s="1695">
        <v>236</v>
      </c>
    </row>
    <row r="2525" spans="1:24" ht="16" thickBot="1" x14ac:dyDescent="0.25">
      <c r="A2525" s="1650" t="s">
        <v>5</v>
      </c>
      <c r="B2525" s="1678">
        <f>IFERROR(SUM(M2519:M2525),"")</f>
        <v>71</v>
      </c>
      <c r="C2525" s="1360">
        <v>45613</v>
      </c>
      <c r="D2525" s="683">
        <v>134</v>
      </c>
      <c r="E2525" s="684" t="s">
        <v>292</v>
      </c>
      <c r="F2525" s="1429" t="s">
        <v>322</v>
      </c>
      <c r="G2525" s="1361">
        <v>3.290509259259259E-2</v>
      </c>
      <c r="H2525" s="1362">
        <v>7.62</v>
      </c>
      <c r="I2525" s="1363">
        <f t="shared" si="364"/>
        <v>4.3182536210751429E-3</v>
      </c>
      <c r="J2525" s="1364">
        <v>128</v>
      </c>
      <c r="K2525" s="1747">
        <v>45</v>
      </c>
      <c r="L2525" s="1705">
        <v>192</v>
      </c>
      <c r="M2525" s="1364">
        <v>19</v>
      </c>
      <c r="N2525" s="1365">
        <f t="shared" si="361"/>
        <v>1.0691738159595718</v>
      </c>
      <c r="O2525" s="1366" t="s">
        <v>346</v>
      </c>
      <c r="P2525" s="1706" t="str">
        <f>IFERROR(VLOOKUP(F2525,#REF!,12,FALSE),"")</f>
        <v/>
      </c>
      <c r="Q2525" s="1707" t="s">
        <v>8</v>
      </c>
      <c r="R2525" s="1708" t="str">
        <f>IFERROR(VLOOKUP(F2525,#REF!,14,FALSE),"")</f>
        <v/>
      </c>
      <c r="S2525" s="1191">
        <f t="shared" si="362"/>
        <v>1.5</v>
      </c>
      <c r="T2525" s="1897">
        <f t="shared" si="357"/>
        <v>21.054606800303851</v>
      </c>
      <c r="U2525" s="1897">
        <f t="shared" si="358"/>
        <v>20.745710922527493</v>
      </c>
      <c r="V2525" s="683">
        <f t="shared" si="363"/>
        <v>3.0904349625598506</v>
      </c>
      <c r="W2525" s="1768">
        <f t="shared" si="359"/>
        <v>1.0148896260499287</v>
      </c>
      <c r="X2525" s="683">
        <v>236</v>
      </c>
    </row>
    <row r="2526" spans="1:24" ht="16" thickBot="1" x14ac:dyDescent="0.25">
      <c r="A2526" s="1962">
        <f>WEEKNUM(C2526,1)</f>
        <v>47</v>
      </c>
      <c r="B2526" s="1963"/>
      <c r="C2526" s="1368">
        <v>45614</v>
      </c>
      <c r="D2526" s="1369">
        <v>135</v>
      </c>
      <c r="E2526" s="1370" t="s">
        <v>293</v>
      </c>
      <c r="F2526" s="1546" t="s">
        <v>323</v>
      </c>
      <c r="G2526" s="1371">
        <v>2.2094907407407407E-2</v>
      </c>
      <c r="H2526" s="1372">
        <v>5.85</v>
      </c>
      <c r="I2526" s="1373">
        <f t="shared" si="364"/>
        <v>3.7769072491294713E-3</v>
      </c>
      <c r="J2526" s="1374">
        <v>132</v>
      </c>
      <c r="K2526" s="1745">
        <v>48</v>
      </c>
      <c r="L2526" s="1577">
        <v>222</v>
      </c>
      <c r="M2526" s="1374">
        <v>17</v>
      </c>
      <c r="N2526" s="1375">
        <f t="shared" si="361"/>
        <v>1.0812552621507845</v>
      </c>
      <c r="O2526" s="1376" t="s">
        <v>340</v>
      </c>
      <c r="P2526" s="795" t="str">
        <f>IFERROR(VLOOKUP(F2526,#REF!,12,FALSE),"")</f>
        <v/>
      </c>
      <c r="Q2526" s="1254" t="s">
        <v>8</v>
      </c>
      <c r="R2526" s="1694" t="str">
        <f>IFERROR(VLOOKUP(F2526,#REF!,14,FALSE),"")</f>
        <v/>
      </c>
      <c r="S2526" s="1377">
        <f t="shared" si="362"/>
        <v>1.6818181818181819</v>
      </c>
      <c r="T2526" s="1369">
        <f t="shared" si="357"/>
        <v>24.903948685974729</v>
      </c>
      <c r="U2526" s="1369">
        <f t="shared" si="358"/>
        <v>21.39462256722922</v>
      </c>
      <c r="V2526" s="1369">
        <f t="shared" si="363"/>
        <v>-0.30889587777635796</v>
      </c>
      <c r="W2526" s="1766">
        <f t="shared" si="359"/>
        <v>1.1640284191842136</v>
      </c>
      <c r="X2526" s="1369">
        <v>236</v>
      </c>
    </row>
    <row r="2527" spans="1:24" x14ac:dyDescent="0.2">
      <c r="A2527" s="1648" t="s">
        <v>142</v>
      </c>
      <c r="B2527" s="1679">
        <f>SUM(H2526:H2532)</f>
        <v>31.309999999999995</v>
      </c>
      <c r="C2527" s="1651">
        <v>45615</v>
      </c>
      <c r="D2527" s="1695">
        <v>136</v>
      </c>
      <c r="E2527" s="1696" t="s">
        <v>293</v>
      </c>
      <c r="F2527" s="1878" t="s">
        <v>323</v>
      </c>
      <c r="G2527" s="1697">
        <v>2.5798611111111112E-2</v>
      </c>
      <c r="H2527" s="1698">
        <v>6.55</v>
      </c>
      <c r="I2527" s="1699">
        <f t="shared" si="364"/>
        <v>3.9387192536047503E-3</v>
      </c>
      <c r="J2527" s="1700">
        <v>134</v>
      </c>
      <c r="K2527" s="1755">
        <v>46</v>
      </c>
      <c r="L2527" s="1578">
        <v>209</v>
      </c>
      <c r="M2527" s="1700">
        <v>20</v>
      </c>
      <c r="N2527" s="1701">
        <f t="shared" si="361"/>
        <v>1.0615495043864647</v>
      </c>
      <c r="O2527" s="1702" t="s">
        <v>333</v>
      </c>
      <c r="P2527" s="1635" t="str">
        <f>IFERROR(VLOOKUP(F2527,#REF!,12,FALSE),"")</f>
        <v/>
      </c>
      <c r="Q2527" s="1636" t="s">
        <v>8</v>
      </c>
      <c r="R2527" s="1703" t="str">
        <f>IFERROR(VLOOKUP(F2527,#REF!,14,FALSE),"")</f>
        <v/>
      </c>
      <c r="S2527" s="1704">
        <f t="shared" si="362"/>
        <v>1.5597014925373134</v>
      </c>
      <c r="T2527" s="1896">
        <f t="shared" si="357"/>
        <v>27.917670302264053</v>
      </c>
      <c r="U2527" s="1896">
        <f t="shared" si="358"/>
        <v>21.980464887057096</v>
      </c>
      <c r="V2527" s="1695">
        <f t="shared" si="363"/>
        <v>-3.5093261187455091</v>
      </c>
      <c r="W2527" s="1767">
        <f t="shared" si="359"/>
        <v>1.2701128227139091</v>
      </c>
      <c r="X2527" s="1695">
        <v>236</v>
      </c>
    </row>
    <row r="2528" spans="1:24" x14ac:dyDescent="0.2">
      <c r="A2528" s="1649" t="s">
        <v>347</v>
      </c>
      <c r="B2528" s="1680">
        <f>SUM(K2526:K2532)</f>
        <v>227</v>
      </c>
      <c r="C2528" s="1651">
        <v>45616</v>
      </c>
      <c r="D2528" s="1695"/>
      <c r="E2528" s="1696"/>
      <c r="F2528" s="1547"/>
      <c r="G2528" s="1697"/>
      <c r="H2528" s="1698" t="str">
        <f>IFERROR(VLOOKUP(F2528,#REF!,10,FALSE),"")</f>
        <v/>
      </c>
      <c r="I2528" s="1699" t="str">
        <f t="shared" si="364"/>
        <v/>
      </c>
      <c r="J2528" s="1700"/>
      <c r="K2528" s="1755"/>
      <c r="L2528" s="1578"/>
      <c r="M2528" s="1700"/>
      <c r="N2528" s="1701" t="str">
        <f t="shared" si="361"/>
        <v/>
      </c>
      <c r="O2528" s="1702"/>
      <c r="P2528" s="1635" t="str">
        <f>IFERROR(VLOOKUP(F2528,#REF!,12,FALSE),"")</f>
        <v/>
      </c>
      <c r="Q2528" s="1636" t="s">
        <v>8</v>
      </c>
      <c r="R2528" s="1703" t="str">
        <f>IFERROR(VLOOKUP(F2528,#REF!,14,FALSE),"")</f>
        <v/>
      </c>
      <c r="S2528" s="1704" t="str">
        <f t="shared" si="362"/>
        <v/>
      </c>
      <c r="T2528" s="1896">
        <f t="shared" si="357"/>
        <v>23.929431687654901</v>
      </c>
      <c r="U2528" s="1896">
        <f t="shared" si="358"/>
        <v>21.457120484984308</v>
      </c>
      <c r="V2528" s="1695">
        <f t="shared" si="363"/>
        <v>-5.9372054152069573</v>
      </c>
      <c r="W2528" s="1767">
        <f t="shared" si="359"/>
        <v>1.1152210150658712</v>
      </c>
      <c r="X2528" s="1695">
        <v>236</v>
      </c>
    </row>
    <row r="2529" spans="1:24" x14ac:dyDescent="0.2">
      <c r="A2529" s="1649" t="s">
        <v>256</v>
      </c>
      <c r="B2529" s="1677">
        <f>AVERAGE(W2526:W2532)</f>
        <v>1.2247743403990057</v>
      </c>
      <c r="C2529" s="1651">
        <v>45617</v>
      </c>
      <c r="D2529" s="1695">
        <v>137</v>
      </c>
      <c r="E2529" s="1696" t="s">
        <v>293</v>
      </c>
      <c r="F2529" s="1547" t="s">
        <v>343</v>
      </c>
      <c r="G2529" s="1697">
        <v>2.6574074074074073E-2</v>
      </c>
      <c r="H2529" s="1698">
        <v>7.15</v>
      </c>
      <c r="I2529" s="1699">
        <f t="shared" si="364"/>
        <v>3.7166537166537163E-3</v>
      </c>
      <c r="J2529" s="1700">
        <v>138</v>
      </c>
      <c r="K2529" s="1755">
        <v>59</v>
      </c>
      <c r="L2529" s="1578">
        <v>221</v>
      </c>
      <c r="M2529" s="1700">
        <v>26</v>
      </c>
      <c r="N2529" s="1701">
        <f t="shared" si="361"/>
        <v>1.0592130257801899</v>
      </c>
      <c r="O2529" s="1702" t="s">
        <v>345</v>
      </c>
      <c r="P2529" s="1635" t="str">
        <f>IFERROR(VLOOKUP(F2529,#REF!,12,FALSE),"")</f>
        <v/>
      </c>
      <c r="Q2529" s="1636" t="s">
        <v>8</v>
      </c>
      <c r="R2529" s="1703" t="str">
        <f>IFERROR(VLOOKUP(F2529,#REF!,14,FALSE),"")</f>
        <v/>
      </c>
      <c r="S2529" s="1704">
        <f t="shared" si="362"/>
        <v>1.6014492753623188</v>
      </c>
      <c r="T2529" s="1896">
        <f t="shared" si="357"/>
        <v>28.939512875132774</v>
      </c>
      <c r="U2529" s="1896">
        <f t="shared" si="358"/>
        <v>22.350998568675159</v>
      </c>
      <c r="V2529" s="1695">
        <f t="shared" si="363"/>
        <v>-2.4723112026705927</v>
      </c>
      <c r="W2529" s="1767">
        <f t="shared" si="359"/>
        <v>1.2947749419881129</v>
      </c>
      <c r="X2529" s="1695">
        <v>236</v>
      </c>
    </row>
    <row r="2530" spans="1:24" x14ac:dyDescent="0.2">
      <c r="A2530" s="1649" t="s">
        <v>336</v>
      </c>
      <c r="B2530" s="1713">
        <f>IFERROR(AVERAGE(N2526:N2532),"")</f>
        <v>1.0697008766507883</v>
      </c>
      <c r="C2530" s="1651">
        <v>45618</v>
      </c>
      <c r="D2530" s="1695"/>
      <c r="E2530" s="1696"/>
      <c r="F2530" s="1547"/>
      <c r="G2530" s="1697"/>
      <c r="H2530" s="1698" t="str">
        <f>IFERROR(VLOOKUP(F2530,#REF!,10,FALSE),"")</f>
        <v/>
      </c>
      <c r="I2530" s="1699" t="str">
        <f t="shared" si="364"/>
        <v/>
      </c>
      <c r="J2530" s="1700"/>
      <c r="K2530" s="1755"/>
      <c r="L2530" s="1578"/>
      <c r="M2530" s="1700"/>
      <c r="N2530" s="1701" t="str">
        <f t="shared" si="361"/>
        <v/>
      </c>
      <c r="O2530" s="1702"/>
      <c r="P2530" s="1635" t="str">
        <f>IFERROR(VLOOKUP(F2530,#REF!,12,FALSE),"")</f>
        <v/>
      </c>
      <c r="Q2530" s="1636" t="s">
        <v>8</v>
      </c>
      <c r="R2530" s="1703" t="str">
        <f>IFERROR(VLOOKUP(F2530,#REF!,14,FALSE),"")</f>
        <v/>
      </c>
      <c r="S2530" s="1704" t="str">
        <f t="shared" si="362"/>
        <v/>
      </c>
      <c r="T2530" s="1896">
        <f t="shared" si="357"/>
        <v>24.805296750113804</v>
      </c>
      <c r="U2530" s="1896">
        <f t="shared" si="358"/>
        <v>21.818831936087655</v>
      </c>
      <c r="V2530" s="1695">
        <f t="shared" si="363"/>
        <v>-6.5885143064576148</v>
      </c>
      <c r="W2530" s="1767">
        <f t="shared" si="359"/>
        <v>1.1368755588188308</v>
      </c>
      <c r="X2530" s="1695">
        <v>236</v>
      </c>
    </row>
    <row r="2531" spans="1:24" x14ac:dyDescent="0.2">
      <c r="A2531" s="1649" t="s">
        <v>337</v>
      </c>
      <c r="B2531" s="1681">
        <f>IFERROR(AVERAGE(S2526:S2532),"")</f>
        <v>1.5775305585973369</v>
      </c>
      <c r="C2531" s="1651">
        <v>45619</v>
      </c>
      <c r="D2531" s="1695">
        <v>138</v>
      </c>
      <c r="E2531" s="1696" t="s">
        <v>292</v>
      </c>
      <c r="F2531" s="1547" t="s">
        <v>308</v>
      </c>
      <c r="G2531" s="1697">
        <v>4.8854166666666664E-2</v>
      </c>
      <c r="H2531" s="1698">
        <v>11.76</v>
      </c>
      <c r="I2531" s="1699">
        <f t="shared" si="364"/>
        <v>4.154265873015873E-3</v>
      </c>
      <c r="J2531" s="1700">
        <v>137</v>
      </c>
      <c r="K2531" s="1755">
        <v>74</v>
      </c>
      <c r="L2531" s="1578">
        <v>201</v>
      </c>
      <c r="M2531" s="1700">
        <v>47</v>
      </c>
      <c r="N2531" s="1701">
        <f t="shared" si="361"/>
        <v>1.0767857142857145</v>
      </c>
      <c r="O2531" s="1702" t="s">
        <v>346</v>
      </c>
      <c r="P2531" s="1635" t="str">
        <f>IFERROR(VLOOKUP(F2531,#REF!,12,FALSE),"")</f>
        <v/>
      </c>
      <c r="Q2531" s="1636" t="s">
        <v>8</v>
      </c>
      <c r="R2531" s="1703" t="str">
        <f>IFERROR(VLOOKUP(F2531,#REF!,14,FALSE),"")</f>
        <v/>
      </c>
      <c r="S2531" s="1704">
        <f t="shared" si="362"/>
        <v>1.4671532846715329</v>
      </c>
      <c r="T2531" s="1896">
        <f t="shared" si="357"/>
        <v>31.833111500097544</v>
      </c>
      <c r="U2531" s="1896">
        <f t="shared" si="358"/>
        <v>23.061240699514141</v>
      </c>
      <c r="V2531" s="1695">
        <f t="shared" si="363"/>
        <v>-2.9864648140261494</v>
      </c>
      <c r="W2531" s="1767">
        <f t="shared" si="359"/>
        <v>1.3803728912455353</v>
      </c>
      <c r="X2531" s="1695">
        <v>236</v>
      </c>
    </row>
    <row r="2532" spans="1:24" ht="16" thickBot="1" x14ac:dyDescent="0.25">
      <c r="A2532" s="1650" t="s">
        <v>5</v>
      </c>
      <c r="B2532" s="1678">
        <f>IFERROR(SUM(M2526:M2532),"")</f>
        <v>110</v>
      </c>
      <c r="C2532" s="1360">
        <v>45620</v>
      </c>
      <c r="D2532" s="683"/>
      <c r="E2532" s="684"/>
      <c r="F2532" s="1429"/>
      <c r="G2532" s="1361"/>
      <c r="H2532" s="1362" t="str">
        <f>IFERROR(VLOOKUP(F2532,#REF!,10,FALSE),"")</f>
        <v/>
      </c>
      <c r="I2532" s="1363" t="str">
        <f t="shared" si="364"/>
        <v/>
      </c>
      <c r="J2532" s="1364"/>
      <c r="K2532" s="1747"/>
      <c r="L2532" s="1705"/>
      <c r="M2532" s="1364"/>
      <c r="N2532" s="1365" t="str">
        <f t="shared" si="361"/>
        <v/>
      </c>
      <c r="O2532" s="1366"/>
      <c r="P2532" s="1706" t="str">
        <f>IFERROR(VLOOKUP(F2532,#REF!,12,FALSE),"")</f>
        <v/>
      </c>
      <c r="Q2532" s="1707" t="s">
        <v>8</v>
      </c>
      <c r="R2532" s="1708" t="str">
        <f>IFERROR(VLOOKUP(F2532,#REF!,14,FALSE),"")</f>
        <v/>
      </c>
      <c r="S2532" s="1191" t="str">
        <f t="shared" si="362"/>
        <v/>
      </c>
      <c r="T2532" s="1829">
        <f t="shared" si="357"/>
        <v>27.285524142940751</v>
      </c>
      <c r="U2532" s="1829">
        <f t="shared" si="358"/>
        <v>22.5121635400019</v>
      </c>
      <c r="V2532" s="683">
        <f t="shared" si="363"/>
        <v>-8.7718708005834038</v>
      </c>
      <c r="W2532" s="1768">
        <f t="shared" si="359"/>
        <v>1.2120347337765673</v>
      </c>
      <c r="X2532" s="683">
        <v>236</v>
      </c>
    </row>
    <row r="2533" spans="1:24" ht="16" thickBot="1" x14ac:dyDescent="0.25">
      <c r="A2533" s="1962">
        <f>WEEKNUM(C2533,1)</f>
        <v>48</v>
      </c>
      <c r="B2533" s="1963"/>
      <c r="C2533" s="1368">
        <v>45621</v>
      </c>
      <c r="D2533" s="1369">
        <v>139</v>
      </c>
      <c r="E2533" s="1370" t="s">
        <v>293</v>
      </c>
      <c r="F2533" s="1546" t="s">
        <v>323</v>
      </c>
      <c r="G2533" s="1371">
        <v>2.4444444444444446E-2</v>
      </c>
      <c r="H2533" s="1372">
        <v>6.36</v>
      </c>
      <c r="I2533" s="1373">
        <f t="shared" si="364"/>
        <v>3.8434661076170509E-3</v>
      </c>
      <c r="J2533" s="1374">
        <v>128</v>
      </c>
      <c r="K2533" s="1745">
        <v>50</v>
      </c>
      <c r="L2533" s="1577">
        <v>218</v>
      </c>
      <c r="M2533" s="1374">
        <v>24</v>
      </c>
      <c r="N2533" s="1375">
        <f t="shared" si="361"/>
        <v>1.080484370599831</v>
      </c>
      <c r="O2533" s="1376" t="s">
        <v>340</v>
      </c>
      <c r="P2533" s="795" t="str">
        <f>IFERROR(VLOOKUP(F2533,#REF!,12,FALSE),"")</f>
        <v/>
      </c>
      <c r="Q2533" s="1254" t="s">
        <v>8</v>
      </c>
      <c r="R2533" s="1694" t="str">
        <f>IFERROR(VLOOKUP(F2533,#REF!,14,FALSE),"")</f>
        <v/>
      </c>
      <c r="S2533" s="1377">
        <f t="shared" si="362"/>
        <v>1.703125</v>
      </c>
      <c r="T2533" s="70">
        <f t="shared" si="357"/>
        <v>30.530449265377786</v>
      </c>
      <c r="U2533" s="70">
        <f t="shared" si="358"/>
        <v>23.166635836668522</v>
      </c>
      <c r="V2533" s="1369">
        <f t="shared" si="363"/>
        <v>-4.7733606029388511</v>
      </c>
      <c r="W2533" s="1766">
        <f t="shared" si="359"/>
        <v>1.3178628731692541</v>
      </c>
      <c r="X2533" s="1369">
        <v>236</v>
      </c>
    </row>
    <row r="2534" spans="1:24" x14ac:dyDescent="0.2">
      <c r="A2534" s="1648" t="s">
        <v>142</v>
      </c>
      <c r="B2534" s="1679">
        <f>SUM(H2533:H2539)</f>
        <v>25.009999999999998</v>
      </c>
      <c r="C2534" s="1651">
        <v>45622</v>
      </c>
      <c r="D2534" s="1695"/>
      <c r="E2534" s="1696"/>
      <c r="F2534" s="1878"/>
      <c r="G2534" s="1697"/>
      <c r="H2534" s="1698" t="str">
        <f>IFERROR(VLOOKUP(F2534,#REF!,10,FALSE),"")</f>
        <v/>
      </c>
      <c r="I2534" s="1699" t="str">
        <f t="shared" si="364"/>
        <v/>
      </c>
      <c r="J2534" s="1700"/>
      <c r="K2534" s="1755"/>
      <c r="L2534" s="1578"/>
      <c r="M2534" s="1700"/>
      <c r="N2534" s="1701" t="str">
        <f t="shared" si="361"/>
        <v/>
      </c>
      <c r="O2534" s="1702"/>
      <c r="P2534" s="1635" t="str">
        <f>IFERROR(VLOOKUP(F2534,#REF!,12,FALSE),"")</f>
        <v/>
      </c>
      <c r="Q2534" s="1636" t="s">
        <v>8</v>
      </c>
      <c r="R2534" s="1703" t="str">
        <f>IFERROR(VLOOKUP(F2534,#REF!,14,FALSE),"")</f>
        <v/>
      </c>
      <c r="S2534" s="1704" t="str">
        <f t="shared" si="362"/>
        <v/>
      </c>
      <c r="T2534" s="1379">
        <f t="shared" ref="T2534:T2569" si="365">T2533+(K2534-T2533)/7</f>
        <v>26.168956513180959</v>
      </c>
      <c r="U2534" s="1379">
        <f t="shared" ref="U2534:U2569" si="366">U2533+(K2534-U2533)/42</f>
        <v>22.615049269128797</v>
      </c>
      <c r="V2534" s="1695">
        <f t="shared" si="363"/>
        <v>-7.363813428709264</v>
      </c>
      <c r="W2534" s="1767">
        <f t="shared" ref="W2534:W2569" si="367">T2534/U2534</f>
        <v>1.1571478886364182</v>
      </c>
      <c r="X2534" s="1695">
        <v>236</v>
      </c>
    </row>
    <row r="2535" spans="1:24" x14ac:dyDescent="0.2">
      <c r="A2535" s="1649" t="s">
        <v>347</v>
      </c>
      <c r="B2535" s="1680">
        <f>SUM(K2533:K2539)</f>
        <v>181</v>
      </c>
      <c r="C2535" s="1651">
        <v>45623</v>
      </c>
      <c r="D2535" s="1695">
        <v>140</v>
      </c>
      <c r="E2535" s="1696" t="s">
        <v>293</v>
      </c>
      <c r="F2535" s="1547" t="s">
        <v>355</v>
      </c>
      <c r="G2535" s="1697">
        <v>2.4236111111111111E-2</v>
      </c>
      <c r="H2535" s="1698">
        <v>6.29</v>
      </c>
      <c r="I2535" s="1699">
        <f t="shared" si="364"/>
        <v>3.8531178237060592E-3</v>
      </c>
      <c r="J2535" s="1700">
        <v>126</v>
      </c>
      <c r="K2535" s="1755">
        <v>50</v>
      </c>
      <c r="L2535" s="1578">
        <v>219</v>
      </c>
      <c r="M2535" s="1700">
        <v>20</v>
      </c>
      <c r="N2535" s="1701">
        <f t="shared" si="361"/>
        <v>1.0881664807915905</v>
      </c>
      <c r="O2535" s="1702" t="s">
        <v>340</v>
      </c>
      <c r="P2535" s="1635" t="str">
        <f>IFERROR(VLOOKUP(F2535,#REF!,12,FALSE),"")</f>
        <v/>
      </c>
      <c r="Q2535" s="1636" t="s">
        <v>8</v>
      </c>
      <c r="R2535" s="1703" t="str">
        <f>IFERROR(VLOOKUP(F2535,#REF!,14,FALSE),"")</f>
        <v/>
      </c>
      <c r="S2535" s="1704">
        <f t="shared" si="362"/>
        <v>1.7380952380952381</v>
      </c>
      <c r="T2535" s="1379">
        <f t="shared" si="365"/>
        <v>29.57339129701225</v>
      </c>
      <c r="U2535" s="1379">
        <f t="shared" si="366"/>
        <v>23.26707190557811</v>
      </c>
      <c r="V2535" s="1695">
        <f t="shared" si="363"/>
        <v>-3.5539072440521622</v>
      </c>
      <c r="W2535" s="1767">
        <f t="shared" si="367"/>
        <v>1.2710405252979962</v>
      </c>
      <c r="X2535" s="1695">
        <v>236</v>
      </c>
    </row>
    <row r="2536" spans="1:24" x14ac:dyDescent="0.2">
      <c r="A2536" s="1649" t="s">
        <v>256</v>
      </c>
      <c r="B2536" s="1677">
        <f>AVERAGE(W2533:W2539)</f>
        <v>1.1782338071236187</v>
      </c>
      <c r="C2536" s="1651">
        <v>45624</v>
      </c>
      <c r="D2536" s="1695"/>
      <c r="E2536" s="1696"/>
      <c r="F2536" s="1547"/>
      <c r="G2536" s="1697"/>
      <c r="H2536" s="1698" t="str">
        <f>IFERROR(VLOOKUP(F2536,#REF!,10,FALSE),"")</f>
        <v/>
      </c>
      <c r="I2536" s="1699" t="str">
        <f t="shared" si="364"/>
        <v/>
      </c>
      <c r="J2536" s="1700"/>
      <c r="K2536" s="1755"/>
      <c r="L2536" s="1578"/>
      <c r="M2536" s="1700"/>
      <c r="N2536" s="1701" t="str">
        <f t="shared" si="361"/>
        <v/>
      </c>
      <c r="O2536" s="1702"/>
      <c r="P2536" s="1635" t="str">
        <f>IFERROR(VLOOKUP(F2536,#REF!,12,FALSE),"")</f>
        <v/>
      </c>
      <c r="Q2536" s="1636" t="s">
        <v>8</v>
      </c>
      <c r="R2536" s="1703" t="str">
        <f>IFERROR(VLOOKUP(F2536,#REF!,14,FALSE),"")</f>
        <v/>
      </c>
      <c r="S2536" s="1704" t="str">
        <f t="shared" si="362"/>
        <v/>
      </c>
      <c r="T2536" s="1379">
        <f t="shared" si="365"/>
        <v>25.348621111724785</v>
      </c>
      <c r="U2536" s="1379">
        <f t="shared" si="366"/>
        <v>22.713094003064345</v>
      </c>
      <c r="V2536" s="1695">
        <f t="shared" si="363"/>
        <v>-6.3063193914341404</v>
      </c>
      <c r="W2536" s="1767">
        <f t="shared" si="367"/>
        <v>1.1160355831884845</v>
      </c>
      <c r="X2536" s="1695">
        <v>236</v>
      </c>
    </row>
    <row r="2537" spans="1:24" x14ac:dyDescent="0.2">
      <c r="A2537" s="1649" t="s">
        <v>336</v>
      </c>
      <c r="B2537" s="1713">
        <f>IFERROR(AVERAGE(N2533:N2539),"")</f>
        <v>1.0827058651138579</v>
      </c>
      <c r="C2537" s="1651">
        <v>45625</v>
      </c>
      <c r="D2537" s="1695"/>
      <c r="E2537" s="1696"/>
      <c r="F2537" s="1547"/>
      <c r="G2537" s="1697"/>
      <c r="H2537" s="1698" t="str">
        <f>IFERROR(VLOOKUP(F2537,#REF!,10,FALSE),"")</f>
        <v/>
      </c>
      <c r="I2537" s="1699" t="str">
        <f t="shared" si="364"/>
        <v/>
      </c>
      <c r="J2537" s="1700"/>
      <c r="K2537" s="1755"/>
      <c r="L2537" s="1578"/>
      <c r="M2537" s="1700"/>
      <c r="N2537" s="1701" t="str">
        <f t="shared" si="361"/>
        <v/>
      </c>
      <c r="O2537" s="1702"/>
      <c r="P2537" s="1635" t="str">
        <f>IFERROR(VLOOKUP(F2537,#REF!,12,FALSE),"")</f>
        <v/>
      </c>
      <c r="Q2537" s="1636" t="s">
        <v>8</v>
      </c>
      <c r="R2537" s="1703" t="str">
        <f>IFERROR(VLOOKUP(F2537,#REF!,14,FALSE),"")</f>
        <v/>
      </c>
      <c r="S2537" s="1704" t="str">
        <f t="shared" si="362"/>
        <v/>
      </c>
      <c r="T2537" s="1379">
        <f t="shared" si="365"/>
        <v>21.727389524335532</v>
      </c>
      <c r="U2537" s="1379">
        <f t="shared" si="366"/>
        <v>22.17230605061043</v>
      </c>
      <c r="V2537" s="1695">
        <f t="shared" si="363"/>
        <v>-2.6355271086604404</v>
      </c>
      <c r="W2537" s="1767">
        <f t="shared" si="367"/>
        <v>0.97993368279964499</v>
      </c>
      <c r="X2537" s="1695">
        <v>236</v>
      </c>
    </row>
    <row r="2538" spans="1:24" x14ac:dyDescent="0.2">
      <c r="A2538" s="1649" t="s">
        <v>337</v>
      </c>
      <c r="B2538" s="1681">
        <f>IFERROR(AVERAGE(S2533:S2539),"")</f>
        <v>1.6583516081871343</v>
      </c>
      <c r="C2538" s="1651">
        <v>45626</v>
      </c>
      <c r="D2538" s="1695">
        <v>141</v>
      </c>
      <c r="E2538" s="1696" t="s">
        <v>292</v>
      </c>
      <c r="F2538" s="1547" t="s">
        <v>308</v>
      </c>
      <c r="G2538" s="1697">
        <v>5.0717592592592592E-2</v>
      </c>
      <c r="H2538" s="1698">
        <v>12.36</v>
      </c>
      <c r="I2538" s="1699">
        <f t="shared" si="364"/>
        <v>4.1033650964880739E-3</v>
      </c>
      <c r="J2538" s="1700">
        <v>133</v>
      </c>
      <c r="K2538" s="1755">
        <v>81</v>
      </c>
      <c r="L2538" s="1578">
        <v>204</v>
      </c>
      <c r="M2538" s="1700">
        <v>51</v>
      </c>
      <c r="N2538" s="1701">
        <f t="shared" si="361"/>
        <v>1.0794667439501522</v>
      </c>
      <c r="O2538" s="1702" t="s">
        <v>346</v>
      </c>
      <c r="P2538" s="1635" t="str">
        <f>IFERROR(VLOOKUP(F2538,#REF!,12,FALSE),"")</f>
        <v/>
      </c>
      <c r="Q2538" s="1636" t="s">
        <v>8</v>
      </c>
      <c r="R2538" s="1703" t="str">
        <f>IFERROR(VLOOKUP(F2538,#REF!,14,FALSE),"")</f>
        <v/>
      </c>
      <c r="S2538" s="1704">
        <f t="shared" si="362"/>
        <v>1.5338345864661653</v>
      </c>
      <c r="T2538" s="1379">
        <f t="shared" si="365"/>
        <v>30.194905306573311</v>
      </c>
      <c r="U2538" s="1379">
        <f t="shared" si="366"/>
        <v>23.572965430357801</v>
      </c>
      <c r="V2538" s="1695">
        <f t="shared" si="363"/>
        <v>0.44491652627489842</v>
      </c>
      <c r="W2538" s="1767">
        <f t="shared" si="367"/>
        <v>1.2809124671131797</v>
      </c>
      <c r="X2538" s="1695">
        <v>236</v>
      </c>
    </row>
    <row r="2539" spans="1:24" ht="16" thickBot="1" x14ac:dyDescent="0.25">
      <c r="A2539" s="1650" t="s">
        <v>5</v>
      </c>
      <c r="B2539" s="1678">
        <f>IFERROR(SUM(M2533:M2539),"")</f>
        <v>95</v>
      </c>
      <c r="C2539" s="1360">
        <v>45627</v>
      </c>
      <c r="D2539" s="683"/>
      <c r="E2539" s="684"/>
      <c r="F2539" s="1429"/>
      <c r="G2539" s="1361"/>
      <c r="H2539" s="1362" t="str">
        <f>IFERROR(VLOOKUP(F2539,#REF!,10,FALSE),"")</f>
        <v/>
      </c>
      <c r="I2539" s="1363" t="str">
        <f t="shared" si="364"/>
        <v/>
      </c>
      <c r="J2539" s="1364"/>
      <c r="K2539" s="1747"/>
      <c r="L2539" s="1705"/>
      <c r="M2539" s="1364"/>
      <c r="N2539" s="1365" t="str">
        <f t="shared" si="361"/>
        <v/>
      </c>
      <c r="O2539" s="1366"/>
      <c r="P2539" s="1706" t="str">
        <f>IFERROR(VLOOKUP(F2539,#REF!,12,FALSE),"")</f>
        <v/>
      </c>
      <c r="Q2539" s="1707" t="s">
        <v>8</v>
      </c>
      <c r="R2539" s="1708" t="str">
        <f>IFERROR(VLOOKUP(F2539,#REF!,14,FALSE),"")</f>
        <v/>
      </c>
      <c r="S2539" s="1191" t="str">
        <f t="shared" si="362"/>
        <v/>
      </c>
      <c r="T2539" s="1897">
        <f t="shared" si="365"/>
        <v>25.881347405634266</v>
      </c>
      <c r="U2539" s="1897">
        <f t="shared" si="366"/>
        <v>23.011704348682613</v>
      </c>
      <c r="V2539" s="683">
        <f t="shared" si="363"/>
        <v>-6.6219398762155102</v>
      </c>
      <c r="W2539" s="1768">
        <f t="shared" si="367"/>
        <v>1.124703629660353</v>
      </c>
      <c r="X2539" s="683">
        <v>236</v>
      </c>
    </row>
    <row r="2540" spans="1:24" ht="16" thickBot="1" x14ac:dyDescent="0.25">
      <c r="A2540" s="1962">
        <f>WEEKNUM(C2540,1)</f>
        <v>49</v>
      </c>
      <c r="B2540" s="1963"/>
      <c r="C2540" s="1368">
        <v>45628</v>
      </c>
      <c r="D2540" s="1369">
        <v>142</v>
      </c>
      <c r="E2540" s="1370" t="s">
        <v>293</v>
      </c>
      <c r="F2540" s="1547" t="s">
        <v>322</v>
      </c>
      <c r="G2540" s="1371">
        <v>3.0682870370370371E-2</v>
      </c>
      <c r="H2540" s="1372">
        <v>7.68</v>
      </c>
      <c r="I2540" s="1373">
        <f t="shared" si="364"/>
        <v>3.9951654128086425E-3</v>
      </c>
      <c r="J2540" s="1374">
        <v>122</v>
      </c>
      <c r="K2540" s="1745">
        <v>52</v>
      </c>
      <c r="L2540" s="1577">
        <v>207</v>
      </c>
      <c r="M2540" s="1374">
        <v>23</v>
      </c>
      <c r="N2540" s="1375">
        <f t="shared" si="361"/>
        <v>1.0664587220149253</v>
      </c>
      <c r="O2540" s="1376" t="s">
        <v>333</v>
      </c>
      <c r="P2540" s="795" t="str">
        <f>IFERROR(VLOOKUP(F2540,#REF!,12,FALSE),"")</f>
        <v/>
      </c>
      <c r="Q2540" s="1254" t="s">
        <v>8</v>
      </c>
      <c r="R2540" s="1694" t="str">
        <f>IFERROR(VLOOKUP(F2540,#REF!,14,FALSE),"")</f>
        <v/>
      </c>
      <c r="S2540" s="1377">
        <f t="shared" si="362"/>
        <v>1.6967213114754098</v>
      </c>
      <c r="T2540" s="1369">
        <f t="shared" si="365"/>
        <v>29.612583490543656</v>
      </c>
      <c r="U2540" s="1369">
        <f t="shared" si="366"/>
        <v>23.70190186419017</v>
      </c>
      <c r="V2540" s="1369">
        <f t="shared" si="363"/>
        <v>-2.8696430569516522</v>
      </c>
      <c r="W2540" s="1766">
        <f t="shared" si="367"/>
        <v>1.2493758374421249</v>
      </c>
      <c r="X2540" s="1369">
        <v>236</v>
      </c>
    </row>
    <row r="2541" spans="1:24" x14ac:dyDescent="0.2">
      <c r="A2541" s="1648" t="s">
        <v>142</v>
      </c>
      <c r="B2541" s="1679">
        <f>SUM(H2540:H2546)</f>
        <v>36.129999999999995</v>
      </c>
      <c r="C2541" s="1651">
        <v>45629</v>
      </c>
      <c r="D2541" s="1695"/>
      <c r="E2541" s="1696"/>
      <c r="F2541" s="1547"/>
      <c r="G2541" s="1697"/>
      <c r="H2541" s="1698" t="str">
        <f>IFERROR(VLOOKUP(F2541,#REF!,10,FALSE),"")</f>
        <v/>
      </c>
      <c r="I2541" s="1699" t="str">
        <f t="shared" si="364"/>
        <v/>
      </c>
      <c r="J2541" s="1700"/>
      <c r="K2541" s="1755"/>
      <c r="L2541" s="1578"/>
      <c r="M2541" s="1700"/>
      <c r="N2541" s="1701" t="str">
        <f t="shared" si="361"/>
        <v/>
      </c>
      <c r="O2541" s="1702"/>
      <c r="P2541" s="1635" t="str">
        <f>IFERROR(VLOOKUP(F2541,#REF!,12,FALSE),"")</f>
        <v/>
      </c>
      <c r="Q2541" s="1636" t="s">
        <v>8</v>
      </c>
      <c r="R2541" s="1703" t="str">
        <f>IFERROR(VLOOKUP(F2541,#REF!,14,FALSE),"")</f>
        <v/>
      </c>
      <c r="S2541" s="1704" t="str">
        <f t="shared" si="362"/>
        <v/>
      </c>
      <c r="T2541" s="1896">
        <f t="shared" si="365"/>
        <v>25.382214420465992</v>
      </c>
      <c r="U2541" s="1896">
        <f t="shared" si="366"/>
        <v>23.137570867423737</v>
      </c>
      <c r="V2541" s="1695">
        <f t="shared" si="363"/>
        <v>-5.9106816263534867</v>
      </c>
      <c r="W2541" s="1767">
        <f t="shared" si="367"/>
        <v>1.0970129304369878</v>
      </c>
      <c r="X2541" s="1695">
        <v>236</v>
      </c>
    </row>
    <row r="2542" spans="1:24" x14ac:dyDescent="0.2">
      <c r="A2542" s="1649" t="s">
        <v>347</v>
      </c>
      <c r="B2542" s="1680">
        <f>SUM(K2540:K2546)</f>
        <v>270</v>
      </c>
      <c r="C2542" s="1651">
        <v>45630</v>
      </c>
      <c r="D2542" s="1695">
        <v>143</v>
      </c>
      <c r="E2542" s="1696" t="s">
        <v>292</v>
      </c>
      <c r="F2542" s="1547" t="s">
        <v>355</v>
      </c>
      <c r="G2542" s="1697">
        <v>2.3252314814814816E-2</v>
      </c>
      <c r="H2542" s="1698">
        <v>5.98</v>
      </c>
      <c r="I2542" s="1699">
        <f t="shared" si="364"/>
        <v>3.8883469589991327E-3</v>
      </c>
      <c r="J2542" s="1700">
        <v>129</v>
      </c>
      <c r="K2542" s="1755">
        <v>44</v>
      </c>
      <c r="L2542" s="1578">
        <v>213</v>
      </c>
      <c r="M2542" s="1700">
        <v>25</v>
      </c>
      <c r="N2542" s="1701">
        <f t="shared" si="361"/>
        <v>1.068030250087356</v>
      </c>
      <c r="O2542" s="1702" t="s">
        <v>340</v>
      </c>
      <c r="P2542" s="1635" t="str">
        <f>IFERROR(VLOOKUP(F2542,#REF!,12,FALSE),"")</f>
        <v/>
      </c>
      <c r="Q2542" s="1636" t="s">
        <v>8</v>
      </c>
      <c r="R2542" s="1703" t="str">
        <f>IFERROR(VLOOKUP(F2542,#REF!,14,FALSE),"")</f>
        <v/>
      </c>
      <c r="S2542" s="1704">
        <f t="shared" si="362"/>
        <v>1.6511627906976745</v>
      </c>
      <c r="T2542" s="1896">
        <f t="shared" si="365"/>
        <v>28.041898074685136</v>
      </c>
      <c r="U2542" s="1896">
        <f t="shared" si="366"/>
        <v>23.634295370580315</v>
      </c>
      <c r="V2542" s="1695">
        <f t="shared" si="363"/>
        <v>-2.2446435530422555</v>
      </c>
      <c r="W2542" s="1767">
        <f t="shared" si="367"/>
        <v>1.1864918177163577</v>
      </c>
      <c r="X2542" s="1695">
        <v>236</v>
      </c>
    </row>
    <row r="2543" spans="1:24" x14ac:dyDescent="0.2">
      <c r="A2543" s="1649" t="s">
        <v>256</v>
      </c>
      <c r="B2543" s="1677">
        <f>AVERAGE(W2540:W2546)</f>
        <v>1.1713918946857427</v>
      </c>
      <c r="C2543" s="1651">
        <v>45631</v>
      </c>
      <c r="D2543" s="1695"/>
      <c r="E2543" s="1696"/>
      <c r="F2543" s="1547"/>
      <c r="G2543" s="1697"/>
      <c r="H2543" s="1698" t="str">
        <f>IFERROR(VLOOKUP(F2543,#REF!,10,FALSE),"")</f>
        <v/>
      </c>
      <c r="I2543" s="1699" t="str">
        <f t="shared" si="364"/>
        <v/>
      </c>
      <c r="J2543" s="1700"/>
      <c r="K2543" s="1755"/>
      <c r="L2543" s="1578"/>
      <c r="M2543" s="1700"/>
      <c r="N2543" s="1701" t="str">
        <f t="shared" si="361"/>
        <v/>
      </c>
      <c r="O2543" s="1702"/>
      <c r="P2543" s="1635" t="str">
        <f>IFERROR(VLOOKUP(F2543,#REF!,12,FALSE),"")</f>
        <v/>
      </c>
      <c r="Q2543" s="1636" t="s">
        <v>8</v>
      </c>
      <c r="R2543" s="1703" t="str">
        <f>IFERROR(VLOOKUP(F2543,#REF!,14,FALSE),"")</f>
        <v/>
      </c>
      <c r="S2543" s="1704" t="str">
        <f t="shared" si="362"/>
        <v/>
      </c>
      <c r="T2543" s="1896">
        <f t="shared" si="365"/>
        <v>24.035912635444404</v>
      </c>
      <c r="U2543" s="1896">
        <f t="shared" si="366"/>
        <v>23.071574052233164</v>
      </c>
      <c r="V2543" s="1695">
        <f t="shared" si="363"/>
        <v>-4.4076027041048214</v>
      </c>
      <c r="W2543" s="1767">
        <f t="shared" si="367"/>
        <v>1.0417976936046069</v>
      </c>
      <c r="X2543" s="1695">
        <v>236</v>
      </c>
    </row>
    <row r="2544" spans="1:24" x14ac:dyDescent="0.2">
      <c r="A2544" s="1649" t="s">
        <v>336</v>
      </c>
      <c r="B2544" s="1713">
        <f>IFERROR(AVERAGE(N2540:N2546),"")</f>
        <v>1.0774815854567086</v>
      </c>
      <c r="C2544" s="1651">
        <v>45632</v>
      </c>
      <c r="D2544" s="1695"/>
      <c r="E2544" s="1696"/>
      <c r="F2544" s="1547"/>
      <c r="G2544" s="1697"/>
      <c r="H2544" s="1698" t="str">
        <f>IFERROR(VLOOKUP(F2544,#REF!,10,FALSE),"")</f>
        <v/>
      </c>
      <c r="I2544" s="1699" t="str">
        <f t="shared" si="364"/>
        <v/>
      </c>
      <c r="J2544" s="1700"/>
      <c r="K2544" s="1755"/>
      <c r="L2544" s="1578"/>
      <c r="M2544" s="1700"/>
      <c r="N2544" s="1701" t="str">
        <f t="shared" si="361"/>
        <v/>
      </c>
      <c r="O2544" s="1702"/>
      <c r="P2544" s="1635" t="str">
        <f>IFERROR(VLOOKUP(F2544,#REF!,12,FALSE),"")</f>
        <v/>
      </c>
      <c r="Q2544" s="1636" t="s">
        <v>8</v>
      </c>
      <c r="R2544" s="1703" t="str">
        <f>IFERROR(VLOOKUP(F2544,#REF!,14,FALSE),"")</f>
        <v/>
      </c>
      <c r="S2544" s="1704" t="str">
        <f t="shared" si="362"/>
        <v/>
      </c>
      <c r="T2544" s="1896">
        <f t="shared" si="365"/>
        <v>20.602210830380919</v>
      </c>
      <c r="U2544" s="1896">
        <f t="shared" si="366"/>
        <v>22.522250860513328</v>
      </c>
      <c r="V2544" s="1695">
        <f t="shared" si="363"/>
        <v>-0.96433858321124077</v>
      </c>
      <c r="W2544" s="1767">
        <f t="shared" si="367"/>
        <v>0.91474919438453284</v>
      </c>
      <c r="X2544" s="1695">
        <v>236</v>
      </c>
    </row>
    <row r="2545" spans="1:24" x14ac:dyDescent="0.2">
      <c r="A2545" s="1649" t="s">
        <v>337</v>
      </c>
      <c r="B2545" s="1681">
        <f>IFERROR(AVERAGE(S2540:S2546),"")</f>
        <v>1.5879565385027665</v>
      </c>
      <c r="C2545" s="1651">
        <v>45633</v>
      </c>
      <c r="D2545" s="1695">
        <v>144</v>
      </c>
      <c r="E2545" s="1696" t="s">
        <v>292</v>
      </c>
      <c r="F2545" s="1547" t="s">
        <v>279</v>
      </c>
      <c r="G2545" s="1697">
        <v>4.3020833333333335E-2</v>
      </c>
      <c r="H2545" s="1698">
        <v>10.74</v>
      </c>
      <c r="I2545" s="1699">
        <f t="shared" si="364"/>
        <v>4.0056641837368095E-3</v>
      </c>
      <c r="J2545" s="1700">
        <v>139</v>
      </c>
      <c r="K2545" s="1755">
        <v>78</v>
      </c>
      <c r="L2545" s="1578">
        <v>210</v>
      </c>
      <c r="M2545" s="1700">
        <v>43</v>
      </c>
      <c r="N2545" s="1701">
        <f t="shared" si="361"/>
        <v>1.0847577753689652</v>
      </c>
      <c r="O2545" s="1702" t="s">
        <v>346</v>
      </c>
      <c r="P2545" s="1635" t="str">
        <f>IFERROR(VLOOKUP(F2545,#REF!,12,FALSE),"")</f>
        <v/>
      </c>
      <c r="Q2545" s="1636" t="s">
        <v>8</v>
      </c>
      <c r="R2545" s="1703" t="str">
        <f>IFERROR(VLOOKUP(F2545,#REF!,14,FALSE),"")</f>
        <v/>
      </c>
      <c r="S2545" s="1704">
        <f t="shared" si="362"/>
        <v>1.5107913669064748</v>
      </c>
      <c r="T2545" s="1896">
        <f t="shared" si="365"/>
        <v>28.801894997469361</v>
      </c>
      <c r="U2545" s="1896">
        <f t="shared" si="366"/>
        <v>23.843149649548725</v>
      </c>
      <c r="V2545" s="1695">
        <f t="shared" si="363"/>
        <v>1.9200400301324088</v>
      </c>
      <c r="W2545" s="1767">
        <f t="shared" si="367"/>
        <v>1.207973586577497</v>
      </c>
      <c r="X2545" s="1695">
        <v>236</v>
      </c>
    </row>
    <row r="2546" spans="1:24" ht="16" thickBot="1" x14ac:dyDescent="0.25">
      <c r="A2546" s="1650" t="s">
        <v>5</v>
      </c>
      <c r="B2546" s="1678">
        <f>IFERROR(SUM(M2540:M2546),"")</f>
        <v>133</v>
      </c>
      <c r="C2546" s="1360">
        <v>45634</v>
      </c>
      <c r="D2546" s="683">
        <v>145</v>
      </c>
      <c r="E2546" s="684" t="s">
        <v>293</v>
      </c>
      <c r="F2546" s="1429" t="s">
        <v>308</v>
      </c>
      <c r="G2546" s="1361">
        <v>4.5509259259259256E-2</v>
      </c>
      <c r="H2546" s="1362">
        <v>11.73</v>
      </c>
      <c r="I2546" s="1363">
        <f t="shared" si="364"/>
        <v>3.8797322471661767E-3</v>
      </c>
      <c r="J2546" s="1364">
        <v>146</v>
      </c>
      <c r="K2546" s="1747">
        <v>96</v>
      </c>
      <c r="L2546" s="1705">
        <v>218</v>
      </c>
      <c r="M2546" s="1364">
        <v>42</v>
      </c>
      <c r="N2546" s="1365">
        <f t="shared" si="361"/>
        <v>1.0906795943555876</v>
      </c>
      <c r="O2546" s="1366" t="s">
        <v>340</v>
      </c>
      <c r="P2546" s="1706" t="str">
        <f>IFERROR(VLOOKUP(F2546,#REF!,12,FALSE),"")</f>
        <v/>
      </c>
      <c r="Q2546" s="1707" t="s">
        <v>8</v>
      </c>
      <c r="R2546" s="1708" t="str">
        <f>IFERROR(VLOOKUP(F2546,#REF!,14,FALSE),"")</f>
        <v/>
      </c>
      <c r="S2546" s="1191">
        <f t="shared" si="362"/>
        <v>1.4931506849315068</v>
      </c>
      <c r="T2546" s="1829">
        <f t="shared" si="365"/>
        <v>38.401624283545168</v>
      </c>
      <c r="U2546" s="1829">
        <f t="shared" si="366"/>
        <v>25.561169895988041</v>
      </c>
      <c r="V2546" s="683">
        <f t="shared" si="363"/>
        <v>-4.9587453479206367</v>
      </c>
      <c r="W2546" s="1768">
        <f t="shared" si="367"/>
        <v>1.5023422026380922</v>
      </c>
      <c r="X2546" s="683">
        <v>251</v>
      </c>
    </row>
    <row r="2547" spans="1:24" ht="16" thickBot="1" x14ac:dyDescent="0.25">
      <c r="A2547" s="1962">
        <f>WEEKNUM(C2547,1)</f>
        <v>50</v>
      </c>
      <c r="B2547" s="1963"/>
      <c r="C2547" s="1368">
        <v>45635</v>
      </c>
      <c r="D2547" s="1369"/>
      <c r="E2547" s="1370"/>
      <c r="F2547" s="1547"/>
      <c r="G2547" s="1371"/>
      <c r="H2547" s="1372" t="str">
        <f>IFERROR(VLOOKUP(F2547,#REF!,10,FALSE),"")</f>
        <v/>
      </c>
      <c r="I2547" s="1373" t="str">
        <f t="shared" si="364"/>
        <v/>
      </c>
      <c r="J2547" s="1374"/>
      <c r="K2547" s="1745"/>
      <c r="L2547" s="1577"/>
      <c r="M2547" s="1374"/>
      <c r="N2547" s="1375" t="str">
        <f t="shared" si="361"/>
        <v/>
      </c>
      <c r="O2547" s="1376"/>
      <c r="P2547" s="795" t="str">
        <f>IFERROR(VLOOKUP(F2547,#REF!,12,FALSE),"")</f>
        <v/>
      </c>
      <c r="Q2547" s="1254" t="s">
        <v>8</v>
      </c>
      <c r="R2547" s="1694" t="str">
        <f>IFERROR(VLOOKUP(F2547,#REF!,14,FALSE),"")</f>
        <v/>
      </c>
      <c r="S2547" s="1377" t="str">
        <f t="shared" si="362"/>
        <v/>
      </c>
      <c r="T2547" s="70">
        <f t="shared" si="365"/>
        <v>32.915677957324426</v>
      </c>
      <c r="U2547" s="70">
        <f t="shared" si="366"/>
        <v>24.952570612750229</v>
      </c>
      <c r="V2547" s="1369">
        <f t="shared" si="363"/>
        <v>-12.840454387557127</v>
      </c>
      <c r="W2547" s="1766">
        <f t="shared" si="367"/>
        <v>1.3191297389017396</v>
      </c>
      <c r="X2547" s="1369">
        <v>251</v>
      </c>
    </row>
    <row r="2548" spans="1:24" x14ac:dyDescent="0.2">
      <c r="A2548" s="1648" t="s">
        <v>142</v>
      </c>
      <c r="B2548" s="1679">
        <f>SUM(H2547:H2553)</f>
        <v>20.38</v>
      </c>
      <c r="C2548" s="1651">
        <v>45636</v>
      </c>
      <c r="D2548" s="1695">
        <v>146</v>
      </c>
      <c r="E2548" s="1696" t="s">
        <v>293</v>
      </c>
      <c r="F2548" s="1547" t="s">
        <v>355</v>
      </c>
      <c r="G2548" s="1697">
        <v>2.5891203703703704E-2</v>
      </c>
      <c r="H2548" s="1698">
        <v>6.63</v>
      </c>
      <c r="I2548" s="1699">
        <f t="shared" si="364"/>
        <v>3.9051589296687336E-3</v>
      </c>
      <c r="J2548" s="1700">
        <v>127</v>
      </c>
      <c r="K2548" s="1755">
        <v>40</v>
      </c>
      <c r="L2548" s="1578">
        <v>215</v>
      </c>
      <c r="M2548" s="1700">
        <v>22</v>
      </c>
      <c r="N2548" s="1701">
        <f t="shared" si="361"/>
        <v>1.0827198847391999</v>
      </c>
      <c r="O2548" s="1702" t="s">
        <v>340</v>
      </c>
      <c r="P2548" s="1635" t="str">
        <f>IFERROR(VLOOKUP(F2548,#REF!,12,FALSE),"")</f>
        <v/>
      </c>
      <c r="Q2548" s="1636" t="s">
        <v>8</v>
      </c>
      <c r="R2548" s="1703" t="str">
        <f>IFERROR(VLOOKUP(F2548,#REF!,14,FALSE),"")</f>
        <v/>
      </c>
      <c r="S2548" s="1704">
        <f t="shared" si="362"/>
        <v>1.6929133858267718</v>
      </c>
      <c r="T2548" s="1379">
        <f t="shared" si="365"/>
        <v>33.927723963420938</v>
      </c>
      <c r="U2548" s="1379">
        <f t="shared" si="366"/>
        <v>25.310842741018082</v>
      </c>
      <c r="V2548" s="1695">
        <f t="shared" si="363"/>
        <v>-7.9631073445741976</v>
      </c>
      <c r="W2548" s="1767">
        <f t="shared" si="367"/>
        <v>1.3404422883335514</v>
      </c>
      <c r="X2548" s="1695">
        <v>251</v>
      </c>
    </row>
    <row r="2549" spans="1:24" x14ac:dyDescent="0.2">
      <c r="A2549" s="1649" t="s">
        <v>347</v>
      </c>
      <c r="B2549" s="1680">
        <f>SUM(K2547:K2553)</f>
        <v>125</v>
      </c>
      <c r="C2549" s="1651">
        <v>45637</v>
      </c>
      <c r="D2549" s="1695">
        <v>147</v>
      </c>
      <c r="E2549" s="1696" t="s">
        <v>293</v>
      </c>
      <c r="F2549" s="1547" t="s">
        <v>355</v>
      </c>
      <c r="G2549" s="1697">
        <v>2.7719907407407408E-2</v>
      </c>
      <c r="H2549" s="1698">
        <v>7.18</v>
      </c>
      <c r="I2549" s="1699">
        <f t="shared" ref="I2549:I2567" si="368">IFERROR(G2549/H2549,"")</f>
        <v>3.8607113380790263E-3</v>
      </c>
      <c r="J2549" s="1700">
        <v>130</v>
      </c>
      <c r="K2549" s="1755">
        <v>44</v>
      </c>
      <c r="L2549" s="1578">
        <v>215</v>
      </c>
      <c r="M2549" s="1700">
        <v>23</v>
      </c>
      <c r="N2549" s="1701">
        <f t="shared" si="361"/>
        <v>1.0703966241217313</v>
      </c>
      <c r="O2549" s="1702" t="s">
        <v>333</v>
      </c>
      <c r="P2549" s="1635" t="str">
        <f>IFERROR(VLOOKUP(F2549,#REF!,12,FALSE),"")</f>
        <v/>
      </c>
      <c r="Q2549" s="1636" t="s">
        <v>8</v>
      </c>
      <c r="R2549" s="1703" t="str">
        <f>IFERROR(VLOOKUP(F2549,#REF!,14,FALSE),"")</f>
        <v/>
      </c>
      <c r="S2549" s="1704">
        <f t="shared" si="362"/>
        <v>1.6538461538461537</v>
      </c>
      <c r="T2549" s="1379">
        <f t="shared" si="365"/>
        <v>35.36662054007509</v>
      </c>
      <c r="U2549" s="1379">
        <f t="shared" si="366"/>
        <v>25.755822675755745</v>
      </c>
      <c r="V2549" s="1695">
        <f t="shared" si="363"/>
        <v>-8.6168812224028564</v>
      </c>
      <c r="W2549" s="1767">
        <f t="shared" si="367"/>
        <v>1.3731504904856369</v>
      </c>
      <c r="X2549" s="1695">
        <v>251</v>
      </c>
    </row>
    <row r="2550" spans="1:24" x14ac:dyDescent="0.2">
      <c r="A2550" s="1649" t="s">
        <v>256</v>
      </c>
      <c r="B2550" s="1677">
        <f>AVERAGE(W2547:W2553)</f>
        <v>1.2205032665186388</v>
      </c>
      <c r="C2550" s="1651">
        <v>45638</v>
      </c>
      <c r="D2550" s="1695"/>
      <c r="E2550" s="1696"/>
      <c r="F2550" s="1547"/>
      <c r="G2550" s="1697"/>
      <c r="H2550" s="1698" t="str">
        <f>IFERROR(VLOOKUP(F2550,#REF!,10,FALSE),"")</f>
        <v/>
      </c>
      <c r="I2550" s="1699" t="str">
        <f t="shared" si="368"/>
        <v/>
      </c>
      <c r="J2550" s="1700"/>
      <c r="K2550" s="1755"/>
      <c r="L2550" s="1578"/>
      <c r="M2550" s="1700"/>
      <c r="N2550" s="1701" t="str">
        <f t="shared" si="361"/>
        <v/>
      </c>
      <c r="O2550" s="1702"/>
      <c r="P2550" s="1635" t="str">
        <f>IFERROR(VLOOKUP(F2550,#REF!,12,FALSE),"")</f>
        <v/>
      </c>
      <c r="Q2550" s="1636" t="s">
        <v>8</v>
      </c>
      <c r="R2550" s="1703" t="str">
        <f>IFERROR(VLOOKUP(F2550,#REF!,14,FALSE),"")</f>
        <v/>
      </c>
      <c r="S2550" s="1704" t="str">
        <f t="shared" si="362"/>
        <v/>
      </c>
      <c r="T2550" s="1379">
        <f t="shared" si="365"/>
        <v>30.31424617720722</v>
      </c>
      <c r="U2550" s="1379">
        <f t="shared" si="366"/>
        <v>25.142588802523466</v>
      </c>
      <c r="V2550" s="1695">
        <f t="shared" si="363"/>
        <v>-9.6107978643193448</v>
      </c>
      <c r="W2550" s="1767">
        <f t="shared" si="367"/>
        <v>1.2056931135971445</v>
      </c>
      <c r="X2550" s="1695">
        <v>251</v>
      </c>
    </row>
    <row r="2551" spans="1:24" x14ac:dyDescent="0.2">
      <c r="A2551" s="1649" t="s">
        <v>336</v>
      </c>
      <c r="B2551" s="1713">
        <f>IFERROR(AVERAGE(N2547:N2553),"")</f>
        <v>1.0774085099884847</v>
      </c>
      <c r="C2551" s="1651">
        <v>45639</v>
      </c>
      <c r="D2551" s="1695">
        <v>148</v>
      </c>
      <c r="E2551" s="1696" t="s">
        <v>293</v>
      </c>
      <c r="F2551" s="1547" t="s">
        <v>355</v>
      </c>
      <c r="G2551" s="1697">
        <v>2.5335648148148149E-2</v>
      </c>
      <c r="H2551" s="1698">
        <v>6.57</v>
      </c>
      <c r="I2551" s="1699">
        <f t="shared" si="368"/>
        <v>3.8562630362478155E-3</v>
      </c>
      <c r="J2551" s="1700">
        <v>129</v>
      </c>
      <c r="K2551" s="1755">
        <v>41</v>
      </c>
      <c r="L2551" s="1578">
        <v>217</v>
      </c>
      <c r="M2551" s="1700">
        <v>22</v>
      </c>
      <c r="N2551" s="1701">
        <f t="shared" si="361"/>
        <v>1.0791090211045229</v>
      </c>
      <c r="O2551" s="1702" t="s">
        <v>340</v>
      </c>
      <c r="P2551" s="1635" t="str">
        <f>IFERROR(VLOOKUP(F2551,#REF!,12,FALSE),"")</f>
        <v/>
      </c>
      <c r="Q2551" s="1636" t="s">
        <v>8</v>
      </c>
      <c r="R2551" s="1703" t="str">
        <f>IFERROR(VLOOKUP(F2551,#REF!,14,FALSE),"")</f>
        <v/>
      </c>
      <c r="S2551" s="1704">
        <f t="shared" si="362"/>
        <v>1.682170542635659</v>
      </c>
      <c r="T2551" s="1379">
        <f t="shared" si="365"/>
        <v>31.84078243760619</v>
      </c>
      <c r="U2551" s="1379">
        <f t="shared" si="366"/>
        <v>25.520146211987193</v>
      </c>
      <c r="V2551" s="1695">
        <f t="shared" si="363"/>
        <v>-5.171657374683754</v>
      </c>
      <c r="W2551" s="1767">
        <f t="shared" si="367"/>
        <v>1.2476724143002793</v>
      </c>
      <c r="X2551" s="1695">
        <v>251</v>
      </c>
    </row>
    <row r="2552" spans="1:24" x14ac:dyDescent="0.2">
      <c r="A2552" s="1649" t="s">
        <v>337</v>
      </c>
      <c r="B2552" s="1681">
        <f>IFERROR(AVERAGE(S2547:S2553),"")</f>
        <v>1.6763100274361948</v>
      </c>
      <c r="C2552" s="1651">
        <v>45640</v>
      </c>
      <c r="D2552" s="1695"/>
      <c r="E2552" s="1696"/>
      <c r="F2552" s="1547"/>
      <c r="G2552" s="1697"/>
      <c r="H2552" s="1698" t="str">
        <f>IFERROR(VLOOKUP(F2552,#REF!,10,FALSE),"")</f>
        <v/>
      </c>
      <c r="I2552" s="1699" t="str">
        <f t="shared" si="368"/>
        <v/>
      </c>
      <c r="J2552" s="1700"/>
      <c r="K2552" s="1755"/>
      <c r="L2552" s="1578"/>
      <c r="M2552" s="1700"/>
      <c r="N2552" s="1701" t="str">
        <f t="shared" si="361"/>
        <v/>
      </c>
      <c r="O2552" s="1702"/>
      <c r="P2552" s="1635" t="str">
        <f>IFERROR(VLOOKUP(F2552,#REF!,12,FALSE),"")</f>
        <v/>
      </c>
      <c r="Q2552" s="1636" t="s">
        <v>8</v>
      </c>
      <c r="R2552" s="1703" t="str">
        <f>IFERROR(VLOOKUP(F2552,#REF!,14,FALSE),"")</f>
        <v/>
      </c>
      <c r="S2552" s="1704" t="str">
        <f t="shared" si="362"/>
        <v/>
      </c>
      <c r="T2552" s="1379">
        <f t="shared" si="365"/>
        <v>27.292099232233877</v>
      </c>
      <c r="U2552" s="1379">
        <f t="shared" si="366"/>
        <v>24.912523683130356</v>
      </c>
      <c r="V2552" s="1695">
        <f t="shared" si="363"/>
        <v>-6.3206362256189976</v>
      </c>
      <c r="W2552" s="1767">
        <f t="shared" si="367"/>
        <v>1.0955172418246355</v>
      </c>
      <c r="X2552" s="1695">
        <v>251</v>
      </c>
    </row>
    <row r="2553" spans="1:24" ht="16" thickBot="1" x14ac:dyDescent="0.25">
      <c r="A2553" s="1650" t="s">
        <v>5</v>
      </c>
      <c r="B2553" s="1678">
        <f>IFERROR(SUM(M2547:M2553),"")</f>
        <v>67</v>
      </c>
      <c r="C2553" s="1360">
        <v>45641</v>
      </c>
      <c r="D2553" s="683"/>
      <c r="E2553" s="684"/>
      <c r="F2553" s="1429"/>
      <c r="G2553" s="1361"/>
      <c r="H2553" s="1362" t="str">
        <f>IFERROR(VLOOKUP(F2553,#REF!,10,FALSE),"")</f>
        <v/>
      </c>
      <c r="I2553" s="1363" t="str">
        <f t="shared" si="368"/>
        <v/>
      </c>
      <c r="J2553" s="1364"/>
      <c r="K2553" s="1747"/>
      <c r="L2553" s="1705"/>
      <c r="M2553" s="1364"/>
      <c r="N2553" s="1365" t="str">
        <f t="shared" si="361"/>
        <v/>
      </c>
      <c r="O2553" s="1366"/>
      <c r="P2553" s="1706" t="str">
        <f>IFERROR(VLOOKUP(F2553,#REF!,12,FALSE),"")</f>
        <v/>
      </c>
      <c r="Q2553" s="1707" t="s">
        <v>8</v>
      </c>
      <c r="R2553" s="1708" t="str">
        <f>IFERROR(VLOOKUP(F2553,#REF!,14,FALSE),"")</f>
        <v/>
      </c>
      <c r="S2553" s="1191" t="str">
        <f t="shared" si="362"/>
        <v/>
      </c>
      <c r="T2553" s="1897">
        <f t="shared" si="365"/>
        <v>23.393227913343324</v>
      </c>
      <c r="U2553" s="1897">
        <f t="shared" si="366"/>
        <v>24.319368357341538</v>
      </c>
      <c r="V2553" s="683">
        <f t="shared" si="363"/>
        <v>-2.3795755491035209</v>
      </c>
      <c r="W2553" s="1768">
        <f t="shared" si="367"/>
        <v>0.9619175781874848</v>
      </c>
      <c r="X2553" s="683">
        <v>251</v>
      </c>
    </row>
    <row r="2554" spans="1:24" ht="16" thickBot="1" x14ac:dyDescent="0.25">
      <c r="A2554" s="1962">
        <f>WEEKNUM(C2554,1)</f>
        <v>51</v>
      </c>
      <c r="B2554" s="1963"/>
      <c r="C2554" s="1368">
        <v>45642</v>
      </c>
      <c r="D2554" s="1369"/>
      <c r="E2554" s="1370"/>
      <c r="F2554" s="1547"/>
      <c r="G2554" s="1371"/>
      <c r="H2554" s="1372" t="str">
        <f>IFERROR(VLOOKUP(F2554,#REF!,10,FALSE),"")</f>
        <v/>
      </c>
      <c r="I2554" s="1373" t="str">
        <f t="shared" si="368"/>
        <v/>
      </c>
      <c r="J2554" s="1374"/>
      <c r="K2554" s="1745"/>
      <c r="L2554" s="1577"/>
      <c r="M2554" s="1374"/>
      <c r="N2554" s="1375" t="str">
        <f t="shared" ref="N2554:N2569" si="369">IFERROR((L2554/67)/(1/(I2554*24)/3.6),"")</f>
        <v/>
      </c>
      <c r="O2554" s="1376"/>
      <c r="P2554" s="795" t="str">
        <f>IFERROR(VLOOKUP(F2554,#REF!,12,FALSE),"")</f>
        <v/>
      </c>
      <c r="Q2554" s="1254" t="s">
        <v>8</v>
      </c>
      <c r="R2554" s="1694" t="str">
        <f>IFERROR(VLOOKUP(F2554,#REF!,14,FALSE),"")</f>
        <v/>
      </c>
      <c r="S2554" s="1377" t="str">
        <f t="shared" ref="S2554:S2569" si="370">IFERROR(L2554/J2554,"")</f>
        <v/>
      </c>
      <c r="T2554" s="1369">
        <f t="shared" si="365"/>
        <v>20.051338211437134</v>
      </c>
      <c r="U2554" s="1369">
        <f t="shared" si="366"/>
        <v>23.740335777404834</v>
      </c>
      <c r="V2554" s="1369">
        <f t="shared" ref="V2554:V2569" si="371">U2553-T2553</f>
        <v>0.92614044399821438</v>
      </c>
      <c r="W2554" s="1766">
        <f t="shared" si="367"/>
        <v>0.84461055645730376</v>
      </c>
      <c r="X2554" s="1369">
        <v>251</v>
      </c>
    </row>
    <row r="2555" spans="1:24" x14ac:dyDescent="0.2">
      <c r="A2555" s="1648" t="s">
        <v>142</v>
      </c>
      <c r="B2555" s="1679">
        <f>SUM(H2554:H2560)</f>
        <v>17.939999999999998</v>
      </c>
      <c r="C2555" s="1651">
        <v>45643</v>
      </c>
      <c r="D2555" s="1695">
        <v>149</v>
      </c>
      <c r="E2555" s="1696" t="s">
        <v>293</v>
      </c>
      <c r="F2555" s="1547" t="s">
        <v>355</v>
      </c>
      <c r="G2555" s="1697">
        <v>2.1423611111111112E-2</v>
      </c>
      <c r="H2555" s="1698">
        <v>5.53</v>
      </c>
      <c r="I2555" s="1699">
        <f t="shared" si="368"/>
        <v>3.8740707253365481E-3</v>
      </c>
      <c r="J2555" s="1700">
        <v>125</v>
      </c>
      <c r="K2555" s="1755">
        <v>31</v>
      </c>
      <c r="L2555" s="1578">
        <v>211</v>
      </c>
      <c r="M2555" s="1700">
        <v>15</v>
      </c>
      <c r="N2555" s="1701">
        <f t="shared" si="369"/>
        <v>1.0541172977787374</v>
      </c>
      <c r="O2555" s="1702" t="s">
        <v>345</v>
      </c>
      <c r="P2555" s="1635" t="str">
        <f>IFERROR(VLOOKUP(F2555,#REF!,12,FALSE),"")</f>
        <v/>
      </c>
      <c r="Q2555" s="1636" t="s">
        <v>8</v>
      </c>
      <c r="R2555" s="1703" t="str">
        <f>IFERROR(VLOOKUP(F2555,#REF!,14,FALSE),"")</f>
        <v/>
      </c>
      <c r="S2555" s="1704">
        <f t="shared" si="370"/>
        <v>1.6879999999999999</v>
      </c>
      <c r="T2555" s="1896">
        <f t="shared" si="365"/>
        <v>21.6154327526604</v>
      </c>
      <c r="U2555" s="1896">
        <f t="shared" si="366"/>
        <v>23.913184925561861</v>
      </c>
      <c r="V2555" s="1695">
        <f t="shared" si="371"/>
        <v>3.6889975659676999</v>
      </c>
      <c r="W2555" s="1767">
        <f t="shared" si="367"/>
        <v>0.90391275022319206</v>
      </c>
      <c r="X2555" s="1695">
        <v>251</v>
      </c>
    </row>
    <row r="2556" spans="1:24" x14ac:dyDescent="0.2">
      <c r="A2556" s="1649" t="s">
        <v>347</v>
      </c>
      <c r="B2556" s="1680">
        <f>SUM(K2554:K2560)</f>
        <v>52</v>
      </c>
      <c r="C2556" s="1651">
        <v>45644</v>
      </c>
      <c r="D2556" s="1695">
        <v>150</v>
      </c>
      <c r="E2556" s="1696" t="s">
        <v>293</v>
      </c>
      <c r="F2556" s="1547" t="s">
        <v>355</v>
      </c>
      <c r="G2556" s="1697">
        <v>2.5335648148148149E-2</v>
      </c>
      <c r="H2556" s="1698">
        <v>6.58</v>
      </c>
      <c r="I2556" s="1699">
        <f t="shared" si="368"/>
        <v>3.8504024541258586E-3</v>
      </c>
      <c r="J2556" s="1700">
        <v>127</v>
      </c>
      <c r="K2556" s="1755" t="str">
        <f>IFERROR(VLOOKUP(F2556,#REF!,15,FALSE),"0")</f>
        <v>0</v>
      </c>
      <c r="L2556" s="1578">
        <v>218</v>
      </c>
      <c r="M2556" s="1700">
        <v>22</v>
      </c>
      <c r="N2556" s="1701">
        <f t="shared" si="369"/>
        <v>1.0824343328947965</v>
      </c>
      <c r="O2556" s="1702" t="s">
        <v>340</v>
      </c>
      <c r="P2556" s="1635" t="str">
        <f>IFERROR(VLOOKUP(F2556,#REF!,12,FALSE),"")</f>
        <v/>
      </c>
      <c r="Q2556" s="1636" t="s">
        <v>8</v>
      </c>
      <c r="R2556" s="1703" t="str">
        <f>IFERROR(VLOOKUP(F2556,#REF!,14,FALSE),"")</f>
        <v/>
      </c>
      <c r="S2556" s="1704">
        <f t="shared" si="370"/>
        <v>1.7165354330708662</v>
      </c>
      <c r="T2556" s="1896">
        <f t="shared" si="365"/>
        <v>18.527513787994629</v>
      </c>
      <c r="U2556" s="1896">
        <f t="shared" si="366"/>
        <v>23.34382337971515</v>
      </c>
      <c r="V2556" s="1695">
        <f t="shared" si="371"/>
        <v>2.2977521729014612</v>
      </c>
      <c r="W2556" s="1767">
        <f t="shared" si="367"/>
        <v>0.79367948800085153</v>
      </c>
      <c r="X2556" s="1695">
        <v>251</v>
      </c>
    </row>
    <row r="2557" spans="1:24" x14ac:dyDescent="0.2">
      <c r="A2557" s="1649" t="s">
        <v>256</v>
      </c>
      <c r="B2557" s="1677">
        <f>AVERAGE(W2554:W2560)</f>
        <v>0.71248858458564435</v>
      </c>
      <c r="C2557" s="1651">
        <v>45645</v>
      </c>
      <c r="D2557" s="1695"/>
      <c r="E2557" s="1696"/>
      <c r="F2557" s="1547"/>
      <c r="G2557" s="1697"/>
      <c r="H2557" s="1698" t="str">
        <f>IFERROR(VLOOKUP(F2557,#REF!,10,FALSE),"")</f>
        <v/>
      </c>
      <c r="I2557" s="1699" t="str">
        <f t="shared" si="368"/>
        <v/>
      </c>
      <c r="J2557" s="1700"/>
      <c r="K2557" s="1755"/>
      <c r="L2557" s="1578"/>
      <c r="M2557" s="1700"/>
      <c r="N2557" s="1701" t="str">
        <f t="shared" si="369"/>
        <v/>
      </c>
      <c r="O2557" s="1702"/>
      <c r="P2557" s="1635" t="str">
        <f>IFERROR(VLOOKUP(F2557,#REF!,12,FALSE),"")</f>
        <v/>
      </c>
      <c r="Q2557" s="1636" t="s">
        <v>8</v>
      </c>
      <c r="R2557" s="1703" t="str">
        <f>IFERROR(VLOOKUP(F2557,#REF!,14,FALSE),"")</f>
        <v/>
      </c>
      <c r="S2557" s="1704" t="str">
        <f t="shared" si="370"/>
        <v/>
      </c>
      <c r="T2557" s="1896">
        <f t="shared" si="365"/>
        <v>15.880726103995396</v>
      </c>
      <c r="U2557" s="1896">
        <f t="shared" si="366"/>
        <v>22.788018061150503</v>
      </c>
      <c r="V2557" s="1695">
        <f t="shared" si="371"/>
        <v>4.8163095917205219</v>
      </c>
      <c r="W2557" s="1767">
        <f t="shared" si="367"/>
        <v>0.69688930653733316</v>
      </c>
      <c r="X2557" s="1695">
        <v>251</v>
      </c>
    </row>
    <row r="2558" spans="1:24" x14ac:dyDescent="0.2">
      <c r="A2558" s="1649" t="s">
        <v>336</v>
      </c>
      <c r="B2558" s="1713">
        <f>IFERROR(AVERAGE(N2554:N2560),"")</f>
        <v>1.0672131900168018</v>
      </c>
      <c r="C2558" s="1651">
        <v>45646</v>
      </c>
      <c r="D2558" s="1695"/>
      <c r="E2558" s="1696"/>
      <c r="F2558" s="1547"/>
      <c r="G2558" s="1697"/>
      <c r="H2558" s="1698" t="str">
        <f>IFERROR(VLOOKUP(F2558,#REF!,10,FALSE),"")</f>
        <v/>
      </c>
      <c r="I2558" s="1699" t="str">
        <f t="shared" si="368"/>
        <v/>
      </c>
      <c r="J2558" s="1700"/>
      <c r="K2558" s="1755"/>
      <c r="L2558" s="1578"/>
      <c r="M2558" s="1700"/>
      <c r="N2558" s="1701" t="str">
        <f t="shared" si="369"/>
        <v/>
      </c>
      <c r="O2558" s="1702"/>
      <c r="P2558" s="1635" t="str">
        <f>IFERROR(VLOOKUP(F2558,#REF!,12,FALSE),"")</f>
        <v/>
      </c>
      <c r="Q2558" s="1636" t="s">
        <v>8</v>
      </c>
      <c r="R2558" s="1703" t="str">
        <f>IFERROR(VLOOKUP(F2558,#REF!,14,FALSE),"")</f>
        <v/>
      </c>
      <c r="S2558" s="1704" t="str">
        <f t="shared" si="370"/>
        <v/>
      </c>
      <c r="T2558" s="1896">
        <f t="shared" si="365"/>
        <v>13.612050946281769</v>
      </c>
      <c r="U2558" s="1896">
        <f t="shared" si="366"/>
        <v>22.24544620255168</v>
      </c>
      <c r="V2558" s="1695">
        <f t="shared" si="371"/>
        <v>6.9072919571551061</v>
      </c>
      <c r="W2558" s="1767">
        <f t="shared" si="367"/>
        <v>0.61190280574009748</v>
      </c>
      <c r="X2558" s="1695">
        <v>251</v>
      </c>
    </row>
    <row r="2559" spans="1:24" x14ac:dyDescent="0.2">
      <c r="A2559" s="1649" t="s">
        <v>337</v>
      </c>
      <c r="B2559" s="1681">
        <f>IFERROR(AVERAGE(S2554:S2560),"")</f>
        <v>1.5915380577427822</v>
      </c>
      <c r="C2559" s="1651">
        <v>45647</v>
      </c>
      <c r="D2559" s="1695"/>
      <c r="E2559" s="1696"/>
      <c r="F2559" s="1547"/>
      <c r="G2559" s="1697"/>
      <c r="H2559" s="1698" t="str">
        <f>IFERROR(VLOOKUP(F2559,#REF!,10,FALSE),"")</f>
        <v/>
      </c>
      <c r="I2559" s="1699" t="str">
        <f t="shared" si="368"/>
        <v/>
      </c>
      <c r="J2559" s="1700"/>
      <c r="K2559" s="1755"/>
      <c r="L2559" s="1578"/>
      <c r="M2559" s="1700"/>
      <c r="N2559" s="1701" t="str">
        <f t="shared" si="369"/>
        <v/>
      </c>
      <c r="O2559" s="1702"/>
      <c r="P2559" s="1635" t="str">
        <f>IFERROR(VLOOKUP(F2559,#REF!,12,FALSE),"")</f>
        <v/>
      </c>
      <c r="Q2559" s="1636" t="s">
        <v>8</v>
      </c>
      <c r="R2559" s="1703" t="str">
        <f>IFERROR(VLOOKUP(F2559,#REF!,14,FALSE),"")</f>
        <v/>
      </c>
      <c r="S2559" s="1704" t="str">
        <f t="shared" si="370"/>
        <v/>
      </c>
      <c r="T2559" s="1896">
        <f t="shared" si="365"/>
        <v>11.667472239670088</v>
      </c>
      <c r="U2559" s="1896">
        <f t="shared" si="366"/>
        <v>21.715792721538545</v>
      </c>
      <c r="V2559" s="1695">
        <f t="shared" si="371"/>
        <v>8.6333952562699103</v>
      </c>
      <c r="W2559" s="1767">
        <f t="shared" si="367"/>
        <v>0.53728051235715879</v>
      </c>
      <c r="X2559" s="1695">
        <v>251</v>
      </c>
    </row>
    <row r="2560" spans="1:24" ht="16" thickBot="1" x14ac:dyDescent="0.25">
      <c r="A2560" s="1650" t="s">
        <v>5</v>
      </c>
      <c r="B2560" s="1678">
        <f>IFERROR(SUM(M2554:M2560),"")</f>
        <v>37</v>
      </c>
      <c r="C2560" s="1360">
        <v>45648</v>
      </c>
      <c r="D2560" s="683">
        <v>151</v>
      </c>
      <c r="E2560" s="684" t="s">
        <v>293</v>
      </c>
      <c r="F2560" s="1429" t="s">
        <v>10</v>
      </c>
      <c r="G2560" s="1361">
        <v>2.7673611111111111E-2</v>
      </c>
      <c r="H2560" s="1362">
        <v>5.83</v>
      </c>
      <c r="I2560" s="1363">
        <f t="shared" si="368"/>
        <v>4.7467600533638264E-3</v>
      </c>
      <c r="J2560" s="1364">
        <v>127</v>
      </c>
      <c r="K2560" s="1747">
        <v>21</v>
      </c>
      <c r="L2560" s="1705">
        <v>174</v>
      </c>
      <c r="M2560" s="1364"/>
      <c r="N2560" s="1365">
        <f t="shared" si="369"/>
        <v>1.065087939376872</v>
      </c>
      <c r="O2560" s="1366" t="s">
        <v>333</v>
      </c>
      <c r="P2560" s="1706" t="str">
        <f>IFERROR(VLOOKUP(F2560,#REF!,12,FALSE),"")</f>
        <v/>
      </c>
      <c r="Q2560" s="1707" t="s">
        <v>8</v>
      </c>
      <c r="R2560" s="1708" t="str">
        <f>IFERROR(VLOOKUP(F2560,#REF!,14,FALSE),"")</f>
        <v/>
      </c>
      <c r="S2560" s="1191">
        <f t="shared" si="370"/>
        <v>1.3700787401574803</v>
      </c>
      <c r="T2560" s="1829">
        <f t="shared" si="365"/>
        <v>13.000690491145789</v>
      </c>
      <c r="U2560" s="1829">
        <f t="shared" si="366"/>
        <v>21.698750037692388</v>
      </c>
      <c r="V2560" s="683">
        <f t="shared" si="371"/>
        <v>10.048320481868457</v>
      </c>
      <c r="W2560" s="1768">
        <f t="shared" si="367"/>
        <v>0.59914467278357486</v>
      </c>
      <c r="X2560" s="683">
        <v>251</v>
      </c>
    </row>
    <row r="2561" spans="1:24" ht="16" thickBot="1" x14ac:dyDescent="0.25">
      <c r="A2561" s="1962">
        <f>WEEKNUM(C2561,1)</f>
        <v>52</v>
      </c>
      <c r="B2561" s="1963"/>
      <c r="C2561" s="1368">
        <v>45649</v>
      </c>
      <c r="D2561" s="1369"/>
      <c r="E2561" s="1370"/>
      <c r="F2561" s="1639"/>
      <c r="G2561" s="1371"/>
      <c r="H2561" s="1372" t="str">
        <f>IFERROR(VLOOKUP(F2561,#REF!,10,FALSE),"")</f>
        <v/>
      </c>
      <c r="I2561" s="1373" t="str">
        <f t="shared" si="368"/>
        <v/>
      </c>
      <c r="J2561" s="1374"/>
      <c r="K2561" s="1745"/>
      <c r="L2561" s="1577"/>
      <c r="M2561" s="1374"/>
      <c r="N2561" s="1375" t="str">
        <f t="shared" si="369"/>
        <v/>
      </c>
      <c r="O2561" s="1376"/>
      <c r="P2561" s="795" t="str">
        <f>IFERROR(VLOOKUP(F2561,#REF!,12,FALSE),"")</f>
        <v/>
      </c>
      <c r="Q2561" s="1254" t="s">
        <v>8</v>
      </c>
      <c r="R2561" s="1694" t="str">
        <f>IFERROR(VLOOKUP(F2561,#REF!,14,FALSE),"")</f>
        <v/>
      </c>
      <c r="S2561" s="1377" t="str">
        <f t="shared" si="370"/>
        <v/>
      </c>
      <c r="T2561" s="70">
        <f t="shared" si="365"/>
        <v>11.143448992410677</v>
      </c>
      <c r="U2561" s="70">
        <f t="shared" si="366"/>
        <v>21.182113132033045</v>
      </c>
      <c r="V2561" s="1369">
        <f t="shared" si="371"/>
        <v>8.6980595465465989</v>
      </c>
      <c r="W2561" s="1766">
        <f t="shared" si="367"/>
        <v>0.52607824927338287</v>
      </c>
      <c r="X2561" s="1369">
        <v>251</v>
      </c>
    </row>
    <row r="2562" spans="1:24" x14ac:dyDescent="0.2">
      <c r="A2562" s="1648" t="s">
        <v>142</v>
      </c>
      <c r="B2562" s="1679">
        <f>SUM(H2561:H2567)</f>
        <v>16.63</v>
      </c>
      <c r="C2562" s="1651">
        <v>45650</v>
      </c>
      <c r="D2562" s="1695"/>
      <c r="E2562" s="1696"/>
      <c r="F2562" s="1547"/>
      <c r="G2562" s="1697"/>
      <c r="H2562" s="1698" t="str">
        <f>IFERROR(VLOOKUP(F2562,#REF!,10,FALSE),"")</f>
        <v/>
      </c>
      <c r="I2562" s="1699" t="str">
        <f t="shared" si="368"/>
        <v/>
      </c>
      <c r="J2562" s="1700"/>
      <c r="K2562" s="1755"/>
      <c r="L2562" s="1578"/>
      <c r="M2562" s="1700"/>
      <c r="N2562" s="1701" t="str">
        <f t="shared" si="369"/>
        <v/>
      </c>
      <c r="O2562" s="1702"/>
      <c r="P2562" s="1635" t="str">
        <f>IFERROR(VLOOKUP(F2562,#REF!,12,FALSE),"")</f>
        <v/>
      </c>
      <c r="Q2562" s="1636" t="s">
        <v>8</v>
      </c>
      <c r="R2562" s="1703" t="str">
        <f>IFERROR(VLOOKUP(F2562,#REF!,14,FALSE),"")</f>
        <v/>
      </c>
      <c r="S2562" s="1704" t="str">
        <f t="shared" si="370"/>
        <v/>
      </c>
      <c r="T2562" s="1379">
        <f t="shared" si="365"/>
        <v>9.5515277077805809</v>
      </c>
      <c r="U2562" s="1379">
        <f t="shared" si="366"/>
        <v>20.677777105079876</v>
      </c>
      <c r="V2562" s="1695">
        <f t="shared" si="371"/>
        <v>10.038664139622368</v>
      </c>
      <c r="W2562" s="1767">
        <f t="shared" si="367"/>
        <v>0.46192236521565333</v>
      </c>
      <c r="X2562" s="1695">
        <v>251</v>
      </c>
    </row>
    <row r="2563" spans="1:24" x14ac:dyDescent="0.2">
      <c r="A2563" s="1649" t="s">
        <v>347</v>
      </c>
      <c r="B2563" s="1680">
        <f>SUM(K2561:K2567)</f>
        <v>105</v>
      </c>
      <c r="C2563" s="1651">
        <v>45651</v>
      </c>
      <c r="D2563" s="1695"/>
      <c r="E2563" s="1696"/>
      <c r="F2563" s="1640"/>
      <c r="G2563" s="1697"/>
      <c r="H2563" s="1698" t="str">
        <f>IFERROR(VLOOKUP(F2563,#REF!,10,FALSE),"")</f>
        <v/>
      </c>
      <c r="I2563" s="1699" t="str">
        <f t="shared" si="368"/>
        <v/>
      </c>
      <c r="J2563" s="1700"/>
      <c r="K2563" s="1755"/>
      <c r="L2563" s="1578"/>
      <c r="M2563" s="1700"/>
      <c r="N2563" s="1701" t="str">
        <f t="shared" si="369"/>
        <v/>
      </c>
      <c r="O2563" s="1702"/>
      <c r="P2563" s="1635" t="str">
        <f>IFERROR(VLOOKUP(F2563,#REF!,12,FALSE),"")</f>
        <v/>
      </c>
      <c r="Q2563" s="1636" t="s">
        <v>8</v>
      </c>
      <c r="R2563" s="1703" t="str">
        <f>IFERROR(VLOOKUP(F2563,#REF!,14,FALSE),"")</f>
        <v/>
      </c>
      <c r="S2563" s="1704" t="str">
        <f t="shared" si="370"/>
        <v/>
      </c>
      <c r="T2563" s="1379">
        <f t="shared" si="365"/>
        <v>8.1870237495262117</v>
      </c>
      <c r="U2563" s="1379">
        <f t="shared" si="366"/>
        <v>20.18544907876845</v>
      </c>
      <c r="V2563" s="1695">
        <f t="shared" si="371"/>
        <v>11.126249397299295</v>
      </c>
      <c r="W2563" s="1767">
        <f t="shared" si="367"/>
        <v>0.40559036945764682</v>
      </c>
      <c r="X2563" s="1695">
        <v>251</v>
      </c>
    </row>
    <row r="2564" spans="1:24" x14ac:dyDescent="0.2">
      <c r="A2564" s="1649" t="s">
        <v>256</v>
      </c>
      <c r="B2564" s="1677">
        <f>AVERAGE(W2561:W2567)</f>
        <v>0.54328972950042687</v>
      </c>
      <c r="C2564" s="1651">
        <v>45652</v>
      </c>
      <c r="D2564" s="1695"/>
      <c r="E2564" s="1696"/>
      <c r="F2564" s="1640"/>
      <c r="G2564" s="1697"/>
      <c r="H2564" s="1698" t="str">
        <f>IFERROR(VLOOKUP(F2564,#REF!,10,FALSE),"")</f>
        <v/>
      </c>
      <c r="I2564" s="1699" t="str">
        <f t="shared" si="368"/>
        <v/>
      </c>
      <c r="J2564" s="1700"/>
      <c r="K2564" s="1755"/>
      <c r="L2564" s="1578"/>
      <c r="M2564" s="1700"/>
      <c r="N2564" s="1701" t="str">
        <f t="shared" si="369"/>
        <v/>
      </c>
      <c r="O2564" s="1702"/>
      <c r="P2564" s="1635" t="str">
        <f>IFERROR(VLOOKUP(F2564,#REF!,12,FALSE),"")</f>
        <v/>
      </c>
      <c r="Q2564" s="1636" t="s">
        <v>8</v>
      </c>
      <c r="R2564" s="1703" t="str">
        <f>IFERROR(VLOOKUP(F2564,#REF!,14,FALSE),"")</f>
        <v/>
      </c>
      <c r="S2564" s="1704" t="str">
        <f t="shared" si="370"/>
        <v/>
      </c>
      <c r="T2564" s="1379">
        <f t="shared" si="365"/>
        <v>7.0174489281653241</v>
      </c>
      <c r="U2564" s="1379">
        <f t="shared" si="366"/>
        <v>19.704843148321583</v>
      </c>
      <c r="V2564" s="1695">
        <f t="shared" si="371"/>
        <v>11.998425329242238</v>
      </c>
      <c r="W2564" s="1767">
        <f t="shared" si="367"/>
        <v>0.35612812927988496</v>
      </c>
      <c r="X2564" s="1695">
        <v>251</v>
      </c>
    </row>
    <row r="2565" spans="1:24" x14ac:dyDescent="0.2">
      <c r="A2565" s="1649" t="s">
        <v>336</v>
      </c>
      <c r="B2565" s="1713">
        <f>IFERROR(AVERAGE(N2561:N2567),"")</f>
        <v>1.0938890008205857</v>
      </c>
      <c r="C2565" s="1651">
        <v>45653</v>
      </c>
      <c r="D2565" s="1695">
        <v>152</v>
      </c>
      <c r="E2565" s="1696" t="s">
        <v>293</v>
      </c>
      <c r="F2565" s="1547" t="s">
        <v>343</v>
      </c>
      <c r="G2565" s="1697">
        <v>2.8715277777777781E-2</v>
      </c>
      <c r="H2565" s="1698">
        <v>7.54</v>
      </c>
      <c r="I2565" s="1699">
        <f t="shared" si="368"/>
        <v>3.808392278219865E-3</v>
      </c>
      <c r="J2565" s="1700">
        <v>139</v>
      </c>
      <c r="K2565" s="1755">
        <v>50</v>
      </c>
      <c r="L2565" s="1578">
        <v>223</v>
      </c>
      <c r="M2565" s="1700">
        <v>23</v>
      </c>
      <c r="N2565" s="1701">
        <f t="shared" si="369"/>
        <v>1.0951799358644445</v>
      </c>
      <c r="O2565" s="1702" t="s">
        <v>340</v>
      </c>
      <c r="P2565" s="1635" t="str">
        <f>IFERROR(VLOOKUP(F2565,#REF!,12,FALSE),"")</f>
        <v/>
      </c>
      <c r="Q2565" s="1636" t="s">
        <v>8</v>
      </c>
      <c r="R2565" s="1703" t="str">
        <f>IFERROR(VLOOKUP(F2565,#REF!,14,FALSE),"")</f>
        <v/>
      </c>
      <c r="S2565" s="1704">
        <f t="shared" si="370"/>
        <v>1.6043165467625899</v>
      </c>
      <c r="T2565" s="1379">
        <f t="shared" si="365"/>
        <v>13.157813366998848</v>
      </c>
      <c r="U2565" s="1379">
        <f t="shared" si="366"/>
        <v>20.426156406694879</v>
      </c>
      <c r="V2565" s="1695">
        <f t="shared" si="371"/>
        <v>12.687394220156259</v>
      </c>
      <c r="W2565" s="1767">
        <f t="shared" si="367"/>
        <v>0.64416491801101849</v>
      </c>
      <c r="X2565" s="1695">
        <v>251</v>
      </c>
    </row>
    <row r="2566" spans="1:24" x14ac:dyDescent="0.2">
      <c r="A2566" s="1649" t="s">
        <v>337</v>
      </c>
      <c r="B2566" s="1681">
        <f>IFERROR(AVERAGE(S2561:S2567),"")</f>
        <v>1.6043970793514442</v>
      </c>
      <c r="C2566" s="1651">
        <v>45654</v>
      </c>
      <c r="D2566" s="1695"/>
      <c r="E2566" s="1696"/>
      <c r="F2566" s="1736"/>
      <c r="G2566" s="1697"/>
      <c r="H2566" s="1698" t="str">
        <f>IFERROR(VLOOKUP(F2566,#REF!,10,FALSE),"")</f>
        <v/>
      </c>
      <c r="I2566" s="1699" t="str">
        <f t="shared" si="368"/>
        <v/>
      </c>
      <c r="J2566" s="1700"/>
      <c r="K2566" s="1755"/>
      <c r="L2566" s="1578"/>
      <c r="M2566" s="1700"/>
      <c r="N2566" s="1701" t="str">
        <f t="shared" si="369"/>
        <v/>
      </c>
      <c r="O2566" s="1702"/>
      <c r="P2566" s="1635" t="str">
        <f>IFERROR(VLOOKUP(F2566,#REF!,12,FALSE),"")</f>
        <v/>
      </c>
      <c r="Q2566" s="1636" t="s">
        <v>8</v>
      </c>
      <c r="R2566" s="1703" t="str">
        <f>IFERROR(VLOOKUP(F2566,#REF!,14,FALSE),"")</f>
        <v/>
      </c>
      <c r="S2566" s="1704" t="str">
        <f t="shared" si="370"/>
        <v/>
      </c>
      <c r="T2566" s="1379">
        <f t="shared" si="365"/>
        <v>11.278125743141869</v>
      </c>
      <c r="U2566" s="1379">
        <f t="shared" si="366"/>
        <v>19.939819349392621</v>
      </c>
      <c r="V2566" s="1695">
        <f t="shared" si="371"/>
        <v>7.2683430396960311</v>
      </c>
      <c r="W2566" s="1767">
        <f t="shared" si="367"/>
        <v>0.56560822069260153</v>
      </c>
      <c r="X2566" s="1695">
        <v>251</v>
      </c>
    </row>
    <row r="2567" spans="1:24" ht="16" thickBot="1" x14ac:dyDescent="0.25">
      <c r="A2567" s="1650" t="s">
        <v>5</v>
      </c>
      <c r="B2567" s="1678">
        <f>IFERROR(SUM(M2561:M2567),"")</f>
        <v>54</v>
      </c>
      <c r="C2567" s="1360">
        <v>45655</v>
      </c>
      <c r="D2567" s="683">
        <v>153</v>
      </c>
      <c r="E2567" s="684" t="s">
        <v>293</v>
      </c>
      <c r="F2567" s="1547" t="s">
        <v>279</v>
      </c>
      <c r="G2567" s="1361">
        <v>3.5821759259259262E-2</v>
      </c>
      <c r="H2567" s="1362">
        <v>9.09</v>
      </c>
      <c r="I2567" s="1363">
        <f t="shared" si="368"/>
        <v>3.9407875972782462E-3</v>
      </c>
      <c r="J2567" s="1364">
        <v>134</v>
      </c>
      <c r="K2567" s="1747">
        <v>55</v>
      </c>
      <c r="L2567" s="1705">
        <v>215</v>
      </c>
      <c r="M2567" s="1364">
        <v>31</v>
      </c>
      <c r="N2567" s="1365">
        <f t="shared" si="369"/>
        <v>1.0925980657767271</v>
      </c>
      <c r="O2567" s="1366" t="s">
        <v>340</v>
      </c>
      <c r="P2567" s="1706" t="str">
        <f>IFERROR(VLOOKUP(F2567,#REF!,12,FALSE),"")</f>
        <v/>
      </c>
      <c r="Q2567" s="1707" t="s">
        <v>8</v>
      </c>
      <c r="R2567" s="1708" t="str">
        <f>IFERROR(VLOOKUP(F2567,#REF!,14,FALSE),"")</f>
        <v/>
      </c>
      <c r="S2567" s="1191">
        <f t="shared" si="370"/>
        <v>1.6044776119402986</v>
      </c>
      <c r="T2567" s="1897">
        <f t="shared" si="365"/>
        <v>17.524107779835887</v>
      </c>
      <c r="U2567" s="1897">
        <f t="shared" si="366"/>
        <v>20.774585555359465</v>
      </c>
      <c r="V2567" s="683">
        <f t="shared" si="371"/>
        <v>8.6616936062507524</v>
      </c>
      <c r="W2567" s="1768">
        <f t="shared" si="367"/>
        <v>0.84353585457279967</v>
      </c>
      <c r="X2567" s="683">
        <v>251</v>
      </c>
    </row>
    <row r="2568" spans="1:24" ht="16" thickBot="1" x14ac:dyDescent="0.25">
      <c r="A2568" s="1962">
        <v>1</v>
      </c>
      <c r="B2568" s="1963"/>
      <c r="C2568" s="1368">
        <v>45656</v>
      </c>
      <c r="D2568" s="1369"/>
      <c r="E2568" s="1370"/>
      <c r="F2568" s="1618"/>
      <c r="G2568" s="1371"/>
      <c r="H2568" s="1372" t="str">
        <f>IFERROR(VLOOKUP(F2568,#REF!,10,FALSE),"")</f>
        <v/>
      </c>
      <c r="I2568" s="1373" t="str">
        <f t="shared" ref="I2568:I2569" si="372">IFERROR(G2568/H2568,"")</f>
        <v/>
      </c>
      <c r="J2568" s="1374"/>
      <c r="K2568" s="1745"/>
      <c r="L2568" s="1577"/>
      <c r="M2568" s="1374"/>
      <c r="N2568" s="1375" t="str">
        <f t="shared" si="369"/>
        <v/>
      </c>
      <c r="O2568" s="1376"/>
      <c r="P2568" s="795" t="str">
        <f>IFERROR(VLOOKUP(F2568,#REF!,12,FALSE),"")</f>
        <v/>
      </c>
      <c r="Q2568" s="1254" t="s">
        <v>8</v>
      </c>
      <c r="R2568" s="1694" t="str">
        <f>IFERROR(VLOOKUP(F2568,#REF!,14,FALSE),"")</f>
        <v/>
      </c>
      <c r="S2568" s="1377" t="str">
        <f t="shared" si="370"/>
        <v/>
      </c>
      <c r="T2568" s="1369">
        <f t="shared" si="365"/>
        <v>15.020663811287903</v>
      </c>
      <c r="U2568" s="1369">
        <f t="shared" si="366"/>
        <v>20.279952565946143</v>
      </c>
      <c r="V2568" s="1369">
        <f t="shared" si="371"/>
        <v>3.2504777755235779</v>
      </c>
      <c r="W2568" s="1766">
        <f t="shared" si="367"/>
        <v>0.74066562840538519</v>
      </c>
      <c r="X2568" s="1369">
        <v>251</v>
      </c>
    </row>
    <row r="2569" spans="1:24" x14ac:dyDescent="0.2">
      <c r="A2569" s="1648" t="s">
        <v>142</v>
      </c>
      <c r="B2569" s="1679">
        <f>SUM(H2568:H2574)</f>
        <v>33.51</v>
      </c>
      <c r="C2569" s="1651">
        <v>45657</v>
      </c>
      <c r="D2569" s="1695">
        <v>154</v>
      </c>
      <c r="E2569" s="1696" t="s">
        <v>293</v>
      </c>
      <c r="F2569" s="1616" t="s">
        <v>273</v>
      </c>
      <c r="G2569" s="1697">
        <v>6.3425925925925927E-2</v>
      </c>
      <c r="H2569" s="1698">
        <v>14.79</v>
      </c>
      <c r="I2569" s="1699">
        <f t="shared" si="372"/>
        <v>4.2884331254851877E-3</v>
      </c>
      <c r="J2569" s="1700">
        <v>138</v>
      </c>
      <c r="K2569" s="1755">
        <v>68</v>
      </c>
      <c r="L2569" s="1578">
        <v>194</v>
      </c>
      <c r="M2569" s="1700">
        <v>64</v>
      </c>
      <c r="N2569" s="1701">
        <f t="shared" si="369"/>
        <v>1.0728507563601868</v>
      </c>
      <c r="O2569" s="1702" t="s">
        <v>333</v>
      </c>
      <c r="P2569" s="1635" t="str">
        <f>IFERROR(VLOOKUP(F2569,#REF!,12,FALSE),"")</f>
        <v/>
      </c>
      <c r="Q2569" s="1636" t="s">
        <v>8</v>
      </c>
      <c r="R2569" s="1703" t="str">
        <f>IFERROR(VLOOKUP(F2569,#REF!,14,FALSE),"")</f>
        <v/>
      </c>
      <c r="S2569" s="1704">
        <f t="shared" si="370"/>
        <v>1.4057971014492754</v>
      </c>
      <c r="T2569" s="1896">
        <f t="shared" si="365"/>
        <v>22.589140409675345</v>
      </c>
      <c r="U2569" s="1896">
        <f t="shared" si="366"/>
        <v>21.416144171518855</v>
      </c>
      <c r="V2569" s="1695">
        <f t="shared" si="371"/>
        <v>5.2592887546582396</v>
      </c>
      <c r="W2569" s="1767">
        <f t="shared" si="367"/>
        <v>1.0547715886091413</v>
      </c>
      <c r="X2569" s="1695">
        <v>251</v>
      </c>
    </row>
    <row r="2570" spans="1:24" x14ac:dyDescent="0.2">
      <c r="A2570" s="1649" t="s">
        <v>347</v>
      </c>
      <c r="B2570" s="1680">
        <f>SUM(K2568:K2574)</f>
        <v>167</v>
      </c>
      <c r="C2570" s="1651">
        <v>45658</v>
      </c>
      <c r="D2570" s="1695"/>
      <c r="E2570" s="1696"/>
      <c r="F2570" s="1616"/>
      <c r="G2570" s="1697"/>
      <c r="H2570" s="1698" t="str">
        <f>IFERROR(VLOOKUP(F2570,#REF!,10,FALSE),"")</f>
        <v/>
      </c>
      <c r="I2570" s="1699" t="str">
        <f t="shared" ref="I2570:I2575" si="373">IFERROR(G2570/H2570,"")</f>
        <v/>
      </c>
      <c r="J2570" s="1700"/>
      <c r="K2570" s="1755"/>
      <c r="L2570" s="1578"/>
      <c r="M2570" s="1700"/>
      <c r="N2570" s="1701" t="str">
        <f t="shared" ref="N2570:N2576" si="374">IFERROR((L2570/67)/(1/(I2570*24)/3.6),"")</f>
        <v/>
      </c>
      <c r="O2570" s="1702"/>
      <c r="P2570" s="1635" t="str">
        <f>IFERROR(VLOOKUP(F2570,#REF!,12,FALSE),"")</f>
        <v/>
      </c>
      <c r="Q2570" s="1636" t="s">
        <v>8</v>
      </c>
      <c r="R2570" s="1703" t="str">
        <f>IFERROR(VLOOKUP(F2570,#REF!,14,FALSE),"")</f>
        <v/>
      </c>
      <c r="S2570" s="1704" t="str">
        <f t="shared" ref="S2570:S2576" si="375">IFERROR(L2570/J2570,"")</f>
        <v/>
      </c>
      <c r="T2570" s="1896">
        <f t="shared" ref="T2570:T2576" si="376">T2569+(K2570-T2569)/7</f>
        <v>19.362120351150296</v>
      </c>
      <c r="U2570" s="1896">
        <f t="shared" ref="U2570:U2576" si="377">U2569+(K2570-U2569)/42</f>
        <v>20.906235976958882</v>
      </c>
      <c r="V2570" s="1695">
        <f t="shared" ref="V2570:V2576" si="378">U2569-T2569</f>
        <v>-1.1729962381564896</v>
      </c>
      <c r="W2570" s="1767">
        <f t="shared" ref="W2570:W2576" si="379">T2570/U2570</f>
        <v>0.92614090707144114</v>
      </c>
      <c r="X2570" s="1695">
        <v>251</v>
      </c>
    </row>
    <row r="2571" spans="1:24" x14ac:dyDescent="0.2">
      <c r="A2571" s="1649" t="s">
        <v>256</v>
      </c>
      <c r="B2571" s="1677">
        <f>AVERAGE(W2568:W2574)</f>
        <v>0.98416739698391786</v>
      </c>
      <c r="C2571" s="1651">
        <v>45659</v>
      </c>
      <c r="D2571" s="1695">
        <v>1</v>
      </c>
      <c r="E2571" s="1696" t="s">
        <v>292</v>
      </c>
      <c r="F2571" s="1547" t="s">
        <v>322</v>
      </c>
      <c r="G2571" s="1697">
        <v>3.8043981481481477E-2</v>
      </c>
      <c r="H2571" s="1698">
        <v>9.32</v>
      </c>
      <c r="I2571" s="1699">
        <f t="shared" si="373"/>
        <v>4.081972261961532E-3</v>
      </c>
      <c r="J2571" s="1700">
        <v>133</v>
      </c>
      <c r="K2571" s="1755">
        <v>49</v>
      </c>
      <c r="L2571" s="1578">
        <v>203</v>
      </c>
      <c r="M2571" s="1700">
        <v>36</v>
      </c>
      <c r="N2571" s="1701">
        <f t="shared" si="374"/>
        <v>1.068575043238742</v>
      </c>
      <c r="O2571" s="1702" t="s">
        <v>340</v>
      </c>
      <c r="P2571" s="1635" t="str">
        <f>IFERROR(VLOOKUP(F2571,#REF!,12,FALSE),"")</f>
        <v/>
      </c>
      <c r="Q2571" s="1636" t="s">
        <v>8</v>
      </c>
      <c r="R2571" s="1703" t="str">
        <f>IFERROR(VLOOKUP(F2571,#REF!,14,FALSE),"")</f>
        <v/>
      </c>
      <c r="S2571" s="1704">
        <f t="shared" si="375"/>
        <v>1.5263157894736843</v>
      </c>
      <c r="T2571" s="1896">
        <f t="shared" si="376"/>
        <v>23.596103158128827</v>
      </c>
      <c r="U2571" s="1896">
        <f t="shared" si="377"/>
        <v>21.575135120364624</v>
      </c>
      <c r="V2571" s="1695">
        <f t="shared" si="378"/>
        <v>1.5441156258085869</v>
      </c>
      <c r="W2571" s="1767">
        <f t="shared" si="379"/>
        <v>1.0936711648149366</v>
      </c>
      <c r="X2571" s="1695">
        <v>251</v>
      </c>
    </row>
    <row r="2572" spans="1:24" x14ac:dyDescent="0.2">
      <c r="A2572" s="1649" t="s">
        <v>336</v>
      </c>
      <c r="B2572" s="1713">
        <f>IFERROR(AVERAGE(N2568:N2574),"")</f>
        <v>1.0721064722067351</v>
      </c>
      <c r="C2572" s="1651">
        <v>45660</v>
      </c>
      <c r="D2572" s="1695"/>
      <c r="E2572" s="1696"/>
      <c r="F2572" s="1616"/>
      <c r="G2572" s="1697"/>
      <c r="H2572" s="1698" t="str">
        <f>IFERROR(VLOOKUP(F2572,#REF!,10,FALSE),"")</f>
        <v/>
      </c>
      <c r="I2572" s="1699" t="str">
        <f t="shared" si="373"/>
        <v/>
      </c>
      <c r="J2572" s="1700"/>
      <c r="K2572" s="1755"/>
      <c r="L2572" s="1578"/>
      <c r="M2572" s="1700"/>
      <c r="N2572" s="1701" t="str">
        <f t="shared" si="374"/>
        <v/>
      </c>
      <c r="O2572" s="1702"/>
      <c r="P2572" s="1635" t="str">
        <f>IFERROR(VLOOKUP(F2572,#REF!,12,FALSE),"")</f>
        <v/>
      </c>
      <c r="Q2572" s="1636" t="s">
        <v>8</v>
      </c>
      <c r="R2572" s="1703" t="str">
        <f>IFERROR(VLOOKUP(F2572,#REF!,14,FALSE),"")</f>
        <v/>
      </c>
      <c r="S2572" s="1704" t="str">
        <f t="shared" si="375"/>
        <v/>
      </c>
      <c r="T2572" s="1896">
        <f t="shared" si="376"/>
        <v>20.225231278396137</v>
      </c>
      <c r="U2572" s="1896">
        <f t="shared" si="377"/>
        <v>21.061441427022608</v>
      </c>
      <c r="V2572" s="1695">
        <f t="shared" si="378"/>
        <v>-2.0209680377642023</v>
      </c>
      <c r="W2572" s="1767">
        <f t="shared" si="379"/>
        <v>0.96029663252043229</v>
      </c>
      <c r="X2572" s="1695">
        <v>251</v>
      </c>
    </row>
    <row r="2573" spans="1:24" x14ac:dyDescent="0.2">
      <c r="A2573" s="1649" t="s">
        <v>337</v>
      </c>
      <c r="B2573" s="1681">
        <f>IFERROR(AVERAGE(S2568:S2574),"")</f>
        <v>1.5008084636409864</v>
      </c>
      <c r="C2573" s="1651">
        <v>45661</v>
      </c>
      <c r="D2573" s="1695">
        <v>2</v>
      </c>
      <c r="E2573" s="1696" t="s">
        <v>292</v>
      </c>
      <c r="F2573" s="1547" t="s">
        <v>355</v>
      </c>
      <c r="G2573" s="1697">
        <v>3.8981481481481485E-2</v>
      </c>
      <c r="H2573" s="1698">
        <v>9.4</v>
      </c>
      <c r="I2573" s="1699">
        <f t="shared" si="373"/>
        <v>4.1469661150512213E-3</v>
      </c>
      <c r="J2573" s="1700">
        <v>128</v>
      </c>
      <c r="K2573" s="1755">
        <v>50</v>
      </c>
      <c r="L2573" s="1578">
        <v>201</v>
      </c>
      <c r="M2573" s="1700">
        <v>35</v>
      </c>
      <c r="N2573" s="1701">
        <f t="shared" si="374"/>
        <v>1.0748936170212766</v>
      </c>
      <c r="O2573" s="1702" t="s">
        <v>346</v>
      </c>
      <c r="P2573" s="1635" t="str">
        <f>IFERROR(VLOOKUP(F2573,#REF!,12,FALSE),"")</f>
        <v/>
      </c>
      <c r="Q2573" s="1636" t="s">
        <v>8</v>
      </c>
      <c r="R2573" s="1703" t="str">
        <f>IFERROR(VLOOKUP(F2573,#REF!,14,FALSE),"")</f>
        <v/>
      </c>
      <c r="S2573" s="1704">
        <f t="shared" si="375"/>
        <v>1.5703125</v>
      </c>
      <c r="T2573" s="1896">
        <f t="shared" si="376"/>
        <v>24.478769667196687</v>
      </c>
      <c r="U2573" s="1896">
        <f t="shared" si="377"/>
        <v>21.750454726379214</v>
      </c>
      <c r="V2573" s="1695">
        <f t="shared" si="378"/>
        <v>0.83621014862647058</v>
      </c>
      <c r="W2573" s="1767">
        <f t="shared" si="379"/>
        <v>1.1254371448845408</v>
      </c>
      <c r="X2573" s="1695">
        <v>251</v>
      </c>
    </row>
    <row r="2574" spans="1:24" ht="16" thickBot="1" x14ac:dyDescent="0.25">
      <c r="A2574" s="1650" t="s">
        <v>5</v>
      </c>
      <c r="B2574" s="1678">
        <f>IFERROR(SUM(M2568:M2574),"")</f>
        <v>135</v>
      </c>
      <c r="C2574" s="1360">
        <v>45662</v>
      </c>
      <c r="D2574" s="683"/>
      <c r="E2574" s="684"/>
      <c r="F2574" s="1538"/>
      <c r="G2574" s="1361"/>
      <c r="H2574" s="1362" t="str">
        <f>IFERROR(VLOOKUP(F2574,#REF!,10,FALSE),"")</f>
        <v/>
      </c>
      <c r="I2574" s="1363" t="str">
        <f t="shared" si="373"/>
        <v/>
      </c>
      <c r="J2574" s="1364"/>
      <c r="K2574" s="1747"/>
      <c r="L2574" s="1705"/>
      <c r="M2574" s="1364"/>
      <c r="N2574" s="1365" t="str">
        <f t="shared" si="374"/>
        <v/>
      </c>
      <c r="O2574" s="1366"/>
      <c r="P2574" s="1706" t="str">
        <f>IFERROR(VLOOKUP(F2574,#REF!,12,FALSE),"")</f>
        <v/>
      </c>
      <c r="Q2574" s="1707" t="s">
        <v>8</v>
      </c>
      <c r="R2574" s="1708" t="str">
        <f>IFERROR(VLOOKUP(F2574,#REF!,14,FALSE),"")</f>
        <v/>
      </c>
      <c r="S2574" s="1191" t="str">
        <f t="shared" si="375"/>
        <v/>
      </c>
      <c r="T2574" s="1829">
        <f t="shared" si="376"/>
        <v>20.981802571882874</v>
      </c>
      <c r="U2574" s="1829">
        <f t="shared" si="377"/>
        <v>21.232586756703519</v>
      </c>
      <c r="V2574" s="683">
        <f t="shared" si="378"/>
        <v>-2.7283149408174729</v>
      </c>
      <c r="W2574" s="1768">
        <f t="shared" si="379"/>
        <v>0.98818871258154783</v>
      </c>
      <c r="X2574" s="683">
        <v>251</v>
      </c>
    </row>
    <row r="2575" spans="1:24" ht="16" thickBot="1" x14ac:dyDescent="0.25">
      <c r="A2575" s="1962">
        <f>WEEKNUM(C2575,1)</f>
        <v>2</v>
      </c>
      <c r="B2575" s="1963"/>
      <c r="C2575" s="1368">
        <v>45663</v>
      </c>
      <c r="D2575" s="1369">
        <v>3</v>
      </c>
      <c r="E2575" s="1370" t="s">
        <v>292</v>
      </c>
      <c r="F2575" s="1547" t="s">
        <v>355</v>
      </c>
      <c r="G2575" s="1371">
        <v>2.5729166666666664E-2</v>
      </c>
      <c r="H2575" s="1372">
        <v>6.34</v>
      </c>
      <c r="I2575" s="1373">
        <f t="shared" si="373"/>
        <v>4.0582281808622502E-3</v>
      </c>
      <c r="J2575" s="1374">
        <v>126</v>
      </c>
      <c r="K2575" s="1745">
        <v>35</v>
      </c>
      <c r="L2575" s="1577">
        <v>207</v>
      </c>
      <c r="M2575" s="1374">
        <v>21</v>
      </c>
      <c r="N2575" s="1375">
        <f t="shared" si="374"/>
        <v>1.0832925278967935</v>
      </c>
      <c r="O2575" s="1376" t="s">
        <v>342</v>
      </c>
      <c r="P2575" s="795" t="str">
        <f>IFERROR(VLOOKUP(F2575,#REF!,12,FALSE),"")</f>
        <v/>
      </c>
      <c r="Q2575" s="1254" t="s">
        <v>8</v>
      </c>
      <c r="R2575" s="1694" t="str">
        <f>IFERROR(VLOOKUP(F2575,#REF!,14,FALSE),"")</f>
        <v/>
      </c>
      <c r="S2575" s="1377">
        <f t="shared" si="375"/>
        <v>1.6428571428571428</v>
      </c>
      <c r="T2575" s="70">
        <f t="shared" si="376"/>
        <v>22.984402204471035</v>
      </c>
      <c r="U2575" s="70">
        <f t="shared" si="377"/>
        <v>21.56038231011534</v>
      </c>
      <c r="V2575" s="1369">
        <f t="shared" si="378"/>
        <v>0.25078418482064535</v>
      </c>
      <c r="W2575" s="1766">
        <f t="shared" si="379"/>
        <v>1.0660479890325321</v>
      </c>
      <c r="X2575" s="1369">
        <v>251</v>
      </c>
    </row>
    <row r="2576" spans="1:24" x14ac:dyDescent="0.2">
      <c r="A2576" s="1648" t="s">
        <v>142</v>
      </c>
      <c r="B2576" s="1679">
        <f>SUM(H2575:H2581)</f>
        <v>34.78</v>
      </c>
      <c r="C2576" s="1651">
        <v>45664</v>
      </c>
      <c r="D2576" s="1695"/>
      <c r="E2576" s="1696"/>
      <c r="F2576" s="1547"/>
      <c r="G2576" s="1697"/>
      <c r="H2576" s="1698"/>
      <c r="I2576" s="1699"/>
      <c r="J2576" s="1700"/>
      <c r="K2576" s="1755"/>
      <c r="L2576" s="1578"/>
      <c r="M2576" s="1700"/>
      <c r="N2576" s="1701" t="str">
        <f t="shared" si="374"/>
        <v/>
      </c>
      <c r="O2576" s="1702"/>
      <c r="P2576" s="1635" t="str">
        <f>IFERROR(VLOOKUP(F2576,#REF!,12,FALSE),"")</f>
        <v/>
      </c>
      <c r="Q2576" s="1636" t="s">
        <v>8</v>
      </c>
      <c r="R2576" s="1703" t="str">
        <f>IFERROR(VLOOKUP(F2576,#REF!,14,FALSE),"")</f>
        <v/>
      </c>
      <c r="S2576" s="1704" t="str">
        <f t="shared" si="375"/>
        <v/>
      </c>
      <c r="T2576" s="1379">
        <f t="shared" si="376"/>
        <v>19.700916175260886</v>
      </c>
      <c r="U2576" s="1379">
        <f t="shared" si="377"/>
        <v>21.047039874160212</v>
      </c>
      <c r="V2576" s="1695">
        <f t="shared" si="378"/>
        <v>-1.4240198943556948</v>
      </c>
      <c r="W2576" s="1767">
        <f t="shared" si="379"/>
        <v>0.9360421367114915</v>
      </c>
      <c r="X2576" s="1695">
        <v>251</v>
      </c>
    </row>
    <row r="2577" spans="1:24" x14ac:dyDescent="0.2">
      <c r="A2577" s="1649" t="s">
        <v>347</v>
      </c>
      <c r="B2577" s="1680">
        <f>SUM(K2575:K2581)</f>
        <v>186</v>
      </c>
      <c r="C2577" s="1651">
        <v>45665</v>
      </c>
      <c r="D2577" s="1695">
        <v>4</v>
      </c>
      <c r="E2577" s="1696" t="s">
        <v>293</v>
      </c>
      <c r="F2577" s="1547" t="s">
        <v>343</v>
      </c>
      <c r="G2577" s="1697">
        <v>3.048611111111111E-2</v>
      </c>
      <c r="H2577" s="1698">
        <v>7.47</v>
      </c>
      <c r="I2577" s="1699">
        <f t="shared" ref="I2577" si="380">IFERROR(G2577/H2577,"")</f>
        <v>4.0811393723040306E-3</v>
      </c>
      <c r="J2577" s="1700">
        <v>123</v>
      </c>
      <c r="K2577" s="1755">
        <v>38</v>
      </c>
      <c r="L2577" s="1578">
        <v>203</v>
      </c>
      <c r="M2577" s="1700">
        <v>23</v>
      </c>
      <c r="N2577" s="1701">
        <f t="shared" ref="N2577:N2583" si="381">IFERROR((L2577/67)/(1/(I2577*24)/3.6),"")</f>
        <v>1.0683570101300726</v>
      </c>
      <c r="O2577" s="1702" t="s">
        <v>333</v>
      </c>
      <c r="P2577" s="1635" t="str">
        <f>IFERROR(VLOOKUP(F2577,#REF!,12,FALSE),"")</f>
        <v/>
      </c>
      <c r="Q2577" s="1636" t="s">
        <v>8</v>
      </c>
      <c r="R2577" s="1703" t="str">
        <f>IFERROR(VLOOKUP(F2577,#REF!,14,FALSE),"")</f>
        <v/>
      </c>
      <c r="S2577" s="1704">
        <f t="shared" ref="S2577:S2583" si="382">IFERROR(L2577/J2577,"")</f>
        <v>1.6504065040650406</v>
      </c>
      <c r="T2577" s="1379">
        <f t="shared" ref="T2577:T2583" si="383">T2576+(K2577-T2576)/7</f>
        <v>22.315071007366473</v>
      </c>
      <c r="U2577" s="1379">
        <f t="shared" ref="U2577:U2583" si="384">U2576+(K2577-U2576)/42</f>
        <v>21.450681781918302</v>
      </c>
      <c r="V2577" s="1695">
        <f t="shared" ref="V2577:V2583" si="385">U2576-T2576</f>
        <v>1.3461236988993264</v>
      </c>
      <c r="W2577" s="1767">
        <f t="shared" ref="W2577:W2583" si="386">T2577/U2577</f>
        <v>1.0402965851731949</v>
      </c>
      <c r="X2577" s="1695">
        <v>251</v>
      </c>
    </row>
    <row r="2578" spans="1:24" x14ac:dyDescent="0.2">
      <c r="A2578" s="1649" t="s">
        <v>256</v>
      </c>
      <c r="B2578" s="1677">
        <f>AVERAGE(W2575:W2581)</f>
        <v>1.0857979188672287</v>
      </c>
      <c r="C2578" s="1651">
        <v>45666</v>
      </c>
      <c r="D2578" s="1695">
        <v>5</v>
      </c>
      <c r="E2578" s="1696" t="s">
        <v>293</v>
      </c>
      <c r="F2578" s="1547" t="s">
        <v>355</v>
      </c>
      <c r="G2578" s="1697">
        <v>2.5972222222222223E-2</v>
      </c>
      <c r="H2578" s="1698">
        <v>6.52</v>
      </c>
      <c r="I2578" s="1699">
        <f t="shared" ref="I2578:I2583" si="387">IFERROR(G2578/H2578,"")</f>
        <v>3.983469665985004E-3</v>
      </c>
      <c r="J2578" s="1700">
        <v>124</v>
      </c>
      <c r="K2578" s="1755">
        <v>37</v>
      </c>
      <c r="L2578" s="1578">
        <v>210</v>
      </c>
      <c r="M2578" s="1700">
        <v>23</v>
      </c>
      <c r="N2578" s="1701">
        <f t="shared" si="381"/>
        <v>1.0787473674571928</v>
      </c>
      <c r="O2578" s="1702" t="s">
        <v>340</v>
      </c>
      <c r="P2578" s="1635" t="str">
        <f>IFERROR(VLOOKUP(F2578,#REF!,12,FALSE),"")</f>
        <v/>
      </c>
      <c r="Q2578" s="1636" t="s">
        <v>8</v>
      </c>
      <c r="R2578" s="1703" t="str">
        <f>IFERROR(VLOOKUP(F2578,#REF!,14,FALSE),"")</f>
        <v/>
      </c>
      <c r="S2578" s="1704">
        <f t="shared" si="382"/>
        <v>1.6935483870967742</v>
      </c>
      <c r="T2578" s="1379">
        <f t="shared" si="383"/>
        <v>24.412918006314118</v>
      </c>
      <c r="U2578" s="1379">
        <f t="shared" si="384"/>
        <v>21.82090364425358</v>
      </c>
      <c r="V2578" s="1695">
        <f t="shared" si="385"/>
        <v>-0.86438922544817132</v>
      </c>
      <c r="W2578" s="1767">
        <f t="shared" si="386"/>
        <v>1.1187858396846517</v>
      </c>
      <c r="X2578" s="1695">
        <v>251</v>
      </c>
    </row>
    <row r="2579" spans="1:24" x14ac:dyDescent="0.2">
      <c r="A2579" s="1649" t="s">
        <v>336</v>
      </c>
      <c r="B2579" s="1713">
        <f>IFERROR(AVERAGE(N2575:N2581),"")</f>
        <v>1.0695443631423669</v>
      </c>
      <c r="C2579" s="1651">
        <v>45667</v>
      </c>
      <c r="D2579" s="1695">
        <v>6</v>
      </c>
      <c r="E2579" s="1696" t="s">
        <v>293</v>
      </c>
      <c r="F2579" s="1547" t="s">
        <v>143</v>
      </c>
      <c r="G2579" s="1697">
        <v>2.9976851851851852E-2</v>
      </c>
      <c r="H2579" s="1698">
        <v>7.66</v>
      </c>
      <c r="I2579" s="1699">
        <f t="shared" si="387"/>
        <v>3.9134271347065078E-3</v>
      </c>
      <c r="J2579" s="1700">
        <v>137</v>
      </c>
      <c r="K2579" s="1755">
        <v>49</v>
      </c>
      <c r="L2579" s="1578">
        <v>209</v>
      </c>
      <c r="M2579" s="1700">
        <v>21</v>
      </c>
      <c r="N2579" s="1701">
        <f t="shared" si="381"/>
        <v>1.0547328630996453</v>
      </c>
      <c r="O2579" s="1702" t="s">
        <v>345</v>
      </c>
      <c r="P2579" s="1635" t="str">
        <f>IFERROR(VLOOKUP(F2579,#REF!,12,FALSE),"")</f>
        <v/>
      </c>
      <c r="Q2579" s="1636" t="s">
        <v>8</v>
      </c>
      <c r="R2579" s="1703" t="str">
        <f>IFERROR(VLOOKUP(F2579,#REF!,14,FALSE),"")</f>
        <v/>
      </c>
      <c r="S2579" s="1704">
        <f t="shared" si="382"/>
        <v>1.5255474452554745</v>
      </c>
      <c r="T2579" s="1379">
        <f t="shared" si="383"/>
        <v>27.925358291126386</v>
      </c>
      <c r="U2579" s="1379">
        <f t="shared" si="384"/>
        <v>22.468024986057067</v>
      </c>
      <c r="V2579" s="1695">
        <f t="shared" si="385"/>
        <v>-2.5920143620605387</v>
      </c>
      <c r="W2579" s="1767">
        <f t="shared" si="386"/>
        <v>1.2428933254460934</v>
      </c>
      <c r="X2579" s="1695">
        <v>251</v>
      </c>
    </row>
    <row r="2580" spans="1:24" x14ac:dyDescent="0.2">
      <c r="A2580" s="1649" t="s">
        <v>337</v>
      </c>
      <c r="B2580" s="1681">
        <f>IFERROR(AVERAGE(S2575:S2581),"")</f>
        <v>1.6032849039849679</v>
      </c>
      <c r="C2580" s="1651">
        <v>45668</v>
      </c>
      <c r="D2580" s="1695"/>
      <c r="E2580" s="1696"/>
      <c r="F2580" s="1547"/>
      <c r="G2580" s="1697"/>
      <c r="H2580" s="1698" t="str">
        <f>IFERROR(VLOOKUP(F2580,#REF!,10,FALSE),"")</f>
        <v/>
      </c>
      <c r="I2580" s="1699" t="str">
        <f t="shared" si="387"/>
        <v/>
      </c>
      <c r="J2580" s="1700"/>
      <c r="K2580" s="1755"/>
      <c r="L2580" s="1578"/>
      <c r="M2580" s="1700"/>
      <c r="N2580" s="1701" t="str">
        <f t="shared" si="381"/>
        <v/>
      </c>
      <c r="O2580" s="1702"/>
      <c r="P2580" s="1635" t="str">
        <f>IFERROR(VLOOKUP(F2580,#REF!,12,FALSE),"")</f>
        <v/>
      </c>
      <c r="Q2580" s="1636" t="s">
        <v>8</v>
      </c>
      <c r="R2580" s="1703" t="str">
        <f>IFERROR(VLOOKUP(F2580,#REF!,14,FALSE),"")</f>
        <v/>
      </c>
      <c r="S2580" s="1704" t="str">
        <f t="shared" si="382"/>
        <v/>
      </c>
      <c r="T2580" s="1379">
        <f t="shared" si="383"/>
        <v>23.936021392394046</v>
      </c>
      <c r="U2580" s="1379">
        <f t="shared" si="384"/>
        <v>21.933072010198565</v>
      </c>
      <c r="V2580" s="1695">
        <f t="shared" si="385"/>
        <v>-5.4573333050693194</v>
      </c>
      <c r="W2580" s="1767">
        <f t="shared" si="386"/>
        <v>1.0913209686843748</v>
      </c>
      <c r="X2580" s="1695">
        <v>261</v>
      </c>
    </row>
    <row r="2581" spans="1:24" ht="16" thickBot="1" x14ac:dyDescent="0.25">
      <c r="A2581" s="1650" t="s">
        <v>5</v>
      </c>
      <c r="B2581" s="1678">
        <f>IFERROR(SUM(M2575:M2581),"")</f>
        <v>109</v>
      </c>
      <c r="C2581" s="1360">
        <v>45669</v>
      </c>
      <c r="D2581" s="683">
        <v>7</v>
      </c>
      <c r="E2581" s="684" t="s">
        <v>292</v>
      </c>
      <c r="F2581" s="1429" t="s">
        <v>279</v>
      </c>
      <c r="G2581" s="1361">
        <v>3.0243055555555554E-2</v>
      </c>
      <c r="H2581" s="1362">
        <v>6.79</v>
      </c>
      <c r="I2581" s="1363">
        <f t="shared" si="387"/>
        <v>4.4540582556046471E-3</v>
      </c>
      <c r="J2581" s="1364">
        <v>123</v>
      </c>
      <c r="K2581" s="1747">
        <v>27</v>
      </c>
      <c r="L2581" s="1705">
        <v>185</v>
      </c>
      <c r="M2581" s="1364">
        <v>21</v>
      </c>
      <c r="N2581" s="1365">
        <f t="shared" si="381"/>
        <v>1.0625920471281298</v>
      </c>
      <c r="O2581" s="1366" t="s">
        <v>346</v>
      </c>
      <c r="P2581" s="1706" t="str">
        <f>IFERROR(VLOOKUP(F2581,#REF!,12,FALSE),"")</f>
        <v/>
      </c>
      <c r="Q2581" s="1707" t="s">
        <v>8</v>
      </c>
      <c r="R2581" s="1708" t="str">
        <f>IFERROR(VLOOKUP(F2581,#REF!,14,FALSE),"")</f>
        <v/>
      </c>
      <c r="S2581" s="1191">
        <f t="shared" si="382"/>
        <v>1.5040650406504066</v>
      </c>
      <c r="T2581" s="1897">
        <f t="shared" si="383"/>
        <v>24.373732622052039</v>
      </c>
      <c r="U2581" s="1897">
        <f t="shared" si="384"/>
        <v>22.053713152812886</v>
      </c>
      <c r="V2581" s="683">
        <f t="shared" si="385"/>
        <v>-2.0029493821954816</v>
      </c>
      <c r="W2581" s="1768">
        <f t="shared" si="386"/>
        <v>1.1051985873382615</v>
      </c>
      <c r="X2581" s="683">
        <v>261</v>
      </c>
    </row>
    <row r="2582" spans="1:24" ht="16" thickBot="1" x14ac:dyDescent="0.25">
      <c r="A2582" s="1962">
        <f t="shared" ref="A2582" si="388">WEEKNUM(C2582,1)</f>
        <v>3</v>
      </c>
      <c r="B2582" s="1963"/>
      <c r="C2582" s="1368">
        <v>45670</v>
      </c>
      <c r="D2582" s="1369"/>
      <c r="E2582" s="1370"/>
      <c r="F2582" s="1547"/>
      <c r="G2582" s="1371"/>
      <c r="H2582" s="1372" t="str">
        <f>IFERROR(VLOOKUP(F2582,#REF!,10,FALSE),"")</f>
        <v/>
      </c>
      <c r="I2582" s="1373" t="str">
        <f t="shared" si="387"/>
        <v/>
      </c>
      <c r="J2582" s="1374"/>
      <c r="K2582" s="1745"/>
      <c r="L2582" s="1577"/>
      <c r="M2582" s="1374"/>
      <c r="N2582" s="1375" t="str">
        <f t="shared" si="381"/>
        <v/>
      </c>
      <c r="O2582" s="1376"/>
      <c r="P2582" s="795" t="str">
        <f>IFERROR(VLOOKUP(F2582,#REF!,12,FALSE),"")</f>
        <v/>
      </c>
      <c r="Q2582" s="1254" t="s">
        <v>8</v>
      </c>
      <c r="R2582" s="1694" t="str">
        <f>IFERROR(VLOOKUP(F2582,#REF!,14,FALSE),"")</f>
        <v/>
      </c>
      <c r="S2582" s="1377" t="str">
        <f t="shared" si="382"/>
        <v/>
      </c>
      <c r="T2582" s="1369">
        <f t="shared" si="383"/>
        <v>20.891770818901747</v>
      </c>
      <c r="U2582" s="1369">
        <f t="shared" si="384"/>
        <v>21.528624744412578</v>
      </c>
      <c r="V2582" s="1369">
        <f t="shared" si="385"/>
        <v>-2.3200194692391527</v>
      </c>
      <c r="W2582" s="1766">
        <f t="shared" si="386"/>
        <v>0.97041827180920526</v>
      </c>
      <c r="X2582" s="1369">
        <v>261</v>
      </c>
    </row>
    <row r="2583" spans="1:24" x14ac:dyDescent="0.2">
      <c r="A2583" s="1648" t="s">
        <v>142</v>
      </c>
      <c r="B2583" s="1679">
        <f t="shared" ref="B2583" si="389">SUM(H2582:H2588)</f>
        <v>25.700000000000003</v>
      </c>
      <c r="C2583" s="1651">
        <v>45671</v>
      </c>
      <c r="D2583" s="1695">
        <v>8</v>
      </c>
      <c r="E2583" s="1696" t="s">
        <v>293</v>
      </c>
      <c r="F2583" s="1547" t="s">
        <v>355</v>
      </c>
      <c r="G2583" s="1697">
        <v>2.2997685185185184E-2</v>
      </c>
      <c r="H2583" s="1698">
        <v>5.67</v>
      </c>
      <c r="I2583" s="1699">
        <f t="shared" si="387"/>
        <v>4.0560291331896269E-3</v>
      </c>
      <c r="J2583" s="1700">
        <v>123</v>
      </c>
      <c r="K2583" s="1755">
        <v>25</v>
      </c>
      <c r="L2583" s="1578">
        <v>202</v>
      </c>
      <c r="M2583" s="1700">
        <v>25</v>
      </c>
      <c r="N2583" s="1701">
        <f t="shared" si="381"/>
        <v>1.0565532127721182</v>
      </c>
      <c r="O2583" s="1702" t="s">
        <v>333</v>
      </c>
      <c r="P2583" s="1635" t="str">
        <f>IFERROR(VLOOKUP(F2583,#REF!,12,FALSE),"")</f>
        <v/>
      </c>
      <c r="Q2583" s="1636" t="s">
        <v>8</v>
      </c>
      <c r="R2583" s="1703" t="str">
        <f>IFERROR(VLOOKUP(F2583,#REF!,14,FALSE),"")</f>
        <v/>
      </c>
      <c r="S2583" s="1704">
        <f t="shared" si="382"/>
        <v>1.6422764227642277</v>
      </c>
      <c r="T2583" s="1828">
        <f t="shared" si="383"/>
        <v>21.478660701915782</v>
      </c>
      <c r="U2583" s="1828">
        <f t="shared" si="384"/>
        <v>21.61127653621228</v>
      </c>
      <c r="V2583" s="1695">
        <f t="shared" si="385"/>
        <v>0.63685392551083098</v>
      </c>
      <c r="W2583" s="1767">
        <f t="shared" si="386"/>
        <v>0.99386358163182609</v>
      </c>
      <c r="X2583" s="1695">
        <v>261</v>
      </c>
    </row>
    <row r="2584" spans="1:24" x14ac:dyDescent="0.2">
      <c r="A2584" s="1649" t="s">
        <v>347</v>
      </c>
      <c r="B2584" s="1680">
        <f t="shared" ref="B2584" si="390">SUM(K2582:K2588)</f>
        <v>125</v>
      </c>
      <c r="C2584" s="1651">
        <v>45672</v>
      </c>
      <c r="D2584" s="1695">
        <v>9</v>
      </c>
      <c r="E2584" s="1696" t="s">
        <v>293</v>
      </c>
      <c r="F2584" s="1547" t="s">
        <v>143</v>
      </c>
      <c r="G2584" s="1697">
        <v>1.9432870370370371E-2</v>
      </c>
      <c r="H2584" s="1698">
        <v>4.6500000000000004</v>
      </c>
      <c r="I2584" s="1699">
        <f t="shared" ref="I2584:I2647" si="391">IFERROR(G2584/H2584,"")</f>
        <v>4.1791119076065308E-3</v>
      </c>
      <c r="J2584" s="1700"/>
      <c r="K2584" s="1755">
        <v>22</v>
      </c>
      <c r="L2584" s="1578">
        <v>194</v>
      </c>
      <c r="M2584" s="1700">
        <v>23</v>
      </c>
      <c r="N2584" s="1701">
        <f t="shared" ref="N2584:N2647" si="392">IFERROR((L2584/67)/(1/(I2584*24)/3.6),"")</f>
        <v>1.04550152463489</v>
      </c>
      <c r="O2584" s="1702" t="s">
        <v>345</v>
      </c>
      <c r="P2584" s="1635" t="str">
        <f>IFERROR(VLOOKUP(F2584,#REF!,12,FALSE),"")</f>
        <v/>
      </c>
      <c r="Q2584" s="1636" t="s">
        <v>8</v>
      </c>
      <c r="R2584" s="1703" t="str">
        <f>IFERROR(VLOOKUP(F2584,#REF!,14,FALSE),"")</f>
        <v/>
      </c>
      <c r="S2584" s="1704" t="str">
        <f t="shared" ref="S2584:S2647" si="393">IFERROR(L2584/J2584,"")</f>
        <v/>
      </c>
      <c r="T2584" s="1828">
        <f t="shared" ref="T2584:T2647" si="394">T2583+(K2584-T2583)/7</f>
        <v>21.553137744499242</v>
      </c>
      <c r="U2584" s="1828">
        <f t="shared" ref="U2584:U2647" si="395">U2583+(K2584-U2583)/42</f>
        <v>21.620531856778655</v>
      </c>
      <c r="V2584" s="1695">
        <f t="shared" ref="V2584:V2647" si="396">U2583-T2583</f>
        <v>0.13261583429649804</v>
      </c>
      <c r="W2584" s="1767">
        <f t="shared" ref="W2584:W2647" si="397">T2584/U2584</f>
        <v>0.99688286519842095</v>
      </c>
      <c r="X2584" s="1695">
        <v>261</v>
      </c>
    </row>
    <row r="2585" spans="1:24" x14ac:dyDescent="0.2">
      <c r="A2585" s="1649" t="s">
        <v>256</v>
      </c>
      <c r="B2585" s="1677">
        <f t="shared" ref="B2585" si="398">AVERAGE(W2582:W2588)</f>
        <v>0.96403266035848312</v>
      </c>
      <c r="C2585" s="1651">
        <v>45673</v>
      </c>
      <c r="D2585" s="1695">
        <v>10</v>
      </c>
      <c r="E2585" s="1696" t="s">
        <v>293</v>
      </c>
      <c r="F2585" s="1547" t="s">
        <v>343</v>
      </c>
      <c r="G2585" s="1697">
        <v>2.6539351851851852E-2</v>
      </c>
      <c r="H2585" s="1698">
        <v>6.6</v>
      </c>
      <c r="I2585" s="1699">
        <f t="shared" si="391"/>
        <v>4.0211139169472505E-3</v>
      </c>
      <c r="J2585" s="1700">
        <v>126</v>
      </c>
      <c r="K2585" s="1755">
        <v>33</v>
      </c>
      <c r="L2585" s="1578">
        <v>204</v>
      </c>
      <c r="M2585" s="1700">
        <v>21</v>
      </c>
      <c r="N2585" s="1701">
        <f t="shared" si="392"/>
        <v>1.0578290366350067</v>
      </c>
      <c r="O2585" s="1702" t="s">
        <v>333</v>
      </c>
      <c r="P2585" s="1635" t="str">
        <f>IFERROR(VLOOKUP(F2585,#REF!,12,FALSE),"")</f>
        <v/>
      </c>
      <c r="Q2585" s="1636" t="s">
        <v>8</v>
      </c>
      <c r="R2585" s="1703" t="str">
        <f>IFERROR(VLOOKUP(F2585,#REF!,14,FALSE),"")</f>
        <v/>
      </c>
      <c r="S2585" s="1704">
        <f t="shared" si="393"/>
        <v>1.6190476190476191</v>
      </c>
      <c r="T2585" s="1828">
        <f t="shared" si="394"/>
        <v>23.188403780999352</v>
      </c>
      <c r="U2585" s="1828">
        <f t="shared" si="395"/>
        <v>21.891471574474402</v>
      </c>
      <c r="V2585" s="1695">
        <f t="shared" si="396"/>
        <v>6.739411227941261E-2</v>
      </c>
      <c r="W2585" s="1767">
        <f t="shared" si="397"/>
        <v>1.0592437197340896</v>
      </c>
      <c r="X2585" s="1695">
        <v>253</v>
      </c>
    </row>
    <row r="2586" spans="1:24" x14ac:dyDescent="0.2">
      <c r="A2586" s="1649" t="s">
        <v>336</v>
      </c>
      <c r="B2586" s="1713">
        <f t="shared" ref="B2586" si="399">IFERROR(AVERAGE(N2582:N2588),"")</f>
        <v>1.0571533968474636</v>
      </c>
      <c r="C2586" s="1651">
        <v>45674</v>
      </c>
      <c r="D2586" s="1695"/>
      <c r="E2586" s="1696"/>
      <c r="F2586" s="1547"/>
      <c r="G2586" s="1697"/>
      <c r="H2586" s="1698"/>
      <c r="I2586" s="1699" t="str">
        <f t="shared" si="391"/>
        <v/>
      </c>
      <c r="J2586" s="1700"/>
      <c r="K2586" s="1755"/>
      <c r="L2586" s="1578"/>
      <c r="M2586" s="1700"/>
      <c r="N2586" s="1701" t="str">
        <f t="shared" si="392"/>
        <v/>
      </c>
      <c r="O2586" s="1702"/>
      <c r="P2586" s="1635" t="str">
        <f>IFERROR(VLOOKUP(F2586,#REF!,12,FALSE),"")</f>
        <v/>
      </c>
      <c r="Q2586" s="1636" t="s">
        <v>8</v>
      </c>
      <c r="R2586" s="1703" t="str">
        <f>IFERROR(VLOOKUP(F2586,#REF!,14,FALSE),"")</f>
        <v/>
      </c>
      <c r="S2586" s="1704" t="str">
        <f t="shared" si="393"/>
        <v/>
      </c>
      <c r="T2586" s="1828">
        <f t="shared" si="394"/>
        <v>19.875774669428015</v>
      </c>
      <c r="U2586" s="1828">
        <f t="shared" si="395"/>
        <v>21.37024606079644</v>
      </c>
      <c r="V2586" s="1695">
        <f t="shared" si="396"/>
        <v>-1.29693220652495</v>
      </c>
      <c r="W2586" s="1767">
        <f t="shared" si="397"/>
        <v>0.93006765635188349</v>
      </c>
      <c r="X2586" s="1695">
        <v>253</v>
      </c>
    </row>
    <row r="2587" spans="1:24" x14ac:dyDescent="0.2">
      <c r="A2587" s="1649" t="s">
        <v>337</v>
      </c>
      <c r="B2587" s="1681">
        <f t="shared" ref="B2587" si="400">IFERROR(AVERAGE(S2582:S2588),"")</f>
        <v>1.5920831383153917</v>
      </c>
      <c r="C2587" s="1651">
        <v>45675</v>
      </c>
      <c r="D2587" s="1695"/>
      <c r="E2587" s="1696"/>
      <c r="F2587" s="1547"/>
      <c r="G2587" s="1697"/>
      <c r="H2587" s="1698"/>
      <c r="I2587" s="1699" t="str">
        <f t="shared" si="391"/>
        <v/>
      </c>
      <c r="J2587" s="1700"/>
      <c r="K2587" s="1755"/>
      <c r="L2587" s="1578"/>
      <c r="M2587" s="1700"/>
      <c r="N2587" s="1701" t="str">
        <f t="shared" si="392"/>
        <v/>
      </c>
      <c r="O2587" s="1702"/>
      <c r="P2587" s="1635" t="str">
        <f>IFERROR(VLOOKUP(F2587,#REF!,12,FALSE),"")</f>
        <v/>
      </c>
      <c r="Q2587" s="1636" t="s">
        <v>8</v>
      </c>
      <c r="R2587" s="1703" t="str">
        <f>IFERROR(VLOOKUP(F2587,#REF!,14,FALSE),"")</f>
        <v/>
      </c>
      <c r="S2587" s="1704" t="str">
        <f t="shared" si="393"/>
        <v/>
      </c>
      <c r="T2587" s="1828">
        <f t="shared" si="394"/>
        <v>17.036378288081156</v>
      </c>
      <c r="U2587" s="1828">
        <f t="shared" si="395"/>
        <v>20.861430678396523</v>
      </c>
      <c r="V2587" s="1695">
        <f t="shared" si="396"/>
        <v>1.4944713913684247</v>
      </c>
      <c r="W2587" s="1767">
        <f t="shared" si="397"/>
        <v>0.81664477143092218</v>
      </c>
      <c r="X2587" s="1695">
        <v>253</v>
      </c>
    </row>
    <row r="2588" spans="1:24" ht="16" thickBot="1" x14ac:dyDescent="0.25">
      <c r="A2588" s="1650" t="s">
        <v>5</v>
      </c>
      <c r="B2588" s="1678">
        <f t="shared" ref="B2588" si="401">IFERROR(SUM(M2582:M2588),"")</f>
        <v>92</v>
      </c>
      <c r="C2588" s="1360">
        <v>45676</v>
      </c>
      <c r="D2588" s="683">
        <v>11</v>
      </c>
      <c r="E2588" s="684" t="s">
        <v>356</v>
      </c>
      <c r="F2588" s="1429" t="s">
        <v>279</v>
      </c>
      <c r="G2588" s="1361">
        <v>3.5844907407407409E-2</v>
      </c>
      <c r="H2588" s="1362">
        <v>8.7799999999999994</v>
      </c>
      <c r="I2588" s="1699">
        <f t="shared" si="391"/>
        <v>4.0825634860372903E-3</v>
      </c>
      <c r="J2588" s="1364">
        <v>134</v>
      </c>
      <c r="K2588" s="1747">
        <v>45</v>
      </c>
      <c r="L2588" s="1705">
        <v>203</v>
      </c>
      <c r="M2588" s="1364">
        <v>23</v>
      </c>
      <c r="N2588" s="1365">
        <f t="shared" si="392"/>
        <v>1.0687298133478393</v>
      </c>
      <c r="O2588" s="1366" t="s">
        <v>346</v>
      </c>
      <c r="P2588" s="1706" t="str">
        <f>IFERROR(VLOOKUP(F2588,#REF!,12,FALSE),"")</f>
        <v/>
      </c>
      <c r="Q2588" s="1707" t="s">
        <v>8</v>
      </c>
      <c r="R2588" s="1708" t="str">
        <f>IFERROR(VLOOKUP(F2588,#REF!,14,FALSE),"")</f>
        <v/>
      </c>
      <c r="S2588" s="1191">
        <f t="shared" si="393"/>
        <v>1.5149253731343284</v>
      </c>
      <c r="T2588" s="1829">
        <f t="shared" si="394"/>
        <v>21.03118138978385</v>
      </c>
      <c r="U2588" s="1829">
        <f t="shared" si="395"/>
        <v>21.436158519387082</v>
      </c>
      <c r="V2588" s="683">
        <f t="shared" si="396"/>
        <v>3.825052390315367</v>
      </c>
      <c r="W2588" s="1768">
        <f t="shared" si="397"/>
        <v>0.98110775635303471</v>
      </c>
      <c r="X2588" s="683">
        <v>253</v>
      </c>
    </row>
    <row r="2589" spans="1:24" ht="16" thickBot="1" x14ac:dyDescent="0.25">
      <c r="A2589" s="1962">
        <f t="shared" ref="A2589" si="402">WEEKNUM(C2589,1)</f>
        <v>4</v>
      </c>
      <c r="B2589" s="1963"/>
      <c r="C2589" s="1368">
        <v>45677</v>
      </c>
      <c r="D2589" s="1369">
        <v>12</v>
      </c>
      <c r="E2589" s="1370" t="s">
        <v>293</v>
      </c>
      <c r="F2589" s="1547" t="s">
        <v>143</v>
      </c>
      <c r="G2589" s="1371">
        <v>3.1574074074074074E-2</v>
      </c>
      <c r="H2589" s="1372">
        <v>8.6300000000000008</v>
      </c>
      <c r="I2589" s="1373">
        <f t="shared" si="391"/>
        <v>3.6586412600317581E-3</v>
      </c>
      <c r="J2589" s="1374">
        <v>143</v>
      </c>
      <c r="K2589" s="1745">
        <v>63</v>
      </c>
      <c r="L2589" s="1577">
        <v>224</v>
      </c>
      <c r="M2589" s="1374">
        <v>18</v>
      </c>
      <c r="N2589" s="1375">
        <f t="shared" si="392"/>
        <v>1.0568340222410542</v>
      </c>
      <c r="O2589" s="1376" t="s">
        <v>345</v>
      </c>
      <c r="P2589" s="795" t="str">
        <f>IFERROR(VLOOKUP(F2589,#REF!,12,FALSE),"")</f>
        <v/>
      </c>
      <c r="Q2589" s="1254" t="s">
        <v>8</v>
      </c>
      <c r="R2589" s="1694" t="str">
        <f>IFERROR(VLOOKUP(F2589,#REF!,14,FALSE),"")</f>
        <v/>
      </c>
      <c r="S2589" s="1377">
        <f t="shared" si="393"/>
        <v>1.5664335664335665</v>
      </c>
      <c r="T2589" s="70">
        <f t="shared" si="394"/>
        <v>27.026726905529014</v>
      </c>
      <c r="U2589" s="70">
        <f t="shared" si="395"/>
        <v>22.425773792735008</v>
      </c>
      <c r="V2589" s="1369">
        <f t="shared" si="396"/>
        <v>0.40497712960323184</v>
      </c>
      <c r="W2589" s="1766">
        <f t="shared" si="397"/>
        <v>1.2051636280342986</v>
      </c>
      <c r="X2589" s="1369">
        <v>253</v>
      </c>
    </row>
    <row r="2590" spans="1:24" x14ac:dyDescent="0.2">
      <c r="A2590" s="1648" t="s">
        <v>142</v>
      </c>
      <c r="B2590" s="1679">
        <f t="shared" ref="B2590" si="403">SUM(H2589:H2595)</f>
        <v>21.76</v>
      </c>
      <c r="C2590" s="1651">
        <v>45678</v>
      </c>
      <c r="D2590" s="1695"/>
      <c r="E2590" s="1696"/>
      <c r="F2590" s="1547"/>
      <c r="G2590" s="1697"/>
      <c r="H2590" s="1698" t="str">
        <f>IFERROR(VLOOKUP(F2590,#REF!,10,FALSE),"")</f>
        <v/>
      </c>
      <c r="I2590" s="1699" t="str">
        <f t="shared" si="391"/>
        <v/>
      </c>
      <c r="J2590" s="1700"/>
      <c r="K2590" s="1755"/>
      <c r="L2590" s="1578"/>
      <c r="M2590" s="1700"/>
      <c r="N2590" s="1701" t="str">
        <f t="shared" si="392"/>
        <v/>
      </c>
      <c r="O2590" s="1702"/>
      <c r="P2590" s="1635" t="str">
        <f>IFERROR(VLOOKUP(F2590,#REF!,12,FALSE),"")</f>
        <v/>
      </c>
      <c r="Q2590" s="1636" t="s">
        <v>8</v>
      </c>
      <c r="R2590" s="1703" t="str">
        <f>IFERROR(VLOOKUP(F2590,#REF!,14,FALSE),"")</f>
        <v/>
      </c>
      <c r="S2590" s="1704" t="str">
        <f t="shared" si="393"/>
        <v/>
      </c>
      <c r="T2590" s="1379">
        <f t="shared" si="394"/>
        <v>23.165765919024867</v>
      </c>
      <c r="U2590" s="1379">
        <f t="shared" si="395"/>
        <v>21.891826797669889</v>
      </c>
      <c r="V2590" s="1695">
        <f t="shared" si="396"/>
        <v>-4.6009531127940058</v>
      </c>
      <c r="W2590" s="1767">
        <f t="shared" si="397"/>
        <v>1.0581924538837741</v>
      </c>
      <c r="X2590" s="1695">
        <v>260</v>
      </c>
    </row>
    <row r="2591" spans="1:24" x14ac:dyDescent="0.2">
      <c r="A2591" s="1649" t="s">
        <v>347</v>
      </c>
      <c r="B2591" s="1680">
        <f t="shared" ref="B2591" si="404">SUM(K2589:K2595)</f>
        <v>128</v>
      </c>
      <c r="C2591" s="1651">
        <v>45679</v>
      </c>
      <c r="D2591" s="1695"/>
      <c r="E2591" s="1696"/>
      <c r="F2591" s="1547"/>
      <c r="G2591" s="1697"/>
      <c r="H2591" s="1698" t="str">
        <f>IFERROR(VLOOKUP(F2591,#REF!,10,FALSE),"")</f>
        <v/>
      </c>
      <c r="I2591" s="1699" t="str">
        <f t="shared" si="391"/>
        <v/>
      </c>
      <c r="J2591" s="1700"/>
      <c r="K2591" s="1755"/>
      <c r="L2591" s="1578"/>
      <c r="M2591" s="1700"/>
      <c r="N2591" s="1701" t="str">
        <f t="shared" si="392"/>
        <v/>
      </c>
      <c r="O2591" s="1702"/>
      <c r="P2591" s="1635" t="str">
        <f>IFERROR(VLOOKUP(F2591,#REF!,12,FALSE),"")</f>
        <v/>
      </c>
      <c r="Q2591" s="1636" t="s">
        <v>8</v>
      </c>
      <c r="R2591" s="1703" t="str">
        <f>IFERROR(VLOOKUP(F2591,#REF!,14,FALSE),"")</f>
        <v/>
      </c>
      <c r="S2591" s="1704" t="str">
        <f t="shared" si="393"/>
        <v/>
      </c>
      <c r="T2591" s="1379">
        <f t="shared" si="394"/>
        <v>19.856370787735599</v>
      </c>
      <c r="U2591" s="1379">
        <f t="shared" si="395"/>
        <v>21.370592826296797</v>
      </c>
      <c r="V2591" s="1695">
        <f t="shared" si="396"/>
        <v>-1.273939121354978</v>
      </c>
      <c r="W2591" s="1767">
        <f t="shared" si="397"/>
        <v>0.92914459365404567</v>
      </c>
      <c r="X2591" s="1695">
        <v>260</v>
      </c>
    </row>
    <row r="2592" spans="1:24" x14ac:dyDescent="0.2">
      <c r="A2592" s="1649" t="s">
        <v>256</v>
      </c>
      <c r="B2592" s="1677">
        <f t="shared" ref="B2592" si="405">AVERAGE(W2589:W2595)</f>
        <v>1.0009574726325847</v>
      </c>
      <c r="C2592" s="1651">
        <v>45680</v>
      </c>
      <c r="D2592" s="1695">
        <v>13</v>
      </c>
      <c r="E2592" s="1696" t="s">
        <v>293</v>
      </c>
      <c r="F2592" s="1547" t="s">
        <v>355</v>
      </c>
      <c r="G2592" s="1697">
        <v>2.582175925925926E-2</v>
      </c>
      <c r="H2592" s="1698">
        <v>6.57</v>
      </c>
      <c r="I2592" s="1699">
        <f t="shared" si="391"/>
        <v>3.9302525508765991E-3</v>
      </c>
      <c r="J2592" s="1700">
        <v>122</v>
      </c>
      <c r="K2592" s="1755">
        <v>34</v>
      </c>
      <c r="L2592" s="1578">
        <v>213</v>
      </c>
      <c r="M2592" s="1700">
        <v>30</v>
      </c>
      <c r="N2592" s="1701">
        <f t="shared" si="392"/>
        <v>1.0795406528998841</v>
      </c>
      <c r="O2592" s="1702" t="s">
        <v>340</v>
      </c>
      <c r="P2592" s="1635" t="str">
        <f>IFERROR(VLOOKUP(F2592,#REF!,12,FALSE),"")</f>
        <v/>
      </c>
      <c r="Q2592" s="1636" t="s">
        <v>8</v>
      </c>
      <c r="R2592" s="1703" t="str">
        <f>IFERROR(VLOOKUP(F2592,#REF!,14,FALSE),"")</f>
        <v/>
      </c>
      <c r="S2592" s="1704">
        <f t="shared" si="393"/>
        <v>1.7459016393442623</v>
      </c>
      <c r="T2592" s="1379">
        <f t="shared" si="394"/>
        <v>21.876889246630515</v>
      </c>
      <c r="U2592" s="1379">
        <f t="shared" si="395"/>
        <v>21.671292997099254</v>
      </c>
      <c r="V2592" s="1695">
        <f t="shared" si="396"/>
        <v>1.5142220385611971</v>
      </c>
      <c r="W2592" s="1767">
        <f t="shared" si="397"/>
        <v>1.0094870319716862</v>
      </c>
      <c r="X2592" s="1695">
        <v>260</v>
      </c>
    </row>
    <row r="2593" spans="1:24" x14ac:dyDescent="0.2">
      <c r="A2593" s="1649" t="s">
        <v>336</v>
      </c>
      <c r="B2593" s="1713">
        <f t="shared" ref="B2593" si="406">IFERROR(AVERAGE(N2589:N2595),"")</f>
        <v>1.0639382335410943</v>
      </c>
      <c r="C2593" s="1651">
        <v>45681</v>
      </c>
      <c r="D2593" s="1695">
        <v>14</v>
      </c>
      <c r="E2593" s="1696" t="s">
        <v>292</v>
      </c>
      <c r="F2593" s="1547" t="s">
        <v>355</v>
      </c>
      <c r="G2593" s="1697">
        <v>2.5937500000000002E-2</v>
      </c>
      <c r="H2593" s="1698">
        <v>6.56</v>
      </c>
      <c r="I2593" s="1699">
        <f t="shared" si="391"/>
        <v>3.9538871951219521E-3</v>
      </c>
      <c r="J2593" s="1700">
        <v>133</v>
      </c>
      <c r="K2593" s="1755">
        <v>31</v>
      </c>
      <c r="L2593" s="1578">
        <v>207</v>
      </c>
      <c r="M2593" s="1700">
        <v>23</v>
      </c>
      <c r="N2593" s="1701">
        <f t="shared" si="392"/>
        <v>1.0554400254823446</v>
      </c>
      <c r="O2593" s="1702" t="s">
        <v>333</v>
      </c>
      <c r="P2593" s="1635" t="str">
        <f>IFERROR(VLOOKUP(F2593,#REF!,12,FALSE),"")</f>
        <v/>
      </c>
      <c r="Q2593" s="1636" t="s">
        <v>8</v>
      </c>
      <c r="R2593" s="1703" t="str">
        <f>IFERROR(VLOOKUP(F2593,#REF!,14,FALSE),"")</f>
        <v/>
      </c>
      <c r="S2593" s="1704">
        <f t="shared" si="393"/>
        <v>1.5563909774436091</v>
      </c>
      <c r="T2593" s="1379">
        <f t="shared" si="394"/>
        <v>23.180190782826156</v>
      </c>
      <c r="U2593" s="1379">
        <f t="shared" si="395"/>
        <v>21.893405068596891</v>
      </c>
      <c r="V2593" s="1695">
        <f t="shared" si="396"/>
        <v>-0.20559624953126132</v>
      </c>
      <c r="W2593" s="1767">
        <f t="shared" si="397"/>
        <v>1.0587750379713654</v>
      </c>
      <c r="X2593" s="1695">
        <v>260</v>
      </c>
    </row>
    <row r="2594" spans="1:24" x14ac:dyDescent="0.2">
      <c r="A2594" s="1649" t="s">
        <v>337</v>
      </c>
      <c r="B2594" s="1681">
        <f t="shared" ref="B2594" si="407">IFERROR(AVERAGE(S2589:S2595),"")</f>
        <v>1.6229087277404792</v>
      </c>
      <c r="C2594" s="1651">
        <v>45682</v>
      </c>
      <c r="D2594" s="1695"/>
      <c r="E2594" s="1696"/>
      <c r="F2594" s="1547"/>
      <c r="G2594" s="1697"/>
      <c r="H2594" s="1698" t="str">
        <f>IFERROR(VLOOKUP(F2594,#REF!,10,FALSE),"")</f>
        <v/>
      </c>
      <c r="I2594" s="1699" t="str">
        <f t="shared" si="391"/>
        <v/>
      </c>
      <c r="J2594" s="1700"/>
      <c r="K2594" s="1755"/>
      <c r="L2594" s="1578"/>
      <c r="M2594" s="1700"/>
      <c r="N2594" s="1701" t="str">
        <f t="shared" si="392"/>
        <v/>
      </c>
      <c r="O2594" s="1702"/>
      <c r="P2594" s="1635" t="str">
        <f>IFERROR(VLOOKUP(F2594,#REF!,12,FALSE),"")</f>
        <v/>
      </c>
      <c r="Q2594" s="1636" t="s">
        <v>8</v>
      </c>
      <c r="R2594" s="1703" t="str">
        <f>IFERROR(VLOOKUP(F2594,#REF!,14,FALSE),"")</f>
        <v/>
      </c>
      <c r="S2594" s="1704" t="str">
        <f t="shared" si="393"/>
        <v/>
      </c>
      <c r="T2594" s="1379">
        <f t="shared" si="394"/>
        <v>19.868734956708135</v>
      </c>
      <c r="U2594" s="1379">
        <f t="shared" si="395"/>
        <v>21.372133519344583</v>
      </c>
      <c r="V2594" s="1695">
        <f t="shared" si="396"/>
        <v>-1.2867857142292642</v>
      </c>
      <c r="W2594" s="1767">
        <f t="shared" si="397"/>
        <v>0.92965613090168675</v>
      </c>
      <c r="X2594" s="1695">
        <v>260</v>
      </c>
    </row>
    <row r="2595" spans="1:24" ht="16" thickBot="1" x14ac:dyDescent="0.25">
      <c r="A2595" s="1650" t="s">
        <v>5</v>
      </c>
      <c r="B2595" s="1678">
        <f t="shared" ref="B2595" si="408">IFERROR(SUM(M2589:M2595),"")</f>
        <v>71</v>
      </c>
      <c r="C2595" s="1360">
        <v>45683</v>
      </c>
      <c r="D2595" s="683"/>
      <c r="E2595" s="684"/>
      <c r="F2595" s="1429"/>
      <c r="G2595" s="1361"/>
      <c r="H2595" s="1362" t="str">
        <f>IFERROR(VLOOKUP(F2595,#REF!,10,FALSE),"")</f>
        <v/>
      </c>
      <c r="I2595" s="1363" t="str">
        <f t="shared" si="391"/>
        <v/>
      </c>
      <c r="J2595" s="1364"/>
      <c r="K2595" s="1747"/>
      <c r="L2595" s="1705"/>
      <c r="M2595" s="1364"/>
      <c r="N2595" s="1365" t="str">
        <f t="shared" si="392"/>
        <v/>
      </c>
      <c r="O2595" s="1366"/>
      <c r="P2595" s="1706" t="str">
        <f>IFERROR(VLOOKUP(F2595,#REF!,12,FALSE),"")</f>
        <v/>
      </c>
      <c r="Q2595" s="1707" t="s">
        <v>8</v>
      </c>
      <c r="R2595" s="1708" t="str">
        <f>IFERROR(VLOOKUP(F2595,#REF!,14,FALSE),"")</f>
        <v/>
      </c>
      <c r="S2595" s="1191" t="str">
        <f t="shared" si="393"/>
        <v/>
      </c>
      <c r="T2595" s="1897">
        <f t="shared" si="394"/>
        <v>17.030344248606973</v>
      </c>
      <c r="U2595" s="1897">
        <f t="shared" si="395"/>
        <v>20.863273197455428</v>
      </c>
      <c r="V2595" s="683">
        <f t="shared" si="396"/>
        <v>1.5033985626364483</v>
      </c>
      <c r="W2595" s="1768">
        <f t="shared" si="397"/>
        <v>0.8162834320112371</v>
      </c>
      <c r="X2595" s="683">
        <v>260</v>
      </c>
    </row>
    <row r="2596" spans="1:24" ht="16" thickBot="1" x14ac:dyDescent="0.25">
      <c r="A2596" s="1962">
        <f t="shared" ref="A2596" si="409">WEEKNUM(C2596,1)</f>
        <v>5</v>
      </c>
      <c r="B2596" s="1963"/>
      <c r="C2596" s="1368">
        <v>45684</v>
      </c>
      <c r="D2596" s="1369"/>
      <c r="E2596" s="1370"/>
      <c r="F2596" s="1547"/>
      <c r="G2596" s="1371"/>
      <c r="H2596" s="1372" t="str">
        <f>IFERROR(VLOOKUP(F2596,#REF!,10,FALSE),"")</f>
        <v/>
      </c>
      <c r="I2596" s="1373" t="str">
        <f t="shared" si="391"/>
        <v/>
      </c>
      <c r="J2596" s="1374"/>
      <c r="K2596" s="1745"/>
      <c r="L2596" s="1577"/>
      <c r="M2596" s="1374"/>
      <c r="N2596" s="1375" t="str">
        <f t="shared" si="392"/>
        <v/>
      </c>
      <c r="O2596" s="1376"/>
      <c r="P2596" s="795" t="str">
        <f>IFERROR(VLOOKUP(F2596,#REF!,12,FALSE),"")</f>
        <v/>
      </c>
      <c r="Q2596" s="1254" t="s">
        <v>8</v>
      </c>
      <c r="R2596" s="1694" t="str">
        <f>IFERROR(VLOOKUP(F2596,#REF!,14,FALSE),"")</f>
        <v/>
      </c>
      <c r="S2596" s="1377" t="str">
        <f t="shared" si="393"/>
        <v/>
      </c>
      <c r="T2596" s="1369">
        <f t="shared" si="394"/>
        <v>14.597437927377406</v>
      </c>
      <c r="U2596" s="1369">
        <f t="shared" si="395"/>
        <v>20.366528597516012</v>
      </c>
      <c r="V2596" s="1369">
        <f t="shared" si="396"/>
        <v>3.8329289488484548</v>
      </c>
      <c r="W2596" s="1766">
        <f t="shared" si="397"/>
        <v>0.71673667200986679</v>
      </c>
      <c r="X2596" s="1369">
        <v>260</v>
      </c>
    </row>
    <row r="2597" spans="1:24" x14ac:dyDescent="0.2">
      <c r="A2597" s="1648" t="s">
        <v>142</v>
      </c>
      <c r="B2597" s="1679">
        <f t="shared" ref="B2597" si="410">SUM(H2596:H2602)</f>
        <v>0</v>
      </c>
      <c r="C2597" s="1651">
        <v>45685</v>
      </c>
      <c r="D2597" s="1695"/>
      <c r="E2597" s="1696"/>
      <c r="F2597" s="1547"/>
      <c r="G2597" s="1697"/>
      <c r="H2597" s="1698" t="str">
        <f>IFERROR(VLOOKUP(F2597,#REF!,10,FALSE),"")</f>
        <v/>
      </c>
      <c r="I2597" s="1699" t="str">
        <f t="shared" si="391"/>
        <v/>
      </c>
      <c r="J2597" s="1700"/>
      <c r="K2597" s="1755"/>
      <c r="L2597" s="1578"/>
      <c r="M2597" s="1700"/>
      <c r="N2597" s="1701" t="str">
        <f t="shared" si="392"/>
        <v/>
      </c>
      <c r="O2597" s="1702"/>
      <c r="P2597" s="1635" t="str">
        <f>IFERROR(VLOOKUP(F2597,#REF!,12,FALSE),"")</f>
        <v/>
      </c>
      <c r="Q2597" s="1636" t="s">
        <v>8</v>
      </c>
      <c r="R2597" s="1703" t="str">
        <f>IFERROR(VLOOKUP(F2597,#REF!,14,FALSE),"")</f>
        <v/>
      </c>
      <c r="S2597" s="1704" t="str">
        <f t="shared" si="393"/>
        <v/>
      </c>
      <c r="T2597" s="1828">
        <f t="shared" si="394"/>
        <v>12.512089652037776</v>
      </c>
      <c r="U2597" s="1828">
        <f t="shared" si="395"/>
        <v>19.881611249956109</v>
      </c>
      <c r="V2597" s="1695">
        <f t="shared" si="396"/>
        <v>5.7690906701386062</v>
      </c>
      <c r="W2597" s="1767">
        <f t="shared" si="397"/>
        <v>0.62932976078915126</v>
      </c>
      <c r="X2597" s="1695">
        <v>260</v>
      </c>
    </row>
    <row r="2598" spans="1:24" x14ac:dyDescent="0.2">
      <c r="A2598" s="1649" t="s">
        <v>347</v>
      </c>
      <c r="B2598" s="1680">
        <f t="shared" ref="B2598" si="411">SUM(K2596:K2602)</f>
        <v>0</v>
      </c>
      <c r="C2598" s="1651">
        <v>45686</v>
      </c>
      <c r="D2598" s="1695"/>
      <c r="E2598" s="1696"/>
      <c r="F2598" s="1547"/>
      <c r="G2598" s="1697"/>
      <c r="H2598" s="1698" t="str">
        <f>IFERROR(VLOOKUP(F2598,#REF!,10,FALSE),"")</f>
        <v/>
      </c>
      <c r="I2598" s="1699" t="str">
        <f t="shared" si="391"/>
        <v/>
      </c>
      <c r="J2598" s="1700"/>
      <c r="K2598" s="1755"/>
      <c r="L2598" s="1578"/>
      <c r="M2598" s="1700"/>
      <c r="N2598" s="1701" t="str">
        <f t="shared" si="392"/>
        <v/>
      </c>
      <c r="O2598" s="1702"/>
      <c r="P2598" s="1635" t="str">
        <f>IFERROR(VLOOKUP(F2598,#REF!,12,FALSE),"")</f>
        <v/>
      </c>
      <c r="Q2598" s="1636" t="s">
        <v>8</v>
      </c>
      <c r="R2598" s="1703" t="str">
        <f>IFERROR(VLOOKUP(F2598,#REF!,14,FALSE),"")</f>
        <v/>
      </c>
      <c r="S2598" s="1704" t="str">
        <f t="shared" si="393"/>
        <v/>
      </c>
      <c r="T2598" s="1828">
        <f t="shared" si="394"/>
        <v>10.724648273175237</v>
      </c>
      <c r="U2598" s="1828">
        <f t="shared" si="395"/>
        <v>19.408239553528581</v>
      </c>
      <c r="V2598" s="1695">
        <f t="shared" si="396"/>
        <v>7.3695215979183324</v>
      </c>
      <c r="W2598" s="1767">
        <f t="shared" si="397"/>
        <v>0.55258222898559628</v>
      </c>
      <c r="X2598" s="1695">
        <v>260</v>
      </c>
    </row>
    <row r="2599" spans="1:24" x14ac:dyDescent="0.2">
      <c r="A2599" s="1649" t="s">
        <v>256</v>
      </c>
      <c r="B2599" s="1677">
        <f t="shared" ref="B2599" si="412">AVERAGE(W2596:W2602)</f>
        <v>0.50176980010624528</v>
      </c>
      <c r="C2599" s="1651">
        <v>45687</v>
      </c>
      <c r="D2599" s="1695"/>
      <c r="E2599" s="1696"/>
      <c r="F2599" s="1547"/>
      <c r="G2599" s="1697"/>
      <c r="H2599" s="1698" t="str">
        <f>IFERROR(VLOOKUP(F2599,#REF!,10,FALSE),"")</f>
        <v/>
      </c>
      <c r="I2599" s="1699" t="str">
        <f t="shared" si="391"/>
        <v/>
      </c>
      <c r="J2599" s="1700"/>
      <c r="K2599" s="1755"/>
      <c r="L2599" s="1578"/>
      <c r="M2599" s="1700"/>
      <c r="N2599" s="1701" t="str">
        <f t="shared" si="392"/>
        <v/>
      </c>
      <c r="O2599" s="1702"/>
      <c r="P2599" s="1635" t="str">
        <f>IFERROR(VLOOKUP(F2599,#REF!,12,FALSE),"")</f>
        <v/>
      </c>
      <c r="Q2599" s="1636" t="s">
        <v>8</v>
      </c>
      <c r="R2599" s="1703" t="str">
        <f>IFERROR(VLOOKUP(F2599,#REF!,14,FALSE),"")</f>
        <v/>
      </c>
      <c r="S2599" s="1704" t="str">
        <f t="shared" si="393"/>
        <v/>
      </c>
      <c r="T2599" s="1828">
        <f t="shared" si="394"/>
        <v>9.1925556627216327</v>
      </c>
      <c r="U2599" s="1828">
        <f t="shared" si="395"/>
        <v>18.946138611777901</v>
      </c>
      <c r="V2599" s="1695">
        <f t="shared" si="396"/>
        <v>8.6835912803533439</v>
      </c>
      <c r="W2599" s="1767">
        <f t="shared" si="397"/>
        <v>0.48519415228003582</v>
      </c>
      <c r="X2599" s="1695">
        <v>260</v>
      </c>
    </row>
    <row r="2600" spans="1:24" x14ac:dyDescent="0.2">
      <c r="A2600" s="1649" t="s">
        <v>336</v>
      </c>
      <c r="B2600" s="1713" t="str">
        <f t="shared" ref="B2600" si="413">IFERROR(AVERAGE(N2596:N2602),"")</f>
        <v/>
      </c>
      <c r="C2600" s="1651">
        <v>45688</v>
      </c>
      <c r="D2600" s="1695"/>
      <c r="E2600" s="1696"/>
      <c r="F2600" s="1547"/>
      <c r="G2600" s="1697"/>
      <c r="H2600" s="1698" t="str">
        <f>IFERROR(VLOOKUP(F2600,#REF!,10,FALSE),"")</f>
        <v/>
      </c>
      <c r="I2600" s="1699" t="str">
        <f t="shared" si="391"/>
        <v/>
      </c>
      <c r="J2600" s="1700"/>
      <c r="K2600" s="1755"/>
      <c r="L2600" s="1578"/>
      <c r="M2600" s="1700"/>
      <c r="N2600" s="1701" t="str">
        <f t="shared" si="392"/>
        <v/>
      </c>
      <c r="O2600" s="1702"/>
      <c r="P2600" s="1635" t="str">
        <f>IFERROR(VLOOKUP(F2600,#REF!,12,FALSE),"")</f>
        <v/>
      </c>
      <c r="Q2600" s="1636" t="s">
        <v>8</v>
      </c>
      <c r="R2600" s="1703" t="str">
        <f>IFERROR(VLOOKUP(F2600,#REF!,14,FALSE),"")</f>
        <v/>
      </c>
      <c r="S2600" s="1704" t="str">
        <f t="shared" si="393"/>
        <v/>
      </c>
      <c r="T2600" s="1828">
        <f t="shared" si="394"/>
        <v>7.8793334251899712</v>
      </c>
      <c r="U2600" s="1828">
        <f t="shared" si="395"/>
        <v>18.495040073402237</v>
      </c>
      <c r="V2600" s="1695">
        <f t="shared" si="396"/>
        <v>9.753582949056268</v>
      </c>
      <c r="W2600" s="1767">
        <f t="shared" si="397"/>
        <v>0.42602413370929976</v>
      </c>
      <c r="X2600" s="1695">
        <v>260</v>
      </c>
    </row>
    <row r="2601" spans="1:24" x14ac:dyDescent="0.2">
      <c r="A2601" s="1649" t="s">
        <v>337</v>
      </c>
      <c r="B2601" s="1681" t="str">
        <f t="shared" ref="B2601" si="414">IFERROR(AVERAGE(S2596:S2602),"")</f>
        <v/>
      </c>
      <c r="C2601" s="1651">
        <v>45689</v>
      </c>
      <c r="D2601" s="1695"/>
      <c r="E2601" s="1696"/>
      <c r="F2601" s="1547"/>
      <c r="G2601" s="1697"/>
      <c r="H2601" s="1698" t="str">
        <f>IFERROR(VLOOKUP(F2601,#REF!,10,FALSE),"")</f>
        <v/>
      </c>
      <c r="I2601" s="1699" t="str">
        <f t="shared" si="391"/>
        <v/>
      </c>
      <c r="J2601" s="1700"/>
      <c r="K2601" s="1755"/>
      <c r="L2601" s="1578"/>
      <c r="M2601" s="1700"/>
      <c r="N2601" s="1701" t="str">
        <f t="shared" si="392"/>
        <v/>
      </c>
      <c r="O2601" s="1702"/>
      <c r="P2601" s="1635" t="str">
        <f>IFERROR(VLOOKUP(F2601,#REF!,12,FALSE),"")</f>
        <v/>
      </c>
      <c r="Q2601" s="1636" t="s">
        <v>8</v>
      </c>
      <c r="R2601" s="1703" t="str">
        <f>IFERROR(VLOOKUP(F2601,#REF!,14,FALSE),"")</f>
        <v/>
      </c>
      <c r="S2601" s="1704" t="str">
        <f t="shared" si="393"/>
        <v/>
      </c>
      <c r="T2601" s="1828">
        <f t="shared" si="394"/>
        <v>6.7537143644485464</v>
      </c>
      <c r="U2601" s="1828">
        <f t="shared" si="395"/>
        <v>18.054681976416468</v>
      </c>
      <c r="V2601" s="1695">
        <f t="shared" si="396"/>
        <v>10.615706648212266</v>
      </c>
      <c r="W2601" s="1767">
        <f t="shared" si="397"/>
        <v>0.37406997106182416</v>
      </c>
      <c r="X2601" s="1695">
        <v>260</v>
      </c>
    </row>
    <row r="2602" spans="1:24" ht="16" thickBot="1" x14ac:dyDescent="0.25">
      <c r="A2602" s="1650" t="s">
        <v>5</v>
      </c>
      <c r="B2602" s="1678">
        <f t="shared" ref="B2602" si="415">IFERROR(SUM(M2596:M2602),"")</f>
        <v>0</v>
      </c>
      <c r="C2602" s="1360">
        <v>45690</v>
      </c>
      <c r="D2602" s="683"/>
      <c r="E2602" s="684"/>
      <c r="F2602" s="1429"/>
      <c r="G2602" s="1361"/>
      <c r="H2602" s="1362" t="str">
        <f>IFERROR(VLOOKUP(F2602,#REF!,10,FALSE),"")</f>
        <v/>
      </c>
      <c r="I2602" s="1363" t="str">
        <f t="shared" si="391"/>
        <v/>
      </c>
      <c r="J2602" s="1364"/>
      <c r="K2602" s="1747"/>
      <c r="L2602" s="1705"/>
      <c r="M2602" s="1364"/>
      <c r="N2602" s="1365" t="str">
        <f t="shared" si="392"/>
        <v/>
      </c>
      <c r="O2602" s="1366"/>
      <c r="P2602" s="1706" t="str">
        <f>IFERROR(VLOOKUP(F2602,#REF!,12,FALSE),"")</f>
        <v/>
      </c>
      <c r="Q2602" s="1707" t="s">
        <v>8</v>
      </c>
      <c r="R2602" s="1708" t="str">
        <f>IFERROR(VLOOKUP(F2602,#REF!,14,FALSE),"")</f>
        <v/>
      </c>
      <c r="S2602" s="1191" t="str">
        <f t="shared" si="393"/>
        <v/>
      </c>
      <c r="T2602" s="1829">
        <f t="shared" si="394"/>
        <v>5.7888980266701831</v>
      </c>
      <c r="U2602" s="1829">
        <f t="shared" si="395"/>
        <v>17.624808596025598</v>
      </c>
      <c r="V2602" s="683">
        <f t="shared" si="396"/>
        <v>11.300967611967922</v>
      </c>
      <c r="W2602" s="1768">
        <f t="shared" si="397"/>
        <v>0.32845168190794322</v>
      </c>
      <c r="X2602" s="683">
        <v>260</v>
      </c>
    </row>
    <row r="2603" spans="1:24" ht="16" thickBot="1" x14ac:dyDescent="0.25">
      <c r="A2603" s="1962">
        <f t="shared" ref="A2603" si="416">WEEKNUM(C2603,1)</f>
        <v>6</v>
      </c>
      <c r="B2603" s="1963"/>
      <c r="C2603" s="1368">
        <v>45691</v>
      </c>
      <c r="D2603" s="1369"/>
      <c r="E2603" s="1370"/>
      <c r="F2603" s="1547"/>
      <c r="G2603" s="1371"/>
      <c r="H2603" s="1372" t="str">
        <f>IFERROR(VLOOKUP(F2603,#REF!,10,FALSE),"")</f>
        <v/>
      </c>
      <c r="I2603" s="1373" t="str">
        <f t="shared" si="391"/>
        <v/>
      </c>
      <c r="J2603" s="1374"/>
      <c r="K2603" s="1745"/>
      <c r="L2603" s="1577"/>
      <c r="M2603" s="1374"/>
      <c r="N2603" s="1375" t="str">
        <f t="shared" si="392"/>
        <v/>
      </c>
      <c r="O2603" s="1376"/>
      <c r="P2603" s="795" t="str">
        <f>IFERROR(VLOOKUP(F2603,#REF!,12,FALSE),"")</f>
        <v/>
      </c>
      <c r="Q2603" s="1254" t="s">
        <v>8</v>
      </c>
      <c r="R2603" s="1694" t="str">
        <f>IFERROR(VLOOKUP(F2603,#REF!,14,FALSE),"")</f>
        <v/>
      </c>
      <c r="S2603" s="1377" t="str">
        <f t="shared" si="393"/>
        <v/>
      </c>
      <c r="T2603" s="70">
        <f t="shared" si="394"/>
        <v>4.9619125942887283</v>
      </c>
      <c r="U2603" s="70">
        <f t="shared" si="395"/>
        <v>17.205170296120226</v>
      </c>
      <c r="V2603" s="1369">
        <f t="shared" si="396"/>
        <v>11.835910569355416</v>
      </c>
      <c r="W2603" s="1766">
        <f t="shared" si="397"/>
        <v>0.28839659874843798</v>
      </c>
      <c r="X2603" s="1369">
        <v>260</v>
      </c>
    </row>
    <row r="2604" spans="1:24" x14ac:dyDescent="0.2">
      <c r="A2604" s="1648" t="s">
        <v>142</v>
      </c>
      <c r="B2604" s="1679">
        <f t="shared" ref="B2604" si="417">SUM(H2603:H2609)</f>
        <v>5.74</v>
      </c>
      <c r="C2604" s="1651">
        <v>45692</v>
      </c>
      <c r="D2604" s="1695"/>
      <c r="E2604" s="1696"/>
      <c r="F2604" s="1547"/>
      <c r="G2604" s="1697"/>
      <c r="H2604" s="1698" t="str">
        <f>IFERROR(VLOOKUP(F2604,#REF!,10,FALSE),"")</f>
        <v/>
      </c>
      <c r="I2604" s="1699" t="str">
        <f t="shared" si="391"/>
        <v/>
      </c>
      <c r="J2604" s="1700"/>
      <c r="K2604" s="1755"/>
      <c r="L2604" s="1578"/>
      <c r="M2604" s="1700"/>
      <c r="N2604" s="1701" t="str">
        <f t="shared" si="392"/>
        <v/>
      </c>
      <c r="O2604" s="1702"/>
      <c r="P2604" s="1635" t="str">
        <f>IFERROR(VLOOKUP(F2604,#REF!,12,FALSE),"")</f>
        <v/>
      </c>
      <c r="Q2604" s="1636" t="s">
        <v>8</v>
      </c>
      <c r="R2604" s="1703" t="str">
        <f>IFERROR(VLOOKUP(F2604,#REF!,14,FALSE),"")</f>
        <v/>
      </c>
      <c r="S2604" s="1704" t="str">
        <f t="shared" si="393"/>
        <v/>
      </c>
      <c r="T2604" s="1379">
        <f t="shared" si="394"/>
        <v>4.2530679379617675</v>
      </c>
      <c r="U2604" s="1379">
        <f t="shared" si="395"/>
        <v>16.795523384307838</v>
      </c>
      <c r="V2604" s="1695">
        <f t="shared" si="396"/>
        <v>12.243257701831498</v>
      </c>
      <c r="W2604" s="1767">
        <f t="shared" si="397"/>
        <v>0.2532262818278968</v>
      </c>
      <c r="X2604" s="1695">
        <v>260</v>
      </c>
    </row>
    <row r="2605" spans="1:24" x14ac:dyDescent="0.2">
      <c r="A2605" s="1649" t="s">
        <v>347</v>
      </c>
      <c r="B2605" s="1680">
        <f t="shared" ref="B2605" si="418">SUM(K2603:K2609)</f>
        <v>26</v>
      </c>
      <c r="C2605" s="1651">
        <v>45693</v>
      </c>
      <c r="D2605" s="1695"/>
      <c r="E2605" s="1696"/>
      <c r="F2605" s="1547"/>
      <c r="G2605" s="1697"/>
      <c r="H2605" s="1698" t="str">
        <f>IFERROR(VLOOKUP(F2605,#REF!,10,FALSE),"")</f>
        <v/>
      </c>
      <c r="I2605" s="1699" t="str">
        <f t="shared" si="391"/>
        <v/>
      </c>
      <c r="J2605" s="1700"/>
      <c r="K2605" s="1755"/>
      <c r="L2605" s="1578"/>
      <c r="M2605" s="1700"/>
      <c r="N2605" s="1701" t="str">
        <f t="shared" si="392"/>
        <v/>
      </c>
      <c r="O2605" s="1702"/>
      <c r="P2605" s="1635" t="str">
        <f>IFERROR(VLOOKUP(F2605,#REF!,12,FALSE),"")</f>
        <v/>
      </c>
      <c r="Q2605" s="1636" t="s">
        <v>8</v>
      </c>
      <c r="R2605" s="1703" t="str">
        <f>IFERROR(VLOOKUP(F2605,#REF!,14,FALSE),"")</f>
        <v/>
      </c>
      <c r="S2605" s="1704" t="str">
        <f t="shared" si="393"/>
        <v/>
      </c>
      <c r="T2605" s="1379">
        <f t="shared" si="394"/>
        <v>3.6454868039672292</v>
      </c>
      <c r="U2605" s="1379">
        <f t="shared" si="395"/>
        <v>16.395629970395746</v>
      </c>
      <c r="V2605" s="1695">
        <f t="shared" si="396"/>
        <v>12.542455446346072</v>
      </c>
      <c r="W2605" s="1767">
        <f t="shared" si="397"/>
        <v>0.22234502794644598</v>
      </c>
      <c r="X2605" s="1695">
        <v>260</v>
      </c>
    </row>
    <row r="2606" spans="1:24" x14ac:dyDescent="0.2">
      <c r="A2606" s="1649" t="s">
        <v>256</v>
      </c>
      <c r="B2606" s="1677">
        <f t="shared" ref="B2606" si="419">AVERAGE(W2603:W2609)</f>
        <v>0.26311188528119939</v>
      </c>
      <c r="C2606" s="1651">
        <v>45694</v>
      </c>
      <c r="D2606" s="1695"/>
      <c r="E2606" s="1696"/>
      <c r="F2606" s="1547"/>
      <c r="G2606" s="1697"/>
      <c r="H2606" s="1698" t="str">
        <f>IFERROR(VLOOKUP(F2606,#REF!,10,FALSE),"")</f>
        <v/>
      </c>
      <c r="I2606" s="1699" t="str">
        <f t="shared" si="391"/>
        <v/>
      </c>
      <c r="J2606" s="1700"/>
      <c r="K2606" s="1755"/>
      <c r="L2606" s="1578"/>
      <c r="M2606" s="1700"/>
      <c r="N2606" s="1701" t="str">
        <f t="shared" si="392"/>
        <v/>
      </c>
      <c r="O2606" s="1702"/>
      <c r="P2606" s="1635" t="str">
        <f>IFERROR(VLOOKUP(F2606,#REF!,12,FALSE),"")</f>
        <v/>
      </c>
      <c r="Q2606" s="1636" t="s">
        <v>8</v>
      </c>
      <c r="R2606" s="1703" t="str">
        <f>IFERROR(VLOOKUP(F2606,#REF!,14,FALSE),"")</f>
        <v/>
      </c>
      <c r="S2606" s="1704" t="str">
        <f t="shared" si="393"/>
        <v/>
      </c>
      <c r="T2606" s="1379">
        <f t="shared" si="394"/>
        <v>3.1247029748290536</v>
      </c>
      <c r="U2606" s="1379">
        <f t="shared" si="395"/>
        <v>16.005257828243465</v>
      </c>
      <c r="V2606" s="1695">
        <f t="shared" si="396"/>
        <v>12.750143166428517</v>
      </c>
      <c r="W2606" s="1767">
        <f t="shared" si="397"/>
        <v>0.19522978063590379</v>
      </c>
      <c r="X2606" s="1695">
        <v>260</v>
      </c>
    </row>
    <row r="2607" spans="1:24" x14ac:dyDescent="0.2">
      <c r="A2607" s="1649" t="s">
        <v>336</v>
      </c>
      <c r="B2607" s="1713">
        <f t="shared" ref="B2607" si="420">IFERROR(AVERAGE(N2603:N2609),"")</f>
        <v>1.0651983982526392</v>
      </c>
      <c r="C2607" s="1651">
        <v>45695</v>
      </c>
      <c r="D2607" s="1695"/>
      <c r="E2607" s="1696"/>
      <c r="F2607" s="1547"/>
      <c r="G2607" s="1697"/>
      <c r="H2607" s="1698" t="str">
        <f>IFERROR(VLOOKUP(F2607,#REF!,10,FALSE),"")</f>
        <v/>
      </c>
      <c r="I2607" s="1699" t="str">
        <f t="shared" si="391"/>
        <v/>
      </c>
      <c r="J2607" s="1700"/>
      <c r="K2607" s="1755"/>
      <c r="L2607" s="1578"/>
      <c r="M2607" s="1700"/>
      <c r="N2607" s="1701" t="str">
        <f t="shared" si="392"/>
        <v/>
      </c>
      <c r="O2607" s="1702"/>
      <c r="P2607" s="1635" t="str">
        <f>IFERROR(VLOOKUP(F2607,#REF!,12,FALSE),"")</f>
        <v/>
      </c>
      <c r="Q2607" s="1636" t="s">
        <v>8</v>
      </c>
      <c r="R2607" s="1703" t="str">
        <f>IFERROR(VLOOKUP(F2607,#REF!,14,FALSE),"")</f>
        <v/>
      </c>
      <c r="S2607" s="1704" t="str">
        <f t="shared" si="393"/>
        <v/>
      </c>
      <c r="T2607" s="1379">
        <f t="shared" si="394"/>
        <v>2.67831683556776</v>
      </c>
      <c r="U2607" s="1379">
        <f t="shared" si="395"/>
        <v>15.624180260904335</v>
      </c>
      <c r="V2607" s="1695">
        <f t="shared" si="396"/>
        <v>12.880554853414411</v>
      </c>
      <c r="W2607" s="1767">
        <f t="shared" si="397"/>
        <v>0.17142127080225697</v>
      </c>
      <c r="X2607" s="1695">
        <v>260</v>
      </c>
    </row>
    <row r="2608" spans="1:24" x14ac:dyDescent="0.2">
      <c r="A2608" s="1649" t="s">
        <v>337</v>
      </c>
      <c r="B2608" s="1681">
        <f t="shared" ref="B2608" si="421">IFERROR(AVERAGE(S2603:S2609),"")</f>
        <v>1.5263157894736843</v>
      </c>
      <c r="C2608" s="1651">
        <v>45696</v>
      </c>
      <c r="D2608" s="1695">
        <v>15</v>
      </c>
      <c r="E2608" s="1696" t="s">
        <v>293</v>
      </c>
      <c r="F2608" s="1547" t="s">
        <v>355</v>
      </c>
      <c r="G2608" s="1697">
        <v>2.3356481481481482E-2</v>
      </c>
      <c r="H2608" s="1698">
        <v>5.74</v>
      </c>
      <c r="I2608" s="1699">
        <f t="shared" si="391"/>
        <v>4.069073428829526E-3</v>
      </c>
      <c r="J2608" s="1700">
        <v>133</v>
      </c>
      <c r="K2608" s="1755">
        <v>26</v>
      </c>
      <c r="L2608" s="1578">
        <v>203</v>
      </c>
      <c r="M2608" s="1700">
        <v>19</v>
      </c>
      <c r="N2608" s="1701">
        <f t="shared" si="392"/>
        <v>1.0651983982526392</v>
      </c>
      <c r="O2608" s="1702" t="s">
        <v>333</v>
      </c>
      <c r="P2608" s="1635" t="str">
        <f>IFERROR(VLOOKUP(F2608,#REF!,12,FALSE),"")</f>
        <v/>
      </c>
      <c r="Q2608" s="1636" t="s">
        <v>8</v>
      </c>
      <c r="R2608" s="1703" t="str">
        <f>IFERROR(VLOOKUP(F2608,#REF!,14,FALSE),"")</f>
        <v/>
      </c>
      <c r="S2608" s="1704">
        <f t="shared" si="393"/>
        <v>1.5263157894736843</v>
      </c>
      <c r="T2608" s="1379">
        <f t="shared" si="394"/>
        <v>6.0099858590580801</v>
      </c>
      <c r="U2608" s="1379">
        <f t="shared" si="395"/>
        <v>15.871223588025661</v>
      </c>
      <c r="V2608" s="1695">
        <f t="shared" si="396"/>
        <v>12.945863425336576</v>
      </c>
      <c r="W2608" s="1767">
        <f t="shared" si="397"/>
        <v>0.37867186645851464</v>
      </c>
      <c r="X2608" s="1695">
        <v>260</v>
      </c>
    </row>
    <row r="2609" spans="1:24" ht="16" thickBot="1" x14ac:dyDescent="0.25">
      <c r="A2609" s="1650" t="s">
        <v>5</v>
      </c>
      <c r="B2609" s="1678">
        <f t="shared" ref="B2609" si="422">IFERROR(SUM(M2603:M2609),"")</f>
        <v>19</v>
      </c>
      <c r="C2609" s="1360">
        <v>45697</v>
      </c>
      <c r="D2609" s="683"/>
      <c r="E2609" s="684"/>
      <c r="F2609" s="1429"/>
      <c r="G2609" s="1361"/>
      <c r="H2609" s="1362" t="str">
        <f>IFERROR(VLOOKUP(F2609,#REF!,10,FALSE),"")</f>
        <v/>
      </c>
      <c r="I2609" s="1363" t="str">
        <f t="shared" si="391"/>
        <v/>
      </c>
      <c r="J2609" s="1364"/>
      <c r="K2609" s="1747"/>
      <c r="L2609" s="1705"/>
      <c r="M2609" s="1364"/>
      <c r="N2609" s="1365" t="str">
        <f t="shared" si="392"/>
        <v/>
      </c>
      <c r="O2609" s="1366"/>
      <c r="P2609" s="1706" t="str">
        <f>IFERROR(VLOOKUP(F2609,#REF!,12,FALSE),"")</f>
        <v/>
      </c>
      <c r="Q2609" s="1707" t="s">
        <v>8</v>
      </c>
      <c r="R2609" s="1708" t="str">
        <f>IFERROR(VLOOKUP(F2609,#REF!,14,FALSE),"")</f>
        <v/>
      </c>
      <c r="S2609" s="1191" t="str">
        <f t="shared" si="393"/>
        <v/>
      </c>
      <c r="T2609" s="1897">
        <f t="shared" si="394"/>
        <v>5.1514164506212117</v>
      </c>
      <c r="U2609" s="1897">
        <f t="shared" si="395"/>
        <v>15.493337312120287</v>
      </c>
      <c r="V2609" s="683">
        <f t="shared" si="396"/>
        <v>9.8612377289675806</v>
      </c>
      <c r="W2609" s="1768">
        <f t="shared" si="397"/>
        <v>0.33249237054893965</v>
      </c>
      <c r="X2609" s="683">
        <v>260</v>
      </c>
    </row>
    <row r="2610" spans="1:24" ht="16" thickBot="1" x14ac:dyDescent="0.25">
      <c r="A2610" s="1962">
        <f t="shared" ref="A2610" si="423">WEEKNUM(C2610,1)</f>
        <v>7</v>
      </c>
      <c r="B2610" s="1963"/>
      <c r="C2610" s="1368">
        <v>45698</v>
      </c>
      <c r="D2610" s="1369"/>
      <c r="E2610" s="1370"/>
      <c r="F2610" s="1547"/>
      <c r="G2610" s="1371"/>
      <c r="H2610" s="1372" t="str">
        <f>IFERROR(VLOOKUP(F2610,#REF!,10,FALSE),"")</f>
        <v/>
      </c>
      <c r="I2610" s="1373" t="str">
        <f t="shared" si="391"/>
        <v/>
      </c>
      <c r="J2610" s="1374"/>
      <c r="K2610" s="1745"/>
      <c r="L2610" s="1577"/>
      <c r="M2610" s="1374"/>
      <c r="N2610" s="1375" t="str">
        <f t="shared" si="392"/>
        <v/>
      </c>
      <c r="O2610" s="1376"/>
      <c r="P2610" s="795" t="str">
        <f>IFERROR(VLOOKUP(F2610,#REF!,12,FALSE),"")</f>
        <v/>
      </c>
      <c r="Q2610" s="1254" t="s">
        <v>8</v>
      </c>
      <c r="R2610" s="1694" t="str">
        <f>IFERROR(VLOOKUP(F2610,#REF!,14,FALSE),"")</f>
        <v/>
      </c>
      <c r="S2610" s="1377" t="str">
        <f t="shared" si="393"/>
        <v/>
      </c>
      <c r="T2610" s="1369">
        <f t="shared" si="394"/>
        <v>4.4154998148181814</v>
      </c>
      <c r="U2610" s="1369">
        <f t="shared" si="395"/>
        <v>15.124448328498376</v>
      </c>
      <c r="V2610" s="1369">
        <f t="shared" si="396"/>
        <v>10.341920861499077</v>
      </c>
      <c r="W2610" s="1766">
        <f t="shared" si="397"/>
        <v>0.29194452048199582</v>
      </c>
      <c r="X2610" s="1369">
        <v>260</v>
      </c>
    </row>
    <row r="2611" spans="1:24" x14ac:dyDescent="0.2">
      <c r="A2611" s="1648" t="s">
        <v>142</v>
      </c>
      <c r="B2611" s="1679">
        <f t="shared" ref="B2611" si="424">SUM(H2610:H2616)</f>
        <v>15.719999999999999</v>
      </c>
      <c r="C2611" s="1651">
        <v>45699</v>
      </c>
      <c r="D2611" s="1695">
        <v>16</v>
      </c>
      <c r="E2611" s="1696" t="s">
        <v>293</v>
      </c>
      <c r="F2611" s="1547" t="s">
        <v>355</v>
      </c>
      <c r="G2611" s="1697">
        <v>2.6168981481481481E-2</v>
      </c>
      <c r="H2611" s="1698">
        <v>6.53</v>
      </c>
      <c r="I2611" s="1699">
        <f t="shared" si="391"/>
        <v>4.0075009925699054E-3</v>
      </c>
      <c r="J2611" s="1700">
        <v>131</v>
      </c>
      <c r="K2611" s="1755">
        <v>31</v>
      </c>
      <c r="L2611" s="1578">
        <v>206</v>
      </c>
      <c r="M2611" s="1700">
        <v>20</v>
      </c>
      <c r="N2611" s="1701">
        <f t="shared" si="392"/>
        <v>1.0645836666590478</v>
      </c>
      <c r="O2611" s="1702" t="s">
        <v>333</v>
      </c>
      <c r="P2611" s="1635" t="str">
        <f>IFERROR(VLOOKUP(F2611,#REF!,12,FALSE),"")</f>
        <v/>
      </c>
      <c r="Q2611" s="1636" t="s">
        <v>8</v>
      </c>
      <c r="R2611" s="1703" t="str">
        <f>IFERROR(VLOOKUP(F2611,#REF!,14,FALSE),"")</f>
        <v/>
      </c>
      <c r="S2611" s="1704">
        <f t="shared" si="393"/>
        <v>1.5725190839694656</v>
      </c>
      <c r="T2611" s="1828">
        <f t="shared" si="394"/>
        <v>8.213285555558441</v>
      </c>
      <c r="U2611" s="1828">
        <f t="shared" si="395"/>
        <v>15.50243765401032</v>
      </c>
      <c r="V2611" s="1695">
        <f t="shared" si="396"/>
        <v>10.708948513680195</v>
      </c>
      <c r="W2611" s="1767">
        <f t="shared" si="397"/>
        <v>0.52980606913995554</v>
      </c>
      <c r="X2611" s="1695">
        <v>260</v>
      </c>
    </row>
    <row r="2612" spans="1:24" x14ac:dyDescent="0.2">
      <c r="A2612" s="1649" t="s">
        <v>347</v>
      </c>
      <c r="B2612" s="1680">
        <f t="shared" ref="B2612" si="425">SUM(K2610:K2616)</f>
        <v>72</v>
      </c>
      <c r="C2612" s="1651">
        <v>45700</v>
      </c>
      <c r="D2612" s="1695"/>
      <c r="E2612" s="1696"/>
      <c r="F2612" s="1547"/>
      <c r="G2612" s="1697"/>
      <c r="H2612" s="1698" t="str">
        <f>IFERROR(VLOOKUP(F2612,#REF!,10,FALSE),"")</f>
        <v/>
      </c>
      <c r="I2612" s="1699" t="str">
        <f t="shared" si="391"/>
        <v/>
      </c>
      <c r="J2612" s="1700"/>
      <c r="K2612" s="1755"/>
      <c r="L2612" s="1578"/>
      <c r="M2612" s="1700"/>
      <c r="N2612" s="1701" t="str">
        <f t="shared" si="392"/>
        <v/>
      </c>
      <c r="O2612" s="1702"/>
      <c r="P2612" s="1635" t="str">
        <f>IFERROR(VLOOKUP(F2612,#REF!,12,FALSE),"")</f>
        <v/>
      </c>
      <c r="Q2612" s="1636" t="s">
        <v>8</v>
      </c>
      <c r="R2612" s="1703" t="str">
        <f>IFERROR(VLOOKUP(F2612,#REF!,14,FALSE),"")</f>
        <v/>
      </c>
      <c r="S2612" s="1704" t="str">
        <f t="shared" si="393"/>
        <v/>
      </c>
      <c r="T2612" s="1828">
        <f t="shared" si="394"/>
        <v>7.0399590476215206</v>
      </c>
      <c r="U2612" s="1828">
        <f t="shared" si="395"/>
        <v>15.133331995581504</v>
      </c>
      <c r="V2612" s="1695">
        <f t="shared" si="396"/>
        <v>7.2891520984518792</v>
      </c>
      <c r="W2612" s="1767">
        <f t="shared" si="397"/>
        <v>0.46519557290337549</v>
      </c>
      <c r="X2612" s="1695">
        <v>260</v>
      </c>
    </row>
    <row r="2613" spans="1:24" x14ac:dyDescent="0.2">
      <c r="A2613" s="1649" t="s">
        <v>256</v>
      </c>
      <c r="B2613" s="1677">
        <f t="shared" ref="B2613" si="426">AVERAGE(W2610:W2616)</f>
        <v>0.4321542599265687</v>
      </c>
      <c r="C2613" s="1651">
        <v>45701</v>
      </c>
      <c r="D2613" s="1695"/>
      <c r="E2613" s="1696"/>
      <c r="F2613" s="1547"/>
      <c r="G2613" s="1697"/>
      <c r="H2613" s="1698" t="str">
        <f>IFERROR(VLOOKUP(F2613,#REF!,10,FALSE),"")</f>
        <v/>
      </c>
      <c r="I2613" s="1699" t="str">
        <f t="shared" si="391"/>
        <v/>
      </c>
      <c r="J2613" s="1700"/>
      <c r="K2613" s="1755"/>
      <c r="L2613" s="1578"/>
      <c r="M2613" s="1700"/>
      <c r="N2613" s="1701" t="str">
        <f t="shared" si="392"/>
        <v/>
      </c>
      <c r="O2613" s="1702"/>
      <c r="P2613" s="1635" t="str">
        <f>IFERROR(VLOOKUP(F2613,#REF!,12,FALSE),"")</f>
        <v/>
      </c>
      <c r="Q2613" s="1636" t="s">
        <v>8</v>
      </c>
      <c r="R2613" s="1703" t="str">
        <f>IFERROR(VLOOKUP(F2613,#REF!,14,FALSE),"")</f>
        <v/>
      </c>
      <c r="S2613" s="1704" t="str">
        <f t="shared" si="393"/>
        <v/>
      </c>
      <c r="T2613" s="1828">
        <f t="shared" si="394"/>
        <v>6.0342506122470176</v>
      </c>
      <c r="U2613" s="1828">
        <f t="shared" si="395"/>
        <v>14.773014567115277</v>
      </c>
      <c r="V2613" s="1695">
        <f t="shared" si="396"/>
        <v>8.093372947959983</v>
      </c>
      <c r="W2613" s="1767">
        <f t="shared" si="397"/>
        <v>0.40846440547613461</v>
      </c>
      <c r="X2613" s="1695">
        <v>260</v>
      </c>
    </row>
    <row r="2614" spans="1:24" x14ac:dyDescent="0.2">
      <c r="A2614" s="1649" t="s">
        <v>336</v>
      </c>
      <c r="B2614" s="1713">
        <f t="shared" ref="B2614" si="427">IFERROR(AVERAGE(N2610:N2616),"")</f>
        <v>1.0674289876016887</v>
      </c>
      <c r="C2614" s="1651">
        <v>45702</v>
      </c>
      <c r="D2614" s="1695"/>
      <c r="E2614" s="1696"/>
      <c r="F2614" s="1547"/>
      <c r="G2614" s="1697"/>
      <c r="H2614" s="1698" t="str">
        <f>IFERROR(VLOOKUP(F2614,#REF!,10,FALSE),"")</f>
        <v/>
      </c>
      <c r="I2614" s="1699" t="str">
        <f t="shared" si="391"/>
        <v/>
      </c>
      <c r="J2614" s="1700"/>
      <c r="K2614" s="1755"/>
      <c r="L2614" s="1578"/>
      <c r="M2614" s="1700"/>
      <c r="N2614" s="1701" t="str">
        <f t="shared" si="392"/>
        <v/>
      </c>
      <c r="O2614" s="1702"/>
      <c r="P2614" s="1635" t="str">
        <f>IFERROR(VLOOKUP(F2614,#REF!,12,FALSE),"")</f>
        <v/>
      </c>
      <c r="Q2614" s="1636" t="s">
        <v>8</v>
      </c>
      <c r="R2614" s="1703" t="str">
        <f>IFERROR(VLOOKUP(F2614,#REF!,14,FALSE),"")</f>
        <v/>
      </c>
      <c r="S2614" s="1704" t="str">
        <f t="shared" si="393"/>
        <v/>
      </c>
      <c r="T2614" s="1828">
        <f t="shared" si="394"/>
        <v>5.1722148104974437</v>
      </c>
      <c r="U2614" s="1828">
        <f t="shared" si="395"/>
        <v>14.421276125041103</v>
      </c>
      <c r="V2614" s="1695">
        <f t="shared" si="396"/>
        <v>8.7387639548682596</v>
      </c>
      <c r="W2614" s="1767">
        <f t="shared" si="397"/>
        <v>0.35865167310099627</v>
      </c>
      <c r="X2614" s="1695">
        <v>260</v>
      </c>
    </row>
    <row r="2615" spans="1:24" x14ac:dyDescent="0.2">
      <c r="A2615" s="1649" t="s">
        <v>337</v>
      </c>
      <c r="B2615" s="1681">
        <f t="shared" ref="B2615" si="428">IFERROR(AVERAGE(S2610:S2616),"")</f>
        <v>1.5056840024163876</v>
      </c>
      <c r="C2615" s="1651">
        <v>45703</v>
      </c>
      <c r="D2615" s="1695"/>
      <c r="E2615" s="1696"/>
      <c r="F2615" s="1547"/>
      <c r="G2615" s="1697"/>
      <c r="H2615" s="1698" t="str">
        <f>IFERROR(VLOOKUP(F2615,#REF!,10,FALSE),"")</f>
        <v/>
      </c>
      <c r="I2615" s="1699" t="str">
        <f t="shared" si="391"/>
        <v/>
      </c>
      <c r="J2615" s="1700"/>
      <c r="K2615" s="1755"/>
      <c r="L2615" s="1578"/>
      <c r="M2615" s="1700"/>
      <c r="N2615" s="1701" t="str">
        <f t="shared" si="392"/>
        <v/>
      </c>
      <c r="O2615" s="1702"/>
      <c r="P2615" s="1635" t="str">
        <f>IFERROR(VLOOKUP(F2615,#REF!,12,FALSE),"")</f>
        <v/>
      </c>
      <c r="Q2615" s="1636" t="s">
        <v>8</v>
      </c>
      <c r="R2615" s="1703" t="str">
        <f>IFERROR(VLOOKUP(F2615,#REF!,14,FALSE),"")</f>
        <v/>
      </c>
      <c r="S2615" s="1704" t="str">
        <f t="shared" si="393"/>
        <v/>
      </c>
      <c r="T2615" s="1828">
        <f t="shared" si="394"/>
        <v>4.4333269804263802</v>
      </c>
      <c r="U2615" s="1828">
        <f t="shared" si="395"/>
        <v>14.07791240777822</v>
      </c>
      <c r="V2615" s="1695">
        <f t="shared" si="396"/>
        <v>9.2490613145436598</v>
      </c>
      <c r="W2615" s="1767">
        <f t="shared" si="397"/>
        <v>0.31491366418624062</v>
      </c>
      <c r="X2615" s="1695">
        <v>260</v>
      </c>
    </row>
    <row r="2616" spans="1:24" ht="16" thickBot="1" x14ac:dyDescent="0.25">
      <c r="A2616" s="1650" t="s">
        <v>5</v>
      </c>
      <c r="B2616" s="1678">
        <f t="shared" ref="B2616" si="429">IFERROR(SUM(M2610:M2616),"")</f>
        <v>54</v>
      </c>
      <c r="C2616" s="1360">
        <v>45704</v>
      </c>
      <c r="D2616" s="683">
        <v>17</v>
      </c>
      <c r="E2616" s="684" t="s">
        <v>293</v>
      </c>
      <c r="F2616" s="1429" t="s">
        <v>279</v>
      </c>
      <c r="G2616" s="1361">
        <v>3.8136574074074073E-2</v>
      </c>
      <c r="H2616" s="1362">
        <v>9.19</v>
      </c>
      <c r="I2616" s="1363">
        <f t="shared" si="391"/>
        <v>4.1497904324346111E-3</v>
      </c>
      <c r="J2616" s="1364">
        <v>139</v>
      </c>
      <c r="K2616" s="1747">
        <v>41</v>
      </c>
      <c r="L2616" s="1705">
        <v>200</v>
      </c>
      <c r="M2616" s="1364">
        <v>34</v>
      </c>
      <c r="N2616" s="1365">
        <f t="shared" si="392"/>
        <v>1.0702743085443296</v>
      </c>
      <c r="O2616" s="1366" t="s">
        <v>333</v>
      </c>
      <c r="P2616" s="1706" t="str">
        <f>IFERROR(VLOOKUP(F2616,#REF!,12,FALSE),"")</f>
        <v/>
      </c>
      <c r="Q2616" s="1707" t="s">
        <v>8</v>
      </c>
      <c r="R2616" s="1708" t="str">
        <f>IFERROR(VLOOKUP(F2616,#REF!,14,FALSE),"")</f>
        <v/>
      </c>
      <c r="S2616" s="1191">
        <f t="shared" si="393"/>
        <v>1.4388489208633093</v>
      </c>
      <c r="T2616" s="1829">
        <f t="shared" si="394"/>
        <v>9.6571374117940394</v>
      </c>
      <c r="U2616" s="1829">
        <f t="shared" si="395"/>
        <v>14.718914493307309</v>
      </c>
      <c r="V2616" s="683">
        <f t="shared" si="396"/>
        <v>9.6445854273518385</v>
      </c>
      <c r="W2616" s="1768">
        <f t="shared" si="397"/>
        <v>0.65610391419728264</v>
      </c>
      <c r="X2616" s="683">
        <v>260</v>
      </c>
    </row>
    <row r="2617" spans="1:24" ht="16" thickBot="1" x14ac:dyDescent="0.25">
      <c r="A2617" s="1962">
        <f t="shared" ref="A2617" si="430">WEEKNUM(C2617,1)</f>
        <v>8</v>
      </c>
      <c r="B2617" s="1963"/>
      <c r="C2617" s="1368">
        <v>45705</v>
      </c>
      <c r="D2617" s="1369">
        <v>18</v>
      </c>
      <c r="E2617" s="1370" t="s">
        <v>293</v>
      </c>
      <c r="F2617" s="1930" t="s">
        <v>355</v>
      </c>
      <c r="G2617" s="1371">
        <v>1.9976851851851853E-2</v>
      </c>
      <c r="H2617" s="1372">
        <v>5.0199999999999996</v>
      </c>
      <c r="I2617" s="1373">
        <f t="shared" si="391"/>
        <v>3.9794525601298519E-3</v>
      </c>
      <c r="J2617" s="1374">
        <v>133</v>
      </c>
      <c r="K2617" s="1755">
        <v>23</v>
      </c>
      <c r="L2617" s="1577">
        <v>206</v>
      </c>
      <c r="M2617" s="1374">
        <v>14</v>
      </c>
      <c r="N2617" s="1375">
        <f t="shared" si="392"/>
        <v>1.0571326633763456</v>
      </c>
      <c r="O2617" s="1376" t="s">
        <v>333</v>
      </c>
      <c r="P2617" s="795" t="str">
        <f>IFERROR(VLOOKUP(F2617,#REF!,12,FALSE),"")</f>
        <v/>
      </c>
      <c r="Q2617" s="1254" t="s">
        <v>8</v>
      </c>
      <c r="R2617" s="1694" t="str">
        <f>IFERROR(VLOOKUP(F2617,#REF!,14,FALSE),"")</f>
        <v/>
      </c>
      <c r="S2617" s="1377">
        <f t="shared" si="393"/>
        <v>1.5488721804511278</v>
      </c>
      <c r="T2617" s="70">
        <f t="shared" si="394"/>
        <v>11.563260638680605</v>
      </c>
      <c r="U2617" s="70">
        <f t="shared" si="395"/>
        <v>14.916083195847612</v>
      </c>
      <c r="V2617" s="1369">
        <f t="shared" si="396"/>
        <v>5.0617770815132701</v>
      </c>
      <c r="W2617" s="1766">
        <f t="shared" si="397"/>
        <v>0.7752209803911273</v>
      </c>
      <c r="X2617" s="1369">
        <v>260</v>
      </c>
    </row>
    <row r="2618" spans="1:24" x14ac:dyDescent="0.2">
      <c r="A2618" s="1648" t="s">
        <v>142</v>
      </c>
      <c r="B2618" s="1679">
        <f t="shared" ref="B2618" si="431">SUM(H2617:H2623)</f>
        <v>29.79</v>
      </c>
      <c r="C2618" s="1651">
        <v>45706</v>
      </c>
      <c r="D2618" s="1695"/>
      <c r="E2618" s="1696"/>
      <c r="F2618" s="1930"/>
      <c r="G2618" s="1697"/>
      <c r="H2618" s="1698" t="str">
        <f>IFERROR(VLOOKUP(F2618,#REF!,10,FALSE),"")</f>
        <v/>
      </c>
      <c r="I2618" s="1699" t="str">
        <f t="shared" si="391"/>
        <v/>
      </c>
      <c r="J2618" s="1700"/>
      <c r="K2618" s="1755"/>
      <c r="L2618" s="1578"/>
      <c r="M2618" s="1700"/>
      <c r="N2618" s="1701" t="str">
        <f t="shared" si="392"/>
        <v/>
      </c>
      <c r="O2618" s="1702"/>
      <c r="P2618" s="1635" t="str">
        <f>IFERROR(VLOOKUP(F2618,#REF!,12,FALSE),"")</f>
        <v/>
      </c>
      <c r="Q2618" s="1636" t="s">
        <v>8</v>
      </c>
      <c r="R2618" s="1703" t="str">
        <f>IFERROR(VLOOKUP(F2618,#REF!,14,FALSE),"")</f>
        <v/>
      </c>
      <c r="S2618" s="1704" t="str">
        <f t="shared" si="393"/>
        <v/>
      </c>
      <c r="T2618" s="1379">
        <f t="shared" si="394"/>
        <v>9.9113662617262328</v>
      </c>
      <c r="U2618" s="1379">
        <f t="shared" si="395"/>
        <v>14.56093835785124</v>
      </c>
      <c r="V2618" s="1695">
        <f t="shared" si="396"/>
        <v>3.3528225571670074</v>
      </c>
      <c r="W2618" s="1767">
        <f t="shared" si="397"/>
        <v>0.68068183644098978</v>
      </c>
      <c r="X2618" s="1695">
        <v>260</v>
      </c>
    </row>
    <row r="2619" spans="1:24" x14ac:dyDescent="0.2">
      <c r="A2619" s="1649" t="s">
        <v>347</v>
      </c>
      <c r="B2619" s="1680">
        <f t="shared" ref="B2619" si="432">SUM(K2617:K2623)</f>
        <v>143</v>
      </c>
      <c r="C2619" s="1651">
        <v>45707</v>
      </c>
      <c r="D2619" s="1695"/>
      <c r="E2619" s="1696"/>
      <c r="F2619" s="1930"/>
      <c r="G2619" s="1697"/>
      <c r="H2619" s="1698" t="str">
        <f>IFERROR(VLOOKUP(F2619,#REF!,10,FALSE),"")</f>
        <v/>
      </c>
      <c r="I2619" s="1699" t="str">
        <f t="shared" si="391"/>
        <v/>
      </c>
      <c r="J2619" s="1700"/>
      <c r="K2619" s="1755"/>
      <c r="L2619" s="1578"/>
      <c r="M2619" s="1700"/>
      <c r="N2619" s="1701" t="str">
        <f t="shared" si="392"/>
        <v/>
      </c>
      <c r="O2619" s="1702"/>
      <c r="P2619" s="1635" t="str">
        <f>IFERROR(VLOOKUP(F2619,#REF!,12,FALSE),"")</f>
        <v/>
      </c>
      <c r="Q2619" s="1636" t="s">
        <v>8</v>
      </c>
      <c r="R2619" s="1703" t="str">
        <f>IFERROR(VLOOKUP(F2619,#REF!,14,FALSE),"")</f>
        <v/>
      </c>
      <c r="S2619" s="1704" t="str">
        <f t="shared" si="393"/>
        <v/>
      </c>
      <c r="T2619" s="1379">
        <f t="shared" si="394"/>
        <v>8.4954567957653424</v>
      </c>
      <c r="U2619" s="1379">
        <f t="shared" si="395"/>
        <v>14.214249349330974</v>
      </c>
      <c r="V2619" s="1695">
        <f t="shared" si="396"/>
        <v>4.6495720961250075</v>
      </c>
      <c r="W2619" s="1767">
        <f t="shared" si="397"/>
        <v>0.59767185638721054</v>
      </c>
      <c r="X2619" s="1695">
        <v>260</v>
      </c>
    </row>
    <row r="2620" spans="1:24" x14ac:dyDescent="0.2">
      <c r="A2620" s="1649" t="s">
        <v>256</v>
      </c>
      <c r="B2620" s="1677">
        <f t="shared" ref="B2620" si="433">AVERAGE(W2617:W2623)</f>
        <v>0.8698687763521048</v>
      </c>
      <c r="C2620" s="1651">
        <v>45708</v>
      </c>
      <c r="D2620" s="1695">
        <v>19</v>
      </c>
      <c r="E2620" s="1696" t="s">
        <v>293</v>
      </c>
      <c r="F2620" s="1930" t="s">
        <v>355</v>
      </c>
      <c r="G2620" s="1697">
        <v>2.8356481481481483E-2</v>
      </c>
      <c r="H2620" s="1698">
        <v>7.09</v>
      </c>
      <c r="I2620" s="1699">
        <f t="shared" si="391"/>
        <v>3.9995037350467532E-3</v>
      </c>
      <c r="J2620" s="1700">
        <v>131</v>
      </c>
      <c r="K2620" s="1755">
        <v>35</v>
      </c>
      <c r="L2620" s="1578">
        <v>210</v>
      </c>
      <c r="M2620" s="1700">
        <v>22</v>
      </c>
      <c r="N2620" s="1701">
        <f t="shared" si="392"/>
        <v>1.0830894890848997</v>
      </c>
      <c r="O2620" s="1702" t="s">
        <v>340</v>
      </c>
      <c r="P2620" s="1635" t="str">
        <f>IFERROR(VLOOKUP(F2620,#REF!,12,FALSE),"")</f>
        <v/>
      </c>
      <c r="Q2620" s="1636" t="s">
        <v>8</v>
      </c>
      <c r="R2620" s="1703" t="str">
        <f>IFERROR(VLOOKUP(F2620,#REF!,14,FALSE),"")</f>
        <v/>
      </c>
      <c r="S2620" s="1704">
        <f t="shared" si="393"/>
        <v>1.6030534351145038</v>
      </c>
      <c r="T2620" s="1379">
        <f t="shared" si="394"/>
        <v>12.281820110656007</v>
      </c>
      <c r="U2620" s="1379">
        <f t="shared" si="395"/>
        <v>14.709148174346902</v>
      </c>
      <c r="V2620" s="1695">
        <f t="shared" si="396"/>
        <v>5.7187925535656312</v>
      </c>
      <c r="W2620" s="1767">
        <f t="shared" si="397"/>
        <v>0.8349783389955775</v>
      </c>
      <c r="X2620" s="1695">
        <v>260</v>
      </c>
    </row>
    <row r="2621" spans="1:24" x14ac:dyDescent="0.2">
      <c r="A2621" s="1649" t="s">
        <v>336</v>
      </c>
      <c r="B2621" s="1713">
        <f t="shared" ref="B2621" si="434">IFERROR(AVERAGE(N2617:N2623),"")</f>
        <v>1.0764988657876395</v>
      </c>
      <c r="C2621" s="1651">
        <v>45709</v>
      </c>
      <c r="D2621" s="1695">
        <v>20</v>
      </c>
      <c r="E2621" s="1696" t="s">
        <v>293</v>
      </c>
      <c r="F2621" s="1930" t="s">
        <v>355</v>
      </c>
      <c r="G2621" s="1697">
        <v>2.9259259259259259E-2</v>
      </c>
      <c r="H2621" s="1698">
        <v>7.59</v>
      </c>
      <c r="I2621" s="1699">
        <f t="shared" si="391"/>
        <v>3.8549748694676231E-3</v>
      </c>
      <c r="J2621" s="1700">
        <v>132</v>
      </c>
      <c r="K2621" s="1755">
        <v>43</v>
      </c>
      <c r="L2621" s="1578">
        <v>219</v>
      </c>
      <c r="M2621" s="1700">
        <v>25</v>
      </c>
      <c r="N2621" s="1701">
        <f t="shared" si="392"/>
        <v>1.0886909326883369</v>
      </c>
      <c r="O2621" s="1702" t="s">
        <v>340</v>
      </c>
      <c r="P2621" s="1635" t="str">
        <f>IFERROR(VLOOKUP(F2621,#REF!,12,FALSE),"")</f>
        <v/>
      </c>
      <c r="Q2621" s="1636" t="s">
        <v>8</v>
      </c>
      <c r="R2621" s="1703" t="str">
        <f>IFERROR(VLOOKUP(F2621,#REF!,14,FALSE),"")</f>
        <v/>
      </c>
      <c r="S2621" s="1704">
        <f t="shared" si="393"/>
        <v>1.6590909090909092</v>
      </c>
      <c r="T2621" s="1379">
        <f t="shared" si="394"/>
        <v>16.670131523419435</v>
      </c>
      <c r="U2621" s="1379">
        <f t="shared" si="395"/>
        <v>15.3827398844815</v>
      </c>
      <c r="V2621" s="1695">
        <f t="shared" si="396"/>
        <v>2.4273280636908954</v>
      </c>
      <c r="W2621" s="1767">
        <f t="shared" si="397"/>
        <v>1.0836906590507123</v>
      </c>
      <c r="X2621" s="1695">
        <v>260</v>
      </c>
    </row>
    <row r="2622" spans="1:24" x14ac:dyDescent="0.2">
      <c r="A2622" s="1649" t="s">
        <v>337</v>
      </c>
      <c r="B2622" s="1681">
        <f t="shared" ref="B2622" si="435">IFERROR(AVERAGE(S2617:S2623),"")</f>
        <v>1.5796772080872121</v>
      </c>
      <c r="C2622" s="1651">
        <v>45710</v>
      </c>
      <c r="D2622" s="1695"/>
      <c r="E2622" s="1696"/>
      <c r="F2622" s="1930"/>
      <c r="G2622" s="1697"/>
      <c r="H2622" s="1698" t="str">
        <f>IFERROR(VLOOKUP(F2622,#REF!,10,FALSE),"")</f>
        <v/>
      </c>
      <c r="I2622" s="1699" t="str">
        <f t="shared" si="391"/>
        <v/>
      </c>
      <c r="J2622" s="1700"/>
      <c r="K2622" s="1755"/>
      <c r="L2622" s="1578"/>
      <c r="M2622" s="1700"/>
      <c r="N2622" s="1701" t="str">
        <f t="shared" si="392"/>
        <v/>
      </c>
      <c r="O2622" s="1702"/>
      <c r="P2622" s="1635" t="str">
        <f>IFERROR(VLOOKUP(F2622,#REF!,12,FALSE),"")</f>
        <v/>
      </c>
      <c r="Q2622" s="1636" t="s">
        <v>8</v>
      </c>
      <c r="R2622" s="1703" t="str">
        <f>IFERROR(VLOOKUP(F2622,#REF!,14,FALSE),"")</f>
        <v/>
      </c>
      <c r="S2622" s="1704" t="str">
        <f t="shared" si="393"/>
        <v/>
      </c>
      <c r="T2622" s="1379">
        <f t="shared" si="394"/>
        <v>14.288684162930945</v>
      </c>
      <c r="U2622" s="1379">
        <f t="shared" si="395"/>
        <v>15.016484172946226</v>
      </c>
      <c r="V2622" s="1695">
        <f t="shared" si="396"/>
        <v>-1.287391638937935</v>
      </c>
      <c r="W2622" s="1767">
        <f t="shared" si="397"/>
        <v>0.95153326160550356</v>
      </c>
      <c r="X2622" s="1695">
        <v>260</v>
      </c>
    </row>
    <row r="2623" spans="1:24" ht="16" thickBot="1" x14ac:dyDescent="0.25">
      <c r="A2623" s="1650" t="s">
        <v>5</v>
      </c>
      <c r="B2623" s="1678">
        <f t="shared" ref="B2623" si="436">IFERROR(SUM(M2617:M2623),"")</f>
        <v>90</v>
      </c>
      <c r="C2623" s="1360">
        <v>45711</v>
      </c>
      <c r="D2623" s="683">
        <v>21</v>
      </c>
      <c r="E2623" s="684" t="s">
        <v>292</v>
      </c>
      <c r="F2623" s="1931" t="s">
        <v>279</v>
      </c>
      <c r="G2623" s="1361">
        <v>4.2997685185185187E-2</v>
      </c>
      <c r="H2623" s="1362">
        <v>10.09</v>
      </c>
      <c r="I2623" s="1363">
        <f t="shared" si="391"/>
        <v>4.2614157765297513E-3</v>
      </c>
      <c r="J2623" s="1364">
        <v>130</v>
      </c>
      <c r="K2623" s="1747">
        <v>42</v>
      </c>
      <c r="L2623" s="1705">
        <v>196</v>
      </c>
      <c r="M2623" s="1364">
        <v>29</v>
      </c>
      <c r="N2623" s="1365">
        <f t="shared" si="392"/>
        <v>1.0770823780009764</v>
      </c>
      <c r="O2623" s="1366" t="s">
        <v>346</v>
      </c>
      <c r="P2623" s="1706" t="str">
        <f>IFERROR(VLOOKUP(F2623,#REF!,12,FALSE),"")</f>
        <v/>
      </c>
      <c r="Q2623" s="1707" t="s">
        <v>8</v>
      </c>
      <c r="R2623" s="1708" t="str">
        <f>IFERROR(VLOOKUP(F2623,#REF!,14,FALSE),"")</f>
        <v/>
      </c>
      <c r="S2623" s="1191">
        <f t="shared" si="393"/>
        <v>1.5076923076923077</v>
      </c>
      <c r="T2623" s="1897">
        <f t="shared" si="394"/>
        <v>18.247443568226526</v>
      </c>
      <c r="U2623" s="1897">
        <f t="shared" si="395"/>
        <v>15.658948835495126</v>
      </c>
      <c r="V2623" s="683">
        <f t="shared" si="396"/>
        <v>0.72780001001528127</v>
      </c>
      <c r="W2623" s="1768">
        <f t="shared" si="397"/>
        <v>1.1653045015936125</v>
      </c>
      <c r="X2623" s="683">
        <v>260</v>
      </c>
    </row>
    <row r="2624" spans="1:24" ht="16" thickBot="1" x14ac:dyDescent="0.25">
      <c r="A2624" s="1962">
        <f t="shared" ref="A2624" si="437">WEEKNUM(C2624,1)</f>
        <v>9</v>
      </c>
      <c r="B2624" s="1963"/>
      <c r="C2624" s="1368">
        <v>45712</v>
      </c>
      <c r="D2624" s="1369"/>
      <c r="E2624" s="1370"/>
      <c r="F2624" s="1932"/>
      <c r="G2624" s="1371"/>
      <c r="H2624" s="1372" t="str">
        <f>IFERROR(VLOOKUP(F2624,#REF!,10,FALSE),"")</f>
        <v/>
      </c>
      <c r="I2624" s="1373" t="str">
        <f t="shared" si="391"/>
        <v/>
      </c>
      <c r="J2624" s="1374"/>
      <c r="K2624" s="1745"/>
      <c r="L2624" s="1577"/>
      <c r="M2624" s="1374"/>
      <c r="N2624" s="1375" t="str">
        <f t="shared" si="392"/>
        <v/>
      </c>
      <c r="O2624" s="1376"/>
      <c r="P2624" s="795" t="str">
        <f>IFERROR(VLOOKUP(F2624,#REF!,12,FALSE),"")</f>
        <v/>
      </c>
      <c r="Q2624" s="1254" t="s">
        <v>8</v>
      </c>
      <c r="R2624" s="1694" t="str">
        <f>IFERROR(VLOOKUP(F2624,#REF!,14,FALSE),"")</f>
        <v/>
      </c>
      <c r="S2624" s="1377" t="str">
        <f t="shared" si="393"/>
        <v/>
      </c>
      <c r="T2624" s="1369">
        <f t="shared" si="394"/>
        <v>15.640665915622737</v>
      </c>
      <c r="U2624" s="1369">
        <f t="shared" si="395"/>
        <v>15.286116720364289</v>
      </c>
      <c r="V2624" s="1369">
        <f t="shared" si="396"/>
        <v>-2.5884947327313998</v>
      </c>
      <c r="W2624" s="1766">
        <f t="shared" si="397"/>
        <v>1.0231941965212208</v>
      </c>
      <c r="X2624" s="1369">
        <v>260</v>
      </c>
    </row>
    <row r="2625" spans="1:24" x14ac:dyDescent="0.2">
      <c r="A2625" s="1648" t="s">
        <v>142</v>
      </c>
      <c r="B2625" s="1679">
        <f t="shared" ref="B2625" si="438">SUM(H2624:H2630)</f>
        <v>33.25</v>
      </c>
      <c r="C2625" s="1651">
        <v>45713</v>
      </c>
      <c r="D2625" s="1695"/>
      <c r="E2625" s="1696"/>
      <c r="F2625" s="1508"/>
      <c r="G2625" s="1697"/>
      <c r="H2625" s="1698" t="str">
        <f>IFERROR(VLOOKUP(F2625,#REF!,10,FALSE),"")</f>
        <v/>
      </c>
      <c r="I2625" s="1699" t="str">
        <f t="shared" si="391"/>
        <v/>
      </c>
      <c r="J2625" s="1700"/>
      <c r="K2625" s="1755"/>
      <c r="L2625" s="1578"/>
      <c r="M2625" s="1700"/>
      <c r="N2625" s="1701" t="str">
        <f t="shared" si="392"/>
        <v/>
      </c>
      <c r="O2625" s="1702"/>
      <c r="P2625" s="1635" t="str">
        <f>IFERROR(VLOOKUP(F2625,#REF!,12,FALSE),"")</f>
        <v/>
      </c>
      <c r="Q2625" s="1636" t="s">
        <v>8</v>
      </c>
      <c r="R2625" s="1703" t="str">
        <f>IFERROR(VLOOKUP(F2625,#REF!,14,FALSE),"")</f>
        <v/>
      </c>
      <c r="S2625" s="1704" t="str">
        <f t="shared" si="393"/>
        <v/>
      </c>
      <c r="T2625" s="1828">
        <f t="shared" si="394"/>
        <v>13.406285070533775</v>
      </c>
      <c r="U2625" s="1828">
        <f t="shared" si="395"/>
        <v>14.922161560355615</v>
      </c>
      <c r="V2625" s="1695">
        <f t="shared" si="396"/>
        <v>-0.35454919525844808</v>
      </c>
      <c r="W2625" s="1767">
        <f t="shared" si="397"/>
        <v>0.89841441645765729</v>
      </c>
      <c r="X2625" s="1695">
        <v>260</v>
      </c>
    </row>
    <row r="2626" spans="1:24" x14ac:dyDescent="0.2">
      <c r="A2626" s="1649" t="s">
        <v>347</v>
      </c>
      <c r="B2626" s="1680">
        <f t="shared" ref="B2626" si="439">SUM(K2624:K2630)</f>
        <v>151</v>
      </c>
      <c r="C2626" s="1651">
        <v>45714</v>
      </c>
      <c r="D2626" s="1695">
        <v>22</v>
      </c>
      <c r="E2626" s="1696" t="s">
        <v>293</v>
      </c>
      <c r="F2626" s="1508" t="s">
        <v>343</v>
      </c>
      <c r="G2626" s="1697">
        <v>3.4363425925925929E-2</v>
      </c>
      <c r="H2626" s="1698">
        <v>8.3800000000000008</v>
      </c>
      <c r="I2626" s="1699">
        <f t="shared" si="391"/>
        <v>4.1006474851940245E-3</v>
      </c>
      <c r="J2626" s="1700">
        <v>128</v>
      </c>
      <c r="K2626" s="1755">
        <v>38</v>
      </c>
      <c r="L2626" s="1578">
        <v>201</v>
      </c>
      <c r="M2626" s="1700">
        <v>27</v>
      </c>
      <c r="N2626" s="1701">
        <f t="shared" si="392"/>
        <v>1.0628878281622911</v>
      </c>
      <c r="O2626" s="1702" t="s">
        <v>333</v>
      </c>
      <c r="P2626" s="1635" t="str">
        <f>IFERROR(VLOOKUP(F2626,#REF!,12,FALSE),"")</f>
        <v/>
      </c>
      <c r="Q2626" s="1636" t="s">
        <v>8</v>
      </c>
      <c r="R2626" s="1703" t="str">
        <f>IFERROR(VLOOKUP(F2626,#REF!,14,FALSE),"")</f>
        <v/>
      </c>
      <c r="S2626" s="1704">
        <f t="shared" si="393"/>
        <v>1.5703125</v>
      </c>
      <c r="T2626" s="1828">
        <f t="shared" si="394"/>
        <v>16.91967291760038</v>
      </c>
      <c r="U2626" s="1828">
        <f t="shared" si="395"/>
        <v>15.471633904156672</v>
      </c>
      <c r="V2626" s="1695">
        <f t="shared" si="396"/>
        <v>1.5158764898218404</v>
      </c>
      <c r="W2626" s="1767">
        <f t="shared" si="397"/>
        <v>1.093593153923754</v>
      </c>
      <c r="X2626" s="1695">
        <v>260</v>
      </c>
    </row>
    <row r="2627" spans="1:24" x14ac:dyDescent="0.2">
      <c r="A2627" s="1649" t="s">
        <v>256</v>
      </c>
      <c r="B2627" s="1677">
        <f t="shared" ref="B2627" si="440">AVERAGE(W2624:W2630)</f>
        <v>1.1304527193095599</v>
      </c>
      <c r="C2627" s="1651">
        <v>45715</v>
      </c>
      <c r="D2627" s="1695">
        <v>23</v>
      </c>
      <c r="E2627" s="1696" t="s">
        <v>293</v>
      </c>
      <c r="F2627" s="1508" t="s">
        <v>343</v>
      </c>
      <c r="G2627" s="1697">
        <v>2.4236111111111111E-2</v>
      </c>
      <c r="H2627" s="1698">
        <v>5.95</v>
      </c>
      <c r="I2627" s="1699">
        <f t="shared" si="391"/>
        <v>4.0732959850606912E-3</v>
      </c>
      <c r="J2627" s="1700">
        <v>142</v>
      </c>
      <c r="K2627" s="1755">
        <v>29</v>
      </c>
      <c r="L2627" s="1578">
        <v>208</v>
      </c>
      <c r="M2627" s="1700">
        <v>18</v>
      </c>
      <c r="N2627" s="1701">
        <f t="shared" si="392"/>
        <v>1.0925674150257121</v>
      </c>
      <c r="O2627" s="1702" t="s">
        <v>340</v>
      </c>
      <c r="P2627" s="1635" t="str">
        <f>IFERROR(VLOOKUP(F2627,#REF!,12,FALSE),"")</f>
        <v/>
      </c>
      <c r="Q2627" s="1636" t="s">
        <v>8</v>
      </c>
      <c r="R2627" s="1703" t="str">
        <f>IFERROR(VLOOKUP(F2627,#REF!,14,FALSE),"")</f>
        <v/>
      </c>
      <c r="S2627" s="1704">
        <f t="shared" si="393"/>
        <v>1.4647887323943662</v>
      </c>
      <c r="T2627" s="1828">
        <f t="shared" si="394"/>
        <v>18.645433929371755</v>
      </c>
      <c r="U2627" s="1828">
        <f t="shared" si="395"/>
        <v>15.793737858819608</v>
      </c>
      <c r="V2627" s="1695">
        <f t="shared" si="396"/>
        <v>-1.448039013443708</v>
      </c>
      <c r="W2627" s="1767">
        <f t="shared" si="397"/>
        <v>1.1805586553381784</v>
      </c>
      <c r="X2627" s="1695">
        <v>260</v>
      </c>
    </row>
    <row r="2628" spans="1:24" x14ac:dyDescent="0.2">
      <c r="A2628" s="1649" t="s">
        <v>336</v>
      </c>
      <c r="B2628" s="1713">
        <f t="shared" ref="B2628" si="441">IFERROR(AVERAGE(N2624:N2630),"")</f>
        <v>1.0730910400992553</v>
      </c>
      <c r="C2628" s="1651">
        <v>45716</v>
      </c>
      <c r="D2628" s="1695"/>
      <c r="E2628" s="1696"/>
      <c r="F2628" s="1508"/>
      <c r="G2628" s="1697"/>
      <c r="H2628" s="1698" t="str">
        <f>IFERROR(VLOOKUP(F2628,#REF!,10,FALSE),"")</f>
        <v/>
      </c>
      <c r="I2628" s="1699" t="str">
        <f t="shared" si="391"/>
        <v/>
      </c>
      <c r="J2628" s="1700"/>
      <c r="K2628" s="1755"/>
      <c r="L2628" s="1578"/>
      <c r="M2628" s="1700"/>
      <c r="N2628" s="1701" t="str">
        <f t="shared" si="392"/>
        <v/>
      </c>
      <c r="O2628" s="1702"/>
      <c r="P2628" s="1635" t="str">
        <f>IFERROR(VLOOKUP(F2628,#REF!,12,FALSE),"")</f>
        <v/>
      </c>
      <c r="Q2628" s="1636" t="s">
        <v>8</v>
      </c>
      <c r="R2628" s="1703" t="str">
        <f>IFERROR(VLOOKUP(F2628,#REF!,14,FALSE),"")</f>
        <v/>
      </c>
      <c r="S2628" s="1704" t="str">
        <f t="shared" si="393"/>
        <v/>
      </c>
      <c r="T2628" s="1828">
        <f t="shared" si="394"/>
        <v>15.981800510890075</v>
      </c>
      <c r="U2628" s="1828">
        <f t="shared" si="395"/>
        <v>15.417696481228665</v>
      </c>
      <c r="V2628" s="1695">
        <f t="shared" si="396"/>
        <v>-2.8516960705521477</v>
      </c>
      <c r="W2628" s="1767">
        <f t="shared" si="397"/>
        <v>1.0365880876140101</v>
      </c>
      <c r="X2628" s="1695">
        <v>260</v>
      </c>
    </row>
    <row r="2629" spans="1:24" x14ac:dyDescent="0.2">
      <c r="A2629" s="1649" t="s">
        <v>337</v>
      </c>
      <c r="B2629" s="1681">
        <f t="shared" ref="B2629" si="442">IFERROR(AVERAGE(S2624:S2630),"")</f>
        <v>1.5048562727842074</v>
      </c>
      <c r="C2629" s="1651">
        <v>45717</v>
      </c>
      <c r="D2629" s="1695">
        <v>24</v>
      </c>
      <c r="E2629" s="1696" t="s">
        <v>292</v>
      </c>
      <c r="F2629" s="1508" t="s">
        <v>308</v>
      </c>
      <c r="G2629" s="1697">
        <v>5.033564814814815E-2</v>
      </c>
      <c r="H2629" s="1698">
        <v>12.28</v>
      </c>
      <c r="I2629" s="1699">
        <f t="shared" si="391"/>
        <v>4.0989941488719997E-3</v>
      </c>
      <c r="J2629" s="1700">
        <v>135</v>
      </c>
      <c r="K2629" s="1755">
        <v>56</v>
      </c>
      <c r="L2629" s="1578">
        <v>203</v>
      </c>
      <c r="M2629" s="1700">
        <v>48</v>
      </c>
      <c r="N2629" s="1701">
        <f t="shared" si="392"/>
        <v>1.0730310175506834</v>
      </c>
      <c r="O2629" s="1702" t="s">
        <v>346</v>
      </c>
      <c r="P2629" s="1635" t="str">
        <f>IFERROR(VLOOKUP(F2629,#REF!,12,FALSE),"")</f>
        <v/>
      </c>
      <c r="Q2629" s="1636" t="s">
        <v>8</v>
      </c>
      <c r="R2629" s="1703" t="str">
        <f>IFERROR(VLOOKUP(F2629,#REF!,14,FALSE),"")</f>
        <v/>
      </c>
      <c r="S2629" s="1704">
        <f t="shared" si="393"/>
        <v>1.5037037037037038</v>
      </c>
      <c r="T2629" s="1828">
        <f t="shared" si="394"/>
        <v>21.698686152191492</v>
      </c>
      <c r="U2629" s="1828">
        <f t="shared" si="395"/>
        <v>16.383941803104172</v>
      </c>
      <c r="V2629" s="1695">
        <f t="shared" si="396"/>
        <v>-0.56410402966140971</v>
      </c>
      <c r="W2629" s="1767">
        <f t="shared" si="397"/>
        <v>1.3243874040177783</v>
      </c>
      <c r="X2629" s="1695">
        <v>260</v>
      </c>
    </row>
    <row r="2630" spans="1:24" ht="16" thickBot="1" x14ac:dyDescent="0.25">
      <c r="A2630" s="1650" t="s">
        <v>5</v>
      </c>
      <c r="B2630" s="1678">
        <f t="shared" ref="B2630" si="443">IFERROR(SUM(M2624:M2630),"")</f>
        <v>122</v>
      </c>
      <c r="C2630" s="1360">
        <v>45718</v>
      </c>
      <c r="D2630" s="683">
        <v>25</v>
      </c>
      <c r="E2630" s="684" t="s">
        <v>292</v>
      </c>
      <c r="F2630" s="1933" t="s">
        <v>355</v>
      </c>
      <c r="G2630" s="1361">
        <v>2.8680555555555553E-2</v>
      </c>
      <c r="H2630" s="1362">
        <v>6.64</v>
      </c>
      <c r="I2630" s="1363">
        <f t="shared" si="391"/>
        <v>4.3193607764390896E-3</v>
      </c>
      <c r="J2630" s="1364">
        <v>129</v>
      </c>
      <c r="K2630" s="1747">
        <v>28</v>
      </c>
      <c r="L2630" s="1705">
        <v>191</v>
      </c>
      <c r="M2630" s="1364">
        <v>29</v>
      </c>
      <c r="N2630" s="1365">
        <f t="shared" si="392"/>
        <v>1.0638778996583349</v>
      </c>
      <c r="O2630" s="1366" t="s">
        <v>333</v>
      </c>
      <c r="P2630" s="1706" t="str">
        <f>IFERROR(VLOOKUP(F2630,#REF!,12,FALSE),"")</f>
        <v/>
      </c>
      <c r="Q2630" s="1707" t="s">
        <v>8</v>
      </c>
      <c r="R2630" s="1708" t="str">
        <f>IFERROR(VLOOKUP(F2630,#REF!,14,FALSE),"")</f>
        <v/>
      </c>
      <c r="S2630" s="1191">
        <f t="shared" si="393"/>
        <v>1.4806201550387597</v>
      </c>
      <c r="T2630" s="1829">
        <f t="shared" si="394"/>
        <v>22.598873844735564</v>
      </c>
      <c r="U2630" s="1829">
        <f t="shared" si="395"/>
        <v>16.660514617315979</v>
      </c>
      <c r="V2630" s="683">
        <f t="shared" si="396"/>
        <v>-5.3147443490873201</v>
      </c>
      <c r="W2630" s="1768">
        <f t="shared" si="397"/>
        <v>1.3564331212943204</v>
      </c>
      <c r="X2630" s="683">
        <v>260</v>
      </c>
    </row>
    <row r="2631" spans="1:24" ht="16" thickBot="1" x14ac:dyDescent="0.25">
      <c r="A2631" s="1962">
        <f t="shared" ref="A2631" si="444">WEEKNUM(C2631,1)</f>
        <v>10</v>
      </c>
      <c r="B2631" s="1963"/>
      <c r="C2631" s="1368">
        <v>45719</v>
      </c>
      <c r="D2631" s="1369"/>
      <c r="E2631" s="1370"/>
      <c r="F2631" s="1932"/>
      <c r="G2631" s="1371"/>
      <c r="H2631" s="1372" t="str">
        <f>IFERROR(VLOOKUP(F2631,#REF!,10,FALSE),"")</f>
        <v/>
      </c>
      <c r="I2631" s="1373" t="str">
        <f t="shared" si="391"/>
        <v/>
      </c>
      <c r="J2631" s="1374"/>
      <c r="K2631" s="1745"/>
      <c r="L2631" s="1577"/>
      <c r="M2631" s="1374"/>
      <c r="N2631" s="1375" t="str">
        <f t="shared" si="392"/>
        <v/>
      </c>
      <c r="O2631" s="1376"/>
      <c r="P2631" s="795" t="str">
        <f>IFERROR(VLOOKUP(F2631,#REF!,12,FALSE),"")</f>
        <v/>
      </c>
      <c r="Q2631" s="1254" t="s">
        <v>8</v>
      </c>
      <c r="R2631" s="1694" t="str">
        <f>IFERROR(VLOOKUP(F2631,#REF!,14,FALSE),"")</f>
        <v/>
      </c>
      <c r="S2631" s="1377" t="str">
        <f t="shared" si="393"/>
        <v/>
      </c>
      <c r="T2631" s="70">
        <f t="shared" si="394"/>
        <v>19.370463295487628</v>
      </c>
      <c r="U2631" s="70">
        <f t="shared" si="395"/>
        <v>16.263835697856074</v>
      </c>
      <c r="V2631" s="1369">
        <f t="shared" si="396"/>
        <v>-5.9383592274195856</v>
      </c>
      <c r="W2631" s="1766">
        <f t="shared" si="397"/>
        <v>1.191014447965745</v>
      </c>
      <c r="X2631" s="1369">
        <v>260</v>
      </c>
    </row>
    <row r="2632" spans="1:24" x14ac:dyDescent="0.2">
      <c r="A2632" s="1648" t="s">
        <v>142</v>
      </c>
      <c r="B2632" s="1679">
        <f t="shared" ref="B2632" si="445">SUM(H2631:H2637)</f>
        <v>30.97</v>
      </c>
      <c r="C2632" s="1651">
        <v>45720</v>
      </c>
      <c r="D2632" s="1695">
        <v>26</v>
      </c>
      <c r="E2632" s="1696" t="s">
        <v>293</v>
      </c>
      <c r="F2632" s="1508" t="s">
        <v>343</v>
      </c>
      <c r="G2632" s="1697">
        <v>2.4212962962962964E-2</v>
      </c>
      <c r="H2632" s="1698">
        <v>6.42</v>
      </c>
      <c r="I2632" s="1699">
        <f t="shared" si="391"/>
        <v>3.7714895580939199E-3</v>
      </c>
      <c r="J2632" s="1700">
        <v>137</v>
      </c>
      <c r="K2632" s="1755">
        <v>32</v>
      </c>
      <c r="L2632" s="1578"/>
      <c r="M2632" s="1700">
        <v>20</v>
      </c>
      <c r="N2632" s="1701"/>
      <c r="O2632" s="1702" t="s">
        <v>340</v>
      </c>
      <c r="P2632" s="1635" t="str">
        <f>IFERROR(VLOOKUP(F2632,#REF!,12,FALSE),"")</f>
        <v/>
      </c>
      <c r="Q2632" s="1636" t="s">
        <v>8</v>
      </c>
      <c r="R2632" s="1703" t="str">
        <f>IFERROR(VLOOKUP(F2632,#REF!,14,FALSE),"")</f>
        <v/>
      </c>
      <c r="S2632" s="1704"/>
      <c r="T2632" s="1379">
        <f t="shared" si="394"/>
        <v>21.17468282470368</v>
      </c>
      <c r="U2632" s="1379">
        <f t="shared" si="395"/>
        <v>16.638506276478548</v>
      </c>
      <c r="V2632" s="1695">
        <f t="shared" si="396"/>
        <v>-3.1066275976315545</v>
      </c>
      <c r="W2632" s="1767">
        <f t="shared" si="397"/>
        <v>1.2726312370142152</v>
      </c>
      <c r="X2632" s="1695">
        <v>260</v>
      </c>
    </row>
    <row r="2633" spans="1:24" x14ac:dyDescent="0.2">
      <c r="A2633" s="1649" t="s">
        <v>347</v>
      </c>
      <c r="B2633" s="1680">
        <f t="shared" ref="B2633" si="446">SUM(K2631:K2637)</f>
        <v>147</v>
      </c>
      <c r="C2633" s="1651">
        <v>45721</v>
      </c>
      <c r="D2633" s="1695">
        <v>27</v>
      </c>
      <c r="E2633" s="1696" t="s">
        <v>293</v>
      </c>
      <c r="F2633" s="1508" t="s">
        <v>343</v>
      </c>
      <c r="G2633" s="1697">
        <v>2.6168981481481481E-2</v>
      </c>
      <c r="H2633" s="1698">
        <v>6.52</v>
      </c>
      <c r="I2633" s="1699">
        <f t="shared" si="391"/>
        <v>4.0136474664848902E-3</v>
      </c>
      <c r="J2633" s="1700">
        <v>132</v>
      </c>
      <c r="K2633" s="1755">
        <v>31</v>
      </c>
      <c r="L2633" s="1578">
        <v>206</v>
      </c>
      <c r="M2633" s="1700">
        <v>20</v>
      </c>
      <c r="N2633" s="1701">
        <f t="shared" si="392"/>
        <v>1.066216463693801</v>
      </c>
      <c r="O2633" s="1702" t="s">
        <v>333</v>
      </c>
      <c r="P2633" s="1635" t="str">
        <f>IFERROR(VLOOKUP(F2633,#REF!,12,FALSE),"")</f>
        <v/>
      </c>
      <c r="Q2633" s="1636" t="s">
        <v>8</v>
      </c>
      <c r="R2633" s="1703" t="str">
        <f>IFERROR(VLOOKUP(F2633,#REF!,14,FALSE),"")</f>
        <v/>
      </c>
      <c r="S2633" s="1704">
        <f t="shared" si="393"/>
        <v>1.5606060606060606</v>
      </c>
      <c r="T2633" s="1379">
        <f t="shared" si="394"/>
        <v>22.578299564031727</v>
      </c>
      <c r="U2633" s="1379">
        <f t="shared" si="395"/>
        <v>16.980446603229058</v>
      </c>
      <c r="V2633" s="1695">
        <f t="shared" si="396"/>
        <v>-4.5361765482251322</v>
      </c>
      <c r="W2633" s="1767">
        <f t="shared" si="397"/>
        <v>1.329664648498595</v>
      </c>
      <c r="X2633" s="1695">
        <v>260</v>
      </c>
    </row>
    <row r="2634" spans="1:24" x14ac:dyDescent="0.2">
      <c r="A2634" s="1649" t="s">
        <v>256</v>
      </c>
      <c r="B2634" s="1677">
        <f t="shared" ref="B2634" si="447">AVERAGE(W2631:W2637)</f>
        <v>1.2411349710325688</v>
      </c>
      <c r="C2634" s="1651">
        <v>45722</v>
      </c>
      <c r="D2634" s="1695">
        <v>28</v>
      </c>
      <c r="E2634" s="1696" t="s">
        <v>293</v>
      </c>
      <c r="F2634" s="1508" t="s">
        <v>343</v>
      </c>
      <c r="G2634" s="1697">
        <v>2.4953703703703704E-2</v>
      </c>
      <c r="H2634" s="1698">
        <v>5.95</v>
      </c>
      <c r="I2634" s="1699">
        <f t="shared" si="391"/>
        <v>4.1938997821350764E-3</v>
      </c>
      <c r="J2634" s="1700">
        <v>142</v>
      </c>
      <c r="K2634" s="1755">
        <v>28</v>
      </c>
      <c r="L2634" s="1578">
        <v>203</v>
      </c>
      <c r="M2634" s="1700">
        <v>25</v>
      </c>
      <c r="N2634" s="1701">
        <f t="shared" si="392"/>
        <v>1.0978753292361723</v>
      </c>
      <c r="O2634" s="1702" t="s">
        <v>340</v>
      </c>
      <c r="P2634" s="1635" t="str">
        <f>IFERROR(VLOOKUP(F2634,#REF!,12,FALSE),"")</f>
        <v/>
      </c>
      <c r="Q2634" s="1636" t="s">
        <v>8</v>
      </c>
      <c r="R2634" s="1703" t="str">
        <f>IFERROR(VLOOKUP(F2634,#REF!,14,FALSE),"")</f>
        <v/>
      </c>
      <c r="S2634" s="1704">
        <f t="shared" si="393"/>
        <v>1.4295774647887325</v>
      </c>
      <c r="T2634" s="1379">
        <f t="shared" si="394"/>
        <v>23.352828197741481</v>
      </c>
      <c r="U2634" s="1379">
        <f t="shared" si="395"/>
        <v>17.242816922199793</v>
      </c>
      <c r="V2634" s="1695">
        <f t="shared" si="396"/>
        <v>-5.597852960802669</v>
      </c>
      <c r="W2634" s="1767">
        <f t="shared" si="397"/>
        <v>1.3543511076589327</v>
      </c>
      <c r="X2634" s="1695">
        <v>260</v>
      </c>
    </row>
    <row r="2635" spans="1:24" x14ac:dyDescent="0.2">
      <c r="A2635" s="1649" t="s">
        <v>336</v>
      </c>
      <c r="B2635" s="1713">
        <f t="shared" ref="B2635" si="448">IFERROR(AVERAGE(N2631:N2637),"")</f>
        <v>1.0819237148388039</v>
      </c>
      <c r="C2635" s="1651">
        <v>45723</v>
      </c>
      <c r="D2635" s="1695"/>
      <c r="E2635" s="1696"/>
      <c r="F2635" s="1508"/>
      <c r="G2635" s="1697"/>
      <c r="H2635" s="1698" t="str">
        <f>IFERROR(VLOOKUP(F2635,#REF!,10,FALSE),"")</f>
        <v/>
      </c>
      <c r="I2635" s="1699" t="str">
        <f t="shared" si="391"/>
        <v/>
      </c>
      <c r="J2635" s="1700"/>
      <c r="K2635" s="1755"/>
      <c r="L2635" s="1578"/>
      <c r="M2635" s="1700"/>
      <c r="N2635" s="1701" t="str">
        <f t="shared" si="392"/>
        <v/>
      </c>
      <c r="O2635" s="1702"/>
      <c r="P2635" s="1635" t="str">
        <f>IFERROR(VLOOKUP(F2635,#REF!,12,FALSE),"")</f>
        <v/>
      </c>
      <c r="Q2635" s="1636" t="s">
        <v>8</v>
      </c>
      <c r="R2635" s="1703" t="str">
        <f>IFERROR(VLOOKUP(F2635,#REF!,14,FALSE),"")</f>
        <v/>
      </c>
      <c r="S2635" s="1704" t="str">
        <f t="shared" si="393"/>
        <v/>
      </c>
      <c r="T2635" s="1379">
        <f t="shared" si="394"/>
        <v>20.016709883778411</v>
      </c>
      <c r="U2635" s="1379">
        <f t="shared" si="395"/>
        <v>16.832273662147418</v>
      </c>
      <c r="V2635" s="1695">
        <f t="shared" si="396"/>
        <v>-6.1100112755416873</v>
      </c>
      <c r="W2635" s="1767">
        <f t="shared" si="397"/>
        <v>1.1891863384322336</v>
      </c>
      <c r="X2635" s="1695">
        <v>260</v>
      </c>
    </row>
    <row r="2636" spans="1:24" x14ac:dyDescent="0.2">
      <c r="A2636" s="1649" t="s">
        <v>337</v>
      </c>
      <c r="B2636" s="1681">
        <f t="shared" ref="B2636" si="449">IFERROR(AVERAGE(S2631:S2637),"")</f>
        <v>1.4954932738970299</v>
      </c>
      <c r="C2636" s="1651">
        <v>45724</v>
      </c>
      <c r="D2636" s="1695"/>
      <c r="E2636" s="1696"/>
      <c r="F2636" s="1508"/>
      <c r="G2636" s="1697"/>
      <c r="H2636" s="1698" t="str">
        <f>IFERROR(VLOOKUP(F2636,#REF!,10,FALSE),"")</f>
        <v/>
      </c>
      <c r="I2636" s="1699" t="str">
        <f t="shared" si="391"/>
        <v/>
      </c>
      <c r="J2636" s="1700"/>
      <c r="K2636" s="1755"/>
      <c r="L2636" s="1578"/>
      <c r="M2636" s="1700"/>
      <c r="N2636" s="1701" t="str">
        <f t="shared" si="392"/>
        <v/>
      </c>
      <c r="O2636" s="1702"/>
      <c r="P2636" s="1635" t="str">
        <f>IFERROR(VLOOKUP(F2636,#REF!,12,FALSE),"")</f>
        <v/>
      </c>
      <c r="Q2636" s="1636" t="s">
        <v>8</v>
      </c>
      <c r="R2636" s="1703" t="str">
        <f>IFERROR(VLOOKUP(F2636,#REF!,14,FALSE),"")</f>
        <v/>
      </c>
      <c r="S2636" s="1704" t="str">
        <f t="shared" si="393"/>
        <v/>
      </c>
      <c r="T2636" s="1379">
        <f t="shared" si="394"/>
        <v>17.157179900381497</v>
      </c>
      <c r="U2636" s="1379">
        <f t="shared" si="395"/>
        <v>16.431505241620098</v>
      </c>
      <c r="V2636" s="1695">
        <f t="shared" si="396"/>
        <v>-3.1844362216309925</v>
      </c>
      <c r="W2636" s="1767">
        <f t="shared" si="397"/>
        <v>1.0441636142331809</v>
      </c>
      <c r="X2636" s="1695">
        <v>260</v>
      </c>
    </row>
    <row r="2637" spans="1:24" ht="16" thickBot="1" x14ac:dyDescent="0.25">
      <c r="A2637" s="1650" t="s">
        <v>5</v>
      </c>
      <c r="B2637" s="1678">
        <f t="shared" ref="B2637" si="450">IFERROR(SUM(M2631:M2637),"")</f>
        <v>111</v>
      </c>
      <c r="C2637" s="1360">
        <v>45725</v>
      </c>
      <c r="D2637" s="683">
        <v>29</v>
      </c>
      <c r="E2637" s="684" t="s">
        <v>292</v>
      </c>
      <c r="F2637" s="1933" t="s">
        <v>308</v>
      </c>
      <c r="G2637" s="1361">
        <v>5.0162037037037033E-2</v>
      </c>
      <c r="H2637" s="1362">
        <v>12.08</v>
      </c>
      <c r="I2637" s="1363">
        <f t="shared" si="391"/>
        <v>4.1524865096884958E-3</v>
      </c>
      <c r="J2637" s="1364">
        <v>135</v>
      </c>
      <c r="K2637" s="1747">
        <v>56</v>
      </c>
      <c r="L2637" s="1705">
        <v>202</v>
      </c>
      <c r="M2637" s="1364">
        <v>46</v>
      </c>
      <c r="N2637" s="1365">
        <f t="shared" si="392"/>
        <v>1.0816793515864385</v>
      </c>
      <c r="O2637" s="1366" t="s">
        <v>346</v>
      </c>
      <c r="P2637" s="1706" t="str">
        <f>IFERROR(VLOOKUP(F2637,#REF!,12,FALSE),"")</f>
        <v/>
      </c>
      <c r="Q2637" s="1707" t="s">
        <v>8</v>
      </c>
      <c r="R2637" s="1708" t="str">
        <f>IFERROR(VLOOKUP(F2637,#REF!,14,FALSE),"")</f>
        <v/>
      </c>
      <c r="S2637" s="1191">
        <f t="shared" si="393"/>
        <v>1.4962962962962962</v>
      </c>
      <c r="T2637" s="1897">
        <f t="shared" si="394"/>
        <v>22.706154200326999</v>
      </c>
      <c r="U2637" s="1897">
        <f t="shared" si="395"/>
        <v>17.373612259676761</v>
      </c>
      <c r="V2637" s="683">
        <f t="shared" si="396"/>
        <v>-0.72567465876139892</v>
      </c>
      <c r="W2637" s="1768">
        <f t="shared" si="397"/>
        <v>1.3069334034250775</v>
      </c>
      <c r="X2637" s="683">
        <v>260</v>
      </c>
    </row>
    <row r="2638" spans="1:24" ht="16" thickBot="1" x14ac:dyDescent="0.25">
      <c r="A2638" s="1962">
        <f t="shared" ref="A2638" si="451">WEEKNUM(C2638,1)</f>
        <v>11</v>
      </c>
      <c r="B2638" s="1963"/>
      <c r="C2638" s="1368">
        <v>45726</v>
      </c>
      <c r="D2638" s="1369">
        <v>30</v>
      </c>
      <c r="E2638" s="1370" t="s">
        <v>292</v>
      </c>
      <c r="F2638" s="1934" t="s">
        <v>343</v>
      </c>
      <c r="G2638" s="1371">
        <v>2.4606481481481483E-2</v>
      </c>
      <c r="H2638" s="1372">
        <v>6.05</v>
      </c>
      <c r="I2638" s="1373">
        <f t="shared" si="391"/>
        <v>4.0671870217324768E-3</v>
      </c>
      <c r="J2638" s="1374">
        <v>125</v>
      </c>
      <c r="K2638" s="1745">
        <v>26</v>
      </c>
      <c r="L2638" s="1577">
        <v>200</v>
      </c>
      <c r="M2638" s="1374">
        <v>22</v>
      </c>
      <c r="N2638" s="1375">
        <f t="shared" si="392"/>
        <v>1.0489700259035404</v>
      </c>
      <c r="O2638" s="1376" t="s">
        <v>333</v>
      </c>
      <c r="P2638" s="795" t="str">
        <f>IFERROR(VLOOKUP(F2638,#REF!,12,FALSE),"")</f>
        <v/>
      </c>
      <c r="Q2638" s="1254" t="s">
        <v>8</v>
      </c>
      <c r="R2638" s="1694" t="str">
        <f>IFERROR(VLOOKUP(F2638,#REF!,14,FALSE),"")</f>
        <v/>
      </c>
      <c r="S2638" s="1377">
        <f t="shared" si="393"/>
        <v>1.6</v>
      </c>
      <c r="T2638" s="1369">
        <f t="shared" si="394"/>
        <v>23.176703600280284</v>
      </c>
      <c r="U2638" s="1369">
        <f t="shared" si="395"/>
        <v>17.579002443970172</v>
      </c>
      <c r="V2638" s="1369">
        <f t="shared" si="396"/>
        <v>-5.3325419406502377</v>
      </c>
      <c r="W2638" s="1766">
        <f t="shared" si="397"/>
        <v>1.3184311040488077</v>
      </c>
      <c r="X2638" s="1369">
        <v>260</v>
      </c>
    </row>
    <row r="2639" spans="1:24" x14ac:dyDescent="0.2">
      <c r="A2639" s="1648" t="s">
        <v>142</v>
      </c>
      <c r="B2639" s="1679">
        <f t="shared" ref="B2639" si="452">SUM(H2638:H2644)</f>
        <v>41.76</v>
      </c>
      <c r="C2639" s="1651">
        <v>45727</v>
      </c>
      <c r="D2639" s="1695"/>
      <c r="E2639" s="1696"/>
      <c r="F2639" s="1935"/>
      <c r="G2639" s="1697"/>
      <c r="H2639" s="1698" t="str">
        <f>IFERROR(VLOOKUP(F2639,#REF!,10,FALSE),"")</f>
        <v/>
      </c>
      <c r="I2639" s="1699" t="str">
        <f t="shared" si="391"/>
        <v/>
      </c>
      <c r="J2639" s="1700"/>
      <c r="K2639" s="1755"/>
      <c r="L2639" s="1578"/>
      <c r="M2639" s="1700"/>
      <c r="N2639" s="1701" t="str">
        <f t="shared" si="392"/>
        <v/>
      </c>
      <c r="O2639" s="1702"/>
      <c r="P2639" s="1635" t="str">
        <f>IFERROR(VLOOKUP(F2639,#REF!,12,FALSE),"")</f>
        <v/>
      </c>
      <c r="Q2639" s="1636" t="s">
        <v>8</v>
      </c>
      <c r="R2639" s="1703" t="str">
        <f>IFERROR(VLOOKUP(F2639,#REF!,14,FALSE),"")</f>
        <v/>
      </c>
      <c r="S2639" s="1704" t="str">
        <f t="shared" si="393"/>
        <v/>
      </c>
      <c r="T2639" s="1828">
        <f t="shared" si="394"/>
        <v>19.865745943097387</v>
      </c>
      <c r="U2639" s="1828">
        <f t="shared" si="395"/>
        <v>17.160454766732787</v>
      </c>
      <c r="V2639" s="1695">
        <f t="shared" si="396"/>
        <v>-5.5977011563101122</v>
      </c>
      <c r="W2639" s="1767">
        <f t="shared" si="397"/>
        <v>1.1576468230672459</v>
      </c>
      <c r="X2639" s="1695">
        <v>260</v>
      </c>
    </row>
    <row r="2640" spans="1:24" x14ac:dyDescent="0.2">
      <c r="A2640" s="1649" t="s">
        <v>347</v>
      </c>
      <c r="B2640" s="1680">
        <f t="shared" ref="B2640" si="453">SUM(K2638:K2644)</f>
        <v>209</v>
      </c>
      <c r="C2640" s="1651">
        <v>45728</v>
      </c>
      <c r="D2640" s="1695">
        <v>31</v>
      </c>
      <c r="E2640" s="1696" t="s">
        <v>293</v>
      </c>
      <c r="F2640" s="1935" t="s">
        <v>343</v>
      </c>
      <c r="G2640" s="1697">
        <v>2.7986111111111111E-2</v>
      </c>
      <c r="H2640" s="1698">
        <v>7.08</v>
      </c>
      <c r="I2640" s="1699">
        <f t="shared" si="391"/>
        <v>3.9528405524168232E-3</v>
      </c>
      <c r="J2640" s="1700">
        <v>126</v>
      </c>
      <c r="K2640" s="1755">
        <v>37</v>
      </c>
      <c r="L2640" s="1578">
        <v>212</v>
      </c>
      <c r="M2640" s="1700">
        <v>24</v>
      </c>
      <c r="N2640" s="1701">
        <f t="shared" si="392"/>
        <v>1.0806476094105741</v>
      </c>
      <c r="O2640" s="1702" t="s">
        <v>340</v>
      </c>
      <c r="P2640" s="1635" t="str">
        <f>IFERROR(VLOOKUP(F2640,#REF!,12,FALSE),"")</f>
        <v/>
      </c>
      <c r="Q2640" s="1636" t="s">
        <v>8</v>
      </c>
      <c r="R2640" s="1703" t="str">
        <f>IFERROR(VLOOKUP(F2640,#REF!,14,FALSE),"")</f>
        <v/>
      </c>
      <c r="S2640" s="1704">
        <f t="shared" si="393"/>
        <v>1.6825396825396826</v>
      </c>
      <c r="T2640" s="1828">
        <f t="shared" si="394"/>
        <v>22.313496522654905</v>
      </c>
      <c r="U2640" s="1828">
        <f t="shared" si="395"/>
        <v>17.632824891334387</v>
      </c>
      <c r="V2640" s="1695">
        <f t="shared" si="396"/>
        <v>-2.7052911763646001</v>
      </c>
      <c r="W2640" s="1767">
        <f t="shared" si="397"/>
        <v>1.2654521700388928</v>
      </c>
      <c r="X2640" s="1695">
        <v>260</v>
      </c>
    </row>
    <row r="2641" spans="1:24" x14ac:dyDescent="0.2">
      <c r="A2641" s="1649" t="s">
        <v>256</v>
      </c>
      <c r="B2641" s="1677">
        <f t="shared" ref="B2641" si="454">AVERAGE(W2638:W2644)</f>
        <v>1.3354865892813947</v>
      </c>
      <c r="C2641" s="1651">
        <v>45729</v>
      </c>
      <c r="D2641" s="1695">
        <v>32</v>
      </c>
      <c r="E2641" s="1696" t="s">
        <v>293</v>
      </c>
      <c r="F2641" s="1935" t="s">
        <v>338</v>
      </c>
      <c r="G2641" s="1697">
        <v>3.318287037037037E-2</v>
      </c>
      <c r="H2641" s="1698">
        <v>9.23</v>
      </c>
      <c r="I2641" s="1699">
        <f t="shared" si="391"/>
        <v>3.5951105493359013E-3</v>
      </c>
      <c r="J2641" s="1700">
        <v>142</v>
      </c>
      <c r="K2641" s="1755">
        <v>58</v>
      </c>
      <c r="L2641" s="1578">
        <v>228</v>
      </c>
      <c r="M2641" s="1700">
        <v>32</v>
      </c>
      <c r="N2641" s="1701">
        <f t="shared" si="392"/>
        <v>1.0570268915444445</v>
      </c>
      <c r="O2641" s="1702" t="s">
        <v>345</v>
      </c>
      <c r="P2641" s="1635" t="str">
        <f>IFERROR(VLOOKUP(F2641,#REF!,12,FALSE),"")</f>
        <v/>
      </c>
      <c r="Q2641" s="1636" t="s">
        <v>8</v>
      </c>
      <c r="R2641" s="1703" t="str">
        <f>IFERROR(VLOOKUP(F2641,#REF!,14,FALSE),"")</f>
        <v/>
      </c>
      <c r="S2641" s="1704">
        <f t="shared" si="393"/>
        <v>1.6056338028169015</v>
      </c>
      <c r="T2641" s="1828">
        <f t="shared" si="394"/>
        <v>27.411568447989918</v>
      </c>
      <c r="U2641" s="1828">
        <f t="shared" si="395"/>
        <v>18.593948108207378</v>
      </c>
      <c r="V2641" s="1695">
        <f t="shared" si="396"/>
        <v>-4.6806716313205179</v>
      </c>
      <c r="W2641" s="1767">
        <f t="shared" si="397"/>
        <v>1.4742199068464883</v>
      </c>
      <c r="X2641" s="1695">
        <v>259</v>
      </c>
    </row>
    <row r="2642" spans="1:24" x14ac:dyDescent="0.2">
      <c r="A2642" s="1649" t="s">
        <v>336</v>
      </c>
      <c r="B2642" s="1713">
        <f t="shared" ref="B2642" si="455">IFERROR(AVERAGE(N2638:N2644),"")</f>
        <v>1.065200299305276</v>
      </c>
      <c r="C2642" s="1651">
        <v>45730</v>
      </c>
      <c r="D2642" s="1695"/>
      <c r="E2642" s="1696"/>
      <c r="F2642" s="1935"/>
      <c r="G2642" s="1697"/>
      <c r="H2642" s="1698" t="str">
        <f>IFERROR(VLOOKUP(F2642,#REF!,10,FALSE),"")</f>
        <v/>
      </c>
      <c r="I2642" s="1699" t="str">
        <f t="shared" si="391"/>
        <v/>
      </c>
      <c r="J2642" s="1700"/>
      <c r="K2642" s="1755"/>
      <c r="L2642" s="1578"/>
      <c r="M2642" s="1700"/>
      <c r="N2642" s="1701" t="str">
        <f t="shared" si="392"/>
        <v/>
      </c>
      <c r="O2642" s="1702"/>
      <c r="P2642" s="1635" t="str">
        <f>IFERROR(VLOOKUP(F2642,#REF!,12,FALSE),"")</f>
        <v/>
      </c>
      <c r="Q2642" s="1636" t="s">
        <v>8</v>
      </c>
      <c r="R2642" s="1703" t="str">
        <f>IFERROR(VLOOKUP(F2642,#REF!,14,FALSE),"")</f>
        <v/>
      </c>
      <c r="S2642" s="1704" t="str">
        <f t="shared" si="393"/>
        <v/>
      </c>
      <c r="T2642" s="1828">
        <f t="shared" si="394"/>
        <v>23.495630098277072</v>
      </c>
      <c r="U2642" s="1828">
        <f t="shared" si="395"/>
        <v>18.151235058011963</v>
      </c>
      <c r="V2642" s="1695">
        <f t="shared" si="396"/>
        <v>-8.8176203397825397</v>
      </c>
      <c r="W2642" s="1767">
        <f t="shared" si="397"/>
        <v>1.2944369913774043</v>
      </c>
      <c r="X2642" s="1695">
        <v>259</v>
      </c>
    </row>
    <row r="2643" spans="1:24" x14ac:dyDescent="0.2">
      <c r="A2643" s="1649" t="s">
        <v>337</v>
      </c>
      <c r="B2643" s="1681">
        <f t="shared" ref="B2643" si="456">IFERROR(AVERAGE(S2638:S2644),"")</f>
        <v>1.5888359284963358</v>
      </c>
      <c r="C2643" s="1651">
        <v>45731</v>
      </c>
      <c r="D2643" s="1695">
        <v>33</v>
      </c>
      <c r="E2643" s="1696" t="s">
        <v>292</v>
      </c>
      <c r="F2643" s="1935" t="s">
        <v>343</v>
      </c>
      <c r="G2643" s="1697">
        <v>2.900462962962963E-2</v>
      </c>
      <c r="H2643" s="1698">
        <v>6.86</v>
      </c>
      <c r="I2643" s="1699">
        <f t="shared" si="391"/>
        <v>4.2280801209372641E-3</v>
      </c>
      <c r="J2643" s="1700">
        <v>133</v>
      </c>
      <c r="K2643" s="1755">
        <v>31</v>
      </c>
      <c r="L2643" s="1578">
        <v>197</v>
      </c>
      <c r="M2643" s="1700">
        <v>21</v>
      </c>
      <c r="N2643" s="1701">
        <f t="shared" si="392"/>
        <v>1.0741090466037162</v>
      </c>
      <c r="O2643" s="1702" t="s">
        <v>346</v>
      </c>
      <c r="P2643" s="1635" t="str">
        <f>IFERROR(VLOOKUP(F2643,#REF!,12,FALSE),"")</f>
        <v/>
      </c>
      <c r="Q2643" s="1636" t="s">
        <v>8</v>
      </c>
      <c r="R2643" s="1703" t="str">
        <f>IFERROR(VLOOKUP(F2643,#REF!,14,FALSE),"")</f>
        <v/>
      </c>
      <c r="S2643" s="1704">
        <f t="shared" si="393"/>
        <v>1.481203007518797</v>
      </c>
      <c r="T2643" s="1828">
        <f t="shared" si="394"/>
        <v>24.567682941380347</v>
      </c>
      <c r="U2643" s="1828">
        <f t="shared" si="395"/>
        <v>18.457158032821201</v>
      </c>
      <c r="V2643" s="1695">
        <f t="shared" si="396"/>
        <v>-5.344395040265109</v>
      </c>
      <c r="W2643" s="1767">
        <f t="shared" si="397"/>
        <v>1.3310653188152362</v>
      </c>
      <c r="X2643" s="1695">
        <v>259</v>
      </c>
    </row>
    <row r="2644" spans="1:24" ht="16" thickBot="1" x14ac:dyDescent="0.25">
      <c r="A2644" s="1650" t="s">
        <v>5</v>
      </c>
      <c r="B2644" s="1678">
        <f t="shared" ref="B2644" si="457">IFERROR(SUM(M2638:M2644),"")</f>
        <v>152</v>
      </c>
      <c r="C2644" s="1360">
        <v>45732</v>
      </c>
      <c r="D2644" s="683">
        <v>34</v>
      </c>
      <c r="E2644" s="684" t="s">
        <v>292</v>
      </c>
      <c r="F2644" s="1933" t="s">
        <v>273</v>
      </c>
      <c r="G2644" s="1361">
        <v>5.1793981481481483E-2</v>
      </c>
      <c r="H2644" s="1362">
        <v>12.54</v>
      </c>
      <c r="I2644" s="1363">
        <f t="shared" si="391"/>
        <v>4.1303015535471676E-3</v>
      </c>
      <c r="J2644" s="1364">
        <v>127</v>
      </c>
      <c r="K2644" s="1747">
        <v>57</v>
      </c>
      <c r="L2644" s="1705">
        <v>200</v>
      </c>
      <c r="M2644" s="1364">
        <v>53</v>
      </c>
      <c r="N2644" s="1365">
        <f t="shared" si="392"/>
        <v>1.0652479230641054</v>
      </c>
      <c r="O2644" s="1366" t="s">
        <v>333</v>
      </c>
      <c r="P2644" s="1706" t="str">
        <f>IFERROR(VLOOKUP(F2644,#REF!,12,FALSE),"")</f>
        <v/>
      </c>
      <c r="Q2644" s="1707" t="s">
        <v>8</v>
      </c>
      <c r="R2644" s="1708" t="str">
        <f>IFERROR(VLOOKUP(F2644,#REF!,14,FALSE),"")</f>
        <v/>
      </c>
      <c r="S2644" s="1191">
        <f t="shared" si="393"/>
        <v>1.5748031496062993</v>
      </c>
      <c r="T2644" s="1829">
        <f t="shared" si="394"/>
        <v>29.200871092611727</v>
      </c>
      <c r="U2644" s="1829">
        <f t="shared" si="395"/>
        <v>19.374844746325458</v>
      </c>
      <c r="V2644" s="683">
        <f t="shared" si="396"/>
        <v>-6.110524908559146</v>
      </c>
      <c r="W2644" s="1768">
        <f t="shared" si="397"/>
        <v>1.5071538107756877</v>
      </c>
      <c r="X2644" s="683">
        <v>259</v>
      </c>
    </row>
    <row r="2645" spans="1:24" ht="16" thickBot="1" x14ac:dyDescent="0.25">
      <c r="A2645" s="1962">
        <f t="shared" ref="A2645" si="458">WEEKNUM(C2645,1)</f>
        <v>12</v>
      </c>
      <c r="B2645" s="1963"/>
      <c r="C2645" s="1368">
        <v>45733</v>
      </c>
      <c r="D2645" s="1369"/>
      <c r="E2645" s="1370"/>
      <c r="F2645" s="1936"/>
      <c r="G2645" s="1371"/>
      <c r="H2645" s="1372" t="str">
        <f>IFERROR(VLOOKUP(F2645,#REF!,10,FALSE),"")</f>
        <v/>
      </c>
      <c r="I2645" s="1373" t="str">
        <f t="shared" si="391"/>
        <v/>
      </c>
      <c r="J2645" s="1374"/>
      <c r="K2645" s="1745"/>
      <c r="L2645" s="1577"/>
      <c r="M2645" s="1374"/>
      <c r="N2645" s="1375" t="str">
        <f t="shared" si="392"/>
        <v/>
      </c>
      <c r="O2645" s="1376"/>
      <c r="P2645" s="795" t="str">
        <f>IFERROR(VLOOKUP(F2645,#REF!,12,FALSE),"")</f>
        <v/>
      </c>
      <c r="Q2645" s="1254" t="s">
        <v>8</v>
      </c>
      <c r="R2645" s="1694" t="str">
        <f>IFERROR(VLOOKUP(F2645,#REF!,14,FALSE),"")</f>
        <v/>
      </c>
      <c r="S2645" s="1377" t="str">
        <f t="shared" si="393"/>
        <v/>
      </c>
      <c r="T2645" s="70">
        <f t="shared" si="394"/>
        <v>25.029318079381483</v>
      </c>
      <c r="U2645" s="70">
        <f t="shared" si="395"/>
        <v>18.913538919031996</v>
      </c>
      <c r="V2645" s="1369">
        <f t="shared" si="396"/>
        <v>-9.8260263462862696</v>
      </c>
      <c r="W2645" s="1766">
        <f t="shared" si="397"/>
        <v>1.3233545655591405</v>
      </c>
      <c r="X2645" s="1369">
        <v>259</v>
      </c>
    </row>
    <row r="2646" spans="1:24" x14ac:dyDescent="0.2">
      <c r="A2646" s="1648" t="s">
        <v>142</v>
      </c>
      <c r="B2646" s="1679">
        <f t="shared" ref="B2646" si="459">SUM(H2645:H2651)</f>
        <v>31.41</v>
      </c>
      <c r="C2646" s="1651">
        <v>45734</v>
      </c>
      <c r="D2646" s="1695">
        <v>35</v>
      </c>
      <c r="E2646" s="1696" t="s">
        <v>293</v>
      </c>
      <c r="F2646" s="1937" t="s">
        <v>343</v>
      </c>
      <c r="G2646" s="1697">
        <v>2.855324074074074E-2</v>
      </c>
      <c r="H2646" s="1698">
        <v>7.24</v>
      </c>
      <c r="I2646" s="1699">
        <f t="shared" si="391"/>
        <v>3.9438177818702678E-3</v>
      </c>
      <c r="J2646" s="1700">
        <v>129</v>
      </c>
      <c r="K2646" s="1755">
        <v>39</v>
      </c>
      <c r="L2646" s="1578">
        <v>215</v>
      </c>
      <c r="M2646" s="1700">
        <v>27</v>
      </c>
      <c r="N2646" s="1701">
        <f t="shared" si="392"/>
        <v>1.0934381957615238</v>
      </c>
      <c r="O2646" s="1702" t="s">
        <v>328</v>
      </c>
      <c r="P2646" s="1635" t="str">
        <f>IFERROR(VLOOKUP(F2646,#REF!,12,FALSE),"")</f>
        <v/>
      </c>
      <c r="Q2646" s="1636" t="s">
        <v>8</v>
      </c>
      <c r="R2646" s="1703" t="str">
        <f>IFERROR(VLOOKUP(F2646,#REF!,14,FALSE),"")</f>
        <v/>
      </c>
      <c r="S2646" s="1704">
        <f t="shared" si="393"/>
        <v>1.6666666666666667</v>
      </c>
      <c r="T2646" s="1379">
        <f t="shared" si="394"/>
        <v>27.025129782326985</v>
      </c>
      <c r="U2646" s="1379">
        <f t="shared" si="395"/>
        <v>19.391787992388377</v>
      </c>
      <c r="V2646" s="1695">
        <f t="shared" si="396"/>
        <v>-6.1157791603494864</v>
      </c>
      <c r="W2646" s="1767">
        <f t="shared" si="397"/>
        <v>1.3936378529372759</v>
      </c>
      <c r="X2646" s="1695">
        <v>259</v>
      </c>
    </row>
    <row r="2647" spans="1:24" x14ac:dyDescent="0.2">
      <c r="A2647" s="1649" t="s">
        <v>347</v>
      </c>
      <c r="B2647" s="1680">
        <f t="shared" ref="B2647" si="460">SUM(K2645:K2651)</f>
        <v>145</v>
      </c>
      <c r="C2647" s="1651">
        <v>45735</v>
      </c>
      <c r="D2647" s="1695">
        <v>36</v>
      </c>
      <c r="E2647" s="1696" t="s">
        <v>293</v>
      </c>
      <c r="F2647" s="1937" t="s">
        <v>343</v>
      </c>
      <c r="G2647" s="1697">
        <v>2.8564814814814814E-2</v>
      </c>
      <c r="H2647" s="1698">
        <v>7</v>
      </c>
      <c r="I2647" s="1699">
        <f t="shared" si="391"/>
        <v>4.0806878306878305E-3</v>
      </c>
      <c r="J2647" s="1700">
        <v>125</v>
      </c>
      <c r="K2647" s="1755">
        <v>33</v>
      </c>
      <c r="L2647" s="1578">
        <v>202</v>
      </c>
      <c r="M2647" s="1700">
        <v>23</v>
      </c>
      <c r="N2647" s="1701">
        <f t="shared" si="392"/>
        <v>1.0629765458422173</v>
      </c>
      <c r="O2647" s="1702" t="s">
        <v>333</v>
      </c>
      <c r="P2647" s="1635" t="str">
        <f>IFERROR(VLOOKUP(F2647,#REF!,12,FALSE),"")</f>
        <v/>
      </c>
      <c r="Q2647" s="1636" t="s">
        <v>8</v>
      </c>
      <c r="R2647" s="1703" t="str">
        <f>IFERROR(VLOOKUP(F2647,#REF!,14,FALSE),"")</f>
        <v/>
      </c>
      <c r="S2647" s="1704">
        <f t="shared" si="393"/>
        <v>1.6160000000000001</v>
      </c>
      <c r="T2647" s="1379">
        <f t="shared" si="394"/>
        <v>27.878682670565986</v>
      </c>
      <c r="U2647" s="1379">
        <f t="shared" si="395"/>
        <v>19.715793040188654</v>
      </c>
      <c r="V2647" s="1695">
        <f t="shared" si="396"/>
        <v>-7.6333417899386085</v>
      </c>
      <c r="W2647" s="1767">
        <f t="shared" si="397"/>
        <v>1.4140279629502148</v>
      </c>
      <c r="X2647" s="1695">
        <v>259</v>
      </c>
    </row>
    <row r="2648" spans="1:24" x14ac:dyDescent="0.2">
      <c r="A2648" s="1649" t="s">
        <v>256</v>
      </c>
      <c r="B2648" s="1677">
        <f t="shared" ref="B2648" si="461">AVERAGE(W2645:W2651)</f>
        <v>1.2894048199110124</v>
      </c>
      <c r="C2648" s="1651">
        <v>45736</v>
      </c>
      <c r="D2648" s="1695"/>
      <c r="E2648" s="1696"/>
      <c r="F2648" s="1937"/>
      <c r="G2648" s="1697"/>
      <c r="H2648" s="1698" t="str">
        <f>IFERROR(VLOOKUP(F2648,#REF!,10,FALSE),"")</f>
        <v/>
      </c>
      <c r="I2648" s="1699" t="str">
        <f t="shared" ref="I2648:I2711" si="462">IFERROR(G2648/H2648,"")</f>
        <v/>
      </c>
      <c r="J2648" s="1700"/>
      <c r="K2648" s="1755"/>
      <c r="L2648" s="1578"/>
      <c r="M2648" s="1700"/>
      <c r="N2648" s="1701" t="str">
        <f t="shared" ref="N2648:N2711" si="463">IFERROR((L2648/67)/(1/(I2648*24)/3.6),"")</f>
        <v/>
      </c>
      <c r="O2648" s="1702"/>
      <c r="P2648" s="1635" t="str">
        <f>IFERROR(VLOOKUP(F2648,#REF!,12,FALSE),"")</f>
        <v/>
      </c>
      <c r="Q2648" s="1636" t="s">
        <v>8</v>
      </c>
      <c r="R2648" s="1703" t="str">
        <f>IFERROR(VLOOKUP(F2648,#REF!,14,FALSE),"")</f>
        <v/>
      </c>
      <c r="S2648" s="1704" t="str">
        <f t="shared" ref="S2648:S2711" si="464">IFERROR(L2648/J2648,"")</f>
        <v/>
      </c>
      <c r="T2648" s="1379">
        <f t="shared" ref="T2648:T2711" si="465">T2647+(K2648-T2647)/7</f>
        <v>23.896013717627987</v>
      </c>
      <c r="U2648" s="1379">
        <f t="shared" ref="U2648:U2711" si="466">U2647+(K2648-U2647)/42</f>
        <v>19.246369396374639</v>
      </c>
      <c r="V2648" s="1695">
        <f t="shared" ref="V2648:V2711" si="467">U2647-T2647</f>
        <v>-8.1628896303773324</v>
      </c>
      <c r="W2648" s="1767">
        <f t="shared" ref="W2648:W2711" si="468">T2648/U2648</f>
        <v>1.2415855284440911</v>
      </c>
      <c r="X2648" s="1695">
        <v>259</v>
      </c>
    </row>
    <row r="2649" spans="1:24" x14ac:dyDescent="0.2">
      <c r="A2649" s="1649" t="s">
        <v>336</v>
      </c>
      <c r="B2649" s="1713">
        <f t="shared" ref="B2649" si="469">IFERROR(AVERAGE(N2645:N2651),"")</f>
        <v>1.0685020716210949</v>
      </c>
      <c r="C2649" s="1651">
        <v>45737</v>
      </c>
      <c r="D2649" s="1695">
        <v>37</v>
      </c>
      <c r="E2649" s="1696" t="s">
        <v>293</v>
      </c>
      <c r="F2649" s="1937" t="s">
        <v>343</v>
      </c>
      <c r="G2649" s="1697">
        <v>3.1319444444444448E-2</v>
      </c>
      <c r="H2649" s="1698">
        <v>7.65</v>
      </c>
      <c r="I2649" s="1699">
        <f t="shared" si="462"/>
        <v>4.0940450254175744E-3</v>
      </c>
      <c r="J2649" s="1700">
        <v>125</v>
      </c>
      <c r="K2649" s="1755">
        <v>33</v>
      </c>
      <c r="L2649" s="1578">
        <v>199</v>
      </c>
      <c r="M2649" s="1700">
        <v>21</v>
      </c>
      <c r="N2649" s="1701">
        <f t="shared" si="463"/>
        <v>1.0506175007316358</v>
      </c>
      <c r="O2649" s="1702" t="s">
        <v>333</v>
      </c>
      <c r="P2649" s="1635" t="str">
        <f>IFERROR(VLOOKUP(F2649,#REF!,12,FALSE),"")</f>
        <v/>
      </c>
      <c r="Q2649" s="1636" t="s">
        <v>8</v>
      </c>
      <c r="R2649" s="1703" t="str">
        <f>IFERROR(VLOOKUP(F2649,#REF!,14,FALSE),"")</f>
        <v/>
      </c>
      <c r="S2649" s="1704">
        <f t="shared" si="464"/>
        <v>1.5920000000000001</v>
      </c>
      <c r="T2649" s="1379">
        <f t="shared" si="465"/>
        <v>25.196583186538273</v>
      </c>
      <c r="U2649" s="1379">
        <f t="shared" si="466"/>
        <v>19.573836791699051</v>
      </c>
      <c r="V2649" s="1695">
        <f t="shared" si="467"/>
        <v>-4.6496443212533478</v>
      </c>
      <c r="W2649" s="1767">
        <f t="shared" si="468"/>
        <v>1.2872582649316735</v>
      </c>
      <c r="X2649" s="1695">
        <v>259</v>
      </c>
    </row>
    <row r="2650" spans="1:24" x14ac:dyDescent="0.2">
      <c r="A2650" s="1649" t="s">
        <v>337</v>
      </c>
      <c r="B2650" s="1681">
        <f t="shared" ref="B2650" si="470">IFERROR(AVERAGE(S2645:S2651),"")</f>
        <v>1.6103333333333332</v>
      </c>
      <c r="C2650" s="1651">
        <v>45738</v>
      </c>
      <c r="D2650" s="1695"/>
      <c r="E2650" s="1696"/>
      <c r="F2650" s="1938"/>
      <c r="G2650" s="1697"/>
      <c r="H2650" s="1698" t="str">
        <f>IFERROR(VLOOKUP(F2650,#REF!,10,FALSE),"")</f>
        <v/>
      </c>
      <c r="I2650" s="1699" t="str">
        <f t="shared" si="462"/>
        <v/>
      </c>
      <c r="J2650" s="1700"/>
      <c r="K2650" s="1755"/>
      <c r="L2650" s="1578"/>
      <c r="M2650" s="1700"/>
      <c r="N2650" s="1701" t="str">
        <f t="shared" si="463"/>
        <v/>
      </c>
      <c r="O2650" s="1702"/>
      <c r="P2650" s="1635" t="str">
        <f>IFERROR(VLOOKUP(F2650,#REF!,12,FALSE),"")</f>
        <v/>
      </c>
      <c r="Q2650" s="1636" t="s">
        <v>8</v>
      </c>
      <c r="R2650" s="1703" t="str">
        <f>IFERROR(VLOOKUP(F2650,#REF!,14,FALSE),"")</f>
        <v/>
      </c>
      <c r="S2650" s="1704" t="str">
        <f t="shared" si="464"/>
        <v/>
      </c>
      <c r="T2650" s="1379">
        <f t="shared" si="465"/>
        <v>21.597071302747093</v>
      </c>
      <c r="U2650" s="1379">
        <f t="shared" si="466"/>
        <v>19.10779305856336</v>
      </c>
      <c r="V2650" s="1695">
        <f t="shared" si="467"/>
        <v>-5.622746394839222</v>
      </c>
      <c r="W2650" s="1767">
        <f t="shared" si="468"/>
        <v>1.1302755496961034</v>
      </c>
      <c r="X2650" s="1695">
        <v>259</v>
      </c>
    </row>
    <row r="2651" spans="1:24" ht="16" thickBot="1" x14ac:dyDescent="0.25">
      <c r="A2651" s="1650" t="s">
        <v>5</v>
      </c>
      <c r="B2651" s="1678">
        <f t="shared" ref="B2651" si="471">IFERROR(SUM(M2645:M2651),"")</f>
        <v>97</v>
      </c>
      <c r="C2651" s="1360">
        <v>45739</v>
      </c>
      <c r="D2651" s="683">
        <v>38</v>
      </c>
      <c r="E2651" s="684" t="s">
        <v>292</v>
      </c>
      <c r="F2651" s="1939" t="s">
        <v>279</v>
      </c>
      <c r="G2651" s="1361">
        <v>4.189814814814815E-2</v>
      </c>
      <c r="H2651" s="1362">
        <v>9.52</v>
      </c>
      <c r="I2651" s="1363">
        <f t="shared" si="462"/>
        <v>4.4010659819483352E-3</v>
      </c>
      <c r="J2651" s="1364">
        <v>120</v>
      </c>
      <c r="K2651" s="1747">
        <v>40</v>
      </c>
      <c r="L2651" s="1705">
        <v>188</v>
      </c>
      <c r="M2651" s="1364">
        <v>26</v>
      </c>
      <c r="N2651" s="1365">
        <f t="shared" si="463"/>
        <v>1.066976044149003</v>
      </c>
      <c r="O2651" s="1366" t="s">
        <v>346</v>
      </c>
      <c r="P2651" s="1706" t="str">
        <f>IFERROR(VLOOKUP(F2651,#REF!,12,FALSE),"")</f>
        <v/>
      </c>
      <c r="Q2651" s="1707" t="s">
        <v>8</v>
      </c>
      <c r="R2651" s="1708" t="str">
        <f>IFERROR(VLOOKUP(F2651,#REF!,14,FALSE),"")</f>
        <v/>
      </c>
      <c r="S2651" s="1191">
        <f t="shared" si="464"/>
        <v>1.5666666666666667</v>
      </c>
      <c r="T2651" s="1897">
        <f t="shared" si="465"/>
        <v>24.226061116640366</v>
      </c>
      <c r="U2651" s="1897">
        <f t="shared" si="466"/>
        <v>19.605226557168994</v>
      </c>
      <c r="V2651" s="683">
        <f t="shared" si="467"/>
        <v>-2.4892782441837333</v>
      </c>
      <c r="W2651" s="1768">
        <f t="shared" si="468"/>
        <v>1.235694014858588</v>
      </c>
      <c r="X2651" s="683">
        <v>259</v>
      </c>
    </row>
    <row r="2652" spans="1:24" ht="16" thickBot="1" x14ac:dyDescent="0.25">
      <c r="A2652" s="1962">
        <f t="shared" ref="A2652" si="472">WEEKNUM(C2652,1)</f>
        <v>13</v>
      </c>
      <c r="B2652" s="1963"/>
      <c r="C2652" s="1368">
        <v>45740</v>
      </c>
      <c r="D2652" s="1369">
        <v>39</v>
      </c>
      <c r="E2652" s="1370" t="s">
        <v>293</v>
      </c>
      <c r="F2652" s="1934" t="s">
        <v>343</v>
      </c>
      <c r="G2652" s="1371">
        <v>2.4189814814814813E-2</v>
      </c>
      <c r="H2652" s="1372">
        <v>6.09</v>
      </c>
      <c r="I2652" s="1373">
        <f t="shared" si="462"/>
        <v>3.9720549778021041E-3</v>
      </c>
      <c r="J2652" s="1374">
        <v>122</v>
      </c>
      <c r="K2652" s="1745">
        <v>29</v>
      </c>
      <c r="L2652" s="1577">
        <v>207</v>
      </c>
      <c r="M2652" s="1374">
        <v>13</v>
      </c>
      <c r="N2652" s="1375">
        <f t="shared" si="463"/>
        <v>1.060289684582016</v>
      </c>
      <c r="O2652" s="1376" t="s">
        <v>333</v>
      </c>
      <c r="P2652" s="795" t="str">
        <f>IFERROR(VLOOKUP(F2652,#REF!,12,FALSE),"")</f>
        <v/>
      </c>
      <c r="Q2652" s="1254" t="s">
        <v>8</v>
      </c>
      <c r="R2652" s="1694" t="str">
        <f>IFERROR(VLOOKUP(F2652,#REF!,14,FALSE),"")</f>
        <v/>
      </c>
      <c r="S2652" s="1377">
        <f t="shared" si="464"/>
        <v>1.6967213114754098</v>
      </c>
      <c r="T2652" s="1369">
        <f t="shared" si="465"/>
        <v>24.908052385691743</v>
      </c>
      <c r="U2652" s="1369">
        <f t="shared" si="466"/>
        <v>19.828911639141161</v>
      </c>
      <c r="V2652" s="1369">
        <f t="shared" si="467"/>
        <v>-4.6208345594713727</v>
      </c>
      <c r="W2652" s="1766">
        <f t="shared" si="468"/>
        <v>1.2561482364228524</v>
      </c>
      <c r="X2652" s="1369">
        <v>259</v>
      </c>
    </row>
    <row r="2653" spans="1:24" x14ac:dyDescent="0.2">
      <c r="A2653" s="1648" t="s">
        <v>142</v>
      </c>
      <c r="B2653" s="1679">
        <f t="shared" ref="B2653" si="473">SUM(H2652:H2658)</f>
        <v>46.18</v>
      </c>
      <c r="C2653" s="1651">
        <v>45741</v>
      </c>
      <c r="D2653" s="1695">
        <v>40</v>
      </c>
      <c r="E2653" s="1696" t="s">
        <v>293</v>
      </c>
      <c r="F2653" s="1940" t="s">
        <v>312</v>
      </c>
      <c r="G2653" s="1697">
        <v>3.8402777777777779E-2</v>
      </c>
      <c r="H2653" s="1698">
        <v>10.11</v>
      </c>
      <c r="I2653" s="1699">
        <f t="shared" si="462"/>
        <v>3.7984943400373671E-3</v>
      </c>
      <c r="J2653" s="1700"/>
      <c r="K2653" s="1755">
        <v>63</v>
      </c>
      <c r="L2653" s="1578">
        <v>212</v>
      </c>
      <c r="M2653" s="1700">
        <v>26</v>
      </c>
      <c r="N2653" s="1701">
        <f t="shared" si="463"/>
        <v>1.0384516586208423</v>
      </c>
      <c r="O2653" s="1702" t="s">
        <v>345</v>
      </c>
      <c r="P2653" s="1635" t="str">
        <f>IFERROR(VLOOKUP(F2653,#REF!,12,FALSE),"")</f>
        <v/>
      </c>
      <c r="Q2653" s="1636" t="s">
        <v>8</v>
      </c>
      <c r="R2653" s="1703" t="str">
        <f>IFERROR(VLOOKUP(F2653,#REF!,14,FALSE),"")</f>
        <v/>
      </c>
      <c r="S2653" s="1704"/>
      <c r="T2653" s="1828">
        <f t="shared" si="465"/>
        <v>30.349759187735778</v>
      </c>
      <c r="U2653" s="1828">
        <f t="shared" si="466"/>
        <v>20.856794695352086</v>
      </c>
      <c r="V2653" s="1695">
        <f t="shared" si="467"/>
        <v>-5.079140746550582</v>
      </c>
      <c r="W2653" s="1767">
        <f t="shared" si="468"/>
        <v>1.4551497308692014</v>
      </c>
      <c r="X2653" s="1695">
        <v>258</v>
      </c>
    </row>
    <row r="2654" spans="1:24" x14ac:dyDescent="0.2">
      <c r="A2654" s="1649" t="s">
        <v>347</v>
      </c>
      <c r="B2654" s="1680">
        <f t="shared" ref="B2654" si="474">SUM(K2652:K2658)</f>
        <v>238</v>
      </c>
      <c r="C2654" s="1651">
        <v>45742</v>
      </c>
      <c r="D2654" s="1695"/>
      <c r="E2654" s="1696"/>
      <c r="F2654" s="1940"/>
      <c r="G2654" s="1697"/>
      <c r="H2654" s="1698" t="str">
        <f>IFERROR(VLOOKUP(F2654,#REF!,10,FALSE),"")</f>
        <v/>
      </c>
      <c r="I2654" s="1699" t="str">
        <f t="shared" si="462"/>
        <v/>
      </c>
      <c r="J2654" s="1700"/>
      <c r="K2654" s="1755"/>
      <c r="L2654" s="1578"/>
      <c r="M2654" s="1700"/>
      <c r="N2654" s="1701" t="str">
        <f t="shared" si="463"/>
        <v/>
      </c>
      <c r="O2654" s="1702"/>
      <c r="P2654" s="1635" t="str">
        <f>IFERROR(VLOOKUP(F2654,#REF!,12,FALSE),"")</f>
        <v/>
      </c>
      <c r="Q2654" s="1636" t="s">
        <v>8</v>
      </c>
      <c r="R2654" s="1703" t="str">
        <f>IFERROR(VLOOKUP(F2654,#REF!,14,FALSE),"")</f>
        <v/>
      </c>
      <c r="S2654" s="1704" t="str">
        <f t="shared" si="464"/>
        <v/>
      </c>
      <c r="T2654" s="1828">
        <f t="shared" si="465"/>
        <v>26.014079303773524</v>
      </c>
      <c r="U2654" s="1828">
        <f t="shared" si="466"/>
        <v>20.360204345462751</v>
      </c>
      <c r="V2654" s="1695">
        <f t="shared" si="467"/>
        <v>-9.4929644923836918</v>
      </c>
      <c r="W2654" s="1767">
        <f t="shared" si="468"/>
        <v>1.2776924466168598</v>
      </c>
      <c r="X2654" s="1695">
        <v>258</v>
      </c>
    </row>
    <row r="2655" spans="1:24" x14ac:dyDescent="0.2">
      <c r="A2655" s="1649" t="s">
        <v>256</v>
      </c>
      <c r="B2655" s="1677">
        <f t="shared" ref="B2655" si="475">AVERAGE(W2652:W2658)</f>
        <v>1.335617619951369</v>
      </c>
      <c r="C2655" s="1651">
        <v>45743</v>
      </c>
      <c r="D2655" s="1695">
        <v>41</v>
      </c>
      <c r="E2655" s="1696" t="s">
        <v>293</v>
      </c>
      <c r="F2655" s="1935" t="s">
        <v>343</v>
      </c>
      <c r="G2655" s="1697">
        <v>2.8506944444444446E-2</v>
      </c>
      <c r="H2655" s="1698">
        <v>7.2</v>
      </c>
      <c r="I2655" s="1699">
        <f t="shared" si="462"/>
        <v>3.9592978395061726E-3</v>
      </c>
      <c r="J2655" s="1700">
        <v>129</v>
      </c>
      <c r="K2655" s="1755">
        <v>38</v>
      </c>
      <c r="L2655" s="1578">
        <v>211</v>
      </c>
      <c r="M2655" s="1700">
        <v>23</v>
      </c>
      <c r="N2655" s="1701">
        <f t="shared" si="463"/>
        <v>1.0773072139303479</v>
      </c>
      <c r="O2655" s="1702" t="s">
        <v>328</v>
      </c>
      <c r="P2655" s="1635" t="str">
        <f>IFERROR(VLOOKUP(F2655,#REF!,12,FALSE),"")</f>
        <v/>
      </c>
      <c r="Q2655" s="1636" t="s">
        <v>8</v>
      </c>
      <c r="R2655" s="1703" t="str">
        <f>IFERROR(VLOOKUP(F2655,#REF!,14,FALSE),"")</f>
        <v/>
      </c>
      <c r="S2655" s="1704">
        <f t="shared" si="464"/>
        <v>1.6356589147286822</v>
      </c>
      <c r="T2655" s="1828">
        <f t="shared" si="465"/>
        <v>27.726353688948734</v>
      </c>
      <c r="U2655" s="1828">
        <f t="shared" si="466"/>
        <v>20.780199480094591</v>
      </c>
      <c r="V2655" s="1695">
        <f t="shared" si="467"/>
        <v>-5.653874958310773</v>
      </c>
      <c r="W2655" s="1767">
        <f t="shared" si="468"/>
        <v>1.3342679272885654</v>
      </c>
      <c r="X2655" s="1695">
        <v>258</v>
      </c>
    </row>
    <row r="2656" spans="1:24" x14ac:dyDescent="0.2">
      <c r="A2656" s="1649" t="s">
        <v>336</v>
      </c>
      <c r="B2656" s="1713">
        <f t="shared" ref="B2656" si="476">IFERROR(AVERAGE(N2652:N2658),"")</f>
        <v>1.0581249349850261</v>
      </c>
      <c r="C2656" s="1651">
        <v>45744</v>
      </c>
      <c r="D2656" s="1695">
        <v>42</v>
      </c>
      <c r="E2656" s="1696" t="s">
        <v>293</v>
      </c>
      <c r="F2656" s="1935" t="s">
        <v>343</v>
      </c>
      <c r="G2656" s="1697">
        <v>3.0891203703703702E-2</v>
      </c>
      <c r="H2656" s="1698">
        <v>7.81</v>
      </c>
      <c r="I2656" s="1699">
        <f t="shared" si="462"/>
        <v>3.9553397828045716E-3</v>
      </c>
      <c r="J2656" s="1700">
        <v>125</v>
      </c>
      <c r="K2656" s="1755">
        <v>38</v>
      </c>
      <c r="L2656" s="1578">
        <v>207</v>
      </c>
      <c r="M2656" s="1700">
        <v>24</v>
      </c>
      <c r="N2656" s="1701">
        <f t="shared" si="463"/>
        <v>1.0558277753358687</v>
      </c>
      <c r="O2656" s="1702" t="s">
        <v>333</v>
      </c>
      <c r="P2656" s="1635" t="str">
        <f>IFERROR(VLOOKUP(F2656,#REF!,12,FALSE),"")</f>
        <v/>
      </c>
      <c r="Q2656" s="1636" t="s">
        <v>8</v>
      </c>
      <c r="R2656" s="1703" t="str">
        <f>IFERROR(VLOOKUP(F2656,#REF!,14,FALSE),"")</f>
        <v/>
      </c>
      <c r="S2656" s="1704">
        <f t="shared" si="464"/>
        <v>1.6559999999999999</v>
      </c>
      <c r="T2656" s="1828">
        <f t="shared" si="465"/>
        <v>29.194017447670344</v>
      </c>
      <c r="U2656" s="1828">
        <f t="shared" si="466"/>
        <v>21.190194730568528</v>
      </c>
      <c r="V2656" s="1695">
        <f t="shared" si="467"/>
        <v>-6.9461542088541428</v>
      </c>
      <c r="W2656" s="1767">
        <f t="shared" si="468"/>
        <v>1.3777135047067628</v>
      </c>
      <c r="X2656" s="1695">
        <v>258</v>
      </c>
    </row>
    <row r="2657" spans="1:24" x14ac:dyDescent="0.2">
      <c r="A2657" s="1649" t="s">
        <v>337</v>
      </c>
      <c r="B2657" s="1681">
        <f t="shared" ref="B2657" si="477">IFERROR(AVERAGE(S2652:S2658),"")</f>
        <v>1.6296708141267806</v>
      </c>
      <c r="C2657" s="1651">
        <v>45745</v>
      </c>
      <c r="D2657" s="1695"/>
      <c r="E2657" s="1696"/>
      <c r="F2657" s="1935"/>
      <c r="G2657" s="1697"/>
      <c r="H2657" s="1698" t="str">
        <f>IFERROR(VLOOKUP(F2657,#REF!,10,FALSE),"")</f>
        <v/>
      </c>
      <c r="I2657" s="1699" t="str">
        <f t="shared" si="462"/>
        <v/>
      </c>
      <c r="J2657" s="1700"/>
      <c r="K2657" s="1755"/>
      <c r="L2657" s="1578"/>
      <c r="M2657" s="1700"/>
      <c r="N2657" s="1701" t="str">
        <f t="shared" si="463"/>
        <v/>
      </c>
      <c r="O2657" s="1702"/>
      <c r="P2657" s="1635" t="str">
        <f>IFERROR(VLOOKUP(F2657,#REF!,12,FALSE),"")</f>
        <v/>
      </c>
      <c r="Q2657" s="1636" t="s">
        <v>8</v>
      </c>
      <c r="R2657" s="1703" t="str">
        <f>IFERROR(VLOOKUP(F2657,#REF!,14,FALSE),"")</f>
        <v/>
      </c>
      <c r="S2657" s="1704" t="str">
        <f t="shared" si="464"/>
        <v/>
      </c>
      <c r="T2657" s="1828">
        <f t="shared" si="465"/>
        <v>25.023443526574582</v>
      </c>
      <c r="U2657" s="1828">
        <f t="shared" si="466"/>
        <v>20.685666284602611</v>
      </c>
      <c r="V2657" s="1695">
        <f t="shared" si="467"/>
        <v>-8.0038227171018157</v>
      </c>
      <c r="W2657" s="1767">
        <f t="shared" si="468"/>
        <v>1.2096996626693528</v>
      </c>
      <c r="X2657" s="1695">
        <v>258</v>
      </c>
    </row>
    <row r="2658" spans="1:24" ht="16" thickBot="1" x14ac:dyDescent="0.25">
      <c r="A2658" s="1650" t="s">
        <v>5</v>
      </c>
      <c r="B2658" s="1678">
        <f t="shared" ref="B2658" si="478">IFERROR(SUM(M2652:M2658),"")</f>
        <v>131</v>
      </c>
      <c r="C2658" s="1360">
        <v>45746</v>
      </c>
      <c r="D2658" s="683">
        <v>43</v>
      </c>
      <c r="E2658" s="684" t="s">
        <v>292</v>
      </c>
      <c r="F2658" s="1933" t="s">
        <v>309</v>
      </c>
      <c r="G2658" s="1361">
        <v>6.084490740740741E-2</v>
      </c>
      <c r="H2658" s="1362">
        <v>14.97</v>
      </c>
      <c r="I2658" s="1363">
        <f t="shared" si="462"/>
        <v>4.0644560726391049E-3</v>
      </c>
      <c r="J2658" s="1364">
        <v>132</v>
      </c>
      <c r="K2658" s="1747">
        <v>70</v>
      </c>
      <c r="L2658" s="1705">
        <v>202</v>
      </c>
      <c r="M2658" s="1364">
        <v>45</v>
      </c>
      <c r="N2658" s="1365">
        <f t="shared" si="463"/>
        <v>1.0587483424560562</v>
      </c>
      <c r="O2658" s="1366" t="s">
        <v>357</v>
      </c>
      <c r="P2658" s="1706" t="str">
        <f>IFERROR(VLOOKUP(F2658,#REF!,12,FALSE),"")</f>
        <v/>
      </c>
      <c r="Q2658" s="1707" t="s">
        <v>8</v>
      </c>
      <c r="R2658" s="1708" t="str">
        <f>IFERROR(VLOOKUP(F2658,#REF!,14,FALSE),"")</f>
        <v/>
      </c>
      <c r="S2658" s="1191">
        <f t="shared" si="464"/>
        <v>1.5303030303030303</v>
      </c>
      <c r="T2658" s="1829">
        <f t="shared" si="465"/>
        <v>31.448665879921069</v>
      </c>
      <c r="U2658" s="1829">
        <f t="shared" si="466"/>
        <v>21.859817087350169</v>
      </c>
      <c r="V2658" s="683">
        <f t="shared" si="467"/>
        <v>-4.3377772419719705</v>
      </c>
      <c r="W2658" s="1768">
        <f t="shared" si="468"/>
        <v>1.438651831085987</v>
      </c>
      <c r="X2658" s="683">
        <v>258</v>
      </c>
    </row>
    <row r="2659" spans="1:24" ht="16" thickBot="1" x14ac:dyDescent="0.25">
      <c r="A2659" s="1962">
        <f t="shared" ref="A2659" si="479">WEEKNUM(C2659,1)</f>
        <v>14</v>
      </c>
      <c r="B2659" s="1963"/>
      <c r="C2659" s="1368">
        <v>45747</v>
      </c>
      <c r="D2659" s="1369"/>
      <c r="E2659" s="1370"/>
      <c r="F2659" s="1934"/>
      <c r="G2659" s="1371"/>
      <c r="H2659" s="1372" t="str">
        <f>IFERROR(VLOOKUP(F2659,#REF!,10,FALSE),"")</f>
        <v/>
      </c>
      <c r="I2659" s="1373" t="str">
        <f t="shared" si="462"/>
        <v/>
      </c>
      <c r="J2659" s="1374"/>
      <c r="K2659" s="1745"/>
      <c r="L2659" s="1577"/>
      <c r="M2659" s="1374"/>
      <c r="N2659" s="1375" t="str">
        <f t="shared" si="463"/>
        <v/>
      </c>
      <c r="O2659" s="1376"/>
      <c r="P2659" s="795" t="str">
        <f>IFERROR(VLOOKUP(F2659,#REF!,12,FALSE),"")</f>
        <v/>
      </c>
      <c r="Q2659" s="1254" t="s">
        <v>8</v>
      </c>
      <c r="R2659" s="1694" t="str">
        <f>IFERROR(VLOOKUP(F2659,#REF!,14,FALSE),"")</f>
        <v/>
      </c>
      <c r="S2659" s="1377" t="str">
        <f t="shared" si="464"/>
        <v/>
      </c>
      <c r="T2659" s="70">
        <f t="shared" si="465"/>
        <v>26.95599932564663</v>
      </c>
      <c r="U2659" s="70">
        <f t="shared" si="466"/>
        <v>21.339345251937068</v>
      </c>
      <c r="V2659" s="1369">
        <f t="shared" si="467"/>
        <v>-9.5888487925709001</v>
      </c>
      <c r="W2659" s="1766">
        <f t="shared" si="468"/>
        <v>1.2632064858315986</v>
      </c>
      <c r="X2659" s="1369">
        <v>258</v>
      </c>
    </row>
    <row r="2660" spans="1:24" x14ac:dyDescent="0.2">
      <c r="A2660" s="1648" t="s">
        <v>142</v>
      </c>
      <c r="B2660" s="1679">
        <f t="shared" ref="B2660" si="480">SUM(H2659:H2665)</f>
        <v>22.72</v>
      </c>
      <c r="C2660" s="1651">
        <v>45748</v>
      </c>
      <c r="D2660" s="1695">
        <v>44</v>
      </c>
      <c r="E2660" s="1696" t="s">
        <v>293</v>
      </c>
      <c r="F2660" s="1935" t="s">
        <v>343</v>
      </c>
      <c r="G2660" s="1697">
        <v>3.033564814814815E-2</v>
      </c>
      <c r="H2660" s="1698">
        <v>7.58</v>
      </c>
      <c r="I2660" s="1699">
        <f t="shared" si="462"/>
        <v>4.0020643994918403E-3</v>
      </c>
      <c r="J2660" s="1700">
        <v>123</v>
      </c>
      <c r="K2660" s="1755">
        <v>37</v>
      </c>
      <c r="L2660" s="1578">
        <v>205</v>
      </c>
      <c r="M2660" s="1700">
        <v>23</v>
      </c>
      <c r="N2660" s="1701">
        <f t="shared" si="463"/>
        <v>1.0579785767731265</v>
      </c>
      <c r="O2660" s="1702" t="s">
        <v>357</v>
      </c>
      <c r="P2660" s="1635" t="str">
        <f>IFERROR(VLOOKUP(F2660,#REF!,12,FALSE),"")</f>
        <v/>
      </c>
      <c r="Q2660" s="1636" t="s">
        <v>8</v>
      </c>
      <c r="R2660" s="1703" t="str">
        <f>IFERROR(VLOOKUP(F2660,#REF!,14,FALSE),"")</f>
        <v/>
      </c>
      <c r="S2660" s="1704">
        <f t="shared" si="464"/>
        <v>1.6666666666666667</v>
      </c>
      <c r="T2660" s="1379">
        <f t="shared" si="465"/>
        <v>28.390856564839968</v>
      </c>
      <c r="U2660" s="1379">
        <f t="shared" si="466"/>
        <v>21.712217984033806</v>
      </c>
      <c r="V2660" s="1695">
        <f t="shared" si="467"/>
        <v>-5.6166540737095616</v>
      </c>
      <c r="W2660" s="1767">
        <f t="shared" si="468"/>
        <v>1.3075981728682595</v>
      </c>
      <c r="X2660" s="1695">
        <v>258</v>
      </c>
    </row>
    <row r="2661" spans="1:24" x14ac:dyDescent="0.2">
      <c r="A2661" s="1649" t="s">
        <v>347</v>
      </c>
      <c r="B2661" s="1680">
        <f t="shared" ref="B2661" si="481">SUM(K2659:K2665)</f>
        <v>127</v>
      </c>
      <c r="C2661" s="1651">
        <v>45749</v>
      </c>
      <c r="D2661" s="1695">
        <v>45</v>
      </c>
      <c r="E2661" s="1696" t="s">
        <v>293</v>
      </c>
      <c r="F2661" s="1940" t="s">
        <v>313</v>
      </c>
      <c r="G2661" s="1697">
        <v>3.3425925925925928E-2</v>
      </c>
      <c r="H2661" s="1698">
        <v>8.61</v>
      </c>
      <c r="I2661" s="1699">
        <f t="shared" si="462"/>
        <v>3.8822213618961592E-3</v>
      </c>
      <c r="J2661" s="1700">
        <v>142</v>
      </c>
      <c r="K2661" s="1755">
        <v>58</v>
      </c>
      <c r="L2661" s="1578">
        <v>208</v>
      </c>
      <c r="M2661" s="1700">
        <v>17</v>
      </c>
      <c r="N2661" s="1701">
        <f t="shared" si="463"/>
        <v>1.0413160677448994</v>
      </c>
      <c r="O2661" s="1702" t="s">
        <v>345</v>
      </c>
      <c r="P2661" s="1635" t="str">
        <f>IFERROR(VLOOKUP(F2661,#REF!,12,FALSE),"")</f>
        <v/>
      </c>
      <c r="Q2661" s="1636" t="s">
        <v>8</v>
      </c>
      <c r="R2661" s="1703" t="str">
        <f>IFERROR(VLOOKUP(F2661,#REF!,14,FALSE),"")</f>
        <v/>
      </c>
      <c r="S2661" s="1704">
        <f t="shared" si="464"/>
        <v>1.4647887323943662</v>
      </c>
      <c r="T2661" s="1379">
        <f t="shared" si="465"/>
        <v>32.620734198434256</v>
      </c>
      <c r="U2661" s="1379">
        <f t="shared" si="466"/>
        <v>22.576212793937763</v>
      </c>
      <c r="V2661" s="1695">
        <f t="shared" si="467"/>
        <v>-6.6786385808061617</v>
      </c>
      <c r="W2661" s="1767">
        <f t="shared" si="468"/>
        <v>1.4449161378915458</v>
      </c>
      <c r="X2661" s="1695">
        <v>258</v>
      </c>
    </row>
    <row r="2662" spans="1:24" x14ac:dyDescent="0.2">
      <c r="A2662" s="1649" t="s">
        <v>256</v>
      </c>
      <c r="B2662" s="1677">
        <f t="shared" ref="B2662" si="482">AVERAGE(W2659:W2665)</f>
        <v>1.2397278201220736</v>
      </c>
      <c r="C2662" s="1651">
        <v>45750</v>
      </c>
      <c r="D2662" s="1695"/>
      <c r="E2662" s="1696"/>
      <c r="F2662" s="1935"/>
      <c r="G2662" s="1697"/>
      <c r="H2662" s="1698" t="str">
        <f>IFERROR(VLOOKUP(F2662,#REF!,10,FALSE),"")</f>
        <v/>
      </c>
      <c r="I2662" s="1699" t="str">
        <f t="shared" si="462"/>
        <v/>
      </c>
      <c r="J2662" s="1700"/>
      <c r="K2662" s="1755"/>
      <c r="L2662" s="1578"/>
      <c r="M2662" s="1700"/>
      <c r="N2662" s="1701" t="str">
        <f t="shared" si="463"/>
        <v/>
      </c>
      <c r="O2662" s="1702"/>
      <c r="P2662" s="1635" t="str">
        <f>IFERROR(VLOOKUP(F2662,#REF!,12,FALSE),"")</f>
        <v/>
      </c>
      <c r="Q2662" s="1636" t="s">
        <v>8</v>
      </c>
      <c r="R2662" s="1703" t="str">
        <f>IFERROR(VLOOKUP(F2662,#REF!,14,FALSE),"")</f>
        <v/>
      </c>
      <c r="S2662" s="1704" t="str">
        <f t="shared" si="464"/>
        <v/>
      </c>
      <c r="T2662" s="1379">
        <f t="shared" si="465"/>
        <v>27.960629312943649</v>
      </c>
      <c r="U2662" s="1379">
        <f t="shared" si="466"/>
        <v>22.038683917891625</v>
      </c>
      <c r="V2662" s="1695">
        <f t="shared" si="467"/>
        <v>-10.044521404496493</v>
      </c>
      <c r="W2662" s="1767">
        <f t="shared" si="468"/>
        <v>1.2687068527828207</v>
      </c>
      <c r="X2662" s="1695">
        <v>258</v>
      </c>
    </row>
    <row r="2663" spans="1:24" x14ac:dyDescent="0.2">
      <c r="A2663" s="1649" t="s">
        <v>336</v>
      </c>
      <c r="B2663" s="1713">
        <f t="shared" ref="B2663" si="483">IFERROR(AVERAGE(N2659:N2665),"")</f>
        <v>1.0511854204651181</v>
      </c>
      <c r="C2663" s="1651">
        <v>45751</v>
      </c>
      <c r="D2663" s="1695">
        <v>46</v>
      </c>
      <c r="E2663" s="1696" t="s">
        <v>292</v>
      </c>
      <c r="F2663" s="1935" t="s">
        <v>343</v>
      </c>
      <c r="G2663" s="1697">
        <v>2.6041666666666668E-2</v>
      </c>
      <c r="H2663" s="1698">
        <v>6.53</v>
      </c>
      <c r="I2663" s="1699">
        <f t="shared" si="462"/>
        <v>3.9880040837161814E-3</v>
      </c>
      <c r="J2663" s="1700">
        <v>121</v>
      </c>
      <c r="K2663" s="1755">
        <v>32</v>
      </c>
      <c r="L2663" s="1578">
        <v>205</v>
      </c>
      <c r="M2663" s="1700">
        <v>22</v>
      </c>
      <c r="N2663" s="1701">
        <f t="shared" si="463"/>
        <v>1.0542616168773284</v>
      </c>
      <c r="O2663" s="1702" t="s">
        <v>340</v>
      </c>
      <c r="P2663" s="1635" t="str">
        <f>IFERROR(VLOOKUP(F2663,#REF!,12,FALSE),"")</f>
        <v/>
      </c>
      <c r="Q2663" s="1636" t="s">
        <v>8</v>
      </c>
      <c r="R2663" s="1703" t="str">
        <f>IFERROR(VLOOKUP(F2663,#REF!,14,FALSE),"")</f>
        <v/>
      </c>
      <c r="S2663" s="1704">
        <f t="shared" si="464"/>
        <v>1.6942148760330578</v>
      </c>
      <c r="T2663" s="1379">
        <f t="shared" si="465"/>
        <v>28.537682268237415</v>
      </c>
      <c r="U2663" s="1379">
        <f t="shared" si="466"/>
        <v>22.275858110322776</v>
      </c>
      <c r="V2663" s="1695">
        <f t="shared" si="467"/>
        <v>-5.921945395052024</v>
      </c>
      <c r="W2663" s="1767">
        <f t="shared" si="468"/>
        <v>1.2811036112235277</v>
      </c>
      <c r="X2663" s="1695">
        <v>258</v>
      </c>
    </row>
    <row r="2664" spans="1:24" x14ac:dyDescent="0.2">
      <c r="A2664" s="1649" t="s">
        <v>337</v>
      </c>
      <c r="B2664" s="1681">
        <f t="shared" ref="B2664" si="484">IFERROR(AVERAGE(S2659:S2665),"")</f>
        <v>1.6085567583646967</v>
      </c>
      <c r="C2664" s="1651">
        <v>45752</v>
      </c>
      <c r="D2664" s="1695"/>
      <c r="E2664" s="1696"/>
      <c r="F2664" s="1935"/>
      <c r="G2664" s="1697"/>
      <c r="H2664" s="1698" t="str">
        <f>IFERROR(VLOOKUP(F2664,#REF!,10,FALSE),"")</f>
        <v/>
      </c>
      <c r="I2664" s="1699" t="str">
        <f t="shared" si="462"/>
        <v/>
      </c>
      <c r="J2664" s="1700"/>
      <c r="K2664" s="1755"/>
      <c r="L2664" s="1578"/>
      <c r="M2664" s="1700"/>
      <c r="N2664" s="1701" t="str">
        <f t="shared" si="463"/>
        <v/>
      </c>
      <c r="O2664" s="1702"/>
      <c r="P2664" s="1635" t="str">
        <f>IFERROR(VLOOKUP(F2664,#REF!,12,FALSE),"")</f>
        <v/>
      </c>
      <c r="Q2664" s="1636" t="s">
        <v>8</v>
      </c>
      <c r="R2664" s="1703" t="str">
        <f>IFERROR(VLOOKUP(F2664,#REF!,14,FALSE),"")</f>
        <v/>
      </c>
      <c r="S2664" s="1704" t="str">
        <f t="shared" si="464"/>
        <v/>
      </c>
      <c r="T2664" s="1379">
        <f t="shared" si="465"/>
        <v>24.46087051563207</v>
      </c>
      <c r="U2664" s="1379">
        <f t="shared" si="466"/>
        <v>21.745480536267472</v>
      </c>
      <c r="V2664" s="1695">
        <f t="shared" si="467"/>
        <v>-6.2618241579146385</v>
      </c>
      <c r="W2664" s="1767">
        <f t="shared" si="468"/>
        <v>1.1248714635133414</v>
      </c>
      <c r="X2664" s="1695">
        <v>258</v>
      </c>
    </row>
    <row r="2665" spans="1:24" ht="16" thickBot="1" x14ac:dyDescent="0.25">
      <c r="A2665" s="1650" t="s">
        <v>5</v>
      </c>
      <c r="B2665" s="1678">
        <f t="shared" ref="B2665" si="485">IFERROR(SUM(M2659:M2665),"")</f>
        <v>62</v>
      </c>
      <c r="C2665" s="1360">
        <v>45753</v>
      </c>
      <c r="D2665" s="683"/>
      <c r="E2665" s="684"/>
      <c r="F2665" s="1933"/>
      <c r="G2665" s="1361"/>
      <c r="H2665" s="1362" t="str">
        <f>IFERROR(VLOOKUP(F2665,#REF!,10,FALSE),"")</f>
        <v/>
      </c>
      <c r="I2665" s="1363" t="str">
        <f t="shared" si="462"/>
        <v/>
      </c>
      <c r="J2665" s="1364"/>
      <c r="K2665" s="1747"/>
      <c r="L2665" s="1705"/>
      <c r="M2665" s="1364"/>
      <c r="N2665" s="1365" t="str">
        <f t="shared" si="463"/>
        <v/>
      </c>
      <c r="O2665" s="1366"/>
      <c r="P2665" s="1706" t="str">
        <f>IFERROR(VLOOKUP(F2665,#REF!,12,FALSE),"")</f>
        <v/>
      </c>
      <c r="Q2665" s="1707" t="s">
        <v>8</v>
      </c>
      <c r="R2665" s="1708" t="str">
        <f>IFERROR(VLOOKUP(F2665,#REF!,14,FALSE),"")</f>
        <v/>
      </c>
      <c r="S2665" s="1191" t="str">
        <f t="shared" si="464"/>
        <v/>
      </c>
      <c r="T2665" s="1897">
        <f t="shared" si="465"/>
        <v>20.966460441970344</v>
      </c>
      <c r="U2665" s="1897">
        <f t="shared" si="466"/>
        <v>21.227730999689676</v>
      </c>
      <c r="V2665" s="683">
        <f t="shared" si="467"/>
        <v>-2.7153899793645984</v>
      </c>
      <c r="W2665" s="1768">
        <f t="shared" si="468"/>
        <v>0.98769201674342155</v>
      </c>
      <c r="X2665" s="683">
        <v>258</v>
      </c>
    </row>
    <row r="2666" spans="1:24" ht="16" thickBot="1" x14ac:dyDescent="0.25">
      <c r="A2666" s="1962">
        <f t="shared" ref="A2666" si="486">WEEKNUM(C2666,1)</f>
        <v>15</v>
      </c>
      <c r="B2666" s="1963"/>
      <c r="C2666" s="1368">
        <v>45754</v>
      </c>
      <c r="D2666" s="1369"/>
      <c r="E2666" s="1370"/>
      <c r="F2666" s="1934"/>
      <c r="G2666" s="1371"/>
      <c r="H2666" s="1372" t="str">
        <f>IFERROR(VLOOKUP(F2666,#REF!,10,FALSE),"")</f>
        <v/>
      </c>
      <c r="I2666" s="1373" t="str">
        <f t="shared" si="462"/>
        <v/>
      </c>
      <c r="J2666" s="1374"/>
      <c r="K2666" s="1745"/>
      <c r="L2666" s="1577"/>
      <c r="M2666" s="1374"/>
      <c r="N2666" s="1375" t="str">
        <f t="shared" si="463"/>
        <v/>
      </c>
      <c r="O2666" s="1376"/>
      <c r="P2666" s="795" t="str">
        <f>IFERROR(VLOOKUP(F2666,#REF!,12,FALSE),"")</f>
        <v/>
      </c>
      <c r="Q2666" s="1254" t="s">
        <v>8</v>
      </c>
      <c r="R2666" s="1694" t="str">
        <f>IFERROR(VLOOKUP(F2666,#REF!,14,FALSE),"")</f>
        <v/>
      </c>
      <c r="S2666" s="1377" t="str">
        <f t="shared" si="464"/>
        <v/>
      </c>
      <c r="T2666" s="1369">
        <f t="shared" si="465"/>
        <v>17.971251807403153</v>
      </c>
      <c r="U2666" s="1369">
        <f t="shared" si="466"/>
        <v>20.722308833030397</v>
      </c>
      <c r="V2666" s="1369">
        <f t="shared" si="467"/>
        <v>0.26127055771933172</v>
      </c>
      <c r="W2666" s="1766">
        <f t="shared" si="468"/>
        <v>0.86724177079910192</v>
      </c>
      <c r="X2666" s="1369">
        <v>258</v>
      </c>
    </row>
    <row r="2667" spans="1:24" x14ac:dyDescent="0.2">
      <c r="A2667" s="1648" t="s">
        <v>142</v>
      </c>
      <c r="B2667" s="1679">
        <f t="shared" ref="B2667" si="487">SUM(H2666:H2672)</f>
        <v>42.370000000000005</v>
      </c>
      <c r="C2667" s="1651">
        <v>45755</v>
      </c>
      <c r="D2667" s="1695"/>
      <c r="E2667" s="1696"/>
      <c r="F2667" s="1935"/>
      <c r="G2667" s="1697"/>
      <c r="H2667" s="1698" t="str">
        <f>IFERROR(VLOOKUP(F2667,#REF!,10,FALSE),"")</f>
        <v/>
      </c>
      <c r="I2667" s="1699" t="str">
        <f t="shared" si="462"/>
        <v/>
      </c>
      <c r="J2667" s="1700"/>
      <c r="K2667" s="1755"/>
      <c r="L2667" s="1578"/>
      <c r="M2667" s="1700"/>
      <c r="N2667" s="1701" t="str">
        <f t="shared" si="463"/>
        <v/>
      </c>
      <c r="O2667" s="1702"/>
      <c r="P2667" s="1635" t="str">
        <f>IFERROR(VLOOKUP(F2667,#REF!,12,FALSE),"")</f>
        <v/>
      </c>
      <c r="Q2667" s="1636" t="s">
        <v>8</v>
      </c>
      <c r="R2667" s="1703" t="str">
        <f>IFERROR(VLOOKUP(F2667,#REF!,14,FALSE),"")</f>
        <v/>
      </c>
      <c r="S2667" s="1704" t="str">
        <f t="shared" si="464"/>
        <v/>
      </c>
      <c r="T2667" s="1828">
        <f t="shared" si="465"/>
        <v>15.403930120631273</v>
      </c>
      <c r="U2667" s="1828">
        <f t="shared" si="466"/>
        <v>20.228920527482053</v>
      </c>
      <c r="V2667" s="1695">
        <f t="shared" si="467"/>
        <v>2.7510570256272437</v>
      </c>
      <c r="W2667" s="1767">
        <f t="shared" si="468"/>
        <v>0.76148057923823587</v>
      </c>
      <c r="X2667" s="1695">
        <v>258</v>
      </c>
    </row>
    <row r="2668" spans="1:24" x14ac:dyDescent="0.2">
      <c r="A2668" s="1649" t="s">
        <v>347</v>
      </c>
      <c r="B2668" s="1680">
        <f t="shared" ref="B2668" si="488">SUM(K2666:K2672)</f>
        <v>214</v>
      </c>
      <c r="C2668" s="1651">
        <v>45756</v>
      </c>
      <c r="D2668" s="1695">
        <v>47</v>
      </c>
      <c r="E2668" s="1696" t="s">
        <v>293</v>
      </c>
      <c r="F2668" s="1940" t="s">
        <v>343</v>
      </c>
      <c r="G2668" s="1697">
        <v>2.6828703703703705E-2</v>
      </c>
      <c r="H2668" s="1698">
        <v>6.52</v>
      </c>
      <c r="I2668" s="1699">
        <f t="shared" si="462"/>
        <v>4.1148318563962744E-3</v>
      </c>
      <c r="J2668" s="1700">
        <v>120</v>
      </c>
      <c r="K2668" s="1755">
        <v>30</v>
      </c>
      <c r="L2668" s="1578">
        <v>201</v>
      </c>
      <c r="M2668" s="1700">
        <v>22</v>
      </c>
      <c r="N2668" s="1701">
        <f t="shared" si="463"/>
        <v>1.0665644171779143</v>
      </c>
      <c r="O2668" s="1702" t="s">
        <v>357</v>
      </c>
      <c r="P2668" s="1635" t="str">
        <f>IFERROR(VLOOKUP(F2668,#REF!,12,FALSE),"")</f>
        <v/>
      </c>
      <c r="Q2668" s="1636" t="s">
        <v>8</v>
      </c>
      <c r="R2668" s="1703" t="str">
        <f>IFERROR(VLOOKUP(F2668,#REF!,14,FALSE),"")</f>
        <v/>
      </c>
      <c r="S2668" s="1704">
        <f t="shared" si="464"/>
        <v>1.675</v>
      </c>
      <c r="T2668" s="1828">
        <f t="shared" si="465"/>
        <v>17.48908296054109</v>
      </c>
      <c r="U2668" s="1828">
        <f t="shared" si="466"/>
        <v>20.46156527682772</v>
      </c>
      <c r="V2668" s="1695">
        <f t="shared" si="467"/>
        <v>4.8249904068507803</v>
      </c>
      <c r="W2668" s="1767">
        <f t="shared" si="468"/>
        <v>0.8547284982321024</v>
      </c>
      <c r="X2668" s="1695">
        <v>258</v>
      </c>
    </row>
    <row r="2669" spans="1:24" x14ac:dyDescent="0.2">
      <c r="A2669" s="1649" t="s">
        <v>256</v>
      </c>
      <c r="B2669" s="1677">
        <f t="shared" ref="B2669" si="489">AVERAGE(W2666:W2672)</f>
        <v>1.0236595860449929</v>
      </c>
      <c r="C2669" s="1651">
        <v>45757</v>
      </c>
      <c r="D2669" s="1695">
        <v>48</v>
      </c>
      <c r="E2669" s="1696" t="s">
        <v>293</v>
      </c>
      <c r="F2669" s="1935" t="s">
        <v>317</v>
      </c>
      <c r="G2669" s="1697">
        <v>4.1261574074074076E-2</v>
      </c>
      <c r="H2669" s="1698">
        <v>10.96</v>
      </c>
      <c r="I2669" s="1699">
        <f t="shared" si="462"/>
        <v>3.7647421600432549E-3</v>
      </c>
      <c r="J2669" s="1700">
        <v>135</v>
      </c>
      <c r="K2669" s="1755">
        <v>66</v>
      </c>
      <c r="L2669" s="1578">
        <v>215</v>
      </c>
      <c r="M2669" s="1700">
        <v>30</v>
      </c>
      <c r="N2669" s="1701">
        <f t="shared" si="463"/>
        <v>1.0437888114173659</v>
      </c>
      <c r="O2669" s="1702" t="s">
        <v>345</v>
      </c>
      <c r="P2669" s="1635" t="str">
        <f>IFERROR(VLOOKUP(F2669,#REF!,12,FALSE),"")</f>
        <v/>
      </c>
      <c r="Q2669" s="1636" t="s">
        <v>8</v>
      </c>
      <c r="R2669" s="1703" t="str">
        <f>IFERROR(VLOOKUP(F2669,#REF!,14,FALSE),"")</f>
        <v/>
      </c>
      <c r="S2669" s="1704">
        <f t="shared" si="464"/>
        <v>1.5925925925925926</v>
      </c>
      <c r="T2669" s="1828">
        <f t="shared" si="465"/>
        <v>24.419213966178077</v>
      </c>
      <c r="U2669" s="1828">
        <f t="shared" si="466"/>
        <v>21.545813722617538</v>
      </c>
      <c r="V2669" s="1695">
        <f t="shared" si="467"/>
        <v>2.9724823162866301</v>
      </c>
      <c r="W2669" s="1767">
        <f t="shared" si="468"/>
        <v>1.1333623450268768</v>
      </c>
      <c r="X2669" s="1695">
        <v>258</v>
      </c>
    </row>
    <row r="2670" spans="1:24" x14ac:dyDescent="0.2">
      <c r="A2670" s="1649" t="s">
        <v>336</v>
      </c>
      <c r="B2670" s="1713">
        <f t="shared" ref="B2670" si="490">IFERROR(AVERAGE(N2666:N2672),"")</f>
        <v>1.0584919312765579</v>
      </c>
      <c r="C2670" s="1651">
        <v>45758</v>
      </c>
      <c r="D2670" s="1695">
        <v>49</v>
      </c>
      <c r="E2670" s="1696" t="s">
        <v>293</v>
      </c>
      <c r="F2670" s="1935" t="s">
        <v>343</v>
      </c>
      <c r="G2670" s="1697">
        <v>2.9178240740740741E-2</v>
      </c>
      <c r="H2670" s="1698">
        <v>7.04</v>
      </c>
      <c r="I2670" s="1699">
        <f t="shared" si="462"/>
        <v>4.1446364688552187E-3</v>
      </c>
      <c r="J2670" s="1700">
        <v>119</v>
      </c>
      <c r="K2670" s="1755">
        <v>31</v>
      </c>
      <c r="L2670" s="1578">
        <v>197</v>
      </c>
      <c r="M2670" s="1700">
        <v>23</v>
      </c>
      <c r="N2670" s="1701">
        <f t="shared" si="463"/>
        <v>1.0529108717774762</v>
      </c>
      <c r="O2670" s="1702" t="s">
        <v>333</v>
      </c>
      <c r="P2670" s="1635" t="str">
        <f>IFERROR(VLOOKUP(F2670,#REF!,12,FALSE),"")</f>
        <v/>
      </c>
      <c r="Q2670" s="1636" t="s">
        <v>8</v>
      </c>
      <c r="R2670" s="1703" t="str">
        <f>IFERROR(VLOOKUP(F2670,#REF!,14,FALSE),"")</f>
        <v/>
      </c>
      <c r="S2670" s="1704">
        <f t="shared" si="464"/>
        <v>1.6554621848739495</v>
      </c>
      <c r="T2670" s="1828">
        <f t="shared" si="465"/>
        <v>25.359326256724067</v>
      </c>
      <c r="U2670" s="1828">
        <f t="shared" si="466"/>
        <v>21.770913395888549</v>
      </c>
      <c r="V2670" s="1695">
        <f t="shared" si="467"/>
        <v>-2.873400243560539</v>
      </c>
      <c r="W2670" s="1767">
        <f t="shared" si="468"/>
        <v>1.164826013295023</v>
      </c>
      <c r="X2670" s="1695">
        <v>258</v>
      </c>
    </row>
    <row r="2671" spans="1:24" x14ac:dyDescent="0.2">
      <c r="A2671" s="1649" t="s">
        <v>337</v>
      </c>
      <c r="B2671" s="1681">
        <f t="shared" ref="B2671" si="491">IFERROR(AVERAGE(S2666:S2672),"")</f>
        <v>1.6171273307302716</v>
      </c>
      <c r="C2671" s="1651">
        <v>45759</v>
      </c>
      <c r="D2671" s="1695"/>
      <c r="E2671" s="1696"/>
      <c r="F2671" s="1935"/>
      <c r="G2671" s="1697"/>
      <c r="H2671" s="1698" t="str">
        <f>IFERROR(VLOOKUP(F2671,#REF!,10,FALSE),"")</f>
        <v/>
      </c>
      <c r="I2671" s="1699" t="str">
        <f t="shared" si="462"/>
        <v/>
      </c>
      <c r="J2671" s="1700"/>
      <c r="K2671" s="1755"/>
      <c r="L2671" s="1578"/>
      <c r="M2671" s="1700"/>
      <c r="N2671" s="1701" t="str">
        <f t="shared" si="463"/>
        <v/>
      </c>
      <c r="O2671" s="1702"/>
      <c r="P2671" s="1635" t="str">
        <f>IFERROR(VLOOKUP(F2671,#REF!,12,FALSE),"")</f>
        <v/>
      </c>
      <c r="Q2671" s="1636" t="s">
        <v>8</v>
      </c>
      <c r="R2671" s="1703" t="str">
        <f>IFERROR(VLOOKUP(F2671,#REF!,14,FALSE),"")</f>
        <v/>
      </c>
      <c r="S2671" s="1704" t="str">
        <f t="shared" si="464"/>
        <v/>
      </c>
      <c r="T2671" s="1828">
        <f t="shared" si="465"/>
        <v>21.736565362906344</v>
      </c>
      <c r="U2671" s="1828">
        <f t="shared" si="466"/>
        <v>21.252558315034058</v>
      </c>
      <c r="V2671" s="1695">
        <f t="shared" si="467"/>
        <v>-3.5884128608355184</v>
      </c>
      <c r="W2671" s="1767">
        <f t="shared" si="468"/>
        <v>1.0227740604541666</v>
      </c>
      <c r="X2671" s="1695">
        <v>258</v>
      </c>
    </row>
    <row r="2672" spans="1:24" ht="16" thickBot="1" x14ac:dyDescent="0.25">
      <c r="A2672" s="1650" t="s">
        <v>5</v>
      </c>
      <c r="B2672" s="1678">
        <f t="shared" ref="B2672" si="492">IFERROR(SUM(M2666:M2672),"")</f>
        <v>148</v>
      </c>
      <c r="C2672" s="1360">
        <v>45760</v>
      </c>
      <c r="D2672" s="683">
        <v>50</v>
      </c>
      <c r="E2672" s="684" t="s">
        <v>292</v>
      </c>
      <c r="F2672" s="1935" t="s">
        <v>274</v>
      </c>
      <c r="G2672" s="1361">
        <v>7.2650462962962958E-2</v>
      </c>
      <c r="H2672" s="1362">
        <v>17.850000000000001</v>
      </c>
      <c r="I2672" s="1363">
        <f t="shared" si="462"/>
        <v>4.0700539475049275E-3</v>
      </c>
      <c r="J2672" s="1364">
        <v>132</v>
      </c>
      <c r="K2672" s="1747">
        <v>87</v>
      </c>
      <c r="L2672" s="1705">
        <v>204</v>
      </c>
      <c r="M2672" s="1364">
        <v>73</v>
      </c>
      <c r="N2672" s="1365">
        <f t="shared" si="463"/>
        <v>1.0707036247334754</v>
      </c>
      <c r="O2672" s="1366" t="s">
        <v>346</v>
      </c>
      <c r="P2672" s="1706" t="str">
        <f>IFERROR(VLOOKUP(F2672,#REF!,12,FALSE),"")</f>
        <v/>
      </c>
      <c r="Q2672" s="1707" t="s">
        <v>8</v>
      </c>
      <c r="R2672" s="1708" t="str">
        <f>IFERROR(VLOOKUP(F2672,#REF!,14,FALSE),"")</f>
        <v/>
      </c>
      <c r="S2672" s="1191">
        <f t="shared" si="464"/>
        <v>1.5454545454545454</v>
      </c>
      <c r="T2672" s="1829">
        <f t="shared" si="465"/>
        <v>31.059913168205437</v>
      </c>
      <c r="U2672" s="1829">
        <f t="shared" si="466"/>
        <v>22.817973593247533</v>
      </c>
      <c r="V2672" s="683">
        <f t="shared" si="467"/>
        <v>-0.48400704787228577</v>
      </c>
      <c r="W2672" s="1768">
        <f t="shared" si="468"/>
        <v>1.361203835269444</v>
      </c>
      <c r="X2672" s="683">
        <v>258</v>
      </c>
    </row>
    <row r="2673" spans="1:24" ht="16" thickBot="1" x14ac:dyDescent="0.25">
      <c r="A2673" s="1962">
        <f t="shared" ref="A2673" si="493">WEEKNUM(C2673,1)</f>
        <v>16</v>
      </c>
      <c r="B2673" s="1963"/>
      <c r="C2673" s="1368">
        <v>45761</v>
      </c>
      <c r="D2673" s="1369"/>
      <c r="E2673" s="1370"/>
      <c r="F2673" s="1936"/>
      <c r="G2673" s="1371"/>
      <c r="H2673" s="1372" t="str">
        <f>IFERROR(VLOOKUP(F2673,#REF!,10,FALSE),"")</f>
        <v/>
      </c>
      <c r="I2673" s="1373" t="str">
        <f t="shared" si="462"/>
        <v/>
      </c>
      <c r="J2673" s="1374"/>
      <c r="K2673" s="1745"/>
      <c r="L2673" s="1577"/>
      <c r="M2673" s="1374"/>
      <c r="N2673" s="1375" t="str">
        <f t="shared" si="463"/>
        <v/>
      </c>
      <c r="O2673" s="1376"/>
      <c r="P2673" s="795" t="str">
        <f>IFERROR(VLOOKUP(F2673,#REF!,12,FALSE),"")</f>
        <v/>
      </c>
      <c r="Q2673" s="1254" t="s">
        <v>8</v>
      </c>
      <c r="R2673" s="1694" t="str">
        <f>IFERROR(VLOOKUP(F2673,#REF!,14,FALSE),"")</f>
        <v/>
      </c>
      <c r="S2673" s="1377" t="str">
        <f t="shared" si="464"/>
        <v/>
      </c>
      <c r="T2673" s="70">
        <f t="shared" si="465"/>
        <v>26.622782715604661</v>
      </c>
      <c r="U2673" s="70">
        <f t="shared" si="466"/>
        <v>22.27468850769402</v>
      </c>
      <c r="V2673" s="1369">
        <f t="shared" si="467"/>
        <v>-8.2419395749579039</v>
      </c>
      <c r="W2673" s="1766">
        <f t="shared" si="468"/>
        <v>1.1952033675536582</v>
      </c>
      <c r="X2673" s="1369">
        <v>258</v>
      </c>
    </row>
    <row r="2674" spans="1:24" x14ac:dyDescent="0.2">
      <c r="A2674" s="1648" t="s">
        <v>142</v>
      </c>
      <c r="B2674" s="1679">
        <f t="shared" ref="B2674" si="494">SUM(H2673:H2679)</f>
        <v>11.33</v>
      </c>
      <c r="C2674" s="1651">
        <v>45762</v>
      </c>
      <c r="D2674" s="1695">
        <v>51</v>
      </c>
      <c r="E2674" s="1696" t="s">
        <v>292</v>
      </c>
      <c r="F2674" s="1937" t="s">
        <v>322</v>
      </c>
      <c r="G2674" s="1697">
        <v>2.6435185185185187E-2</v>
      </c>
      <c r="H2674" s="1698">
        <v>6.4</v>
      </c>
      <c r="I2674" s="1699">
        <f t="shared" si="462"/>
        <v>4.130497685185185E-3</v>
      </c>
      <c r="J2674" s="1700">
        <v>118</v>
      </c>
      <c r="K2674" s="1755">
        <v>28</v>
      </c>
      <c r="L2674" s="1578">
        <v>198</v>
      </c>
      <c r="M2674" s="1700">
        <v>24</v>
      </c>
      <c r="N2674" s="1701">
        <f t="shared" si="463"/>
        <v>1.0546455223880598</v>
      </c>
      <c r="O2674" s="1702" t="s">
        <v>333</v>
      </c>
      <c r="P2674" s="1635" t="str">
        <f>IFERROR(VLOOKUP(F2674,#REF!,12,FALSE),"")</f>
        <v/>
      </c>
      <c r="Q2674" s="1636" t="s">
        <v>8</v>
      </c>
      <c r="R2674" s="1703" t="str">
        <f>IFERROR(VLOOKUP(F2674,#REF!,14,FALSE),"")</f>
        <v/>
      </c>
      <c r="S2674" s="1704">
        <f t="shared" si="464"/>
        <v>1.6779661016949152</v>
      </c>
      <c r="T2674" s="1379">
        <f t="shared" si="465"/>
        <v>26.819528041946853</v>
      </c>
      <c r="U2674" s="1379">
        <f t="shared" si="466"/>
        <v>22.411005447987019</v>
      </c>
      <c r="V2674" s="1695">
        <f t="shared" si="467"/>
        <v>-4.3480942079106413</v>
      </c>
      <c r="W2674" s="1767">
        <f t="shared" si="468"/>
        <v>1.1967123966923943</v>
      </c>
      <c r="X2674" s="1695">
        <v>258</v>
      </c>
    </row>
    <row r="2675" spans="1:24" x14ac:dyDescent="0.2">
      <c r="A2675" s="1649" t="s">
        <v>347</v>
      </c>
      <c r="B2675" s="1680">
        <f t="shared" ref="B2675" si="495">SUM(K2673:K2679)</f>
        <v>48</v>
      </c>
      <c r="C2675" s="1651">
        <v>45763</v>
      </c>
      <c r="D2675" s="1695"/>
      <c r="E2675" s="1696"/>
      <c r="F2675" s="1937"/>
      <c r="G2675" s="1697"/>
      <c r="H2675" s="1698" t="str">
        <f>IFERROR(VLOOKUP(F2675,#REF!,10,FALSE),"")</f>
        <v/>
      </c>
      <c r="I2675" s="1699" t="str">
        <f t="shared" si="462"/>
        <v/>
      </c>
      <c r="J2675" s="1700"/>
      <c r="K2675" s="1755"/>
      <c r="L2675" s="1578"/>
      <c r="M2675" s="1700"/>
      <c r="N2675" s="1701" t="str">
        <f t="shared" si="463"/>
        <v/>
      </c>
      <c r="O2675" s="1702"/>
      <c r="P2675" s="1635" t="str">
        <f>IFERROR(VLOOKUP(F2675,#REF!,12,FALSE),"")</f>
        <v/>
      </c>
      <c r="Q2675" s="1636" t="s">
        <v>8</v>
      </c>
      <c r="R2675" s="1703" t="str">
        <f>IFERROR(VLOOKUP(F2675,#REF!,14,FALSE),"")</f>
        <v/>
      </c>
      <c r="S2675" s="1704" t="str">
        <f t="shared" si="464"/>
        <v/>
      </c>
      <c r="T2675" s="1379">
        <f t="shared" si="465"/>
        <v>22.988166893097304</v>
      </c>
      <c r="U2675" s="1379">
        <f t="shared" si="466"/>
        <v>21.877410080177803</v>
      </c>
      <c r="V2675" s="1695">
        <f t="shared" si="467"/>
        <v>-4.4085225939598338</v>
      </c>
      <c r="W2675" s="1767">
        <f t="shared" si="468"/>
        <v>1.0507718605103953</v>
      </c>
      <c r="X2675" s="1695">
        <v>258</v>
      </c>
    </row>
    <row r="2676" spans="1:24" x14ac:dyDescent="0.2">
      <c r="A2676" s="1649" t="s">
        <v>256</v>
      </c>
      <c r="B2676" s="1677">
        <f t="shared" ref="B2676" si="496">AVERAGE(W2673:W2679)</f>
        <v>0.97404713441052693</v>
      </c>
      <c r="C2676" s="1651">
        <v>45764</v>
      </c>
      <c r="D2676" s="1695"/>
      <c r="E2676" s="1696"/>
      <c r="F2676" s="1937"/>
      <c r="G2676" s="1697"/>
      <c r="H2676" s="1698" t="str">
        <f>IFERROR(VLOOKUP(F2676,#REF!,10,FALSE),"")</f>
        <v/>
      </c>
      <c r="I2676" s="1699" t="str">
        <f t="shared" si="462"/>
        <v/>
      </c>
      <c r="J2676" s="1700"/>
      <c r="K2676" s="1755"/>
      <c r="L2676" s="1578"/>
      <c r="M2676" s="1700"/>
      <c r="N2676" s="1701" t="str">
        <f t="shared" si="463"/>
        <v/>
      </c>
      <c r="O2676" s="1702"/>
      <c r="P2676" s="1635" t="str">
        <f>IFERROR(VLOOKUP(F2676,#REF!,12,FALSE),"")</f>
        <v/>
      </c>
      <c r="Q2676" s="1636" t="s">
        <v>8</v>
      </c>
      <c r="R2676" s="1703" t="str">
        <f>IFERROR(VLOOKUP(F2676,#REF!,14,FALSE),"")</f>
        <v/>
      </c>
      <c r="S2676" s="1704" t="str">
        <f t="shared" si="464"/>
        <v/>
      </c>
      <c r="T2676" s="1379">
        <f t="shared" si="465"/>
        <v>19.704143051226261</v>
      </c>
      <c r="U2676" s="1379">
        <f t="shared" si="466"/>
        <v>21.356519363983093</v>
      </c>
      <c r="V2676" s="1695">
        <f t="shared" si="467"/>
        <v>-1.1107568129195009</v>
      </c>
      <c r="W2676" s="1767">
        <f t="shared" si="468"/>
        <v>0.92262895069205431</v>
      </c>
      <c r="X2676" s="1695">
        <v>258</v>
      </c>
    </row>
    <row r="2677" spans="1:24" x14ac:dyDescent="0.2">
      <c r="A2677" s="1649" t="s">
        <v>336</v>
      </c>
      <c r="B2677" s="1713">
        <f t="shared" ref="B2677" si="497">IFERROR(AVERAGE(N2673:N2679),"")</f>
        <v>1.0566588394235719</v>
      </c>
      <c r="C2677" s="1724">
        <v>45765</v>
      </c>
      <c r="D2677" s="1695">
        <v>52</v>
      </c>
      <c r="E2677" s="1696" t="s">
        <v>292</v>
      </c>
      <c r="F2677" s="1937" t="s">
        <v>322</v>
      </c>
      <c r="G2677" s="1697">
        <v>2.164351851851852E-2</v>
      </c>
      <c r="H2677" s="1698">
        <v>4.93</v>
      </c>
      <c r="I2677" s="1699">
        <f t="shared" si="462"/>
        <v>4.3901660280970629E-3</v>
      </c>
      <c r="J2677" s="1700">
        <v>118</v>
      </c>
      <c r="K2677" s="1755">
        <v>20</v>
      </c>
      <c r="L2677" s="1578">
        <v>187</v>
      </c>
      <c r="M2677" s="1700">
        <v>22</v>
      </c>
      <c r="N2677" s="1701">
        <f t="shared" si="463"/>
        <v>1.058672156459084</v>
      </c>
      <c r="O2677" s="1702" t="s">
        <v>358</v>
      </c>
      <c r="P2677" s="1635" t="str">
        <f>IFERROR(VLOOKUP(F2677,#REF!,12,FALSE),"")</f>
        <v/>
      </c>
      <c r="Q2677" s="1636" t="s">
        <v>8</v>
      </c>
      <c r="R2677" s="1703" t="str">
        <f>IFERROR(VLOOKUP(F2677,#REF!,14,FALSE),"")</f>
        <v/>
      </c>
      <c r="S2677" s="1704">
        <f t="shared" si="464"/>
        <v>1.5847457627118644</v>
      </c>
      <c r="T2677" s="1379">
        <f t="shared" si="465"/>
        <v>19.746408329622508</v>
      </c>
      <c r="U2677" s="1379">
        <f t="shared" si="466"/>
        <v>21.324221283888257</v>
      </c>
      <c r="V2677" s="1695">
        <f t="shared" si="467"/>
        <v>1.6523763127568323</v>
      </c>
      <c r="W2677" s="1767">
        <f t="shared" si="468"/>
        <v>0.92600841394110456</v>
      </c>
      <c r="X2677" s="1695">
        <v>258</v>
      </c>
    </row>
    <row r="2678" spans="1:24" x14ac:dyDescent="0.2">
      <c r="A2678" s="1649" t="s">
        <v>337</v>
      </c>
      <c r="B2678" s="1681">
        <f t="shared" ref="B2678" si="498">IFERROR(AVERAGE(S2673:S2679),"")</f>
        <v>1.6313559322033897</v>
      </c>
      <c r="C2678" s="1724">
        <v>45766</v>
      </c>
      <c r="D2678" s="1695"/>
      <c r="E2678" s="1696"/>
      <c r="F2678" s="1938"/>
      <c r="G2678" s="1697"/>
      <c r="H2678" s="1698" t="str">
        <f>IFERROR(VLOOKUP(F2678,#REF!,10,FALSE),"")</f>
        <v/>
      </c>
      <c r="I2678" s="1699" t="str">
        <f t="shared" si="462"/>
        <v/>
      </c>
      <c r="J2678" s="1700"/>
      <c r="K2678" s="1755"/>
      <c r="L2678" s="1578"/>
      <c r="M2678" s="1700"/>
      <c r="N2678" s="1701" t="str">
        <f t="shared" si="463"/>
        <v/>
      </c>
      <c r="O2678" s="1702"/>
      <c r="P2678" s="1635" t="str">
        <f>IFERROR(VLOOKUP(F2678,#REF!,12,FALSE),"")</f>
        <v/>
      </c>
      <c r="Q2678" s="1636" t="s">
        <v>8</v>
      </c>
      <c r="R2678" s="1703" t="str">
        <f>IFERROR(VLOOKUP(F2678,#REF!,14,FALSE),"")</f>
        <v/>
      </c>
      <c r="S2678" s="1704" t="str">
        <f t="shared" si="464"/>
        <v/>
      </c>
      <c r="T2678" s="1379">
        <f t="shared" si="465"/>
        <v>16.925492853962151</v>
      </c>
      <c r="U2678" s="1379">
        <f t="shared" si="466"/>
        <v>20.816501729509966</v>
      </c>
      <c r="V2678" s="1695">
        <f t="shared" si="467"/>
        <v>1.5778129542657489</v>
      </c>
      <c r="W2678" s="1767">
        <f t="shared" si="468"/>
        <v>0.81308055858243322</v>
      </c>
      <c r="X2678" s="1695">
        <v>258</v>
      </c>
    </row>
    <row r="2679" spans="1:24" ht="16" thickBot="1" x14ac:dyDescent="0.25">
      <c r="A2679" s="1650" t="s">
        <v>5</v>
      </c>
      <c r="B2679" s="1678">
        <f t="shared" ref="B2679" si="499">IFERROR(SUM(M2673:M2679),"")</f>
        <v>46</v>
      </c>
      <c r="C2679" s="1686">
        <v>45767</v>
      </c>
      <c r="D2679" s="683"/>
      <c r="E2679" s="684"/>
      <c r="F2679" s="1939"/>
      <c r="G2679" s="1361"/>
      <c r="H2679" s="1362" t="str">
        <f>IFERROR(VLOOKUP(F2679,#REF!,10,FALSE),"")</f>
        <v/>
      </c>
      <c r="I2679" s="1363" t="str">
        <f t="shared" si="462"/>
        <v/>
      </c>
      <c r="J2679" s="1364"/>
      <c r="K2679" s="1747"/>
      <c r="L2679" s="1705"/>
      <c r="M2679" s="1364"/>
      <c r="N2679" s="1365" t="str">
        <f t="shared" si="463"/>
        <v/>
      </c>
      <c r="O2679" s="1366"/>
      <c r="P2679" s="1706" t="str">
        <f>IFERROR(VLOOKUP(F2679,#REF!,12,FALSE),"")</f>
        <v/>
      </c>
      <c r="Q2679" s="1707" t="s">
        <v>8</v>
      </c>
      <c r="R2679" s="1708" t="str">
        <f>IFERROR(VLOOKUP(F2679,#REF!,14,FALSE),"")</f>
        <v/>
      </c>
      <c r="S2679" s="1191" t="str">
        <f t="shared" si="464"/>
        <v/>
      </c>
      <c r="T2679" s="1897">
        <f t="shared" si="465"/>
        <v>14.507565303396129</v>
      </c>
      <c r="U2679" s="1897">
        <f t="shared" si="466"/>
        <v>20.320870735950205</v>
      </c>
      <c r="V2679" s="683">
        <f t="shared" si="467"/>
        <v>3.8910088755478149</v>
      </c>
      <c r="W2679" s="1768">
        <f t="shared" si="468"/>
        <v>0.71392439290164866</v>
      </c>
      <c r="X2679" s="683">
        <v>258</v>
      </c>
    </row>
    <row r="2680" spans="1:24" ht="16" thickBot="1" x14ac:dyDescent="0.25">
      <c r="A2680" s="1962">
        <f t="shared" ref="A2680" si="500">WEEKNUM(C2680,1)</f>
        <v>17</v>
      </c>
      <c r="B2680" s="1963"/>
      <c r="C2680" s="1687">
        <v>45768</v>
      </c>
      <c r="D2680" s="1369"/>
      <c r="E2680" s="1370"/>
      <c r="F2680" s="1934"/>
      <c r="G2680" s="1371"/>
      <c r="H2680" s="1372" t="str">
        <f>IFERROR(VLOOKUP(F2680,#REF!,10,FALSE),"")</f>
        <v/>
      </c>
      <c r="I2680" s="1373" t="str">
        <f t="shared" si="462"/>
        <v/>
      </c>
      <c r="J2680" s="1374"/>
      <c r="K2680" s="1745"/>
      <c r="L2680" s="1577"/>
      <c r="M2680" s="1374"/>
      <c r="N2680" s="1375" t="str">
        <f t="shared" si="463"/>
        <v/>
      </c>
      <c r="O2680" s="1376"/>
      <c r="P2680" s="795" t="str">
        <f>IFERROR(VLOOKUP(F2680,#REF!,12,FALSE),"")</f>
        <v/>
      </c>
      <c r="Q2680" s="1254" t="s">
        <v>8</v>
      </c>
      <c r="R2680" s="1694" t="str">
        <f>IFERROR(VLOOKUP(F2680,#REF!,14,FALSE),"")</f>
        <v/>
      </c>
      <c r="S2680" s="1377" t="str">
        <f t="shared" si="464"/>
        <v/>
      </c>
      <c r="T2680" s="1369">
        <f t="shared" si="465"/>
        <v>12.435055974339539</v>
      </c>
      <c r="U2680" s="1369">
        <f t="shared" si="466"/>
        <v>19.837040480332345</v>
      </c>
      <c r="V2680" s="1369">
        <f t="shared" si="467"/>
        <v>5.8133054325540758</v>
      </c>
      <c r="W2680" s="1766">
        <f t="shared" si="468"/>
        <v>0.62686044254778905</v>
      </c>
      <c r="X2680" s="1369">
        <v>237</v>
      </c>
    </row>
    <row r="2681" spans="1:24" x14ac:dyDescent="0.2">
      <c r="A2681" s="1648" t="s">
        <v>142</v>
      </c>
      <c r="B2681" s="1679">
        <f t="shared" ref="B2681" si="501">SUM(H2680:H2686)</f>
        <v>53.61</v>
      </c>
      <c r="C2681" s="1651">
        <v>45769</v>
      </c>
      <c r="D2681" s="1695">
        <v>53</v>
      </c>
      <c r="E2681" s="1696" t="s">
        <v>293</v>
      </c>
      <c r="F2681" s="1935" t="s">
        <v>343</v>
      </c>
      <c r="G2681" s="1697">
        <v>2.8321759259259258E-2</v>
      </c>
      <c r="H2681" s="1698">
        <v>7.06</v>
      </c>
      <c r="I2681" s="1699">
        <f t="shared" si="462"/>
        <v>4.0115806316231243E-3</v>
      </c>
      <c r="J2681" s="1700">
        <v>120</v>
      </c>
      <c r="K2681" s="1755">
        <v>46</v>
      </c>
      <c r="L2681" s="1578">
        <v>205</v>
      </c>
      <c r="M2681" s="1700">
        <v>19</v>
      </c>
      <c r="N2681" s="1701">
        <f t="shared" si="463"/>
        <v>1.0604942708553551</v>
      </c>
      <c r="O2681" s="1702" t="s">
        <v>333</v>
      </c>
      <c r="P2681" s="1635" t="str">
        <f>IFERROR(VLOOKUP(F2681,#REF!,12,FALSE),"")</f>
        <v/>
      </c>
      <c r="Q2681" s="1636" t="s">
        <v>8</v>
      </c>
      <c r="R2681" s="1703" t="str">
        <f>IFERROR(VLOOKUP(F2681,#REF!,14,FALSE),"")</f>
        <v/>
      </c>
      <c r="S2681" s="1704">
        <f t="shared" si="464"/>
        <v>1.7083333333333333</v>
      </c>
      <c r="T2681" s="1828">
        <f t="shared" si="465"/>
        <v>17.23004797800532</v>
      </c>
      <c r="U2681" s="1828">
        <f t="shared" si="466"/>
        <v>20.45996808794348</v>
      </c>
      <c r="V2681" s="1695">
        <f t="shared" si="467"/>
        <v>7.4019845059928056</v>
      </c>
      <c r="W2681" s="1767">
        <f t="shared" si="468"/>
        <v>0.84213464576020203</v>
      </c>
      <c r="X2681" s="1695">
        <v>237</v>
      </c>
    </row>
    <row r="2682" spans="1:24" x14ac:dyDescent="0.2">
      <c r="A2682" s="1649" t="s">
        <v>347</v>
      </c>
      <c r="B2682" s="1680">
        <f t="shared" ref="B2682" si="502">SUM(K2680:K2686)</f>
        <v>376</v>
      </c>
      <c r="C2682" s="1651">
        <v>45770</v>
      </c>
      <c r="D2682" s="1695">
        <v>54</v>
      </c>
      <c r="E2682" s="1696" t="s">
        <v>293</v>
      </c>
      <c r="F2682" s="1940" t="s">
        <v>302</v>
      </c>
      <c r="G2682" s="1697">
        <v>3.9768518518518516E-2</v>
      </c>
      <c r="H2682" s="1698">
        <v>11.05</v>
      </c>
      <c r="I2682" s="1699">
        <f t="shared" si="462"/>
        <v>3.5989609519021279E-3</v>
      </c>
      <c r="J2682" s="1700">
        <v>141</v>
      </c>
      <c r="K2682" s="1755">
        <v>104</v>
      </c>
      <c r="L2682" s="1578">
        <v>227</v>
      </c>
      <c r="M2682" s="1700">
        <v>44</v>
      </c>
      <c r="N2682" s="1701">
        <f t="shared" si="463"/>
        <v>1.0535179307084486</v>
      </c>
      <c r="O2682" s="1702" t="s">
        <v>345</v>
      </c>
      <c r="P2682" s="1635" t="str">
        <f>IFERROR(VLOOKUP(F2682,#REF!,12,FALSE),"")</f>
        <v/>
      </c>
      <c r="Q2682" s="1636" t="s">
        <v>8</v>
      </c>
      <c r="R2682" s="1703" t="str">
        <f>IFERROR(VLOOKUP(F2682,#REF!,14,FALSE),"")</f>
        <v/>
      </c>
      <c r="S2682" s="1704">
        <f t="shared" si="464"/>
        <v>1.6099290780141844</v>
      </c>
      <c r="T2682" s="1828">
        <f t="shared" si="465"/>
        <v>29.625755409718849</v>
      </c>
      <c r="U2682" s="1828">
        <f t="shared" si="466"/>
        <v>22.449016466801968</v>
      </c>
      <c r="V2682" s="1695">
        <f t="shared" si="467"/>
        <v>3.2299201099381598</v>
      </c>
      <c r="W2682" s="1767">
        <f t="shared" si="468"/>
        <v>1.3196905732386974</v>
      </c>
      <c r="X2682" s="1695">
        <v>237</v>
      </c>
    </row>
    <row r="2683" spans="1:24" x14ac:dyDescent="0.2">
      <c r="A2683" s="1649" t="s">
        <v>256</v>
      </c>
      <c r="B2683" s="1677">
        <f t="shared" ref="B2683" si="503">AVERAGE(W2680:W2686)</f>
        <v>1.213930103844038</v>
      </c>
      <c r="C2683" s="1651">
        <v>45771</v>
      </c>
      <c r="D2683" s="1695">
        <v>55</v>
      </c>
      <c r="E2683" s="1696" t="s">
        <v>293</v>
      </c>
      <c r="F2683" s="1935" t="s">
        <v>355</v>
      </c>
      <c r="G2683" s="1697">
        <v>2.5972222222222223E-2</v>
      </c>
      <c r="H2683" s="1698">
        <v>6.29</v>
      </c>
      <c r="I2683" s="1699">
        <f t="shared" si="462"/>
        <v>4.1291291291291289E-3</v>
      </c>
      <c r="J2683" s="1700">
        <v>120</v>
      </c>
      <c r="K2683" s="1755">
        <v>33</v>
      </c>
      <c r="L2683" s="1578">
        <v>198</v>
      </c>
      <c r="M2683" s="1700">
        <v>24</v>
      </c>
      <c r="N2683" s="1701">
        <f t="shared" si="463"/>
        <v>1.054296087131908</v>
      </c>
      <c r="O2683" s="1702" t="s">
        <v>333</v>
      </c>
      <c r="P2683" s="1635" t="str">
        <f>IFERROR(VLOOKUP(F2683,#REF!,12,FALSE),"")</f>
        <v/>
      </c>
      <c r="Q2683" s="1636" t="s">
        <v>8</v>
      </c>
      <c r="R2683" s="1703" t="str">
        <f>IFERROR(VLOOKUP(F2683,#REF!,14,FALSE),"")</f>
        <v/>
      </c>
      <c r="S2683" s="1704">
        <f t="shared" si="464"/>
        <v>1.65</v>
      </c>
      <c r="T2683" s="1828">
        <f t="shared" si="465"/>
        <v>30.107790351187585</v>
      </c>
      <c r="U2683" s="1828">
        <f t="shared" si="466"/>
        <v>22.700230360449542</v>
      </c>
      <c r="V2683" s="1695">
        <f t="shared" si="467"/>
        <v>-7.1767389429168809</v>
      </c>
      <c r="W2683" s="1767">
        <f t="shared" si="468"/>
        <v>1.3263209171499946</v>
      </c>
      <c r="X2683" s="1695">
        <v>244</v>
      </c>
    </row>
    <row r="2684" spans="1:24" x14ac:dyDescent="0.2">
      <c r="A2684" s="1649" t="s">
        <v>336</v>
      </c>
      <c r="B2684" s="1713">
        <f t="shared" ref="B2684" si="504">IFERROR(AVERAGE(N2680:N2686),"")</f>
        <v>1.0610536260570222</v>
      </c>
      <c r="C2684" s="1651">
        <v>45772</v>
      </c>
      <c r="D2684" s="1695">
        <v>56</v>
      </c>
      <c r="E2684" s="1696" t="s">
        <v>293</v>
      </c>
      <c r="F2684" s="1935" t="s">
        <v>343</v>
      </c>
      <c r="G2684" s="1697">
        <v>3.0682870370370371E-2</v>
      </c>
      <c r="H2684" s="1698">
        <v>7.76</v>
      </c>
      <c r="I2684" s="1699">
        <f t="shared" si="462"/>
        <v>3.9539781405116461E-3</v>
      </c>
      <c r="J2684" s="1700">
        <v>126</v>
      </c>
      <c r="K2684" s="1755">
        <v>49</v>
      </c>
      <c r="L2684" s="1578">
        <v>211</v>
      </c>
      <c r="M2684" s="1700">
        <v>24</v>
      </c>
      <c r="N2684" s="1701">
        <f t="shared" si="463"/>
        <v>1.0758597476534852</v>
      </c>
      <c r="O2684" s="1702" t="s">
        <v>340</v>
      </c>
      <c r="P2684" s="1635" t="str">
        <f>IFERROR(VLOOKUP(F2684,#REF!,12,FALSE),"")</f>
        <v/>
      </c>
      <c r="Q2684" s="1636" t="s">
        <v>8</v>
      </c>
      <c r="R2684" s="1703" t="str">
        <f>IFERROR(VLOOKUP(F2684,#REF!,14,FALSE),"")</f>
        <v/>
      </c>
      <c r="S2684" s="1704">
        <f t="shared" si="464"/>
        <v>1.6746031746031746</v>
      </c>
      <c r="T2684" s="1828">
        <f t="shared" si="465"/>
        <v>32.806677443875074</v>
      </c>
      <c r="U2684" s="1828">
        <f t="shared" si="466"/>
        <v>23.326415351867411</v>
      </c>
      <c r="V2684" s="1695">
        <f t="shared" si="467"/>
        <v>-7.4075599907380436</v>
      </c>
      <c r="W2684" s="1767">
        <f t="shared" si="468"/>
        <v>1.4064174434435215</v>
      </c>
      <c r="X2684" s="1695">
        <v>244</v>
      </c>
    </row>
    <row r="2685" spans="1:24" x14ac:dyDescent="0.2">
      <c r="A2685" s="1649" t="s">
        <v>337</v>
      </c>
      <c r="B2685" s="1681">
        <f t="shared" ref="B2685" si="505">IFERROR(AVERAGE(S2680:S2686),"")</f>
        <v>1.6462201760136679</v>
      </c>
      <c r="C2685" s="1651">
        <v>45773</v>
      </c>
      <c r="D2685" s="1695"/>
      <c r="E2685" s="1696"/>
      <c r="F2685" s="1935"/>
      <c r="G2685" s="1697"/>
      <c r="H2685" s="1698" t="str">
        <f>IFERROR(VLOOKUP(F2685,#REF!,10,FALSE),"")</f>
        <v/>
      </c>
      <c r="I2685" s="1699" t="str">
        <f t="shared" si="462"/>
        <v/>
      </c>
      <c r="J2685" s="1700"/>
      <c r="K2685" s="1755"/>
      <c r="L2685" s="1578"/>
      <c r="M2685" s="1700"/>
      <c r="N2685" s="1701" t="str">
        <f t="shared" si="463"/>
        <v/>
      </c>
      <c r="O2685" s="1702"/>
      <c r="P2685" s="1635" t="str">
        <f>IFERROR(VLOOKUP(F2685,#REF!,12,FALSE),"")</f>
        <v/>
      </c>
      <c r="Q2685" s="1636" t="s">
        <v>8</v>
      </c>
      <c r="R2685" s="1703" t="str">
        <f>IFERROR(VLOOKUP(F2685,#REF!,14,FALSE),"")</f>
        <v/>
      </c>
      <c r="S2685" s="1704" t="str">
        <f t="shared" si="464"/>
        <v/>
      </c>
      <c r="T2685" s="1828">
        <f t="shared" si="465"/>
        <v>28.120009237607206</v>
      </c>
      <c r="U2685" s="1828">
        <f t="shared" si="466"/>
        <v>22.77102451015628</v>
      </c>
      <c r="V2685" s="1695">
        <f t="shared" si="467"/>
        <v>-9.4802620920076635</v>
      </c>
      <c r="W2685" s="1767">
        <f t="shared" si="468"/>
        <v>1.2349031210723604</v>
      </c>
      <c r="X2685" s="1695">
        <v>244</v>
      </c>
    </row>
    <row r="2686" spans="1:24" ht="16" thickBot="1" x14ac:dyDescent="0.25">
      <c r="A2686" s="1650" t="s">
        <v>5</v>
      </c>
      <c r="B2686" s="1678">
        <f t="shared" ref="B2686" si="506">IFERROR(SUM(M2680:M2686),"")</f>
        <v>197</v>
      </c>
      <c r="C2686" s="1360">
        <v>45774</v>
      </c>
      <c r="D2686" s="683">
        <v>57</v>
      </c>
      <c r="E2686" s="684" t="s">
        <v>292</v>
      </c>
      <c r="F2686" s="1933" t="s">
        <v>276</v>
      </c>
      <c r="G2686" s="1361">
        <v>8.1712962962962959E-2</v>
      </c>
      <c r="H2686" s="1362">
        <v>21.45</v>
      </c>
      <c r="I2686" s="1363">
        <f t="shared" si="462"/>
        <v>3.809462142795476E-3</v>
      </c>
      <c r="J2686" s="1364">
        <v>136</v>
      </c>
      <c r="K2686" s="1747">
        <v>144</v>
      </c>
      <c r="L2686" s="1705">
        <v>216</v>
      </c>
      <c r="M2686" s="1364">
        <v>86</v>
      </c>
      <c r="N2686" s="1365">
        <f t="shared" si="463"/>
        <v>1.0611000939359148</v>
      </c>
      <c r="O2686" s="1366" t="s">
        <v>357</v>
      </c>
      <c r="P2686" s="1706" t="str">
        <f>IFERROR(VLOOKUP(F2686,#REF!,12,FALSE),"")</f>
        <v/>
      </c>
      <c r="Q2686" s="1707" t="s">
        <v>8</v>
      </c>
      <c r="R2686" s="1708" t="str">
        <f>IFERROR(VLOOKUP(F2686,#REF!,14,FALSE),"")</f>
        <v/>
      </c>
      <c r="S2686" s="1191">
        <f t="shared" si="464"/>
        <v>1.588235294117647</v>
      </c>
      <c r="T2686" s="1829">
        <f t="shared" si="465"/>
        <v>44.67429363223475</v>
      </c>
      <c r="U2686" s="1829">
        <f t="shared" si="466"/>
        <v>25.657428688485894</v>
      </c>
      <c r="V2686" s="683">
        <f t="shared" si="467"/>
        <v>-5.3489847274509259</v>
      </c>
      <c r="W2686" s="1768">
        <f t="shared" si="468"/>
        <v>1.7411835836957008</v>
      </c>
      <c r="X2686" s="683">
        <v>244</v>
      </c>
    </row>
    <row r="2687" spans="1:24" ht="16" thickBot="1" x14ac:dyDescent="0.25">
      <c r="A2687" s="1962">
        <f t="shared" ref="A2687" si="507">WEEKNUM(C2687,1)</f>
        <v>18</v>
      </c>
      <c r="B2687" s="1963"/>
      <c r="C2687" s="1368">
        <v>45775</v>
      </c>
      <c r="D2687" s="1369">
        <v>58</v>
      </c>
      <c r="E2687" s="1370" t="s">
        <v>293</v>
      </c>
      <c r="F2687" s="1934" t="s">
        <v>343</v>
      </c>
      <c r="G2687" s="1371">
        <v>2.3969907407407409E-2</v>
      </c>
      <c r="H2687" s="1372">
        <v>5.92</v>
      </c>
      <c r="I2687" s="1373">
        <f t="shared" si="462"/>
        <v>4.0489708458458463E-3</v>
      </c>
      <c r="J2687" s="1374">
        <v>118</v>
      </c>
      <c r="K2687" s="1745">
        <v>33</v>
      </c>
      <c r="L2687" s="1577">
        <v>201</v>
      </c>
      <c r="M2687" s="1374">
        <v>17</v>
      </c>
      <c r="N2687" s="1375">
        <f t="shared" si="463"/>
        <v>1.0494932432432433</v>
      </c>
      <c r="O2687" s="1376" t="s">
        <v>358</v>
      </c>
      <c r="P2687" s="795" t="str">
        <f>IFERROR(VLOOKUP(F2687,#REF!,12,FALSE),"")</f>
        <v/>
      </c>
      <c r="Q2687" s="1254" t="s">
        <v>8</v>
      </c>
      <c r="R2687" s="1694" t="str">
        <f>IFERROR(VLOOKUP(F2687,#REF!,14,FALSE),"")</f>
        <v/>
      </c>
      <c r="S2687" s="1377">
        <f t="shared" si="464"/>
        <v>1.7033898305084745</v>
      </c>
      <c r="T2687" s="70">
        <f t="shared" si="465"/>
        <v>43.006537399058359</v>
      </c>
      <c r="U2687" s="70">
        <f t="shared" si="466"/>
        <v>25.832251814950514</v>
      </c>
      <c r="V2687" s="1369">
        <f t="shared" si="467"/>
        <v>-19.016864943748857</v>
      </c>
      <c r="W2687" s="1766">
        <f t="shared" si="468"/>
        <v>1.6648388885001564</v>
      </c>
      <c r="X2687" s="1369">
        <v>244</v>
      </c>
    </row>
    <row r="2688" spans="1:24" x14ac:dyDescent="0.2">
      <c r="A2688" s="1648" t="s">
        <v>142</v>
      </c>
      <c r="B2688" s="1679">
        <f t="shared" ref="B2688" si="508">SUM(H2687:H2693)</f>
        <v>51.33</v>
      </c>
      <c r="C2688" s="1651">
        <v>45776</v>
      </c>
      <c r="D2688" s="1695">
        <v>59</v>
      </c>
      <c r="E2688" s="1696" t="s">
        <v>293</v>
      </c>
      <c r="F2688" s="1935" t="s">
        <v>343</v>
      </c>
      <c r="G2688" s="1697">
        <v>2.537037037037037E-2</v>
      </c>
      <c r="H2688" s="1698">
        <v>6.33</v>
      </c>
      <c r="I2688" s="1699">
        <f t="shared" si="462"/>
        <v>4.007957404481891E-3</v>
      </c>
      <c r="J2688" s="1700">
        <v>117</v>
      </c>
      <c r="K2688" s="1755">
        <v>37</v>
      </c>
      <c r="L2688" s="1578">
        <v>205</v>
      </c>
      <c r="M2688" s="1700">
        <v>20</v>
      </c>
      <c r="N2688" s="1701">
        <f t="shared" si="463"/>
        <v>1.0595364410176604</v>
      </c>
      <c r="O2688" s="1702" t="s">
        <v>340</v>
      </c>
      <c r="P2688" s="1635" t="str">
        <f>IFERROR(VLOOKUP(F2688,#REF!,12,FALSE),"")</f>
        <v/>
      </c>
      <c r="Q2688" s="1636" t="s">
        <v>8</v>
      </c>
      <c r="R2688" s="1703" t="str">
        <f>IFERROR(VLOOKUP(F2688,#REF!,14,FALSE),"")</f>
        <v/>
      </c>
      <c r="S2688" s="1704">
        <f t="shared" si="464"/>
        <v>1.7521367521367521</v>
      </c>
      <c r="T2688" s="1379">
        <f t="shared" si="465"/>
        <v>42.148460627764308</v>
      </c>
      <c r="U2688" s="1379">
        <f t="shared" si="466"/>
        <v>26.098150581261216</v>
      </c>
      <c r="V2688" s="1695">
        <f t="shared" si="467"/>
        <v>-17.174285584107846</v>
      </c>
      <c r="W2688" s="1767">
        <f t="shared" si="468"/>
        <v>1.6149979860269259</v>
      </c>
      <c r="X2688" s="1695">
        <v>244</v>
      </c>
    </row>
    <row r="2689" spans="1:24" x14ac:dyDescent="0.2">
      <c r="A2689" s="1649" t="s">
        <v>347</v>
      </c>
      <c r="B2689" s="1680">
        <f t="shared" ref="B2689" si="509">SUM(K2687:K2693)</f>
        <v>335</v>
      </c>
      <c r="C2689" s="1651">
        <v>45777</v>
      </c>
      <c r="D2689" s="1695">
        <v>60</v>
      </c>
      <c r="E2689" s="1696" t="s">
        <v>293</v>
      </c>
      <c r="F2689" s="1940" t="s">
        <v>303</v>
      </c>
      <c r="G2689" s="1697">
        <v>4.6805555555555559E-2</v>
      </c>
      <c r="H2689" s="1698">
        <v>13.29</v>
      </c>
      <c r="I2689" s="1699">
        <f t="shared" si="462"/>
        <v>3.521862720508319E-3</v>
      </c>
      <c r="J2689" s="1700">
        <v>143</v>
      </c>
      <c r="K2689" s="1755">
        <v>114</v>
      </c>
      <c r="L2689" s="1578">
        <v>231</v>
      </c>
      <c r="M2689" s="1700">
        <v>49</v>
      </c>
      <c r="N2689" s="1701">
        <f t="shared" si="463"/>
        <v>1.0491155958357199</v>
      </c>
      <c r="O2689" s="1702" t="s">
        <v>345</v>
      </c>
      <c r="P2689" s="1635" t="str">
        <f>IFERROR(VLOOKUP(F2689,#REF!,12,FALSE),"")</f>
        <v/>
      </c>
      <c r="Q2689" s="1636" t="s">
        <v>8</v>
      </c>
      <c r="R2689" s="1703" t="str">
        <f>IFERROR(VLOOKUP(F2689,#REF!,14,FALSE),"")</f>
        <v/>
      </c>
      <c r="S2689" s="1704">
        <f t="shared" si="464"/>
        <v>1.6153846153846154</v>
      </c>
      <c r="T2689" s="1379">
        <f t="shared" si="465"/>
        <v>52.412966252369408</v>
      </c>
      <c r="U2689" s="1379">
        <f t="shared" si="466"/>
        <v>28.191051757897853</v>
      </c>
      <c r="V2689" s="1695">
        <f t="shared" si="467"/>
        <v>-16.050310046503093</v>
      </c>
      <c r="W2689" s="1767">
        <f t="shared" si="468"/>
        <v>1.8592057757364684</v>
      </c>
      <c r="X2689" s="1695">
        <v>244</v>
      </c>
    </row>
    <row r="2690" spans="1:24" x14ac:dyDescent="0.2">
      <c r="A2690" s="1649" t="s">
        <v>256</v>
      </c>
      <c r="B2690" s="1677">
        <f t="shared" ref="B2690" si="510">AVERAGE(W2687:W2693)</f>
        <v>1.678890386520939</v>
      </c>
      <c r="C2690" s="1651">
        <v>45778</v>
      </c>
      <c r="D2690" s="1695"/>
      <c r="E2690" s="1696"/>
      <c r="F2690" s="1935"/>
      <c r="G2690" s="1697"/>
      <c r="H2690" s="1698" t="str">
        <f>IFERROR(VLOOKUP(F2690,#REF!,10,FALSE),"")</f>
        <v/>
      </c>
      <c r="I2690" s="1699" t="str">
        <f t="shared" si="462"/>
        <v/>
      </c>
      <c r="J2690" s="1700"/>
      <c r="K2690" s="1755"/>
      <c r="L2690" s="1578"/>
      <c r="M2690" s="1700"/>
      <c r="N2690" s="1701" t="str">
        <f t="shared" si="463"/>
        <v/>
      </c>
      <c r="O2690" s="1702"/>
      <c r="P2690" s="1635" t="str">
        <f>IFERROR(VLOOKUP(F2690,#REF!,12,FALSE),"")</f>
        <v/>
      </c>
      <c r="Q2690" s="1636" t="s">
        <v>8</v>
      </c>
      <c r="R2690" s="1703" t="str">
        <f>IFERROR(VLOOKUP(F2690,#REF!,14,FALSE),"")</f>
        <v/>
      </c>
      <c r="S2690" s="1704" t="str">
        <f t="shared" si="464"/>
        <v/>
      </c>
      <c r="T2690" s="1379">
        <f t="shared" si="465"/>
        <v>44.925399644888067</v>
      </c>
      <c r="U2690" s="1379">
        <f t="shared" si="466"/>
        <v>27.519836239852665</v>
      </c>
      <c r="V2690" s="1695">
        <f t="shared" si="467"/>
        <v>-24.221914494471555</v>
      </c>
      <c r="W2690" s="1767">
        <f t="shared" si="468"/>
        <v>1.6324733640612894</v>
      </c>
      <c r="X2690" s="1695">
        <v>248</v>
      </c>
    </row>
    <row r="2691" spans="1:24" x14ac:dyDescent="0.2">
      <c r="A2691" s="1649" t="s">
        <v>336</v>
      </c>
      <c r="B2691" s="1713">
        <f t="shared" ref="B2691" si="511">IFERROR(AVERAGE(N2687:N2693),"")</f>
        <v>1.0569155689679781</v>
      </c>
      <c r="C2691" s="1651">
        <v>45779</v>
      </c>
      <c r="D2691" s="1695">
        <v>61</v>
      </c>
      <c r="E2691" s="1696" t="s">
        <v>292</v>
      </c>
      <c r="F2691" s="1935" t="s">
        <v>343</v>
      </c>
      <c r="G2691" s="1697">
        <v>2.6770833333333331E-2</v>
      </c>
      <c r="H2691" s="1698">
        <v>6.7</v>
      </c>
      <c r="I2691" s="1699">
        <f t="shared" si="462"/>
        <v>3.9956467661691536E-3</v>
      </c>
      <c r="J2691" s="1700">
        <v>136</v>
      </c>
      <c r="K2691" s="1755">
        <v>41</v>
      </c>
      <c r="L2691" s="1578">
        <v>207</v>
      </c>
      <c r="M2691" s="1700">
        <v>23</v>
      </c>
      <c r="N2691" s="1701">
        <f t="shared" si="463"/>
        <v>1.0665872131877923</v>
      </c>
      <c r="O2691" s="1702" t="s">
        <v>358</v>
      </c>
      <c r="P2691" s="1635" t="str">
        <f>IFERROR(VLOOKUP(F2691,#REF!,12,FALSE),"")</f>
        <v/>
      </c>
      <c r="Q2691" s="1636" t="s">
        <v>8</v>
      </c>
      <c r="R2691" s="1703" t="str">
        <f>IFERROR(VLOOKUP(F2691,#REF!,14,FALSE),"")</f>
        <v/>
      </c>
      <c r="S2691" s="1704">
        <f t="shared" si="464"/>
        <v>1.5220588235294117</v>
      </c>
      <c r="T2691" s="1379">
        <f t="shared" si="465"/>
        <v>44.364628267046918</v>
      </c>
      <c r="U2691" s="1379">
        <f t="shared" si="466"/>
        <v>27.840792519856173</v>
      </c>
      <c r="V2691" s="1695">
        <f t="shared" si="467"/>
        <v>-17.405563405035402</v>
      </c>
      <c r="W2691" s="1767">
        <f t="shared" si="468"/>
        <v>1.5935116874063795</v>
      </c>
      <c r="X2691" s="1695">
        <v>248</v>
      </c>
    </row>
    <row r="2692" spans="1:24" x14ac:dyDescent="0.2">
      <c r="A2692" s="1649" t="s">
        <v>337</v>
      </c>
      <c r="B2692" s="1681">
        <f t="shared" ref="B2692" si="512">IFERROR(AVERAGE(S2687:S2693),"")</f>
        <v>1.6426250120637884</v>
      </c>
      <c r="C2692" s="1651">
        <v>45780</v>
      </c>
      <c r="D2692" s="1695">
        <v>62</v>
      </c>
      <c r="E2692" s="1696" t="s">
        <v>292</v>
      </c>
      <c r="F2692" s="1935" t="s">
        <v>275</v>
      </c>
      <c r="G2692" s="1697">
        <v>7.5069444444444453E-2</v>
      </c>
      <c r="H2692" s="1698">
        <v>19.09</v>
      </c>
      <c r="I2692" s="1699">
        <f t="shared" si="462"/>
        <v>3.9323962516733604E-3</v>
      </c>
      <c r="J2692" s="1700">
        <v>129</v>
      </c>
      <c r="K2692" s="1755">
        <v>110</v>
      </c>
      <c r="L2692" s="1578">
        <v>209</v>
      </c>
      <c r="M2692" s="1700">
        <v>77</v>
      </c>
      <c r="N2692" s="1701">
        <f t="shared" si="463"/>
        <v>1.0598453515554758</v>
      </c>
      <c r="O2692" s="1702" t="s">
        <v>357</v>
      </c>
      <c r="P2692" s="1635" t="str">
        <f>IFERROR(VLOOKUP(F2692,#REF!,12,FALSE),"")</f>
        <v/>
      </c>
      <c r="Q2692" s="1636" t="s">
        <v>8</v>
      </c>
      <c r="R2692" s="1703" t="str">
        <f>IFERROR(VLOOKUP(F2692,#REF!,14,FALSE),"")</f>
        <v/>
      </c>
      <c r="S2692" s="1704">
        <f t="shared" si="464"/>
        <v>1.6201550387596899</v>
      </c>
      <c r="T2692" s="1379">
        <f t="shared" si="465"/>
        <v>53.741109943183069</v>
      </c>
      <c r="U2692" s="1379">
        <f t="shared" si="466"/>
        <v>29.796964126526262</v>
      </c>
      <c r="V2692" s="1695">
        <f t="shared" si="467"/>
        <v>-16.523835747190745</v>
      </c>
      <c r="W2692" s="1767">
        <f t="shared" si="468"/>
        <v>1.8035766903964865</v>
      </c>
      <c r="X2692" s="1695">
        <v>248</v>
      </c>
    </row>
    <row r="2693" spans="1:24" ht="16" thickBot="1" x14ac:dyDescent="0.25">
      <c r="A2693" s="1650" t="s">
        <v>5</v>
      </c>
      <c r="B2693" s="1678">
        <f t="shared" ref="B2693" si="513">IFERROR(SUM(M2687:M2693),"")</f>
        <v>186</v>
      </c>
      <c r="C2693" s="1360">
        <v>45781</v>
      </c>
      <c r="D2693" s="683"/>
      <c r="E2693" s="684"/>
      <c r="F2693" s="1933"/>
      <c r="G2693" s="1361"/>
      <c r="H2693" s="1362" t="str">
        <f>IFERROR(VLOOKUP(F2693,#REF!,10,FALSE),"")</f>
        <v/>
      </c>
      <c r="I2693" s="1363" t="str">
        <f t="shared" si="462"/>
        <v/>
      </c>
      <c r="J2693" s="1364"/>
      <c r="K2693" s="1747"/>
      <c r="L2693" s="1705"/>
      <c r="M2693" s="1364"/>
      <c r="N2693" s="1365" t="str">
        <f t="shared" si="463"/>
        <v/>
      </c>
      <c r="O2693" s="1366"/>
      <c r="P2693" s="1706" t="str">
        <f>IFERROR(VLOOKUP(F2693,#REF!,12,FALSE),"")</f>
        <v/>
      </c>
      <c r="Q2693" s="1707" t="s">
        <v>8</v>
      </c>
      <c r="R2693" s="1708" t="str">
        <f>IFERROR(VLOOKUP(F2693,#REF!,14,FALSE),"")</f>
        <v/>
      </c>
      <c r="S2693" s="1191" t="str">
        <f t="shared" si="464"/>
        <v/>
      </c>
      <c r="T2693" s="1897">
        <f t="shared" si="465"/>
        <v>46.063808522728344</v>
      </c>
      <c r="U2693" s="1897">
        <f t="shared" si="466"/>
        <v>29.087512599704208</v>
      </c>
      <c r="V2693" s="683">
        <f t="shared" si="467"/>
        <v>-23.944145816656807</v>
      </c>
      <c r="W2693" s="1768">
        <f t="shared" si="468"/>
        <v>1.583628313518866</v>
      </c>
      <c r="X2693" s="683">
        <v>248</v>
      </c>
    </row>
    <row r="2694" spans="1:24" ht="16" thickBot="1" x14ac:dyDescent="0.25">
      <c r="A2694" s="1962">
        <f t="shared" ref="A2694" si="514">WEEKNUM(C2694,1)</f>
        <v>19</v>
      </c>
      <c r="B2694" s="1963"/>
      <c r="C2694" s="1368">
        <v>45782</v>
      </c>
      <c r="D2694" s="1369">
        <v>63</v>
      </c>
      <c r="E2694" s="1370" t="s">
        <v>293</v>
      </c>
      <c r="F2694" s="1934" t="s">
        <v>343</v>
      </c>
      <c r="G2694" s="1371">
        <v>2.5636574074074072E-2</v>
      </c>
      <c r="H2694" s="1372">
        <v>6.34</v>
      </c>
      <c r="I2694" s="1373">
        <f t="shared" si="462"/>
        <v>4.0436236709896012E-3</v>
      </c>
      <c r="J2694" s="1374">
        <v>119</v>
      </c>
      <c r="K2694" s="1745">
        <v>36</v>
      </c>
      <c r="L2694" s="1577">
        <v>204</v>
      </c>
      <c r="M2694" s="1374">
        <v>21</v>
      </c>
      <c r="N2694" s="1375">
        <f t="shared" si="463"/>
        <v>1.0637506473939451</v>
      </c>
      <c r="O2694" s="1376" t="s">
        <v>340</v>
      </c>
      <c r="P2694" s="795" t="str">
        <f>IFERROR(VLOOKUP(F2694,#REF!,12,FALSE),"")</f>
        <v/>
      </c>
      <c r="Q2694" s="1254" t="s">
        <v>8</v>
      </c>
      <c r="R2694" s="1694" t="str">
        <f>IFERROR(VLOOKUP(F2694,#REF!,14,FALSE),"")</f>
        <v/>
      </c>
      <c r="S2694" s="1377">
        <f t="shared" si="464"/>
        <v>1.7142857142857142</v>
      </c>
      <c r="T2694" s="1369">
        <f t="shared" si="465"/>
        <v>44.62612159091001</v>
      </c>
      <c r="U2694" s="1369">
        <f t="shared" si="466"/>
        <v>29.252095633044583</v>
      </c>
      <c r="V2694" s="1369">
        <f t="shared" si="467"/>
        <v>-16.976295923024136</v>
      </c>
      <c r="W2694" s="1766">
        <f t="shared" si="468"/>
        <v>1.5255700702857742</v>
      </c>
      <c r="X2694" s="1369">
        <v>248</v>
      </c>
    </row>
    <row r="2695" spans="1:24" x14ac:dyDescent="0.2">
      <c r="A2695" s="1648" t="s">
        <v>142</v>
      </c>
      <c r="B2695" s="1679">
        <f t="shared" ref="B2695" si="515">SUM(H2694:H2700)</f>
        <v>49.43</v>
      </c>
      <c r="C2695" s="1651">
        <v>45783</v>
      </c>
      <c r="D2695" s="1695">
        <v>64</v>
      </c>
      <c r="E2695" s="1696" t="s">
        <v>293</v>
      </c>
      <c r="F2695" s="1935" t="s">
        <v>359</v>
      </c>
      <c r="G2695" s="1697">
        <v>3.6412037037037034E-2</v>
      </c>
      <c r="H2695" s="1698">
        <v>10.25</v>
      </c>
      <c r="I2695" s="1699">
        <f t="shared" si="462"/>
        <v>3.5523938572719059E-3</v>
      </c>
      <c r="J2695" s="1700">
        <v>136</v>
      </c>
      <c r="K2695" s="1755">
        <v>79</v>
      </c>
      <c r="L2695" s="1578">
        <v>227</v>
      </c>
      <c r="M2695" s="1700">
        <v>26</v>
      </c>
      <c r="N2695" s="1701">
        <f t="shared" si="463"/>
        <v>1.0398864215507826</v>
      </c>
      <c r="O2695" s="1702" t="s">
        <v>345</v>
      </c>
      <c r="P2695" s="1635" t="str">
        <f>IFERROR(VLOOKUP(F2695,#REF!,12,FALSE),"")</f>
        <v/>
      </c>
      <c r="Q2695" s="1636" t="s">
        <v>8</v>
      </c>
      <c r="R2695" s="1703" t="str">
        <f>IFERROR(VLOOKUP(F2695,#REF!,14,FALSE),"")</f>
        <v/>
      </c>
      <c r="S2695" s="1704">
        <f t="shared" si="464"/>
        <v>1.6691176470588236</v>
      </c>
      <c r="T2695" s="1828">
        <f t="shared" si="465"/>
        <v>49.536675649351437</v>
      </c>
      <c r="U2695" s="1828">
        <f t="shared" si="466"/>
        <v>30.43656954654352</v>
      </c>
      <c r="V2695" s="1695">
        <f t="shared" si="467"/>
        <v>-15.374025957865427</v>
      </c>
      <c r="W2695" s="1767">
        <f t="shared" si="468"/>
        <v>1.6275380697420609</v>
      </c>
      <c r="X2695" s="1695">
        <v>248</v>
      </c>
    </row>
    <row r="2696" spans="1:24" x14ac:dyDescent="0.2">
      <c r="A2696" s="1649" t="s">
        <v>347</v>
      </c>
      <c r="B2696" s="1680">
        <f t="shared" ref="B2696" si="516">SUM(K2694:K2700)</f>
        <v>306</v>
      </c>
      <c r="C2696" s="1651">
        <v>45784</v>
      </c>
      <c r="D2696" s="1695">
        <v>65</v>
      </c>
      <c r="E2696" s="1696" t="s">
        <v>293</v>
      </c>
      <c r="F2696" s="1940" t="s">
        <v>355</v>
      </c>
      <c r="G2696" s="1697">
        <v>2.5358796296296296E-2</v>
      </c>
      <c r="H2696" s="1698">
        <v>6.36</v>
      </c>
      <c r="I2696" s="1699">
        <f t="shared" si="462"/>
        <v>3.987232122059166E-3</v>
      </c>
      <c r="J2696" s="1700">
        <v>118</v>
      </c>
      <c r="K2696" s="1755">
        <v>35</v>
      </c>
      <c r="L2696" s="1578">
        <v>208</v>
      </c>
      <c r="M2696" s="1700">
        <v>22</v>
      </c>
      <c r="N2696" s="1701">
        <f t="shared" si="463"/>
        <v>1.0694827748052191</v>
      </c>
      <c r="O2696" s="1702" t="s">
        <v>333</v>
      </c>
      <c r="P2696" s="1635" t="str">
        <f>IFERROR(VLOOKUP(F2696,#REF!,12,FALSE),"")</f>
        <v/>
      </c>
      <c r="Q2696" s="1636" t="s">
        <v>8</v>
      </c>
      <c r="R2696" s="1703" t="str">
        <f>IFERROR(VLOOKUP(F2696,#REF!,14,FALSE),"")</f>
        <v/>
      </c>
      <c r="S2696" s="1704">
        <f t="shared" si="464"/>
        <v>1.7627118644067796</v>
      </c>
      <c r="T2696" s="1828">
        <f t="shared" si="465"/>
        <v>47.460007699444091</v>
      </c>
      <c r="U2696" s="1828">
        <f t="shared" si="466"/>
        <v>30.545222652578197</v>
      </c>
      <c r="V2696" s="1695">
        <f t="shared" si="467"/>
        <v>-19.100106102807917</v>
      </c>
      <c r="W2696" s="1767">
        <f t="shared" si="468"/>
        <v>1.553762047808749</v>
      </c>
      <c r="X2696" s="1695">
        <v>252</v>
      </c>
    </row>
    <row r="2697" spans="1:24" x14ac:dyDescent="0.2">
      <c r="A2697" s="1649" t="s">
        <v>256</v>
      </c>
      <c r="B2697" s="1677">
        <f t="shared" ref="B2697" si="517">AVERAGE(W2694:W2700)</f>
        <v>1.4907698428417189</v>
      </c>
      <c r="C2697" s="1651">
        <v>45785</v>
      </c>
      <c r="D2697" s="1695"/>
      <c r="E2697" s="1696"/>
      <c r="F2697" s="1935"/>
      <c r="G2697" s="1697"/>
      <c r="H2697" s="1698" t="str">
        <f>IFERROR(VLOOKUP(F2697,#REF!,10,FALSE),"")</f>
        <v/>
      </c>
      <c r="I2697" s="1699" t="str">
        <f t="shared" si="462"/>
        <v/>
      </c>
      <c r="J2697" s="1700"/>
      <c r="K2697" s="1755"/>
      <c r="L2697" s="1578"/>
      <c r="M2697" s="1700"/>
      <c r="N2697" s="1701" t="str">
        <f t="shared" si="463"/>
        <v/>
      </c>
      <c r="O2697" s="1702"/>
      <c r="P2697" s="1635" t="str">
        <f>IFERROR(VLOOKUP(F2697,#REF!,12,FALSE),"")</f>
        <v/>
      </c>
      <c r="Q2697" s="1636" t="s">
        <v>8</v>
      </c>
      <c r="R2697" s="1703" t="str">
        <f>IFERROR(VLOOKUP(F2697,#REF!,14,FALSE),"")</f>
        <v/>
      </c>
      <c r="S2697" s="1704" t="str">
        <f t="shared" si="464"/>
        <v/>
      </c>
      <c r="T2697" s="1828">
        <f t="shared" si="465"/>
        <v>40.680006599523509</v>
      </c>
      <c r="U2697" s="1828">
        <f t="shared" si="466"/>
        <v>29.817955446564429</v>
      </c>
      <c r="V2697" s="1695">
        <f t="shared" si="467"/>
        <v>-16.914785046865894</v>
      </c>
      <c r="W2697" s="1767">
        <f t="shared" si="468"/>
        <v>1.3642788712467067</v>
      </c>
      <c r="X2697" s="1695">
        <v>252</v>
      </c>
    </row>
    <row r="2698" spans="1:24" x14ac:dyDescent="0.2">
      <c r="A2698" s="1649" t="s">
        <v>336</v>
      </c>
      <c r="B2698" s="1713">
        <f t="shared" ref="B2698" si="518">IFERROR(AVERAGE(N2694:N2700),"")</f>
        <v>1.0600348030961113</v>
      </c>
      <c r="C2698" s="1651">
        <v>45786</v>
      </c>
      <c r="D2698" s="1695">
        <v>66</v>
      </c>
      <c r="E2698" s="1696" t="s">
        <v>293</v>
      </c>
      <c r="F2698" s="1935" t="s">
        <v>343</v>
      </c>
      <c r="G2698" s="1697">
        <v>3.2245370370370369E-2</v>
      </c>
      <c r="H2698" s="1698">
        <v>8.16</v>
      </c>
      <c r="I2698" s="1699">
        <f t="shared" si="462"/>
        <v>3.9516385257806824E-3</v>
      </c>
      <c r="J2698" s="1700">
        <v>123</v>
      </c>
      <c r="K2698" s="1755">
        <v>44</v>
      </c>
      <c r="L2698" s="1578">
        <v>208</v>
      </c>
      <c r="M2698" s="1700">
        <v>23</v>
      </c>
      <c r="N2698" s="1701">
        <f t="shared" si="463"/>
        <v>1.0599356160374596</v>
      </c>
      <c r="O2698" s="1702" t="s">
        <v>358</v>
      </c>
      <c r="P2698" s="1635" t="str">
        <f>IFERROR(VLOOKUP(F2698,#REF!,12,FALSE),"")</f>
        <v/>
      </c>
      <c r="Q2698" s="1636" t="s">
        <v>8</v>
      </c>
      <c r="R2698" s="1703" t="str">
        <f>IFERROR(VLOOKUP(F2698,#REF!,14,FALSE),"")</f>
        <v/>
      </c>
      <c r="S2698" s="1704">
        <f t="shared" si="464"/>
        <v>1.6910569105691058</v>
      </c>
      <c r="T2698" s="1828">
        <f t="shared" si="465"/>
        <v>41.15429137102015</v>
      </c>
      <c r="U2698" s="1828">
        <f t="shared" si="466"/>
        <v>30.155623174027181</v>
      </c>
      <c r="V2698" s="1695">
        <f t="shared" si="467"/>
        <v>-10.862051152959079</v>
      </c>
      <c r="W2698" s="1767">
        <f t="shared" si="468"/>
        <v>1.3647302572233375</v>
      </c>
      <c r="X2698" s="1695">
        <v>252</v>
      </c>
    </row>
    <row r="2699" spans="1:24" x14ac:dyDescent="0.2">
      <c r="A2699" s="1649" t="s">
        <v>337</v>
      </c>
      <c r="B2699" s="1681">
        <f t="shared" ref="B2699" si="519">IFERROR(AVERAGE(S2694:S2700),"")</f>
        <v>1.6716597793767609</v>
      </c>
      <c r="C2699" s="1651">
        <v>45787</v>
      </c>
      <c r="D2699" s="1695">
        <v>67</v>
      </c>
      <c r="E2699" s="1696" t="s">
        <v>292</v>
      </c>
      <c r="F2699" s="1935" t="s">
        <v>274</v>
      </c>
      <c r="G2699" s="1697">
        <v>7.0185185185185184E-2</v>
      </c>
      <c r="H2699" s="1698">
        <v>18.32</v>
      </c>
      <c r="I2699" s="1699">
        <f t="shared" si="462"/>
        <v>3.8310690603267023E-3</v>
      </c>
      <c r="J2699" s="1700">
        <v>142</v>
      </c>
      <c r="K2699" s="1755">
        <v>112</v>
      </c>
      <c r="L2699" s="1578">
        <v>216</v>
      </c>
      <c r="M2699" s="1700">
        <v>77</v>
      </c>
      <c r="N2699" s="1701">
        <f t="shared" si="463"/>
        <v>1.0671185556931502</v>
      </c>
      <c r="O2699" s="1702" t="s">
        <v>357</v>
      </c>
      <c r="P2699" s="1635" t="str">
        <f>IFERROR(VLOOKUP(F2699,#REF!,12,FALSE),"")</f>
        <v/>
      </c>
      <c r="Q2699" s="1636" t="s">
        <v>8</v>
      </c>
      <c r="R2699" s="1703" t="str">
        <f>IFERROR(VLOOKUP(F2699,#REF!,14,FALSE),"")</f>
        <v/>
      </c>
      <c r="S2699" s="1704">
        <f t="shared" si="464"/>
        <v>1.5211267605633803</v>
      </c>
      <c r="T2699" s="1828">
        <f t="shared" si="465"/>
        <v>51.275106889445844</v>
      </c>
      <c r="U2699" s="1828">
        <f t="shared" si="466"/>
        <v>32.104298812740822</v>
      </c>
      <c r="V2699" s="1695">
        <f t="shared" si="467"/>
        <v>-10.99866819699297</v>
      </c>
      <c r="W2699" s="1767">
        <f t="shared" si="468"/>
        <v>1.5971414665844359</v>
      </c>
      <c r="X2699" s="1695">
        <v>252</v>
      </c>
    </row>
    <row r="2700" spans="1:24" ht="16" thickBot="1" x14ac:dyDescent="0.25">
      <c r="A2700" s="1650" t="s">
        <v>5</v>
      </c>
      <c r="B2700" s="1678">
        <f t="shared" ref="B2700" si="520">IFERROR(SUM(M2694:M2700),"")</f>
        <v>169</v>
      </c>
      <c r="C2700" s="1360">
        <v>45788</v>
      </c>
      <c r="D2700" s="683"/>
      <c r="E2700" s="684"/>
      <c r="F2700" s="1941"/>
      <c r="G2700" s="1361"/>
      <c r="H2700" s="1362" t="str">
        <f>IFERROR(VLOOKUP(F2700,#REF!,10,FALSE),"")</f>
        <v/>
      </c>
      <c r="I2700" s="1363" t="str">
        <f t="shared" si="462"/>
        <v/>
      </c>
      <c r="J2700" s="1364"/>
      <c r="K2700" s="1747"/>
      <c r="L2700" s="1705"/>
      <c r="M2700" s="1364"/>
      <c r="N2700" s="1365" t="str">
        <f t="shared" si="463"/>
        <v/>
      </c>
      <c r="O2700" s="1366"/>
      <c r="P2700" s="1706" t="str">
        <f>IFERROR(VLOOKUP(F2700,#REF!,12,FALSE),"")</f>
        <v/>
      </c>
      <c r="Q2700" s="1707" t="s">
        <v>8</v>
      </c>
      <c r="R2700" s="1708" t="str">
        <f>IFERROR(VLOOKUP(F2700,#REF!,14,FALSE),"")</f>
        <v/>
      </c>
      <c r="S2700" s="1191" t="str">
        <f t="shared" si="464"/>
        <v/>
      </c>
      <c r="T2700" s="1829">
        <f t="shared" si="465"/>
        <v>43.950091619525011</v>
      </c>
      <c r="U2700" s="1829">
        <f t="shared" si="466"/>
        <v>31.339910745770801</v>
      </c>
      <c r="V2700" s="683">
        <f t="shared" si="467"/>
        <v>-19.170808076705022</v>
      </c>
      <c r="W2700" s="1768">
        <f t="shared" si="468"/>
        <v>1.4023681170009683</v>
      </c>
      <c r="X2700" s="683">
        <v>252</v>
      </c>
    </row>
    <row r="2701" spans="1:24" ht="16" thickBot="1" x14ac:dyDescent="0.25">
      <c r="A2701" s="1962">
        <f t="shared" ref="A2701" si="521">WEEKNUM(C2701,1)</f>
        <v>20</v>
      </c>
      <c r="B2701" s="1963"/>
      <c r="C2701" s="1368">
        <v>45789</v>
      </c>
      <c r="D2701" s="1369">
        <v>68</v>
      </c>
      <c r="E2701" s="1370" t="s">
        <v>293</v>
      </c>
      <c r="F2701" s="1936" t="s">
        <v>343</v>
      </c>
      <c r="G2701" s="1371">
        <v>2.613425925925926E-2</v>
      </c>
      <c r="H2701" s="1372">
        <v>6.63</v>
      </c>
      <c r="I2701" s="1373">
        <f t="shared" si="462"/>
        <v>3.9418188927992847E-3</v>
      </c>
      <c r="J2701" s="1374">
        <v>124</v>
      </c>
      <c r="K2701" s="1745">
        <v>36</v>
      </c>
      <c r="L2701" s="1577">
        <v>207</v>
      </c>
      <c r="M2701" s="1374">
        <v>22</v>
      </c>
      <c r="N2701" s="1375">
        <f t="shared" si="463"/>
        <v>1.0522185452826365</v>
      </c>
      <c r="O2701" s="1376" t="s">
        <v>358</v>
      </c>
      <c r="P2701" s="795" t="str">
        <f>IFERROR(VLOOKUP(F2701,#REF!,12,FALSE),"")</f>
        <v/>
      </c>
      <c r="Q2701" s="1254" t="s">
        <v>8</v>
      </c>
      <c r="R2701" s="1694" t="str">
        <f>IFERROR(VLOOKUP(F2701,#REF!,14,FALSE),"")</f>
        <v/>
      </c>
      <c r="S2701" s="1377">
        <f t="shared" si="464"/>
        <v>1.6693548387096775</v>
      </c>
      <c r="T2701" s="70">
        <f t="shared" si="465"/>
        <v>42.814364245307154</v>
      </c>
      <c r="U2701" s="70">
        <f t="shared" si="466"/>
        <v>31.450865251823878</v>
      </c>
      <c r="V2701" s="1369">
        <f t="shared" si="467"/>
        <v>-12.61018087375421</v>
      </c>
      <c r="W2701" s="1766">
        <f t="shared" si="468"/>
        <v>1.36130958250264</v>
      </c>
      <c r="X2701" s="1369">
        <v>252</v>
      </c>
    </row>
    <row r="2702" spans="1:24" x14ac:dyDescent="0.2">
      <c r="A2702" s="1648" t="s">
        <v>142</v>
      </c>
      <c r="B2702" s="1679">
        <f t="shared" ref="B2702" si="522">SUM(H2701:H2707)</f>
        <v>36.07</v>
      </c>
      <c r="C2702" s="1724">
        <v>45790</v>
      </c>
      <c r="D2702" s="1695"/>
      <c r="E2702" s="1696"/>
      <c r="F2702" s="1937"/>
      <c r="G2702" s="1697"/>
      <c r="H2702" s="1698" t="str">
        <f>IFERROR(VLOOKUP(F2702,#REF!,10,FALSE),"")</f>
        <v/>
      </c>
      <c r="I2702" s="1699" t="str">
        <f t="shared" si="462"/>
        <v/>
      </c>
      <c r="J2702" s="1700"/>
      <c r="K2702" s="1755"/>
      <c r="L2702" s="1578"/>
      <c r="M2702" s="1700"/>
      <c r="N2702" s="1701" t="str">
        <f t="shared" si="463"/>
        <v/>
      </c>
      <c r="O2702" s="1702"/>
      <c r="P2702" s="1635" t="str">
        <f>IFERROR(VLOOKUP(F2702,#REF!,12,FALSE),"")</f>
        <v/>
      </c>
      <c r="Q2702" s="1636" t="s">
        <v>8</v>
      </c>
      <c r="R2702" s="1703" t="str">
        <f>IFERROR(VLOOKUP(F2702,#REF!,14,FALSE),"")</f>
        <v/>
      </c>
      <c r="S2702" s="1704" t="str">
        <f t="shared" si="464"/>
        <v/>
      </c>
      <c r="T2702" s="1379">
        <f t="shared" si="465"/>
        <v>36.698026495977558</v>
      </c>
      <c r="U2702" s="1379">
        <f t="shared" si="466"/>
        <v>30.702035126780451</v>
      </c>
      <c r="V2702" s="1695">
        <f t="shared" si="467"/>
        <v>-11.363498993483276</v>
      </c>
      <c r="W2702" s="1767">
        <f t="shared" si="468"/>
        <v>1.1952962187828058</v>
      </c>
      <c r="X2702" s="1695">
        <v>252</v>
      </c>
    </row>
    <row r="2703" spans="1:24" x14ac:dyDescent="0.2">
      <c r="A2703" s="1649" t="s">
        <v>347</v>
      </c>
      <c r="B2703" s="1680">
        <f t="shared" ref="B2703" si="523">SUM(K2701:K2707)</f>
        <v>158</v>
      </c>
      <c r="C2703" s="1724">
        <v>45791</v>
      </c>
      <c r="D2703" s="1695">
        <v>69</v>
      </c>
      <c r="E2703" s="1696" t="s">
        <v>293</v>
      </c>
      <c r="F2703" s="1937" t="s">
        <v>343</v>
      </c>
      <c r="G2703" s="1697">
        <v>2.7407407407407408E-2</v>
      </c>
      <c r="H2703" s="1698">
        <v>7.11</v>
      </c>
      <c r="I2703" s="1699">
        <f t="shared" si="462"/>
        <v>3.8547689743189039E-3</v>
      </c>
      <c r="J2703" s="1700">
        <v>129</v>
      </c>
      <c r="K2703" s="1755">
        <v>42</v>
      </c>
      <c r="L2703" s="1578">
        <v>215</v>
      </c>
      <c r="M2703" s="1700">
        <v>26</v>
      </c>
      <c r="N2703" s="1701">
        <f t="shared" si="463"/>
        <v>1.0687490815962382</v>
      </c>
      <c r="O2703" s="1702" t="s">
        <v>358</v>
      </c>
      <c r="P2703" s="1635" t="str">
        <f>IFERROR(VLOOKUP(F2703,#REF!,12,FALSE),"")</f>
        <v/>
      </c>
      <c r="Q2703" s="1636" t="s">
        <v>8</v>
      </c>
      <c r="R2703" s="1703" t="str">
        <f>IFERROR(VLOOKUP(F2703,#REF!,14,FALSE),"")</f>
        <v/>
      </c>
      <c r="S2703" s="1704">
        <f t="shared" si="464"/>
        <v>1.6666666666666667</v>
      </c>
      <c r="T2703" s="1379">
        <f t="shared" si="465"/>
        <v>37.45545128226648</v>
      </c>
      <c r="U2703" s="1379">
        <f t="shared" si="466"/>
        <v>30.971034290428538</v>
      </c>
      <c r="V2703" s="1695">
        <f t="shared" si="467"/>
        <v>-5.9959913691971067</v>
      </c>
      <c r="W2703" s="1767">
        <f t="shared" si="468"/>
        <v>1.2093703726853553</v>
      </c>
      <c r="X2703" s="1695">
        <v>252</v>
      </c>
    </row>
    <row r="2704" spans="1:24" x14ac:dyDescent="0.2">
      <c r="A2704" s="1649" t="s">
        <v>256</v>
      </c>
      <c r="B2704" s="1677">
        <f t="shared" ref="B2704" si="524">AVERAGE(W2701:W2707)</f>
        <v>1.0903933163678672</v>
      </c>
      <c r="C2704" s="1724">
        <v>45792</v>
      </c>
      <c r="D2704" s="1695"/>
      <c r="E2704" s="1696"/>
      <c r="F2704" s="1937"/>
      <c r="G2704" s="1697"/>
      <c r="H2704" s="1698" t="str">
        <f>IFERROR(VLOOKUP(F2704,#REF!,10,FALSE),"")</f>
        <v/>
      </c>
      <c r="I2704" s="1699" t="str">
        <f t="shared" si="462"/>
        <v/>
      </c>
      <c r="J2704" s="1700"/>
      <c r="K2704" s="1755"/>
      <c r="L2704" s="1578"/>
      <c r="M2704" s="1700"/>
      <c r="N2704" s="1701" t="str">
        <f t="shared" si="463"/>
        <v/>
      </c>
      <c r="O2704" s="1702"/>
      <c r="P2704" s="1635" t="str">
        <f>IFERROR(VLOOKUP(F2704,#REF!,12,FALSE),"")</f>
        <v/>
      </c>
      <c r="Q2704" s="1636" t="s">
        <v>8</v>
      </c>
      <c r="R2704" s="1703" t="str">
        <f>IFERROR(VLOOKUP(F2704,#REF!,14,FALSE),"")</f>
        <v/>
      </c>
      <c r="S2704" s="1704" t="str">
        <f t="shared" si="464"/>
        <v/>
      </c>
      <c r="T2704" s="1379">
        <f t="shared" si="465"/>
        <v>32.10467252765698</v>
      </c>
      <c r="U2704" s="1379">
        <f t="shared" si="466"/>
        <v>30.233628712085</v>
      </c>
      <c r="V2704" s="1695">
        <f t="shared" si="467"/>
        <v>-6.4844169918379428</v>
      </c>
      <c r="W2704" s="1767">
        <f t="shared" si="468"/>
        <v>1.0618861808944582</v>
      </c>
      <c r="X2704" s="1695">
        <v>252</v>
      </c>
    </row>
    <row r="2705" spans="1:26" x14ac:dyDescent="0.2">
      <c r="A2705" s="1649" t="s">
        <v>336</v>
      </c>
      <c r="B2705" s="1713">
        <f t="shared" ref="B2705" si="525">IFERROR(AVERAGE(N2701:N2707),"")</f>
        <v>1.0609501424008174</v>
      </c>
      <c r="C2705" s="1724">
        <v>45793</v>
      </c>
      <c r="D2705" s="1695">
        <v>70</v>
      </c>
      <c r="E2705" s="1696" t="s">
        <v>293</v>
      </c>
      <c r="F2705" s="1937" t="s">
        <v>343</v>
      </c>
      <c r="G2705" s="1697">
        <v>2.5960648148148149E-2</v>
      </c>
      <c r="H2705" s="1698">
        <v>6.6</v>
      </c>
      <c r="I2705" s="1699">
        <f t="shared" si="462"/>
        <v>3.9334315375982049E-3</v>
      </c>
      <c r="J2705" s="1700">
        <v>119</v>
      </c>
      <c r="K2705" s="1755" t="str">
        <f>IFERROR(VLOOKUP(F2705,#REF!,15,FALSE),"0")</f>
        <v>0</v>
      </c>
      <c r="L2705" s="1578">
        <v>208</v>
      </c>
      <c r="M2705" s="1700">
        <v>24</v>
      </c>
      <c r="N2705" s="1701">
        <f t="shared" si="463"/>
        <v>1.0550520126639533</v>
      </c>
      <c r="O2705" s="1702" t="s">
        <v>333</v>
      </c>
      <c r="P2705" s="1635" t="str">
        <f>IFERROR(VLOOKUP(F2705,#REF!,12,FALSE),"")</f>
        <v/>
      </c>
      <c r="Q2705" s="1636" t="s">
        <v>8</v>
      </c>
      <c r="R2705" s="1703" t="str">
        <f>IFERROR(VLOOKUP(F2705,#REF!,14,FALSE),"")</f>
        <v/>
      </c>
      <c r="S2705" s="1704">
        <f t="shared" si="464"/>
        <v>1.7478991596638656</v>
      </c>
      <c r="T2705" s="1379">
        <f t="shared" si="465"/>
        <v>27.518290737991698</v>
      </c>
      <c r="U2705" s="1379">
        <f t="shared" si="466"/>
        <v>29.513780409416309</v>
      </c>
      <c r="V2705" s="1695">
        <f t="shared" si="467"/>
        <v>-1.87104381557198</v>
      </c>
      <c r="W2705" s="1767">
        <f t="shared" si="468"/>
        <v>0.9323878661512317</v>
      </c>
      <c r="X2705" s="1695">
        <v>252</v>
      </c>
    </row>
    <row r="2706" spans="1:26" x14ac:dyDescent="0.2">
      <c r="A2706" s="1649" t="s">
        <v>337</v>
      </c>
      <c r="B2706" s="1681">
        <f t="shared" ref="B2706" si="526">IFERROR(AVERAGE(S2701:S2707),"")</f>
        <v>1.6689801662600523</v>
      </c>
      <c r="C2706" s="1651">
        <v>45794</v>
      </c>
      <c r="D2706" s="1695"/>
      <c r="E2706" s="1696"/>
      <c r="F2706" s="1937"/>
      <c r="G2706" s="1697"/>
      <c r="H2706" s="1698" t="str">
        <f>IFERROR(VLOOKUP(F2706,#REF!,10,FALSE),"")</f>
        <v/>
      </c>
      <c r="I2706" s="1699" t="str">
        <f t="shared" si="462"/>
        <v/>
      </c>
      <c r="J2706" s="1700"/>
      <c r="K2706" s="1755"/>
      <c r="L2706" s="1578"/>
      <c r="M2706" s="1700"/>
      <c r="N2706" s="1701" t="str">
        <f t="shared" si="463"/>
        <v/>
      </c>
      <c r="O2706" s="1702"/>
      <c r="P2706" s="1635" t="str">
        <f>IFERROR(VLOOKUP(F2706,#REF!,12,FALSE),"")</f>
        <v/>
      </c>
      <c r="Q2706" s="1636" t="s">
        <v>8</v>
      </c>
      <c r="R2706" s="1703" t="str">
        <f>IFERROR(VLOOKUP(F2706,#REF!,14,FALSE),"")</f>
        <v/>
      </c>
      <c r="S2706" s="1704" t="str">
        <f t="shared" si="464"/>
        <v/>
      </c>
      <c r="T2706" s="1379">
        <f t="shared" si="465"/>
        <v>23.587106346850028</v>
      </c>
      <c r="U2706" s="1379">
        <f t="shared" si="466"/>
        <v>28.811071352049254</v>
      </c>
      <c r="V2706" s="1695">
        <f t="shared" si="467"/>
        <v>1.9954896714246111</v>
      </c>
      <c r="W2706" s="1767">
        <f t="shared" si="468"/>
        <v>0.81868202881571572</v>
      </c>
      <c r="X2706" s="1695">
        <v>252</v>
      </c>
    </row>
    <row r="2707" spans="1:26" ht="16" thickBot="1" x14ac:dyDescent="0.25">
      <c r="A2707" s="1650" t="s">
        <v>5</v>
      </c>
      <c r="B2707" s="1678">
        <f t="shared" ref="B2707" si="527">IFERROR(SUM(M2701:M2707),"")</f>
        <v>140</v>
      </c>
      <c r="C2707" s="1360">
        <v>45795</v>
      </c>
      <c r="D2707" s="683">
        <v>71</v>
      </c>
      <c r="E2707" s="684" t="s">
        <v>292</v>
      </c>
      <c r="F2707" s="1931" t="s">
        <v>273</v>
      </c>
      <c r="G2707" s="1361">
        <v>6.5451388888888892E-2</v>
      </c>
      <c r="H2707" s="1362">
        <v>15.73</v>
      </c>
      <c r="I2707" s="1363">
        <f t="shared" si="462"/>
        <v>4.1609274563820017E-3</v>
      </c>
      <c r="J2707" s="1364">
        <v>125</v>
      </c>
      <c r="K2707" s="1747">
        <v>80</v>
      </c>
      <c r="L2707" s="1705">
        <v>199</v>
      </c>
      <c r="M2707" s="1364">
        <v>68</v>
      </c>
      <c r="N2707" s="1365">
        <f t="shared" si="463"/>
        <v>1.0677809300604415</v>
      </c>
      <c r="O2707" s="1366" t="s">
        <v>357</v>
      </c>
      <c r="P2707" s="1706" t="str">
        <f>IFERROR(VLOOKUP(F2707,#REF!,12,FALSE),"")</f>
        <v/>
      </c>
      <c r="Q2707" s="1707" t="s">
        <v>8</v>
      </c>
      <c r="R2707" s="1708" t="str">
        <f>IFERROR(VLOOKUP(F2707,#REF!,14,FALSE),"")</f>
        <v/>
      </c>
      <c r="S2707" s="1191">
        <f t="shared" si="464"/>
        <v>1.5920000000000001</v>
      </c>
      <c r="T2707" s="1897">
        <f t="shared" si="465"/>
        <v>31.646091154442882</v>
      </c>
      <c r="U2707" s="1897">
        <f t="shared" si="466"/>
        <v>30.029855367476653</v>
      </c>
      <c r="V2707" s="683">
        <f t="shared" si="467"/>
        <v>5.2239650051992257</v>
      </c>
      <c r="W2707" s="1768">
        <f t="shared" si="468"/>
        <v>1.0538209647428627</v>
      </c>
      <c r="X2707" s="683">
        <v>252</v>
      </c>
    </row>
    <row r="2708" spans="1:26" ht="16" thickBot="1" x14ac:dyDescent="0.25">
      <c r="A2708" s="1962">
        <f t="shared" ref="A2708" si="528">WEEKNUM(C2708,1)</f>
        <v>21</v>
      </c>
      <c r="B2708" s="1963"/>
      <c r="C2708" s="1368">
        <v>45796</v>
      </c>
      <c r="D2708" s="1369"/>
      <c r="E2708" s="1370"/>
      <c r="F2708" s="1936"/>
      <c r="G2708" s="1371"/>
      <c r="H2708" s="1372" t="str">
        <f>IFERROR(VLOOKUP(F2708,#REF!,10,FALSE),"")</f>
        <v/>
      </c>
      <c r="I2708" s="1373" t="str">
        <f t="shared" si="462"/>
        <v/>
      </c>
      <c r="J2708" s="1374"/>
      <c r="K2708" s="1745"/>
      <c r="L2708" s="1577"/>
      <c r="M2708" s="1374"/>
      <c r="N2708" s="1375" t="str">
        <f t="shared" si="463"/>
        <v/>
      </c>
      <c r="O2708" s="1376"/>
      <c r="P2708" s="795" t="str">
        <f>IFERROR(VLOOKUP(F2708,#REF!,12,FALSE),"")</f>
        <v/>
      </c>
      <c r="Q2708" s="1254" t="s">
        <v>8</v>
      </c>
      <c r="R2708" s="1694" t="str">
        <f>IFERROR(VLOOKUP(F2708,#REF!,14,FALSE),"")</f>
        <v/>
      </c>
      <c r="S2708" s="1377" t="str">
        <f t="shared" si="464"/>
        <v/>
      </c>
      <c r="T2708" s="1369">
        <f t="shared" si="465"/>
        <v>27.125220989522468</v>
      </c>
      <c r="U2708" s="1369">
        <f t="shared" si="466"/>
        <v>29.314858811108163</v>
      </c>
      <c r="V2708" s="1369">
        <f t="shared" si="467"/>
        <v>-1.6162357869662287</v>
      </c>
      <c r="W2708" s="1766">
        <f t="shared" si="468"/>
        <v>0.92530621294495252</v>
      </c>
      <c r="X2708" s="1369">
        <v>252</v>
      </c>
    </row>
    <row r="2709" spans="1:26" x14ac:dyDescent="0.2">
      <c r="A2709" s="1648" t="s">
        <v>142</v>
      </c>
      <c r="B2709" s="1679">
        <f t="shared" ref="B2709" si="529">SUM(H2708:H2714)</f>
        <v>21.42</v>
      </c>
      <c r="C2709" s="1651">
        <v>45797</v>
      </c>
      <c r="D2709" s="1695">
        <v>72</v>
      </c>
      <c r="E2709" s="1696" t="s">
        <v>293</v>
      </c>
      <c r="F2709" s="1937" t="s">
        <v>331</v>
      </c>
      <c r="G2709" s="1697">
        <v>2.3136574074074073E-2</v>
      </c>
      <c r="H2709" s="1698">
        <v>5.76</v>
      </c>
      <c r="I2709" s="1699">
        <f t="shared" si="462"/>
        <v>4.0167663323045265E-3</v>
      </c>
      <c r="J2709" s="1700">
        <v>118</v>
      </c>
      <c r="K2709" s="1755">
        <v>30</v>
      </c>
      <c r="L2709" s="1578">
        <v>204</v>
      </c>
      <c r="M2709" s="1700">
        <v>18</v>
      </c>
      <c r="N2709" s="1701">
        <f t="shared" si="463"/>
        <v>1.0566853233830846</v>
      </c>
      <c r="O2709" s="1702" t="s">
        <v>340</v>
      </c>
      <c r="P2709" s="1635" t="str">
        <f>IFERROR(VLOOKUP(F2709,#REF!,12,FALSE),"")</f>
        <v/>
      </c>
      <c r="Q2709" s="1636" t="s">
        <v>8</v>
      </c>
      <c r="R2709" s="1703" t="str">
        <f>IFERROR(VLOOKUP(F2709,#REF!,14,FALSE),"")</f>
        <v/>
      </c>
      <c r="S2709" s="1704">
        <f t="shared" si="464"/>
        <v>1.728813559322034</v>
      </c>
      <c r="T2709" s="1828">
        <f t="shared" si="465"/>
        <v>27.535903705304971</v>
      </c>
      <c r="U2709" s="1828">
        <f t="shared" si="466"/>
        <v>29.33117169655797</v>
      </c>
      <c r="V2709" s="1695">
        <f t="shared" si="467"/>
        <v>2.1896378215856949</v>
      </c>
      <c r="W2709" s="1767">
        <f t="shared" si="468"/>
        <v>0.93879317165281617</v>
      </c>
      <c r="X2709" s="1695">
        <v>252</v>
      </c>
    </row>
    <row r="2710" spans="1:26" x14ac:dyDescent="0.2">
      <c r="A2710" s="1649" t="s">
        <v>347</v>
      </c>
      <c r="B2710" s="1680">
        <f t="shared" ref="B2710" si="530">SUM(K2708:K2714)</f>
        <v>161</v>
      </c>
      <c r="C2710" s="1651">
        <v>45798</v>
      </c>
      <c r="D2710" s="1695"/>
      <c r="E2710" s="1696"/>
      <c r="F2710" s="1937"/>
      <c r="G2710" s="1697"/>
      <c r="H2710" s="1698" t="str">
        <f>IFERROR(VLOOKUP(F2710,#REF!,10,FALSE),"")</f>
        <v/>
      </c>
      <c r="I2710" s="1699" t="str">
        <f t="shared" si="462"/>
        <v/>
      </c>
      <c r="J2710" s="1700"/>
      <c r="K2710" s="1755"/>
      <c r="L2710" s="1578"/>
      <c r="M2710" s="1700"/>
      <c r="N2710" s="1701" t="str">
        <f t="shared" si="463"/>
        <v/>
      </c>
      <c r="O2710" s="1702"/>
      <c r="P2710" s="1635" t="str">
        <f>IFERROR(VLOOKUP(F2710,#REF!,12,FALSE),"")</f>
        <v/>
      </c>
      <c r="Q2710" s="1636" t="s">
        <v>8</v>
      </c>
      <c r="R2710" s="1703" t="str">
        <f>IFERROR(VLOOKUP(F2710,#REF!,14,FALSE),"")</f>
        <v/>
      </c>
      <c r="S2710" s="1704" t="str">
        <f t="shared" si="464"/>
        <v/>
      </c>
      <c r="T2710" s="1828">
        <f t="shared" si="465"/>
        <v>23.602203175975689</v>
      </c>
      <c r="U2710" s="1828">
        <f t="shared" si="466"/>
        <v>28.632810465687541</v>
      </c>
      <c r="V2710" s="1695">
        <f t="shared" si="467"/>
        <v>1.7952679912529987</v>
      </c>
      <c r="W2710" s="1767">
        <f t="shared" si="468"/>
        <v>0.8243061995000337</v>
      </c>
      <c r="X2710" s="1695">
        <v>252</v>
      </c>
    </row>
    <row r="2711" spans="1:26" x14ac:dyDescent="0.2">
      <c r="A2711" s="1649" t="s">
        <v>256</v>
      </c>
      <c r="B2711" s="1677">
        <f t="shared" ref="B2711" si="531">AVERAGE(W2708:W2714)</f>
        <v>0.8558476279553443</v>
      </c>
      <c r="C2711" s="1651">
        <v>45799</v>
      </c>
      <c r="D2711" s="1695">
        <v>73</v>
      </c>
      <c r="E2711" s="1696" t="s">
        <v>293</v>
      </c>
      <c r="F2711" s="1937" t="s">
        <v>331</v>
      </c>
      <c r="G2711" s="1697">
        <v>2.267361111111111E-2</v>
      </c>
      <c r="H2711" s="1698">
        <v>5.66</v>
      </c>
      <c r="I2711" s="1699">
        <f t="shared" si="462"/>
        <v>4.0059383588535525E-3</v>
      </c>
      <c r="J2711" s="1700">
        <v>120</v>
      </c>
      <c r="K2711" s="1755">
        <v>31</v>
      </c>
      <c r="L2711" s="1578">
        <v>207</v>
      </c>
      <c r="M2711" s="1700">
        <v>18</v>
      </c>
      <c r="N2711" s="1701">
        <f t="shared" si="463"/>
        <v>1.0693344232899107</v>
      </c>
      <c r="O2711" s="1702" t="s">
        <v>358</v>
      </c>
      <c r="P2711" s="1635" t="str">
        <f>IFERROR(VLOOKUP(F2711,#REF!,12,FALSE),"")</f>
        <v/>
      </c>
      <c r="Q2711" s="1636" t="s">
        <v>8</v>
      </c>
      <c r="R2711" s="1703" t="str">
        <f>IFERROR(VLOOKUP(F2711,#REF!,14,FALSE),"")</f>
        <v/>
      </c>
      <c r="S2711" s="1704">
        <f t="shared" si="464"/>
        <v>1.7250000000000001</v>
      </c>
      <c r="T2711" s="1828">
        <f t="shared" si="465"/>
        <v>24.659031293693449</v>
      </c>
      <c r="U2711" s="1828">
        <f t="shared" si="466"/>
        <v>28.689172121266409</v>
      </c>
      <c r="V2711" s="1695">
        <f t="shared" si="467"/>
        <v>5.0306072897118526</v>
      </c>
      <c r="W2711" s="1767">
        <f t="shared" si="468"/>
        <v>0.85952397613504017</v>
      </c>
      <c r="X2711" s="1695">
        <v>252</v>
      </c>
    </row>
    <row r="2712" spans="1:26" x14ac:dyDescent="0.2">
      <c r="A2712" s="1649" t="s">
        <v>336</v>
      </c>
      <c r="B2712" s="1713">
        <f t="shared" ref="B2712" si="532">IFERROR(AVERAGE(N2708:N2714),"")</f>
        <v>1.0598453881944812</v>
      </c>
      <c r="C2712" s="1651">
        <v>45800</v>
      </c>
      <c r="D2712" s="1695"/>
      <c r="E2712" s="1696"/>
      <c r="F2712" s="1937"/>
      <c r="G2712" s="1697"/>
      <c r="H2712" s="1698" t="str">
        <f>IFERROR(VLOOKUP(F2712,#REF!,10,FALSE),"")</f>
        <v/>
      </c>
      <c r="I2712" s="1699" t="str">
        <f t="shared" ref="I2712:I2775" si="533">IFERROR(G2712/H2712,"")</f>
        <v/>
      </c>
      <c r="J2712" s="1700"/>
      <c r="K2712" s="1755"/>
      <c r="L2712" s="1578"/>
      <c r="M2712" s="1700"/>
      <c r="N2712" s="1701" t="str">
        <f t="shared" ref="N2712:N2775" si="534">IFERROR((L2712/67)/(1/(I2712*24)/3.6),"")</f>
        <v/>
      </c>
      <c r="O2712" s="1702"/>
      <c r="P2712" s="1635" t="str">
        <f>IFERROR(VLOOKUP(F2712,#REF!,12,FALSE),"")</f>
        <v/>
      </c>
      <c r="Q2712" s="1636" t="s">
        <v>8</v>
      </c>
      <c r="R2712" s="1703" t="str">
        <f>IFERROR(VLOOKUP(F2712,#REF!,14,FALSE),"")</f>
        <v/>
      </c>
      <c r="S2712" s="1704" t="str">
        <f t="shared" ref="S2712:S2775" si="535">IFERROR(L2712/J2712,"")</f>
        <v/>
      </c>
      <c r="T2712" s="1828">
        <f t="shared" ref="T2712:T2775" si="536">T2711+(K2712-T2711)/7</f>
        <v>21.136312537451527</v>
      </c>
      <c r="U2712" s="1828">
        <f t="shared" ref="U2712:U2775" si="537">U2711+(K2712-U2711)/42</f>
        <v>28.006096594569591</v>
      </c>
      <c r="V2712" s="1695">
        <f t="shared" ref="V2712:V2775" si="538">U2711-T2711</f>
        <v>4.0301408275729607</v>
      </c>
      <c r="W2712" s="1767">
        <f t="shared" ref="W2712:W2775" si="539">T2712/U2712</f>
        <v>0.7547039790454011</v>
      </c>
      <c r="X2712" s="1695">
        <v>252</v>
      </c>
    </row>
    <row r="2713" spans="1:26" x14ac:dyDescent="0.2">
      <c r="A2713" s="1649" t="s">
        <v>337</v>
      </c>
      <c r="B2713" s="1681">
        <f t="shared" ref="B2713" si="540">IFERROR(AVERAGE(S2708:S2714),"")</f>
        <v>1.6947055298750218</v>
      </c>
      <c r="C2713" s="1651">
        <v>45801</v>
      </c>
      <c r="D2713" s="1695"/>
      <c r="E2713" s="1696"/>
      <c r="F2713" s="1937"/>
      <c r="G2713" s="1697"/>
      <c r="H2713" s="1698"/>
      <c r="I2713" s="1699"/>
      <c r="J2713" s="1700"/>
      <c r="K2713" s="1755"/>
      <c r="L2713" s="1578"/>
      <c r="M2713" s="1700"/>
      <c r="N2713" s="1701" t="str">
        <f t="shared" si="534"/>
        <v/>
      </c>
      <c r="O2713" s="1702"/>
      <c r="P2713" s="1635" t="str">
        <f>IFERROR(VLOOKUP(F2713,#REF!,12,FALSE),"")</f>
        <v/>
      </c>
      <c r="Q2713" s="1636" t="s">
        <v>8</v>
      </c>
      <c r="R2713" s="1703" t="str">
        <f>IFERROR(VLOOKUP(F2713,#REF!,14,FALSE),"")</f>
        <v/>
      </c>
      <c r="S2713" s="1704" t="str">
        <f t="shared" si="535"/>
        <v/>
      </c>
      <c r="T2713" s="1828">
        <f t="shared" si="536"/>
        <v>18.116839317815593</v>
      </c>
      <c r="U2713" s="1828">
        <f t="shared" si="537"/>
        <v>27.339284770889364</v>
      </c>
      <c r="V2713" s="1695">
        <f t="shared" si="538"/>
        <v>6.8697840571180642</v>
      </c>
      <c r="W2713" s="1767">
        <f t="shared" si="539"/>
        <v>0.66266690843010823</v>
      </c>
      <c r="X2713" s="1695">
        <v>252</v>
      </c>
    </row>
    <row r="2714" spans="1:26" ht="16" thickBot="1" x14ac:dyDescent="0.25">
      <c r="A2714" s="1650" t="s">
        <v>5</v>
      </c>
      <c r="B2714" s="1678">
        <f t="shared" ref="B2714" si="541">IFERROR(SUM(M2708:M2714),"")</f>
        <v>94</v>
      </c>
      <c r="C2714" s="1360">
        <v>45802</v>
      </c>
      <c r="D2714" s="683" t="s">
        <v>198</v>
      </c>
      <c r="E2714" s="684"/>
      <c r="F2714" s="1942" t="s">
        <v>198</v>
      </c>
      <c r="G2714" s="1361">
        <v>3.037037037037037E-2</v>
      </c>
      <c r="H2714" s="1362">
        <v>10</v>
      </c>
      <c r="I2714" s="1363">
        <f t="shared" si="533"/>
        <v>3.0370370370370369E-3</v>
      </c>
      <c r="J2714" s="1364">
        <v>165</v>
      </c>
      <c r="K2714" s="1747">
        <v>100</v>
      </c>
      <c r="L2714" s="1705">
        <v>269</v>
      </c>
      <c r="M2714" s="1364">
        <v>58</v>
      </c>
      <c r="N2714" s="1365">
        <f t="shared" si="534"/>
        <v>1.0535164179104479</v>
      </c>
      <c r="O2714" s="1366" t="s">
        <v>345</v>
      </c>
      <c r="P2714" s="1706" t="str">
        <f>IFERROR(VLOOKUP(F2714,#REF!,12,FALSE),"")</f>
        <v/>
      </c>
      <c r="Q2714" s="1707" t="s">
        <v>8</v>
      </c>
      <c r="R2714" s="1708" t="str">
        <f>IFERROR(VLOOKUP(F2714,#REF!,14,FALSE),"")</f>
        <v/>
      </c>
      <c r="S2714" s="1191">
        <f t="shared" si="535"/>
        <v>1.6303030303030304</v>
      </c>
      <c r="T2714" s="1829">
        <f t="shared" si="536"/>
        <v>29.814433700984793</v>
      </c>
      <c r="U2714" s="1829">
        <f t="shared" si="537"/>
        <v>29.069301800153902</v>
      </c>
      <c r="V2714" s="683">
        <f t="shared" si="538"/>
        <v>9.2224454530737709</v>
      </c>
      <c r="W2714" s="1768">
        <f t="shared" si="539"/>
        <v>1.0256329479790582</v>
      </c>
      <c r="X2714" s="683">
        <v>252</v>
      </c>
      <c r="Z2714" s="1929"/>
    </row>
    <row r="2715" spans="1:26" ht="16" thickBot="1" x14ac:dyDescent="0.25">
      <c r="A2715" s="1962">
        <f t="shared" ref="A2715" si="542">WEEKNUM(C2715,1)</f>
        <v>22</v>
      </c>
      <c r="B2715" s="1963"/>
      <c r="C2715" s="1368">
        <v>45803</v>
      </c>
      <c r="D2715" s="1369"/>
      <c r="E2715" s="1370"/>
      <c r="F2715" s="1618"/>
      <c r="G2715" s="1371"/>
      <c r="H2715" s="1372" t="str">
        <f>IFERROR(VLOOKUP(F2715,#REF!,10,FALSE),"")</f>
        <v/>
      </c>
      <c r="I2715" s="1373" t="str">
        <f t="shared" si="533"/>
        <v/>
      </c>
      <c r="J2715" s="1374"/>
      <c r="K2715" s="1745"/>
      <c r="L2715" s="1577"/>
      <c r="M2715" s="1374"/>
      <c r="N2715" s="1375" t="str">
        <f t="shared" si="534"/>
        <v/>
      </c>
      <c r="O2715" s="1376"/>
      <c r="P2715" s="795" t="str">
        <f>IFERROR(VLOOKUP(F2715,#REF!,12,FALSE),"")</f>
        <v/>
      </c>
      <c r="Q2715" s="1254" t="s">
        <v>8</v>
      </c>
      <c r="R2715" s="1694" t="str">
        <f>IFERROR(VLOOKUP(F2715,#REF!,14,FALSE),"")</f>
        <v/>
      </c>
      <c r="S2715" s="1377" t="str">
        <f t="shared" si="535"/>
        <v/>
      </c>
      <c r="T2715" s="70">
        <f t="shared" si="536"/>
        <v>25.555228886558396</v>
      </c>
      <c r="U2715" s="70">
        <f t="shared" si="537"/>
        <v>28.377175566816906</v>
      </c>
      <c r="V2715" s="1369">
        <f t="shared" si="538"/>
        <v>-0.74513190083089142</v>
      </c>
      <c r="W2715" s="1766">
        <f t="shared" si="539"/>
        <v>0.90055575920112441</v>
      </c>
      <c r="X2715" s="1369">
        <v>266</v>
      </c>
    </row>
    <row r="2716" spans="1:26" x14ac:dyDescent="0.2">
      <c r="A2716" s="1648" t="s">
        <v>142</v>
      </c>
      <c r="B2716" s="1679">
        <f t="shared" ref="B2716" si="543">SUM(H2715:H2721)</f>
        <v>8.14</v>
      </c>
      <c r="C2716" s="1651">
        <v>45804</v>
      </c>
      <c r="D2716" s="1695"/>
      <c r="E2716" s="1696"/>
      <c r="F2716" s="1616"/>
      <c r="G2716" s="1697"/>
      <c r="H2716" s="1698" t="str">
        <f>IFERROR(VLOOKUP(F2716,#REF!,10,FALSE),"")</f>
        <v/>
      </c>
      <c r="I2716" s="1699" t="str">
        <f t="shared" si="533"/>
        <v/>
      </c>
      <c r="J2716" s="1700"/>
      <c r="K2716" s="1755"/>
      <c r="L2716" s="1578"/>
      <c r="M2716" s="1700"/>
      <c r="N2716" s="1701" t="str">
        <f t="shared" si="534"/>
        <v/>
      </c>
      <c r="O2716" s="1702"/>
      <c r="P2716" s="1635" t="str">
        <f>IFERROR(VLOOKUP(F2716,#REF!,12,FALSE),"")</f>
        <v/>
      </c>
      <c r="Q2716" s="1636" t="s">
        <v>8</v>
      </c>
      <c r="R2716" s="1703" t="str">
        <f>IFERROR(VLOOKUP(F2716,#REF!,14,FALSE),"")</f>
        <v/>
      </c>
      <c r="S2716" s="1704" t="str">
        <f t="shared" si="535"/>
        <v/>
      </c>
      <c r="T2716" s="1379">
        <f t="shared" si="536"/>
        <v>21.904481902764338</v>
      </c>
      <c r="U2716" s="1379">
        <f t="shared" si="537"/>
        <v>27.701528529511741</v>
      </c>
      <c r="V2716" s="1695">
        <f t="shared" si="538"/>
        <v>2.8219466802585096</v>
      </c>
      <c r="W2716" s="1767">
        <f t="shared" si="539"/>
        <v>0.79073188612781653</v>
      </c>
      <c r="X2716" s="1695">
        <v>266</v>
      </c>
    </row>
    <row r="2717" spans="1:26" x14ac:dyDescent="0.2">
      <c r="A2717" s="1649" t="s">
        <v>347</v>
      </c>
      <c r="B2717" s="1680">
        <f t="shared" ref="B2717" si="544">SUM(K2715:K2721)</f>
        <v>33</v>
      </c>
      <c r="C2717" s="1651">
        <v>45805</v>
      </c>
      <c r="D2717" s="1695"/>
      <c r="E2717" s="1696"/>
      <c r="F2717" s="1616"/>
      <c r="G2717" s="1697"/>
      <c r="H2717" s="1698" t="str">
        <f>IFERROR(VLOOKUP(F2717,#REF!,10,FALSE),"")</f>
        <v/>
      </c>
      <c r="I2717" s="1699" t="str">
        <f t="shared" si="533"/>
        <v/>
      </c>
      <c r="J2717" s="1700"/>
      <c r="K2717" s="1755"/>
      <c r="L2717" s="1578"/>
      <c r="M2717" s="1700"/>
      <c r="N2717" s="1701" t="str">
        <f t="shared" si="534"/>
        <v/>
      </c>
      <c r="O2717" s="1702"/>
      <c r="P2717" s="1635" t="str">
        <f>IFERROR(VLOOKUP(F2717,#REF!,12,FALSE),"")</f>
        <v/>
      </c>
      <c r="Q2717" s="1636" t="s">
        <v>8</v>
      </c>
      <c r="R2717" s="1703" t="str">
        <f>IFERROR(VLOOKUP(F2717,#REF!,14,FALSE),"")</f>
        <v/>
      </c>
      <c r="S2717" s="1704" t="str">
        <f t="shared" si="535"/>
        <v/>
      </c>
      <c r="T2717" s="1379">
        <f t="shared" si="536"/>
        <v>18.775270202369434</v>
      </c>
      <c r="U2717" s="1379">
        <f t="shared" si="537"/>
        <v>27.04196832642813</v>
      </c>
      <c r="V2717" s="1695">
        <f t="shared" si="538"/>
        <v>5.7970466267474023</v>
      </c>
      <c r="W2717" s="1767">
        <f t="shared" si="539"/>
        <v>0.69430116830735111</v>
      </c>
      <c r="X2717" s="1695">
        <v>266</v>
      </c>
    </row>
    <row r="2718" spans="1:26" x14ac:dyDescent="0.2">
      <c r="A2718" s="1649" t="s">
        <v>256</v>
      </c>
      <c r="B2718" s="1677">
        <f t="shared" ref="B2718" si="545">AVERAGE(W2715:W2721)</f>
        <v>0.69164527347607774</v>
      </c>
      <c r="C2718" s="1651">
        <v>45806</v>
      </c>
      <c r="D2718" s="1695"/>
      <c r="E2718" s="1696"/>
      <c r="F2718" s="1616"/>
      <c r="G2718" s="1697"/>
      <c r="H2718" s="1698" t="str">
        <f>IFERROR(VLOOKUP(F2718,#REF!,10,FALSE),"")</f>
        <v/>
      </c>
      <c r="I2718" s="1699" t="str">
        <f t="shared" si="533"/>
        <v/>
      </c>
      <c r="J2718" s="1700"/>
      <c r="K2718" s="1755"/>
      <c r="L2718" s="1578"/>
      <c r="M2718" s="1700"/>
      <c r="N2718" s="1701" t="str">
        <f t="shared" si="534"/>
        <v/>
      </c>
      <c r="O2718" s="1702"/>
      <c r="P2718" s="1635" t="str">
        <f>IFERROR(VLOOKUP(F2718,#REF!,12,FALSE),"")</f>
        <v/>
      </c>
      <c r="Q2718" s="1636" t="s">
        <v>8</v>
      </c>
      <c r="R2718" s="1703" t="str">
        <f>IFERROR(VLOOKUP(F2718,#REF!,14,FALSE),"")</f>
        <v/>
      </c>
      <c r="S2718" s="1704" t="str">
        <f t="shared" si="535"/>
        <v/>
      </c>
      <c r="T2718" s="1379">
        <f t="shared" si="536"/>
        <v>16.093088744888085</v>
      </c>
      <c r="U2718" s="1379">
        <f t="shared" si="537"/>
        <v>26.39811193770365</v>
      </c>
      <c r="V2718" s="1695">
        <f t="shared" si="538"/>
        <v>8.2666981240586956</v>
      </c>
      <c r="W2718" s="1767">
        <f t="shared" si="539"/>
        <v>0.60963029412352776</v>
      </c>
      <c r="X2718" s="1695">
        <v>266</v>
      </c>
    </row>
    <row r="2719" spans="1:26" x14ac:dyDescent="0.2">
      <c r="A2719" s="1649" t="s">
        <v>336</v>
      </c>
      <c r="B2719" s="1713">
        <f t="shared" ref="B2719" si="546">IFERROR(AVERAGE(N2715:N2721),"")</f>
        <v>1.060583446404342</v>
      </c>
      <c r="C2719" s="1651">
        <v>45807</v>
      </c>
      <c r="D2719" s="1695">
        <v>75</v>
      </c>
      <c r="E2719" s="1696" t="s">
        <v>292</v>
      </c>
      <c r="F2719" s="1616" t="s">
        <v>322</v>
      </c>
      <c r="G2719" s="1697">
        <v>3.4687500000000003E-2</v>
      </c>
      <c r="H2719" s="1698">
        <v>8.14</v>
      </c>
      <c r="I2719" s="1699">
        <f t="shared" si="533"/>
        <v>4.261363636363636E-3</v>
      </c>
      <c r="J2719" s="1700">
        <v>120</v>
      </c>
      <c r="K2719" s="1755">
        <v>33</v>
      </c>
      <c r="L2719" s="1578">
        <v>193</v>
      </c>
      <c r="M2719" s="1700">
        <v>26</v>
      </c>
      <c r="N2719" s="1701">
        <f t="shared" si="534"/>
        <v>1.060583446404342</v>
      </c>
      <c r="O2719" s="1702" t="s">
        <v>358</v>
      </c>
      <c r="P2719" s="1635" t="str">
        <f>IFERROR(VLOOKUP(F2719,#REF!,12,FALSE),"")</f>
        <v/>
      </c>
      <c r="Q2719" s="1636" t="s">
        <v>8</v>
      </c>
      <c r="R2719" s="1703" t="str">
        <f>IFERROR(VLOOKUP(F2719,#REF!,14,FALSE),"")</f>
        <v/>
      </c>
      <c r="S2719" s="1704">
        <f t="shared" si="535"/>
        <v>1.6083333333333334</v>
      </c>
      <c r="T2719" s="1379">
        <f t="shared" si="536"/>
        <v>18.508361781332646</v>
      </c>
      <c r="U2719" s="1379">
        <f t="shared" si="537"/>
        <v>26.555299748710706</v>
      </c>
      <c r="V2719" s="1695">
        <f t="shared" si="538"/>
        <v>10.305023192815565</v>
      </c>
      <c r="W2719" s="1767">
        <f t="shared" si="539"/>
        <v>0.69697431233971485</v>
      </c>
      <c r="X2719" s="1695">
        <v>266</v>
      </c>
    </row>
    <row r="2720" spans="1:26" x14ac:dyDescent="0.2">
      <c r="A2720" s="1649" t="s">
        <v>337</v>
      </c>
      <c r="B2720" s="1681">
        <f t="shared" ref="B2720" si="547">IFERROR(AVERAGE(S2715:S2721),"")</f>
        <v>1.6083333333333334</v>
      </c>
      <c r="C2720" s="1651">
        <v>45808</v>
      </c>
      <c r="D2720" s="1695"/>
      <c r="E2720" s="1696"/>
      <c r="F2720" s="1616"/>
      <c r="G2720" s="1697"/>
      <c r="H2720" s="1698" t="str">
        <f>IFERROR(VLOOKUP(F2720,#REF!,10,FALSE),"")</f>
        <v/>
      </c>
      <c r="I2720" s="1699" t="str">
        <f t="shared" si="533"/>
        <v/>
      </c>
      <c r="J2720" s="1700"/>
      <c r="K2720" s="1755"/>
      <c r="L2720" s="1578"/>
      <c r="M2720" s="1700"/>
      <c r="N2720" s="1701" t="str">
        <f t="shared" si="534"/>
        <v/>
      </c>
      <c r="O2720" s="1702"/>
      <c r="P2720" s="1635" t="str">
        <f>IFERROR(VLOOKUP(F2720,#REF!,12,FALSE),"")</f>
        <v/>
      </c>
      <c r="Q2720" s="1636" t="s">
        <v>8</v>
      </c>
      <c r="R2720" s="1703" t="str">
        <f>IFERROR(VLOOKUP(F2720,#REF!,14,FALSE),"")</f>
        <v/>
      </c>
      <c r="S2720" s="1704" t="str">
        <f t="shared" si="535"/>
        <v/>
      </c>
      <c r="T2720" s="1379">
        <f t="shared" si="536"/>
        <v>15.864310098285124</v>
      </c>
      <c r="U2720" s="1379">
        <f t="shared" si="537"/>
        <v>25.923030707074737</v>
      </c>
      <c r="V2720" s="1695">
        <f t="shared" si="538"/>
        <v>8.0469379673780601</v>
      </c>
      <c r="W2720" s="1767">
        <f t="shared" si="539"/>
        <v>0.61197744498121298</v>
      </c>
      <c r="X2720" s="1695">
        <v>266</v>
      </c>
    </row>
    <row r="2721" spans="1:24" ht="16" thickBot="1" x14ac:dyDescent="0.25">
      <c r="A2721" s="1650" t="s">
        <v>5</v>
      </c>
      <c r="B2721" s="1678">
        <f t="shared" ref="B2721" si="548">IFERROR(SUM(M2715:M2721),"")</f>
        <v>26</v>
      </c>
      <c r="C2721" s="1360">
        <v>45809</v>
      </c>
      <c r="D2721" s="683"/>
      <c r="E2721" s="684"/>
      <c r="F2721" s="1538"/>
      <c r="G2721" s="1361"/>
      <c r="H2721" s="1362" t="str">
        <f>IFERROR(VLOOKUP(F2721,#REF!,10,FALSE),"")</f>
        <v/>
      </c>
      <c r="I2721" s="1363" t="str">
        <f t="shared" si="533"/>
        <v/>
      </c>
      <c r="J2721" s="1364"/>
      <c r="K2721" s="1747"/>
      <c r="L2721" s="1705"/>
      <c r="M2721" s="1364"/>
      <c r="N2721" s="1365" t="str">
        <f t="shared" si="534"/>
        <v/>
      </c>
      <c r="O2721" s="1366"/>
      <c r="P2721" s="1706" t="str">
        <f>IFERROR(VLOOKUP(F2721,#REF!,12,FALSE),"")</f>
        <v/>
      </c>
      <c r="Q2721" s="1707" t="s">
        <v>8</v>
      </c>
      <c r="R2721" s="1708" t="str">
        <f>IFERROR(VLOOKUP(F2721,#REF!,14,FALSE),"")</f>
        <v/>
      </c>
      <c r="S2721" s="1191" t="str">
        <f t="shared" si="535"/>
        <v/>
      </c>
      <c r="T2721" s="1897">
        <f t="shared" si="536"/>
        <v>13.597980084244391</v>
      </c>
      <c r="U2721" s="1897">
        <f t="shared" si="537"/>
        <v>25.305815690239623</v>
      </c>
      <c r="V2721" s="683">
        <f t="shared" si="538"/>
        <v>10.058720608789613</v>
      </c>
      <c r="W2721" s="1768">
        <f t="shared" si="539"/>
        <v>0.53734604925179674</v>
      </c>
      <c r="X2721" s="683">
        <v>266</v>
      </c>
    </row>
    <row r="2722" spans="1:24" ht="16" thickBot="1" x14ac:dyDescent="0.25">
      <c r="A2722" s="1962">
        <f t="shared" ref="A2722" si="549">WEEKNUM(C2722,1)</f>
        <v>23</v>
      </c>
      <c r="B2722" s="1963"/>
      <c r="C2722" s="1368">
        <v>45810</v>
      </c>
      <c r="D2722" s="1369">
        <v>76</v>
      </c>
      <c r="E2722" s="1370" t="s">
        <v>293</v>
      </c>
      <c r="F2722" s="1547" t="s">
        <v>355</v>
      </c>
      <c r="G2722" s="1371">
        <v>2.4409722222222222E-2</v>
      </c>
      <c r="H2722" s="1372">
        <v>5.93</v>
      </c>
      <c r="I2722" s="1373">
        <f t="shared" si="533"/>
        <v>4.1163106614202733E-3</v>
      </c>
      <c r="J2722" s="1374">
        <v>113</v>
      </c>
      <c r="K2722" s="1745">
        <v>24</v>
      </c>
      <c r="L2722" s="1577">
        <v>199</v>
      </c>
      <c r="M2722" s="1374">
        <v>18</v>
      </c>
      <c r="N2722" s="1375">
        <f t="shared" si="534"/>
        <v>1.0563313281820239</v>
      </c>
      <c r="O2722" s="1376" t="s">
        <v>358</v>
      </c>
      <c r="P2722" s="795" t="str">
        <f>IFERROR(VLOOKUP(F2722,#REF!,12,FALSE),"")</f>
        <v/>
      </c>
      <c r="Q2722" s="1254" t="s">
        <v>8</v>
      </c>
      <c r="R2722" s="1694" t="str">
        <f>IFERROR(VLOOKUP(F2722,#REF!,14,FALSE),"")</f>
        <v/>
      </c>
      <c r="S2722" s="1377">
        <f t="shared" si="535"/>
        <v>1.7610619469026549</v>
      </c>
      <c r="T2722" s="1369">
        <f t="shared" si="536"/>
        <v>15.083982929352334</v>
      </c>
      <c r="U2722" s="1369">
        <f t="shared" si="537"/>
        <v>25.274724840472011</v>
      </c>
      <c r="V2722" s="1369">
        <f t="shared" si="538"/>
        <v>11.707835605995232</v>
      </c>
      <c r="W2722" s="1766">
        <f t="shared" si="539"/>
        <v>0.59680107398038196</v>
      </c>
      <c r="X2722" s="1369">
        <v>266</v>
      </c>
    </row>
    <row r="2723" spans="1:24" x14ac:dyDescent="0.2">
      <c r="A2723" s="1648" t="s">
        <v>142</v>
      </c>
      <c r="B2723" s="1679">
        <f t="shared" ref="B2723" si="550">SUM(H2722:H2728)</f>
        <v>5.93</v>
      </c>
      <c r="C2723" s="1651">
        <v>45811</v>
      </c>
      <c r="D2723" s="1695"/>
      <c r="E2723" s="1696"/>
      <c r="F2723" s="1547"/>
      <c r="G2723" s="1697"/>
      <c r="H2723" s="1698" t="str">
        <f>IFERROR(VLOOKUP(F2723,#REF!,10,FALSE),"")</f>
        <v/>
      </c>
      <c r="I2723" s="1699" t="str">
        <f t="shared" si="533"/>
        <v/>
      </c>
      <c r="J2723" s="1700"/>
      <c r="K2723" s="1755"/>
      <c r="L2723" s="1578"/>
      <c r="M2723" s="1700"/>
      <c r="N2723" s="1701" t="str">
        <f t="shared" si="534"/>
        <v/>
      </c>
      <c r="O2723" s="1702"/>
      <c r="P2723" s="1635" t="str">
        <f>IFERROR(VLOOKUP(F2723,#REF!,12,FALSE),"")</f>
        <v/>
      </c>
      <c r="Q2723" s="1636" t="s">
        <v>8</v>
      </c>
      <c r="R2723" s="1703" t="str">
        <f>IFERROR(VLOOKUP(F2723,#REF!,14,FALSE),"")</f>
        <v/>
      </c>
      <c r="S2723" s="1704" t="str">
        <f t="shared" si="535"/>
        <v/>
      </c>
      <c r="T2723" s="1828">
        <f t="shared" si="536"/>
        <v>12.929128225159143</v>
      </c>
      <c r="U2723" s="1828">
        <f t="shared" si="537"/>
        <v>24.672945677603629</v>
      </c>
      <c r="V2723" s="1695">
        <f t="shared" si="538"/>
        <v>10.190741911119677</v>
      </c>
      <c r="W2723" s="1767">
        <f t="shared" si="539"/>
        <v>0.52402045520228657</v>
      </c>
      <c r="X2723" s="1695">
        <v>266</v>
      </c>
    </row>
    <row r="2724" spans="1:24" x14ac:dyDescent="0.2">
      <c r="A2724" s="1649" t="s">
        <v>347</v>
      </c>
      <c r="B2724" s="1680">
        <f t="shared" ref="B2724" si="551">SUM(K2722:K2728)</f>
        <v>24</v>
      </c>
      <c r="C2724" s="1651">
        <v>45812</v>
      </c>
      <c r="D2724" s="1695"/>
      <c r="E2724" s="1696"/>
      <c r="F2724" s="1547"/>
      <c r="G2724" s="1697"/>
      <c r="H2724" s="1698" t="str">
        <f>IFERROR(VLOOKUP(F2724,#REF!,10,FALSE),"")</f>
        <v/>
      </c>
      <c r="I2724" s="1699" t="str">
        <f t="shared" si="533"/>
        <v/>
      </c>
      <c r="J2724" s="1700"/>
      <c r="K2724" s="1755"/>
      <c r="L2724" s="1578"/>
      <c r="M2724" s="1700"/>
      <c r="N2724" s="1701" t="str">
        <f t="shared" si="534"/>
        <v/>
      </c>
      <c r="O2724" s="1702"/>
      <c r="P2724" s="1635" t="str">
        <f>IFERROR(VLOOKUP(F2724,#REF!,12,FALSE),"")</f>
        <v/>
      </c>
      <c r="Q2724" s="1636" t="s">
        <v>8</v>
      </c>
      <c r="R2724" s="1703" t="str">
        <f>IFERROR(VLOOKUP(F2724,#REF!,14,FALSE),"")</f>
        <v/>
      </c>
      <c r="S2724" s="1704" t="str">
        <f t="shared" si="535"/>
        <v/>
      </c>
      <c r="T2724" s="1828">
        <f t="shared" si="536"/>
        <v>11.082109907279266</v>
      </c>
      <c r="U2724" s="1828">
        <f t="shared" si="537"/>
        <v>24.085494590041638</v>
      </c>
      <c r="V2724" s="1695">
        <f t="shared" si="538"/>
        <v>11.743817452444485</v>
      </c>
      <c r="W2724" s="1767">
        <f t="shared" si="539"/>
        <v>0.46011552164103214</v>
      </c>
      <c r="X2724" s="1695">
        <v>266</v>
      </c>
    </row>
    <row r="2725" spans="1:24" x14ac:dyDescent="0.2">
      <c r="A2725" s="1649" t="s">
        <v>256</v>
      </c>
      <c r="B2725" s="1677">
        <f t="shared" ref="B2725" si="552">AVERAGE(W2722:W2728)</f>
        <v>0.41780582365709673</v>
      </c>
      <c r="C2725" s="1651">
        <v>45813</v>
      </c>
      <c r="D2725" s="1695"/>
      <c r="E2725" s="1696"/>
      <c r="F2725" s="1547"/>
      <c r="G2725" s="1697"/>
      <c r="H2725" s="1698" t="str">
        <f>IFERROR(VLOOKUP(F2725,#REF!,10,FALSE),"")</f>
        <v/>
      </c>
      <c r="I2725" s="1699" t="str">
        <f t="shared" si="533"/>
        <v/>
      </c>
      <c r="J2725" s="1700"/>
      <c r="K2725" s="1755"/>
      <c r="L2725" s="1578"/>
      <c r="M2725" s="1700"/>
      <c r="N2725" s="1701" t="str">
        <f t="shared" si="534"/>
        <v/>
      </c>
      <c r="O2725" s="1702"/>
      <c r="P2725" s="1635" t="str">
        <f>IFERROR(VLOOKUP(F2725,#REF!,12,FALSE),"")</f>
        <v/>
      </c>
      <c r="Q2725" s="1636" t="s">
        <v>8</v>
      </c>
      <c r="R2725" s="1703" t="str">
        <f>IFERROR(VLOOKUP(F2725,#REF!,14,FALSE),"")</f>
        <v/>
      </c>
      <c r="S2725" s="1704" t="str">
        <f t="shared" si="535"/>
        <v/>
      </c>
      <c r="T2725" s="1828">
        <f t="shared" si="536"/>
        <v>9.4989513490965134</v>
      </c>
      <c r="U2725" s="1828">
        <f t="shared" si="537"/>
        <v>23.512030433135884</v>
      </c>
      <c r="V2725" s="1695">
        <f t="shared" si="538"/>
        <v>13.003384682762372</v>
      </c>
      <c r="W2725" s="1767">
        <f t="shared" si="539"/>
        <v>0.40400387266041848</v>
      </c>
      <c r="X2725" s="1695">
        <v>266</v>
      </c>
    </row>
    <row r="2726" spans="1:24" x14ac:dyDescent="0.2">
      <c r="A2726" s="1649" t="s">
        <v>336</v>
      </c>
      <c r="B2726" s="1713">
        <f t="shared" ref="B2726" si="553">IFERROR(AVERAGE(N2722:N2728),"")</f>
        <v>1.0563313281820239</v>
      </c>
      <c r="C2726" s="1651">
        <v>45814</v>
      </c>
      <c r="D2726" s="1695"/>
      <c r="E2726" s="1696"/>
      <c r="F2726" s="1547"/>
      <c r="G2726" s="1697"/>
      <c r="H2726" s="1698" t="str">
        <f>IFERROR(VLOOKUP(F2726,#REF!,10,FALSE),"")</f>
        <v/>
      </c>
      <c r="I2726" s="1699" t="str">
        <f t="shared" si="533"/>
        <v/>
      </c>
      <c r="J2726" s="1700"/>
      <c r="K2726" s="1755"/>
      <c r="L2726" s="1578"/>
      <c r="M2726" s="1700"/>
      <c r="N2726" s="1701" t="str">
        <f t="shared" si="534"/>
        <v/>
      </c>
      <c r="O2726" s="1702"/>
      <c r="P2726" s="1635" t="str">
        <f>IFERROR(VLOOKUP(F2726,#REF!,12,FALSE),"")</f>
        <v/>
      </c>
      <c r="Q2726" s="1636" t="s">
        <v>8</v>
      </c>
      <c r="R2726" s="1703" t="str">
        <f>IFERROR(VLOOKUP(F2726,#REF!,14,FALSE),"")</f>
        <v/>
      </c>
      <c r="S2726" s="1704" t="str">
        <f t="shared" si="535"/>
        <v/>
      </c>
      <c r="T2726" s="1828">
        <f t="shared" si="536"/>
        <v>8.1419582992255837</v>
      </c>
      <c r="U2726" s="1828">
        <f t="shared" si="537"/>
        <v>22.952220184727885</v>
      </c>
      <c r="V2726" s="1695">
        <f t="shared" si="538"/>
        <v>14.01307908403937</v>
      </c>
      <c r="W2726" s="1767">
        <f t="shared" si="539"/>
        <v>0.35473510770183092</v>
      </c>
      <c r="X2726" s="1695">
        <v>266</v>
      </c>
    </row>
    <row r="2727" spans="1:24" x14ac:dyDescent="0.2">
      <c r="A2727" s="1649" t="s">
        <v>337</v>
      </c>
      <c r="B2727" s="1681">
        <f t="shared" ref="B2727" si="554">IFERROR(AVERAGE(S2722:S2728),"")</f>
        <v>1.7610619469026549</v>
      </c>
      <c r="C2727" s="1651">
        <v>45815</v>
      </c>
      <c r="D2727" s="1695"/>
      <c r="E2727" s="1696"/>
      <c r="F2727" s="1547"/>
      <c r="G2727" s="1697"/>
      <c r="H2727" s="1698" t="str">
        <f>IFERROR(VLOOKUP(F2727,#REF!,10,FALSE),"")</f>
        <v/>
      </c>
      <c r="I2727" s="1699" t="str">
        <f t="shared" si="533"/>
        <v/>
      </c>
      <c r="J2727" s="1700"/>
      <c r="K2727" s="1755"/>
      <c r="L2727" s="1578"/>
      <c r="M2727" s="1700"/>
      <c r="N2727" s="1701" t="str">
        <f t="shared" si="534"/>
        <v/>
      </c>
      <c r="O2727" s="1702"/>
      <c r="P2727" s="1635" t="str">
        <f>IFERROR(VLOOKUP(F2727,#REF!,12,FALSE),"")</f>
        <v/>
      </c>
      <c r="Q2727" s="1636" t="s">
        <v>8</v>
      </c>
      <c r="R2727" s="1703" t="str">
        <f>IFERROR(VLOOKUP(F2727,#REF!,14,FALSE),"")</f>
        <v/>
      </c>
      <c r="S2727" s="1704" t="str">
        <f t="shared" si="535"/>
        <v/>
      </c>
      <c r="T2727" s="1828">
        <f t="shared" si="536"/>
        <v>6.9788213993362147</v>
      </c>
      <c r="U2727" s="1828">
        <f t="shared" si="537"/>
        <v>22.405738751758175</v>
      </c>
      <c r="V2727" s="1695">
        <f t="shared" si="538"/>
        <v>14.810261885502301</v>
      </c>
      <c r="W2727" s="1767">
        <f t="shared" si="539"/>
        <v>0.31147472871380272</v>
      </c>
      <c r="X2727" s="1695">
        <v>266</v>
      </c>
    </row>
    <row r="2728" spans="1:24" ht="16" thickBot="1" x14ac:dyDescent="0.25">
      <c r="A2728" s="1650" t="s">
        <v>5</v>
      </c>
      <c r="B2728" s="1678">
        <f t="shared" ref="B2728" si="555">IFERROR(SUM(M2722:M2728),"")</f>
        <v>18</v>
      </c>
      <c r="C2728" s="1360">
        <v>45816</v>
      </c>
      <c r="D2728" s="683"/>
      <c r="E2728" s="684"/>
      <c r="F2728" s="1429"/>
      <c r="G2728" s="1361"/>
      <c r="H2728" s="1362" t="str">
        <f>IFERROR(VLOOKUP(F2728,#REF!,10,FALSE),"")</f>
        <v/>
      </c>
      <c r="I2728" s="1363" t="str">
        <f t="shared" si="533"/>
        <v/>
      </c>
      <c r="J2728" s="1364"/>
      <c r="K2728" s="1747"/>
      <c r="L2728" s="1705"/>
      <c r="M2728" s="1364"/>
      <c r="N2728" s="1365" t="str">
        <f t="shared" si="534"/>
        <v/>
      </c>
      <c r="O2728" s="1366"/>
      <c r="P2728" s="1706" t="str">
        <f>IFERROR(VLOOKUP(F2728,#REF!,12,FALSE),"")</f>
        <v/>
      </c>
      <c r="Q2728" s="1707" t="s">
        <v>8</v>
      </c>
      <c r="R2728" s="1708" t="str">
        <f>IFERROR(VLOOKUP(F2728,#REF!,14,FALSE),"")</f>
        <v/>
      </c>
      <c r="S2728" s="1191" t="str">
        <f t="shared" si="535"/>
        <v/>
      </c>
      <c r="T2728" s="1829">
        <f t="shared" si="536"/>
        <v>5.9818469137167556</v>
      </c>
      <c r="U2728" s="1829">
        <f t="shared" si="537"/>
        <v>21.872268781478219</v>
      </c>
      <c r="V2728" s="683">
        <f t="shared" si="538"/>
        <v>15.42691735242196</v>
      </c>
      <c r="W2728" s="1768">
        <f t="shared" si="539"/>
        <v>0.27349000569992438</v>
      </c>
      <c r="X2728" s="683">
        <v>266</v>
      </c>
    </row>
    <row r="2729" spans="1:24" ht="16" thickBot="1" x14ac:dyDescent="0.25">
      <c r="A2729" s="1962">
        <f t="shared" ref="A2729" si="556">WEEKNUM(C2729,1)</f>
        <v>24</v>
      </c>
      <c r="B2729" s="1963"/>
      <c r="C2729" s="1368">
        <v>45817</v>
      </c>
      <c r="D2729" s="1369">
        <v>77</v>
      </c>
      <c r="E2729" s="1370" t="s">
        <v>292</v>
      </c>
      <c r="F2729" s="1547" t="s">
        <v>355</v>
      </c>
      <c r="G2729" s="1371">
        <v>3.7384259259259256E-2</v>
      </c>
      <c r="H2729" s="1372">
        <v>8.77</v>
      </c>
      <c r="I2729" s="1373">
        <f t="shared" si="533"/>
        <v>4.2627433590945564E-3</v>
      </c>
      <c r="J2729" s="1374">
        <v>127</v>
      </c>
      <c r="K2729" s="1745">
        <v>37</v>
      </c>
      <c r="L2729" s="1577">
        <v>193</v>
      </c>
      <c r="M2729" s="1374">
        <v>25</v>
      </c>
      <c r="N2729" s="1375">
        <f t="shared" si="534"/>
        <v>1.0609268367399038</v>
      </c>
      <c r="O2729" s="1376" t="s">
        <v>358</v>
      </c>
      <c r="P2729" s="795" t="str">
        <f>IFERROR(VLOOKUP(F2729,#REF!,12,FALSE),"")</f>
        <v/>
      </c>
      <c r="Q2729" s="1254" t="s">
        <v>8</v>
      </c>
      <c r="R2729" s="1694" t="str">
        <f>IFERROR(VLOOKUP(F2729,#REF!,14,FALSE),"")</f>
        <v/>
      </c>
      <c r="S2729" s="1377">
        <f t="shared" si="535"/>
        <v>1.5196850393700787</v>
      </c>
      <c r="T2729" s="70">
        <f t="shared" si="536"/>
        <v>10.413011640328648</v>
      </c>
      <c r="U2729" s="70">
        <f t="shared" si="537"/>
        <v>22.232452858109689</v>
      </c>
      <c r="V2729" s="1369">
        <f t="shared" si="538"/>
        <v>15.890421867761464</v>
      </c>
      <c r="W2729" s="1766">
        <f t="shared" si="539"/>
        <v>0.46836989633063875</v>
      </c>
      <c r="X2729" s="1369">
        <v>266</v>
      </c>
    </row>
    <row r="2730" spans="1:24" x14ac:dyDescent="0.2">
      <c r="A2730" s="1648" t="s">
        <v>142</v>
      </c>
      <c r="B2730" s="1679">
        <f t="shared" ref="B2730" si="557">SUM(H2729:H2735)</f>
        <v>30.160000000000004</v>
      </c>
      <c r="C2730" s="1651">
        <v>45818</v>
      </c>
      <c r="D2730" s="1695"/>
      <c r="E2730" s="1696"/>
      <c r="F2730" s="1547"/>
      <c r="G2730" s="1697"/>
      <c r="H2730" s="1698" t="str">
        <f>IFERROR(VLOOKUP(F2730,#REF!,10,FALSE),"")</f>
        <v/>
      </c>
      <c r="I2730" s="1699" t="str">
        <f t="shared" si="533"/>
        <v/>
      </c>
      <c r="J2730" s="1700"/>
      <c r="K2730" s="1755"/>
      <c r="L2730" s="1578"/>
      <c r="M2730" s="1700"/>
      <c r="N2730" s="1701" t="str">
        <f t="shared" si="534"/>
        <v/>
      </c>
      <c r="O2730" s="1702"/>
      <c r="P2730" s="1635" t="str">
        <f>IFERROR(VLOOKUP(F2730,#REF!,12,FALSE),"")</f>
        <v/>
      </c>
      <c r="Q2730" s="1636" t="s">
        <v>8</v>
      </c>
      <c r="R2730" s="1703" t="str">
        <f>IFERROR(VLOOKUP(F2730,#REF!,14,FALSE),"")</f>
        <v/>
      </c>
      <c r="S2730" s="1704" t="str">
        <f t="shared" si="535"/>
        <v/>
      </c>
      <c r="T2730" s="1379">
        <f t="shared" si="536"/>
        <v>8.9254385488531263</v>
      </c>
      <c r="U2730" s="1379">
        <f t="shared" si="537"/>
        <v>21.70310874244041</v>
      </c>
      <c r="V2730" s="1695">
        <f t="shared" si="538"/>
        <v>11.819441217781041</v>
      </c>
      <c r="W2730" s="1767">
        <f t="shared" si="539"/>
        <v>0.41125161629031692</v>
      </c>
      <c r="X2730" s="1695">
        <v>266</v>
      </c>
    </row>
    <row r="2731" spans="1:24" x14ac:dyDescent="0.2">
      <c r="A2731" s="1649" t="s">
        <v>347</v>
      </c>
      <c r="B2731" s="1680">
        <f t="shared" ref="B2731" si="558">SUM(K2729:K2735)</f>
        <v>134</v>
      </c>
      <c r="C2731" s="1651">
        <v>45819</v>
      </c>
      <c r="D2731" s="1695">
        <v>78</v>
      </c>
      <c r="E2731" s="1696" t="s">
        <v>293</v>
      </c>
      <c r="F2731" s="1547" t="s">
        <v>355</v>
      </c>
      <c r="G2731" s="1697">
        <v>2.5555555555555557E-2</v>
      </c>
      <c r="H2731" s="1698">
        <v>6.39</v>
      </c>
      <c r="I2731" s="1699">
        <f t="shared" si="533"/>
        <v>3.9993044687880374E-3</v>
      </c>
      <c r="J2731" s="1700">
        <v>125</v>
      </c>
      <c r="K2731" s="1755">
        <v>28</v>
      </c>
      <c r="L2731" s="1578">
        <v>204</v>
      </c>
      <c r="M2731" s="1700">
        <v>22</v>
      </c>
      <c r="N2731" s="1701">
        <f t="shared" si="534"/>
        <v>1.0520916544040362</v>
      </c>
      <c r="O2731" s="1702" t="s">
        <v>340</v>
      </c>
      <c r="P2731" s="1635" t="str">
        <f>IFERROR(VLOOKUP(F2731,#REF!,12,FALSE),"")</f>
        <v/>
      </c>
      <c r="Q2731" s="1636" t="s">
        <v>8</v>
      </c>
      <c r="R2731" s="1703" t="str">
        <f>IFERROR(VLOOKUP(F2731,#REF!,14,FALSE),"")</f>
        <v/>
      </c>
      <c r="S2731" s="1704">
        <f t="shared" si="535"/>
        <v>1.6319999999999999</v>
      </c>
      <c r="T2731" s="1379">
        <f t="shared" si="536"/>
        <v>11.650375899016964</v>
      </c>
      <c r="U2731" s="1379">
        <f t="shared" si="537"/>
        <v>21.853034724763258</v>
      </c>
      <c r="V2731" s="1695">
        <f t="shared" si="538"/>
        <v>12.777670193587284</v>
      </c>
      <c r="W2731" s="1767">
        <f t="shared" si="539"/>
        <v>0.53312393659518043</v>
      </c>
      <c r="X2731" s="1695">
        <v>266</v>
      </c>
    </row>
    <row r="2732" spans="1:24" x14ac:dyDescent="0.2">
      <c r="A2732" s="1649" t="s">
        <v>256</v>
      </c>
      <c r="B2732" s="1677">
        <f t="shared" ref="B2732" si="559">AVERAGE(W2729:W2735)</f>
        <v>0.52318213970451666</v>
      </c>
      <c r="C2732" s="1651">
        <v>45820</v>
      </c>
      <c r="D2732" s="1695"/>
      <c r="E2732" s="1696"/>
      <c r="F2732" s="1547"/>
      <c r="G2732" s="1697"/>
      <c r="H2732" s="1698" t="str">
        <f>IFERROR(VLOOKUP(F2732,#REF!,10,FALSE),"")</f>
        <v/>
      </c>
      <c r="I2732" s="1699" t="str">
        <f t="shared" si="533"/>
        <v/>
      </c>
      <c r="J2732" s="1700"/>
      <c r="K2732" s="1755"/>
      <c r="L2732" s="1578"/>
      <c r="M2732" s="1700"/>
      <c r="N2732" s="1701" t="str">
        <f t="shared" si="534"/>
        <v/>
      </c>
      <c r="O2732" s="1702"/>
      <c r="P2732" s="1635" t="str">
        <f>IFERROR(VLOOKUP(F2732,#REF!,12,FALSE),"")</f>
        <v/>
      </c>
      <c r="Q2732" s="1636" t="s">
        <v>8</v>
      </c>
      <c r="R2732" s="1703" t="str">
        <f>IFERROR(VLOOKUP(F2732,#REF!,14,FALSE),"")</f>
        <v/>
      </c>
      <c r="S2732" s="1704" t="str">
        <f t="shared" si="535"/>
        <v/>
      </c>
      <c r="T2732" s="1379">
        <f t="shared" si="536"/>
        <v>9.9860364848716845</v>
      </c>
      <c r="U2732" s="1379">
        <f t="shared" si="537"/>
        <v>21.332724374173658</v>
      </c>
      <c r="V2732" s="1695">
        <f t="shared" si="538"/>
        <v>10.202658825746294</v>
      </c>
      <c r="W2732" s="1767">
        <f t="shared" si="539"/>
        <v>0.46810882237625601</v>
      </c>
      <c r="X2732" s="1695">
        <v>266</v>
      </c>
    </row>
    <row r="2733" spans="1:24" x14ac:dyDescent="0.2">
      <c r="A2733" s="1649" t="s">
        <v>336</v>
      </c>
      <c r="B2733" s="1713">
        <f t="shared" ref="B2733" si="560">IFERROR(AVERAGE(N2729:N2735),"")</f>
        <v>1.0634926260512687</v>
      </c>
      <c r="C2733" s="1651">
        <v>45821</v>
      </c>
      <c r="D2733" s="1695">
        <v>79</v>
      </c>
      <c r="E2733" s="1696" t="s">
        <v>292</v>
      </c>
      <c r="F2733" s="1547" t="s">
        <v>355</v>
      </c>
      <c r="G2733" s="1697">
        <v>2.5150462962962961E-2</v>
      </c>
      <c r="H2733" s="1698">
        <v>6.19</v>
      </c>
      <c r="I2733" s="1699">
        <f t="shared" si="533"/>
        <v>4.0630796386046785E-3</v>
      </c>
      <c r="J2733" s="1700">
        <v>123</v>
      </c>
      <c r="K2733" s="1755">
        <v>26</v>
      </c>
      <c r="L2733" s="1578">
        <v>202</v>
      </c>
      <c r="M2733" s="1700">
        <v>19</v>
      </c>
      <c r="N2733" s="1701">
        <f t="shared" si="534"/>
        <v>1.0583897957707422</v>
      </c>
      <c r="O2733" s="1702" t="s">
        <v>333</v>
      </c>
      <c r="P2733" s="1635" t="str">
        <f>IFERROR(VLOOKUP(F2733,#REF!,12,FALSE),"")</f>
        <v/>
      </c>
      <c r="Q2733" s="1636" t="s">
        <v>8</v>
      </c>
      <c r="R2733" s="1703" t="str">
        <f>IFERROR(VLOOKUP(F2733,#REF!,14,FALSE),"")</f>
        <v/>
      </c>
      <c r="S2733" s="1704">
        <f t="shared" si="535"/>
        <v>1.6422764227642277</v>
      </c>
      <c r="T2733" s="1379">
        <f t="shared" si="536"/>
        <v>12.273745558461444</v>
      </c>
      <c r="U2733" s="1379">
        <f t="shared" si="537"/>
        <v>21.443849984312379</v>
      </c>
      <c r="V2733" s="1695">
        <f t="shared" si="538"/>
        <v>11.346687889301974</v>
      </c>
      <c r="W2733" s="1767">
        <f t="shared" si="539"/>
        <v>0.57236669569319487</v>
      </c>
      <c r="X2733" s="1695">
        <v>266</v>
      </c>
    </row>
    <row r="2734" spans="1:24" x14ac:dyDescent="0.2">
      <c r="A2734" s="1649" t="s">
        <v>337</v>
      </c>
      <c r="B2734" s="1681">
        <f t="shared" ref="B2734" si="561">IFERROR(AVERAGE(S2729:S2735),"")</f>
        <v>1.6164591155335766</v>
      </c>
      <c r="C2734" s="1651">
        <v>45822</v>
      </c>
      <c r="D2734" s="1695"/>
      <c r="E2734" s="1696"/>
      <c r="F2734" s="1547"/>
      <c r="G2734" s="1697"/>
      <c r="H2734" s="1698" t="str">
        <f>IFERROR(VLOOKUP(F2734,#REF!,10,FALSE),"")</f>
        <v/>
      </c>
      <c r="I2734" s="1699" t="str">
        <f t="shared" si="533"/>
        <v/>
      </c>
      <c r="J2734" s="1700"/>
      <c r="K2734" s="1755"/>
      <c r="L2734" s="1578"/>
      <c r="M2734" s="1700"/>
      <c r="N2734" s="1701" t="str">
        <f t="shared" si="534"/>
        <v/>
      </c>
      <c r="O2734" s="1702"/>
      <c r="P2734" s="1635" t="str">
        <f>IFERROR(VLOOKUP(F2734,#REF!,12,FALSE),"")</f>
        <v/>
      </c>
      <c r="Q2734" s="1636" t="s">
        <v>8</v>
      </c>
      <c r="R2734" s="1703" t="str">
        <f>IFERROR(VLOOKUP(F2734,#REF!,14,FALSE),"")</f>
        <v/>
      </c>
      <c r="S2734" s="1704" t="str">
        <f t="shared" si="535"/>
        <v/>
      </c>
      <c r="T2734" s="1379">
        <f t="shared" si="536"/>
        <v>10.520353335824096</v>
      </c>
      <c r="U2734" s="1379">
        <f t="shared" si="537"/>
        <v>20.933282127543038</v>
      </c>
      <c r="V2734" s="1695">
        <f t="shared" si="538"/>
        <v>9.1701044258509352</v>
      </c>
      <c r="W2734" s="1767">
        <f t="shared" si="539"/>
        <v>0.5025658791452442</v>
      </c>
      <c r="X2734" s="1695">
        <v>266</v>
      </c>
    </row>
    <row r="2735" spans="1:24" ht="16" thickBot="1" x14ac:dyDescent="0.25">
      <c r="A2735" s="1650" t="s">
        <v>5</v>
      </c>
      <c r="B2735" s="1678">
        <f t="shared" ref="B2735" si="562">IFERROR(SUM(M2729:M2735),"")</f>
        <v>112</v>
      </c>
      <c r="C2735" s="1360">
        <v>45823</v>
      </c>
      <c r="D2735" s="683">
        <v>80</v>
      </c>
      <c r="E2735" s="684" t="s">
        <v>292</v>
      </c>
      <c r="F2735" s="1429" t="s">
        <v>279</v>
      </c>
      <c r="G2735" s="1361">
        <v>3.4560185185185187E-2</v>
      </c>
      <c r="H2735" s="1362">
        <v>8.81</v>
      </c>
      <c r="I2735" s="1363">
        <f t="shared" si="533"/>
        <v>3.9228360028587045E-3</v>
      </c>
      <c r="J2735" s="1364">
        <v>128</v>
      </c>
      <c r="K2735" s="1747">
        <v>43</v>
      </c>
      <c r="L2735" s="1705">
        <v>214</v>
      </c>
      <c r="M2735" s="1364">
        <v>46</v>
      </c>
      <c r="N2735" s="1365">
        <f t="shared" si="534"/>
        <v>1.0825622172903924</v>
      </c>
      <c r="O2735" s="1366" t="s">
        <v>346</v>
      </c>
      <c r="P2735" s="1706" t="str">
        <f>IFERROR(VLOOKUP(F2735,#REF!,12,FALSE),"")</f>
        <v/>
      </c>
      <c r="Q2735" s="1707" t="s">
        <v>8</v>
      </c>
      <c r="R2735" s="1708" t="str">
        <f>IFERROR(VLOOKUP(F2735,#REF!,14,FALSE),"")</f>
        <v/>
      </c>
      <c r="S2735" s="1191">
        <f t="shared" si="535"/>
        <v>1.671875</v>
      </c>
      <c r="T2735" s="1897">
        <f t="shared" si="536"/>
        <v>15.160302859277795</v>
      </c>
      <c r="U2735" s="1897">
        <f t="shared" si="537"/>
        <v>21.458680172125348</v>
      </c>
      <c r="V2735" s="683">
        <f t="shared" si="538"/>
        <v>10.412928791718942</v>
      </c>
      <c r="W2735" s="1768">
        <f t="shared" si="539"/>
        <v>0.70648813150078571</v>
      </c>
      <c r="X2735" s="683">
        <v>266</v>
      </c>
    </row>
    <row r="2736" spans="1:24" ht="16" thickBot="1" x14ac:dyDescent="0.25">
      <c r="A2736" s="1962">
        <f t="shared" ref="A2736" si="563">WEEKNUM(C2736,1)</f>
        <v>25</v>
      </c>
      <c r="B2736" s="1963"/>
      <c r="C2736" s="1368">
        <v>45824</v>
      </c>
      <c r="D2736" s="1369"/>
      <c r="E2736" s="1370"/>
      <c r="F2736" s="1547"/>
      <c r="G2736" s="1371"/>
      <c r="H2736" s="1372" t="str">
        <f>IFERROR(VLOOKUP(F2736,#REF!,10,FALSE),"")</f>
        <v/>
      </c>
      <c r="I2736" s="1373" t="str">
        <f t="shared" si="533"/>
        <v/>
      </c>
      <c r="J2736" s="1374"/>
      <c r="K2736" s="1745"/>
      <c r="L2736" s="1577"/>
      <c r="M2736" s="1374"/>
      <c r="N2736" s="1375" t="str">
        <f t="shared" si="534"/>
        <v/>
      </c>
      <c r="O2736" s="1376"/>
      <c r="P2736" s="795" t="str">
        <f>IFERROR(VLOOKUP(F2736,#REF!,12,FALSE),"")</f>
        <v/>
      </c>
      <c r="Q2736" s="1254" t="s">
        <v>8</v>
      </c>
      <c r="R2736" s="1694" t="str">
        <f>IFERROR(VLOOKUP(F2736,#REF!,14,FALSE),"")</f>
        <v/>
      </c>
      <c r="S2736" s="1377" t="str">
        <f t="shared" si="535"/>
        <v/>
      </c>
      <c r="T2736" s="1369">
        <f t="shared" si="536"/>
        <v>12.994545307952396</v>
      </c>
      <c r="U2736" s="1369">
        <f t="shared" si="537"/>
        <v>20.947759215646172</v>
      </c>
      <c r="V2736" s="1369">
        <f t="shared" si="538"/>
        <v>6.2983773128475526</v>
      </c>
      <c r="W2736" s="1766">
        <f t="shared" si="539"/>
        <v>0.62033104229337288</v>
      </c>
      <c r="X2736" s="1369">
        <v>266</v>
      </c>
    </row>
    <row r="2737" spans="1:24" x14ac:dyDescent="0.2">
      <c r="A2737" s="1648" t="s">
        <v>142</v>
      </c>
      <c r="B2737" s="1679">
        <f t="shared" ref="B2737" si="564">SUM(H2736:H2742)</f>
        <v>14.91</v>
      </c>
      <c r="C2737" s="1651">
        <v>45825</v>
      </c>
      <c r="D2737" s="1695">
        <v>81</v>
      </c>
      <c r="E2737" s="1696" t="s">
        <v>293</v>
      </c>
      <c r="F2737" s="1547" t="s">
        <v>355</v>
      </c>
      <c r="G2737" s="1697">
        <v>2.8842592592592593E-2</v>
      </c>
      <c r="H2737" s="1698">
        <v>7.34</v>
      </c>
      <c r="I2737" s="1699">
        <f t="shared" si="533"/>
        <v>3.929508527601171E-3</v>
      </c>
      <c r="J2737" s="1700">
        <v>126</v>
      </c>
      <c r="K2737" s="1755">
        <v>37</v>
      </c>
      <c r="L2737" s="1578">
        <v>216</v>
      </c>
      <c r="M2737" s="1700">
        <v>25</v>
      </c>
      <c r="N2737" s="1701">
        <f t="shared" si="534"/>
        <v>1.0945382081418522</v>
      </c>
      <c r="O2737" s="1702" t="s">
        <v>357</v>
      </c>
      <c r="P2737" s="1635" t="str">
        <f>IFERROR(VLOOKUP(F2737,#REF!,12,FALSE),"")</f>
        <v/>
      </c>
      <c r="Q2737" s="1636" t="s">
        <v>8</v>
      </c>
      <c r="R2737" s="1703" t="str">
        <f>IFERROR(VLOOKUP(F2737,#REF!,14,FALSE),"")</f>
        <v/>
      </c>
      <c r="S2737" s="1704">
        <f t="shared" si="535"/>
        <v>1.7142857142857142</v>
      </c>
      <c r="T2737" s="1828">
        <f t="shared" si="536"/>
        <v>16.423895978244911</v>
      </c>
      <c r="U2737" s="1828">
        <f t="shared" si="537"/>
        <v>21.329955424797454</v>
      </c>
      <c r="V2737" s="1695">
        <f t="shared" si="538"/>
        <v>7.953213907693776</v>
      </c>
      <c r="W2737" s="1767">
        <f t="shared" si="539"/>
        <v>0.76999204410671518</v>
      </c>
      <c r="X2737" s="1695">
        <v>266</v>
      </c>
    </row>
    <row r="2738" spans="1:24" x14ac:dyDescent="0.2">
      <c r="A2738" s="1649" t="s">
        <v>347</v>
      </c>
      <c r="B2738" s="1680">
        <f t="shared" ref="B2738" si="565">SUM(K2736:K2742)</f>
        <v>69</v>
      </c>
      <c r="C2738" s="1651">
        <v>45826</v>
      </c>
      <c r="D2738" s="1695"/>
      <c r="E2738" s="1696"/>
      <c r="F2738" s="1547"/>
      <c r="G2738" s="1697"/>
      <c r="H2738" s="1698" t="str">
        <f>IFERROR(VLOOKUP(F2738,#REF!,10,FALSE),"")</f>
        <v/>
      </c>
      <c r="I2738" s="1699" t="str">
        <f t="shared" si="533"/>
        <v/>
      </c>
      <c r="J2738" s="1700"/>
      <c r="K2738" s="1755"/>
      <c r="L2738" s="1578"/>
      <c r="M2738" s="1700"/>
      <c r="N2738" s="1701" t="str">
        <f t="shared" si="534"/>
        <v/>
      </c>
      <c r="O2738" s="1702"/>
      <c r="P2738" s="1635" t="str">
        <f>IFERROR(VLOOKUP(F2738,#REF!,12,FALSE),"")</f>
        <v/>
      </c>
      <c r="Q2738" s="1636" t="s">
        <v>8</v>
      </c>
      <c r="R2738" s="1703" t="str">
        <f>IFERROR(VLOOKUP(F2738,#REF!,14,FALSE),"")</f>
        <v/>
      </c>
      <c r="S2738" s="1704" t="str">
        <f t="shared" si="535"/>
        <v/>
      </c>
      <c r="T2738" s="1828">
        <f t="shared" si="536"/>
        <v>14.077625124209924</v>
      </c>
      <c r="U2738" s="1828">
        <f t="shared" si="537"/>
        <v>20.822099343254656</v>
      </c>
      <c r="V2738" s="1695">
        <f t="shared" si="538"/>
        <v>4.9060594465525433</v>
      </c>
      <c r="W2738" s="1767">
        <f t="shared" si="539"/>
        <v>0.67609057531321337</v>
      </c>
      <c r="X2738" s="1695">
        <v>266</v>
      </c>
    </row>
    <row r="2739" spans="1:24" x14ac:dyDescent="0.2">
      <c r="A2739" s="1649" t="s">
        <v>256</v>
      </c>
      <c r="B2739" s="1677">
        <f t="shared" ref="B2739" si="566">AVERAGE(W2736:W2742)</f>
        <v>0.65393086619519936</v>
      </c>
      <c r="C2739" s="1724">
        <v>45827</v>
      </c>
      <c r="D2739" s="1695"/>
      <c r="E2739" s="1696"/>
      <c r="F2739" s="1547"/>
      <c r="G2739" s="1697"/>
      <c r="H2739" s="1698" t="str">
        <f>IFERROR(VLOOKUP(F2739,#REF!,10,FALSE),"")</f>
        <v/>
      </c>
      <c r="I2739" s="1699" t="str">
        <f t="shared" si="533"/>
        <v/>
      </c>
      <c r="J2739" s="1700"/>
      <c r="K2739" s="1755"/>
      <c r="L2739" s="1578"/>
      <c r="M2739" s="1700"/>
      <c r="N2739" s="1701" t="str">
        <f t="shared" si="534"/>
        <v/>
      </c>
      <c r="O2739" s="1702"/>
      <c r="P2739" s="1635" t="str">
        <f>IFERROR(VLOOKUP(F2739,#REF!,12,FALSE),"")</f>
        <v/>
      </c>
      <c r="Q2739" s="1636" t="s">
        <v>8</v>
      </c>
      <c r="R2739" s="1703" t="str">
        <f>IFERROR(VLOOKUP(F2739,#REF!,14,FALSE),"")</f>
        <v/>
      </c>
      <c r="S2739" s="1704" t="str">
        <f t="shared" si="535"/>
        <v/>
      </c>
      <c r="T2739" s="1828">
        <f t="shared" si="536"/>
        <v>12.066535820751362</v>
      </c>
      <c r="U2739" s="1828">
        <f t="shared" si="537"/>
        <v>20.326335073177166</v>
      </c>
      <c r="V2739" s="1695">
        <f t="shared" si="538"/>
        <v>6.7444742190447329</v>
      </c>
      <c r="W2739" s="1767">
        <f t="shared" si="539"/>
        <v>0.59364050515306532</v>
      </c>
      <c r="X2739" s="1695">
        <v>266</v>
      </c>
    </row>
    <row r="2740" spans="1:24" x14ac:dyDescent="0.2">
      <c r="A2740" s="1649" t="s">
        <v>336</v>
      </c>
      <c r="B2740" s="1713">
        <f t="shared" ref="B2740" si="567">IFERROR(AVERAGE(N2736:N2742),"")</f>
        <v>1.0760650188168794</v>
      </c>
      <c r="C2740" s="1724">
        <v>45828</v>
      </c>
      <c r="D2740" s="1695">
        <v>82</v>
      </c>
      <c r="E2740" s="1696" t="s">
        <v>293</v>
      </c>
      <c r="F2740" s="1547" t="s">
        <v>322</v>
      </c>
      <c r="G2740" s="1697">
        <v>3.1041666666666665E-2</v>
      </c>
      <c r="H2740" s="1698">
        <v>7.57</v>
      </c>
      <c r="I2740" s="1699">
        <f t="shared" si="533"/>
        <v>4.1006164685160719E-3</v>
      </c>
      <c r="J2740" s="1700">
        <v>120</v>
      </c>
      <c r="K2740" s="1755">
        <v>32</v>
      </c>
      <c r="L2740" s="1578">
        <v>200</v>
      </c>
      <c r="M2740" s="1700">
        <v>32</v>
      </c>
      <c r="N2740" s="1701">
        <f t="shared" si="534"/>
        <v>1.0575918294919064</v>
      </c>
      <c r="O2740" s="1702" t="s">
        <v>358</v>
      </c>
      <c r="P2740" s="1635" t="str">
        <f>IFERROR(VLOOKUP(F2740,#REF!,12,FALSE),"")</f>
        <v/>
      </c>
      <c r="Q2740" s="1636" t="s">
        <v>8</v>
      </c>
      <c r="R2740" s="1703" t="str">
        <f>IFERROR(VLOOKUP(F2740,#REF!,14,FALSE),"")</f>
        <v/>
      </c>
      <c r="S2740" s="1704">
        <f t="shared" si="535"/>
        <v>1.6666666666666667</v>
      </c>
      <c r="T2740" s="1828">
        <f t="shared" si="536"/>
        <v>14.914173560644024</v>
      </c>
      <c r="U2740" s="1828">
        <f t="shared" si="537"/>
        <v>20.604279476196758</v>
      </c>
      <c r="V2740" s="1695">
        <f t="shared" si="538"/>
        <v>8.2597992524258039</v>
      </c>
      <c r="W2740" s="1767">
        <f t="shared" si="539"/>
        <v>0.72383863642859869</v>
      </c>
      <c r="X2740" s="1695">
        <v>266</v>
      </c>
    </row>
    <row r="2741" spans="1:24" x14ac:dyDescent="0.2">
      <c r="A2741" s="1649" t="s">
        <v>337</v>
      </c>
      <c r="B2741" s="1681">
        <f t="shared" ref="B2741" si="568">IFERROR(AVERAGE(S2736:S2742),"")</f>
        <v>1.6904761904761905</v>
      </c>
      <c r="C2741" s="1724">
        <v>45829</v>
      </c>
      <c r="D2741" s="1695"/>
      <c r="E2741" s="1696"/>
      <c r="F2741" s="1547"/>
      <c r="G2741" s="1697"/>
      <c r="H2741" s="1698" t="str">
        <f>IFERROR(VLOOKUP(F2741,#REF!,10,FALSE),"")</f>
        <v/>
      </c>
      <c r="I2741" s="1699" t="str">
        <f t="shared" si="533"/>
        <v/>
      </c>
      <c r="J2741" s="1700"/>
      <c r="K2741" s="1755"/>
      <c r="L2741" s="1578"/>
      <c r="M2741" s="1700"/>
      <c r="N2741" s="1701" t="str">
        <f t="shared" si="534"/>
        <v/>
      </c>
      <c r="O2741" s="1702"/>
      <c r="P2741" s="1635" t="str">
        <f>IFERROR(VLOOKUP(F2741,#REF!,12,FALSE),"")</f>
        <v/>
      </c>
      <c r="Q2741" s="1636" t="s">
        <v>8</v>
      </c>
      <c r="R2741" s="1703" t="str">
        <f>IFERROR(VLOOKUP(F2741,#REF!,14,FALSE),"")</f>
        <v/>
      </c>
      <c r="S2741" s="1704" t="str">
        <f t="shared" si="535"/>
        <v/>
      </c>
      <c r="T2741" s="1828">
        <f t="shared" si="536"/>
        <v>12.783577337694878</v>
      </c>
      <c r="U2741" s="1828">
        <f t="shared" si="537"/>
        <v>20.113701393430169</v>
      </c>
      <c r="V2741" s="1695">
        <f t="shared" si="538"/>
        <v>5.6901059155527349</v>
      </c>
      <c r="W2741" s="1767">
        <f t="shared" si="539"/>
        <v>0.63556563198608662</v>
      </c>
      <c r="X2741" s="1695">
        <v>266</v>
      </c>
    </row>
    <row r="2742" spans="1:24" ht="16" thickBot="1" x14ac:dyDescent="0.25">
      <c r="A2742" s="1650" t="s">
        <v>5</v>
      </c>
      <c r="B2742" s="1678">
        <f t="shared" ref="B2742" si="569">IFERROR(SUM(M2736:M2742),"")</f>
        <v>57</v>
      </c>
      <c r="C2742" s="1686">
        <v>45830</v>
      </c>
      <c r="D2742" s="683"/>
      <c r="E2742" s="684"/>
      <c r="F2742" s="1429"/>
      <c r="G2742" s="1361"/>
      <c r="H2742" s="1362" t="str">
        <f>IFERROR(VLOOKUP(F2742,#REF!,10,FALSE),"")</f>
        <v/>
      </c>
      <c r="I2742" s="1363" t="str">
        <f t="shared" si="533"/>
        <v/>
      </c>
      <c r="J2742" s="1364"/>
      <c r="K2742" s="1747"/>
      <c r="L2742" s="1705"/>
      <c r="M2742" s="1364"/>
      <c r="N2742" s="1365" t="str">
        <f t="shared" si="534"/>
        <v/>
      </c>
      <c r="O2742" s="1366"/>
      <c r="P2742" s="1706" t="str">
        <f>IFERROR(VLOOKUP(F2742,#REF!,12,FALSE),"")</f>
        <v/>
      </c>
      <c r="Q2742" s="1707" t="s">
        <v>8</v>
      </c>
      <c r="R2742" s="1708" t="str">
        <f>IFERROR(VLOOKUP(F2742,#REF!,14,FALSE),"")</f>
        <v/>
      </c>
      <c r="S2742" s="1191" t="str">
        <f t="shared" si="535"/>
        <v/>
      </c>
      <c r="T2742" s="1829">
        <f t="shared" si="536"/>
        <v>10.957352003738466</v>
      </c>
      <c r="U2742" s="1829">
        <f t="shared" si="537"/>
        <v>19.634803741205641</v>
      </c>
      <c r="V2742" s="683">
        <f t="shared" si="538"/>
        <v>7.3301240557352916</v>
      </c>
      <c r="W2742" s="1768">
        <f t="shared" si="539"/>
        <v>0.55805762808534443</v>
      </c>
      <c r="X2742" s="683">
        <v>266</v>
      </c>
    </row>
    <row r="2743" spans="1:24" ht="16" thickBot="1" x14ac:dyDescent="0.25">
      <c r="A2743" s="1962">
        <f t="shared" ref="A2743" si="570">WEEKNUM(C2743,1)</f>
        <v>26</v>
      </c>
      <c r="B2743" s="1963"/>
      <c r="C2743" s="1687">
        <v>45831</v>
      </c>
      <c r="D2743" s="1369"/>
      <c r="E2743" s="1370"/>
      <c r="F2743" s="1547"/>
      <c r="G2743" s="1371"/>
      <c r="H2743" s="1372" t="str">
        <f>IFERROR(VLOOKUP(F2743,#REF!,10,FALSE),"")</f>
        <v/>
      </c>
      <c r="I2743" s="1373" t="str">
        <f t="shared" si="533"/>
        <v/>
      </c>
      <c r="J2743" s="1374"/>
      <c r="K2743" s="1745"/>
      <c r="L2743" s="1577"/>
      <c r="M2743" s="1374"/>
      <c r="N2743" s="1375" t="str">
        <f t="shared" si="534"/>
        <v/>
      </c>
      <c r="O2743" s="1376"/>
      <c r="P2743" s="795" t="str">
        <f>IFERROR(VLOOKUP(F2743,#REF!,12,FALSE),"")</f>
        <v/>
      </c>
      <c r="Q2743" s="1254" t="s">
        <v>8</v>
      </c>
      <c r="R2743" s="1694" t="str">
        <f>IFERROR(VLOOKUP(F2743,#REF!,14,FALSE),"")</f>
        <v/>
      </c>
      <c r="S2743" s="1377" t="str">
        <f t="shared" si="535"/>
        <v/>
      </c>
      <c r="T2743" s="70">
        <f t="shared" si="536"/>
        <v>9.3920160032043984</v>
      </c>
      <c r="U2743" s="70">
        <f t="shared" si="537"/>
        <v>19.167308414034078</v>
      </c>
      <c r="V2743" s="1369">
        <f t="shared" si="538"/>
        <v>8.6774517374671749</v>
      </c>
      <c r="W2743" s="1766">
        <f t="shared" si="539"/>
        <v>0.49000181978225354</v>
      </c>
      <c r="X2743" s="1369">
        <v>266</v>
      </c>
    </row>
    <row r="2744" spans="1:24" x14ac:dyDescent="0.2">
      <c r="A2744" s="1648" t="s">
        <v>142</v>
      </c>
      <c r="B2744" s="1679">
        <f t="shared" ref="B2744" si="571">SUM(H2743:H2749)</f>
        <v>22.81</v>
      </c>
      <c r="C2744" s="1724">
        <v>45832</v>
      </c>
      <c r="D2744" s="1695"/>
      <c r="E2744" s="1696"/>
      <c r="F2744" s="1547"/>
      <c r="G2744" s="1697"/>
      <c r="H2744" s="1698" t="str">
        <f>IFERROR(VLOOKUP(F2744,#REF!,10,FALSE),"")</f>
        <v/>
      </c>
      <c r="I2744" s="1699" t="str">
        <f t="shared" si="533"/>
        <v/>
      </c>
      <c r="J2744" s="1700"/>
      <c r="K2744" s="1755"/>
      <c r="L2744" s="1578"/>
      <c r="M2744" s="1700"/>
      <c r="N2744" s="1701" t="str">
        <f t="shared" si="534"/>
        <v/>
      </c>
      <c r="O2744" s="1702"/>
      <c r="P2744" s="1635" t="str">
        <f>IFERROR(VLOOKUP(F2744,#REF!,12,FALSE),"")</f>
        <v/>
      </c>
      <c r="Q2744" s="1636" t="s">
        <v>8</v>
      </c>
      <c r="R2744" s="1703" t="str">
        <f>IFERROR(VLOOKUP(F2744,#REF!,14,FALSE),"")</f>
        <v/>
      </c>
      <c r="S2744" s="1704" t="str">
        <f t="shared" si="535"/>
        <v/>
      </c>
      <c r="T2744" s="1379">
        <f t="shared" si="536"/>
        <v>8.0502994313180558</v>
      </c>
      <c r="U2744" s="1379">
        <f t="shared" si="537"/>
        <v>18.71094392798565</v>
      </c>
      <c r="V2744" s="1695">
        <f t="shared" si="538"/>
        <v>9.7752924108296799</v>
      </c>
      <c r="W2744" s="1767">
        <f t="shared" si="539"/>
        <v>0.43024550029661285</v>
      </c>
      <c r="X2744" s="1695">
        <v>266</v>
      </c>
    </row>
    <row r="2745" spans="1:24" x14ac:dyDescent="0.2">
      <c r="A2745" s="1649" t="s">
        <v>347</v>
      </c>
      <c r="B2745" s="1680">
        <f t="shared" ref="B2745" si="572">SUM(K2743:K2749)</f>
        <v>101</v>
      </c>
      <c r="C2745" s="1724">
        <v>45833</v>
      </c>
      <c r="D2745" s="1695">
        <v>83</v>
      </c>
      <c r="E2745" s="1696" t="s">
        <v>293</v>
      </c>
      <c r="F2745" s="1547" t="s">
        <v>343</v>
      </c>
      <c r="G2745" s="1697">
        <v>2.8356481481481483E-2</v>
      </c>
      <c r="H2745" s="1698">
        <v>6.89</v>
      </c>
      <c r="I2745" s="1699">
        <f t="shared" si="533"/>
        <v>4.1155996344675594E-3</v>
      </c>
      <c r="J2745" s="1700">
        <v>120</v>
      </c>
      <c r="K2745" s="1755">
        <v>31</v>
      </c>
      <c r="L2745" s="1578">
        <v>202</v>
      </c>
      <c r="M2745" s="1700">
        <v>23</v>
      </c>
      <c r="N2745" s="1701">
        <f t="shared" si="534"/>
        <v>1.0720707059766479</v>
      </c>
      <c r="O2745" s="1702" t="s">
        <v>357</v>
      </c>
      <c r="P2745" s="1635" t="str">
        <f>IFERROR(VLOOKUP(F2745,#REF!,12,FALSE),"")</f>
        <v/>
      </c>
      <c r="Q2745" s="1636" t="s">
        <v>8</v>
      </c>
      <c r="R2745" s="1703" t="str">
        <f>IFERROR(VLOOKUP(F2745,#REF!,14,FALSE),"")</f>
        <v/>
      </c>
      <c r="S2745" s="1704">
        <f t="shared" si="535"/>
        <v>1.6833333333333333</v>
      </c>
      <c r="T2745" s="1379">
        <f t="shared" si="536"/>
        <v>11.328828083986906</v>
      </c>
      <c r="U2745" s="1379">
        <f t="shared" si="537"/>
        <v>19.00354050112885</v>
      </c>
      <c r="V2745" s="1695">
        <f t="shared" si="538"/>
        <v>10.660644496667594</v>
      </c>
      <c r="W2745" s="1767">
        <f t="shared" si="539"/>
        <v>0.59614302310213985</v>
      </c>
      <c r="X2745" s="1695">
        <v>266</v>
      </c>
    </row>
    <row r="2746" spans="1:24" x14ac:dyDescent="0.2">
      <c r="A2746" s="1649" t="s">
        <v>256</v>
      </c>
      <c r="B2746" s="1677">
        <f t="shared" ref="B2746" si="573">AVERAGE(W2743:W2749)</f>
        <v>0.6420348247706269</v>
      </c>
      <c r="C2746" s="1724">
        <v>45834</v>
      </c>
      <c r="D2746" s="1695"/>
      <c r="E2746" s="1696"/>
      <c r="F2746" s="1547"/>
      <c r="G2746" s="1697"/>
      <c r="H2746" s="1698" t="str">
        <f>IFERROR(VLOOKUP(F2746,#REF!,10,FALSE),"")</f>
        <v/>
      </c>
      <c r="I2746" s="1699" t="str">
        <f t="shared" si="533"/>
        <v/>
      </c>
      <c r="J2746" s="1700"/>
      <c r="K2746" s="1755"/>
      <c r="L2746" s="1578"/>
      <c r="M2746" s="1700"/>
      <c r="N2746" s="1701" t="str">
        <f t="shared" si="534"/>
        <v/>
      </c>
      <c r="O2746" s="1702"/>
      <c r="P2746" s="1635" t="str">
        <f>IFERROR(VLOOKUP(F2746,#REF!,12,FALSE),"")</f>
        <v/>
      </c>
      <c r="Q2746" s="1636" t="s">
        <v>8</v>
      </c>
      <c r="R2746" s="1703" t="str">
        <f>IFERROR(VLOOKUP(F2746,#REF!,14,FALSE),"")</f>
        <v/>
      </c>
      <c r="S2746" s="1704" t="str">
        <f t="shared" si="535"/>
        <v/>
      </c>
      <c r="T2746" s="1379">
        <f t="shared" si="536"/>
        <v>9.7104240719887773</v>
      </c>
      <c r="U2746" s="1379">
        <f t="shared" si="537"/>
        <v>18.551075251101974</v>
      </c>
      <c r="V2746" s="1695">
        <f t="shared" si="538"/>
        <v>7.6747124171419436</v>
      </c>
      <c r="W2746" s="1767">
        <f t="shared" si="539"/>
        <v>0.52344265443114713</v>
      </c>
      <c r="X2746" s="1695">
        <v>266</v>
      </c>
    </row>
    <row r="2747" spans="1:24" x14ac:dyDescent="0.2">
      <c r="A2747" s="1649" t="s">
        <v>336</v>
      </c>
      <c r="B2747" s="1713">
        <f t="shared" ref="B2747" si="574">IFERROR(AVERAGE(N2743:N2749),"")</f>
        <v>1.0720707059766479</v>
      </c>
      <c r="C2747" s="1724">
        <v>45835</v>
      </c>
      <c r="D2747" s="1695">
        <v>84</v>
      </c>
      <c r="E2747" s="1696" t="s">
        <v>293</v>
      </c>
      <c r="F2747" s="1547" t="s">
        <v>297</v>
      </c>
      <c r="G2747" s="1697">
        <v>7.7199074074074073E-2</v>
      </c>
      <c r="H2747" s="1698">
        <v>15.92</v>
      </c>
      <c r="I2747" s="1699">
        <f t="shared" si="533"/>
        <v>4.8491880699795273E-3</v>
      </c>
      <c r="J2747" s="1700">
        <v>147</v>
      </c>
      <c r="K2747" s="1755">
        <v>70</v>
      </c>
      <c r="L2747" s="1578">
        <v>192</v>
      </c>
      <c r="M2747" s="1700">
        <v>515</v>
      </c>
      <c r="N2747" s="1701"/>
      <c r="O2747" s="1702" t="s">
        <v>342</v>
      </c>
      <c r="P2747" s="1635" t="str">
        <f>IFERROR(VLOOKUP(F2747,#REF!,12,FALSE),"")</f>
        <v/>
      </c>
      <c r="Q2747" s="1636" t="s">
        <v>8</v>
      </c>
      <c r="R2747" s="1703" t="str">
        <f>IFERROR(VLOOKUP(F2747,#REF!,14,FALSE),"")</f>
        <v/>
      </c>
      <c r="S2747" s="1704"/>
      <c r="T2747" s="1379">
        <f t="shared" si="536"/>
        <v>18.323220633133239</v>
      </c>
      <c r="U2747" s="1379">
        <f t="shared" si="537"/>
        <v>19.776049649885259</v>
      </c>
      <c r="V2747" s="1695">
        <f t="shared" si="538"/>
        <v>8.8406511791131965</v>
      </c>
      <c r="W2747" s="1767">
        <f t="shared" si="539"/>
        <v>0.92653593399729106</v>
      </c>
      <c r="X2747" s="1695">
        <v>266</v>
      </c>
    </row>
    <row r="2748" spans="1:24" x14ac:dyDescent="0.2">
      <c r="A2748" s="1649" t="s">
        <v>337</v>
      </c>
      <c r="B2748" s="1681">
        <f t="shared" ref="B2748" si="575">IFERROR(AVERAGE(S2743:S2749),"")</f>
        <v>1.6833333333333333</v>
      </c>
      <c r="C2748" s="1724">
        <v>45836</v>
      </c>
      <c r="D2748" s="1695"/>
      <c r="E2748" s="1696"/>
      <c r="F2748" s="1547"/>
      <c r="G2748" s="1697"/>
      <c r="H2748" s="1698" t="str">
        <f>IFERROR(VLOOKUP(F2748,#REF!,10,FALSE),"")</f>
        <v/>
      </c>
      <c r="I2748" s="1699" t="str">
        <f t="shared" si="533"/>
        <v/>
      </c>
      <c r="J2748" s="1700"/>
      <c r="K2748" s="1755"/>
      <c r="L2748" s="1578"/>
      <c r="M2748" s="1700"/>
      <c r="N2748" s="1701" t="str">
        <f t="shared" si="534"/>
        <v/>
      </c>
      <c r="O2748" s="1702"/>
      <c r="P2748" s="1635" t="str">
        <f>IFERROR(VLOOKUP(F2748,#REF!,12,FALSE),"")</f>
        <v/>
      </c>
      <c r="Q2748" s="1636" t="s">
        <v>8</v>
      </c>
      <c r="R2748" s="1703" t="str">
        <f>IFERROR(VLOOKUP(F2748,#REF!,14,FALSE),"")</f>
        <v/>
      </c>
      <c r="S2748" s="1704" t="str">
        <f t="shared" si="535"/>
        <v/>
      </c>
      <c r="T2748" s="1379">
        <f t="shared" si="536"/>
        <v>15.705617685542776</v>
      </c>
      <c r="U2748" s="1379">
        <f t="shared" si="537"/>
        <v>19.305191324887989</v>
      </c>
      <c r="V2748" s="1695">
        <f t="shared" si="538"/>
        <v>1.4528290167520197</v>
      </c>
      <c r="W2748" s="1767">
        <f t="shared" si="539"/>
        <v>0.81354374692445075</v>
      </c>
      <c r="X2748" s="1695">
        <v>266</v>
      </c>
    </row>
    <row r="2749" spans="1:24" ht="16" thickBot="1" x14ac:dyDescent="0.25">
      <c r="A2749" s="1650" t="s">
        <v>5</v>
      </c>
      <c r="B2749" s="1678">
        <f t="shared" ref="B2749" si="576">IFERROR(SUM(M2743:M2749),"")</f>
        <v>538</v>
      </c>
      <c r="C2749" s="1686">
        <v>45837</v>
      </c>
      <c r="D2749" s="683"/>
      <c r="E2749" s="684"/>
      <c r="F2749" s="1429"/>
      <c r="G2749" s="1361"/>
      <c r="H2749" s="1362" t="str">
        <f>IFERROR(VLOOKUP(F2749,#REF!,10,FALSE),"")</f>
        <v/>
      </c>
      <c r="I2749" s="1363" t="str">
        <f t="shared" si="533"/>
        <v/>
      </c>
      <c r="J2749" s="1364"/>
      <c r="K2749" s="1747"/>
      <c r="L2749" s="1705"/>
      <c r="M2749" s="1364"/>
      <c r="N2749" s="1365" t="str">
        <f t="shared" si="534"/>
        <v/>
      </c>
      <c r="O2749" s="1366"/>
      <c r="P2749" s="1706" t="str">
        <f>IFERROR(VLOOKUP(F2749,#REF!,12,FALSE),"")</f>
        <v/>
      </c>
      <c r="Q2749" s="1707" t="s">
        <v>8</v>
      </c>
      <c r="R2749" s="1708" t="str">
        <f>IFERROR(VLOOKUP(F2749,#REF!,14,FALSE),"")</f>
        <v/>
      </c>
      <c r="S2749" s="1191" t="str">
        <f t="shared" si="535"/>
        <v/>
      </c>
      <c r="T2749" s="1897">
        <f t="shared" si="536"/>
        <v>13.461958016179523</v>
      </c>
      <c r="U2749" s="1897">
        <f t="shared" si="537"/>
        <v>18.845543912390657</v>
      </c>
      <c r="V2749" s="683">
        <f t="shared" si="538"/>
        <v>3.5995736393452127</v>
      </c>
      <c r="W2749" s="1768">
        <f t="shared" si="539"/>
        <v>0.71433109486049329</v>
      </c>
      <c r="X2749" s="683">
        <v>266</v>
      </c>
    </row>
    <row r="2750" spans="1:24" ht="16" thickBot="1" x14ac:dyDescent="0.25">
      <c r="A2750" s="1962">
        <f t="shared" ref="A2750" si="577">WEEKNUM(C2750,1)</f>
        <v>27</v>
      </c>
      <c r="B2750" s="1963"/>
      <c r="C2750" s="1368">
        <v>45838</v>
      </c>
      <c r="D2750" s="1369">
        <v>85</v>
      </c>
      <c r="E2750" s="1370" t="s">
        <v>293</v>
      </c>
      <c r="F2750" s="1547" t="s">
        <v>355</v>
      </c>
      <c r="G2750" s="1371">
        <v>2.8472222222222222E-2</v>
      </c>
      <c r="H2750" s="1372">
        <v>6.67</v>
      </c>
      <c r="I2750" s="1373">
        <f t="shared" si="533"/>
        <v>4.2686989838414124E-3</v>
      </c>
      <c r="J2750" s="1374">
        <v>116</v>
      </c>
      <c r="K2750" s="1745">
        <v>25</v>
      </c>
      <c r="L2750" s="1577">
        <v>194</v>
      </c>
      <c r="M2750" s="1374">
        <v>20</v>
      </c>
      <c r="N2750" s="1375">
        <f t="shared" si="534"/>
        <v>1.0679138042918839</v>
      </c>
      <c r="O2750" s="1376" t="s">
        <v>358</v>
      </c>
      <c r="P2750" s="795" t="str">
        <f>IFERROR(VLOOKUP(F2750,#REF!,12,FALSE),"")</f>
        <v/>
      </c>
      <c r="Q2750" s="1254" t="s">
        <v>8</v>
      </c>
      <c r="R2750" s="1694" t="str">
        <f>IFERROR(VLOOKUP(F2750,#REF!,14,FALSE),"")</f>
        <v/>
      </c>
      <c r="S2750" s="1377">
        <f t="shared" si="535"/>
        <v>1.6724137931034482</v>
      </c>
      <c r="T2750" s="1369">
        <f t="shared" si="536"/>
        <v>15.110249728153876</v>
      </c>
      <c r="U2750" s="1369">
        <f t="shared" si="537"/>
        <v>18.992078581143261</v>
      </c>
      <c r="V2750" s="1369">
        <f t="shared" si="538"/>
        <v>5.3835858962111338</v>
      </c>
      <c r="W2750" s="1766">
        <f t="shared" si="539"/>
        <v>0.7956080038104123</v>
      </c>
      <c r="X2750" s="1369">
        <v>266</v>
      </c>
    </row>
    <row r="2751" spans="1:24" x14ac:dyDescent="0.2">
      <c r="A2751" s="1648" t="s">
        <v>142</v>
      </c>
      <c r="B2751" s="1679">
        <f t="shared" ref="B2751" si="578">SUM(H2750:H2756)</f>
        <v>40.47</v>
      </c>
      <c r="C2751" s="1651">
        <v>45839</v>
      </c>
      <c r="D2751" s="1695"/>
      <c r="E2751" s="1696"/>
      <c r="F2751" s="1547"/>
      <c r="G2751" s="1697"/>
      <c r="H2751" s="1698" t="str">
        <f>IFERROR(VLOOKUP(F2751,#REF!,10,FALSE),"")</f>
        <v/>
      </c>
      <c r="I2751" s="1699" t="str">
        <f t="shared" si="533"/>
        <v/>
      </c>
      <c r="J2751" s="1700"/>
      <c r="K2751" s="1755"/>
      <c r="L2751" s="1578"/>
      <c r="M2751" s="1700"/>
      <c r="N2751" s="1701" t="str">
        <f t="shared" si="534"/>
        <v/>
      </c>
      <c r="O2751" s="1702"/>
      <c r="P2751" s="1635" t="str">
        <f>IFERROR(VLOOKUP(F2751,#REF!,12,FALSE),"")</f>
        <v/>
      </c>
      <c r="Q2751" s="1636" t="s">
        <v>8</v>
      </c>
      <c r="R2751" s="1703" t="str">
        <f>IFERROR(VLOOKUP(F2751,#REF!,14,FALSE),"")</f>
        <v/>
      </c>
      <c r="S2751" s="1704" t="str">
        <f t="shared" si="535"/>
        <v/>
      </c>
      <c r="T2751" s="1828">
        <f t="shared" si="536"/>
        <v>12.951642624131894</v>
      </c>
      <c r="U2751" s="1828">
        <f t="shared" si="537"/>
        <v>18.539886233973185</v>
      </c>
      <c r="V2751" s="1695">
        <f t="shared" si="538"/>
        <v>3.8818288529893845</v>
      </c>
      <c r="W2751" s="1767">
        <f t="shared" si="539"/>
        <v>0.69858263749206928</v>
      </c>
      <c r="X2751" s="1695">
        <v>266</v>
      </c>
    </row>
    <row r="2752" spans="1:24" x14ac:dyDescent="0.2">
      <c r="A2752" s="1649" t="s">
        <v>347</v>
      </c>
      <c r="B2752" s="1680">
        <f t="shared" ref="B2752" si="579">SUM(K2750:K2756)</f>
        <v>167</v>
      </c>
      <c r="C2752" s="1651">
        <v>45840</v>
      </c>
      <c r="D2752" s="1695">
        <v>86</v>
      </c>
      <c r="E2752" s="1696" t="s">
        <v>293</v>
      </c>
      <c r="F2752" s="1547" t="s">
        <v>355</v>
      </c>
      <c r="G2752" s="1697">
        <v>2.7129629629629629E-2</v>
      </c>
      <c r="H2752" s="1698">
        <v>6.78</v>
      </c>
      <c r="I2752" s="1699">
        <f t="shared" si="533"/>
        <v>4.0014202993554019E-3</v>
      </c>
      <c r="J2752" s="1700">
        <v>121</v>
      </c>
      <c r="K2752" s="1755">
        <v>33</v>
      </c>
      <c r="L2752" s="1578">
        <v>211</v>
      </c>
      <c r="M2752" s="1700">
        <v>24</v>
      </c>
      <c r="N2752" s="1701">
        <f t="shared" si="534"/>
        <v>1.0887685466472943</v>
      </c>
      <c r="O2752" s="1702" t="s">
        <v>340</v>
      </c>
      <c r="P2752" s="1635" t="str">
        <f>IFERROR(VLOOKUP(F2752,#REF!,12,FALSE),"")</f>
        <v/>
      </c>
      <c r="Q2752" s="1636" t="s">
        <v>8</v>
      </c>
      <c r="R2752" s="1703" t="str">
        <f>IFERROR(VLOOKUP(F2752,#REF!,14,FALSE),"")</f>
        <v/>
      </c>
      <c r="S2752" s="1704">
        <f t="shared" si="535"/>
        <v>1.7438016528925619</v>
      </c>
      <c r="T2752" s="1828">
        <f t="shared" si="536"/>
        <v>15.815693677827339</v>
      </c>
      <c r="U2752" s="1828">
        <f t="shared" si="537"/>
        <v>18.884174656973823</v>
      </c>
      <c r="V2752" s="1695">
        <f t="shared" si="538"/>
        <v>5.5882436098412906</v>
      </c>
      <c r="W2752" s="1767">
        <f t="shared" si="539"/>
        <v>0.83751045333541696</v>
      </c>
      <c r="X2752" s="1695">
        <v>267</v>
      </c>
    </row>
    <row r="2753" spans="1:24" x14ac:dyDescent="0.2">
      <c r="A2753" s="1649" t="s">
        <v>256</v>
      </c>
      <c r="B2753" s="1677">
        <f t="shared" ref="B2753" si="580">AVERAGE(W2750:W2756)</f>
        <v>0.88758763337084423</v>
      </c>
      <c r="C2753" s="1651">
        <v>45841</v>
      </c>
      <c r="D2753" s="1695">
        <v>87</v>
      </c>
      <c r="E2753" s="1696" t="s">
        <v>293</v>
      </c>
      <c r="F2753" s="1547" t="s">
        <v>355</v>
      </c>
      <c r="G2753" s="1697">
        <v>3.1574074074074074E-2</v>
      </c>
      <c r="H2753" s="1698">
        <v>7.58</v>
      </c>
      <c r="I2753" s="1699">
        <f t="shared" ref="I2753:I2754" si="581">IFERROR(G2753/H2753,"")</f>
        <v>4.1654451285058148E-3</v>
      </c>
      <c r="J2753" s="1700">
        <v>125</v>
      </c>
      <c r="K2753" s="1755">
        <v>29</v>
      </c>
      <c r="L2753" s="1578">
        <v>196</v>
      </c>
      <c r="M2753" s="1700">
        <v>24</v>
      </c>
      <c r="N2753" s="1701">
        <f t="shared" ref="N2753" si="582">IFERROR((L2753/67)/(1/(I2753*24)/3.6),"")</f>
        <v>1.0528255818532668</v>
      </c>
      <c r="O2753" s="1702" t="s">
        <v>333</v>
      </c>
      <c r="P2753" s="1635" t="str">
        <f>IFERROR(VLOOKUP(F2753,#REF!,12,FALSE),"")</f>
        <v/>
      </c>
      <c r="Q2753" s="1636" t="s">
        <v>8</v>
      </c>
      <c r="R2753" s="1703" t="str">
        <f>IFERROR(VLOOKUP(F2753,#REF!,14,FALSE),"")</f>
        <v/>
      </c>
      <c r="S2753" s="1704">
        <f t="shared" si="535"/>
        <v>1.5680000000000001</v>
      </c>
      <c r="T2753" s="1828">
        <f t="shared" si="536"/>
        <v>17.699166009566291</v>
      </c>
      <c r="U2753" s="1828">
        <f t="shared" si="537"/>
        <v>19.125027641331588</v>
      </c>
      <c r="V2753" s="1695">
        <f t="shared" si="538"/>
        <v>3.068480979146484</v>
      </c>
      <c r="W2753" s="1767">
        <f t="shared" si="539"/>
        <v>0.92544525119096654</v>
      </c>
      <c r="X2753" s="1695">
        <v>267</v>
      </c>
    </row>
    <row r="2754" spans="1:24" x14ac:dyDescent="0.2">
      <c r="A2754" s="1649" t="s">
        <v>336</v>
      </c>
      <c r="B2754" s="1713">
        <f t="shared" ref="B2754" si="583">IFERROR(AVERAGE(N2750:N2756),"")</f>
        <v>1.070227549337188</v>
      </c>
      <c r="C2754" s="1651">
        <v>45842</v>
      </c>
      <c r="D2754" s="1695">
        <v>88</v>
      </c>
      <c r="E2754" s="1696" t="s">
        <v>293</v>
      </c>
      <c r="F2754" s="1547" t="s">
        <v>355</v>
      </c>
      <c r="G2754" s="1697">
        <v>2.6030092592592594E-2</v>
      </c>
      <c r="H2754" s="1698">
        <v>6.48</v>
      </c>
      <c r="I2754" s="1699">
        <f t="shared" si="581"/>
        <v>4.0169895976223139E-3</v>
      </c>
      <c r="J2754" s="1700">
        <v>121</v>
      </c>
      <c r="K2754" s="1755">
        <v>28</v>
      </c>
      <c r="L2754" s="1578">
        <v>207</v>
      </c>
      <c r="M2754" s="1700">
        <v>14</v>
      </c>
      <c r="N2754" s="1701">
        <f t="shared" si="534"/>
        <v>1.0722844112769485</v>
      </c>
      <c r="O2754" s="1702" t="s">
        <v>357</v>
      </c>
      <c r="P2754" s="1635" t="str">
        <f>IFERROR(VLOOKUP(F2754,#REF!,12,FALSE),"")</f>
        <v/>
      </c>
      <c r="Q2754" s="1636" t="s">
        <v>8</v>
      </c>
      <c r="R2754" s="1703" t="str">
        <f>IFERROR(VLOOKUP(F2754,#REF!,14,FALSE),"")</f>
        <v/>
      </c>
      <c r="S2754" s="1704">
        <f t="shared" si="535"/>
        <v>1.7107438016528926</v>
      </c>
      <c r="T2754" s="1828">
        <f t="shared" si="536"/>
        <v>19.170713722485392</v>
      </c>
      <c r="U2754" s="1828">
        <f t="shared" si="537"/>
        <v>19.33633650701417</v>
      </c>
      <c r="V2754" s="1695">
        <f t="shared" si="538"/>
        <v>1.4258616317652972</v>
      </c>
      <c r="W2754" s="1767">
        <f t="shared" si="539"/>
        <v>0.99143463476296556</v>
      </c>
      <c r="X2754" s="1695">
        <v>267</v>
      </c>
    </row>
    <row r="2755" spans="1:24" x14ac:dyDescent="0.2">
      <c r="A2755" s="1649" t="s">
        <v>337</v>
      </c>
      <c r="B2755" s="1681">
        <f t="shared" ref="B2755" si="584">IFERROR(AVERAGE(S2750:S2756),"")</f>
        <v>1.6548648654027964</v>
      </c>
      <c r="C2755" s="1651">
        <v>45843</v>
      </c>
      <c r="D2755" s="1695"/>
      <c r="E2755" s="1696"/>
      <c r="F2755" s="1547"/>
      <c r="G2755" s="1697"/>
      <c r="H2755" s="1698" t="str">
        <f>IFERROR(VLOOKUP(F2755,#REF!,10,FALSE),"")</f>
        <v/>
      </c>
      <c r="I2755" s="1699" t="str">
        <f t="shared" si="533"/>
        <v/>
      </c>
      <c r="J2755" s="1700"/>
      <c r="K2755" s="1755"/>
      <c r="L2755" s="1578"/>
      <c r="M2755" s="1700"/>
      <c r="N2755" s="1701" t="str">
        <f t="shared" si="534"/>
        <v/>
      </c>
      <c r="O2755" s="1702"/>
      <c r="P2755" s="1635" t="str">
        <f>IFERROR(VLOOKUP(F2755,#REF!,12,FALSE),"")</f>
        <v/>
      </c>
      <c r="Q2755" s="1636" t="s">
        <v>8</v>
      </c>
      <c r="R2755" s="1703" t="str">
        <f>IFERROR(VLOOKUP(F2755,#REF!,14,FALSE),"")</f>
        <v/>
      </c>
      <c r="S2755" s="1704" t="str">
        <f t="shared" si="535"/>
        <v/>
      </c>
      <c r="T2755" s="1828">
        <f t="shared" si="536"/>
        <v>16.432040333558906</v>
      </c>
      <c r="U2755" s="1828">
        <f t="shared" si="537"/>
        <v>18.875947542561452</v>
      </c>
      <c r="V2755" s="1695">
        <f t="shared" si="538"/>
        <v>0.16562278452877877</v>
      </c>
      <c r="W2755" s="1767">
        <f t="shared" si="539"/>
        <v>0.87052797198699405</v>
      </c>
      <c r="X2755" s="1695">
        <v>267</v>
      </c>
    </row>
    <row r="2756" spans="1:24" ht="16" thickBot="1" x14ac:dyDescent="0.25">
      <c r="A2756" s="1650" t="s">
        <v>5</v>
      </c>
      <c r="B2756" s="1678">
        <f t="shared" ref="B2756" si="585">IFERROR(SUM(M2750:M2756),"")</f>
        <v>131</v>
      </c>
      <c r="C2756" s="1360">
        <v>45844</v>
      </c>
      <c r="D2756" s="683">
        <v>89</v>
      </c>
      <c r="E2756" s="684" t="s">
        <v>292</v>
      </c>
      <c r="F2756" s="1429" t="s">
        <v>308</v>
      </c>
      <c r="G2756" s="1361">
        <v>5.4004629629629632E-2</v>
      </c>
      <c r="H2756" s="1362">
        <v>12.96</v>
      </c>
      <c r="I2756" s="1363">
        <f t="shared" si="533"/>
        <v>4.1670238911751256E-3</v>
      </c>
      <c r="J2756" s="1364">
        <v>126</v>
      </c>
      <c r="K2756" s="1747">
        <v>52</v>
      </c>
      <c r="L2756" s="1705">
        <v>199</v>
      </c>
      <c r="M2756" s="1364">
        <v>49</v>
      </c>
      <c r="N2756" s="1365">
        <f t="shared" si="534"/>
        <v>1.0693454026165468</v>
      </c>
      <c r="O2756" s="1366" t="s">
        <v>357</v>
      </c>
      <c r="P2756" s="1706" t="str">
        <f>IFERROR(VLOOKUP(F2756,#REF!,12,FALSE),"")</f>
        <v/>
      </c>
      <c r="Q2756" s="1707" t="s">
        <v>8</v>
      </c>
      <c r="R2756" s="1708" t="str">
        <f>IFERROR(VLOOKUP(F2756,#REF!,14,FALSE),"")</f>
        <v/>
      </c>
      <c r="S2756" s="1191">
        <f t="shared" si="535"/>
        <v>1.5793650793650793</v>
      </c>
      <c r="T2756" s="1829">
        <f t="shared" si="536"/>
        <v>21.513177428764777</v>
      </c>
      <c r="U2756" s="1829">
        <f t="shared" si="537"/>
        <v>19.664615458214751</v>
      </c>
      <c r="V2756" s="683">
        <f t="shared" si="538"/>
        <v>2.4439072090025462</v>
      </c>
      <c r="W2756" s="1768">
        <f t="shared" si="539"/>
        <v>1.094004481017085</v>
      </c>
      <c r="X2756" s="683">
        <v>267</v>
      </c>
    </row>
    <row r="2757" spans="1:24" ht="16" thickBot="1" x14ac:dyDescent="0.25">
      <c r="A2757" s="1962">
        <f t="shared" ref="A2757" si="586">WEEKNUM(C2757,1)</f>
        <v>28</v>
      </c>
      <c r="B2757" s="1963"/>
      <c r="C2757" s="1368">
        <v>45845</v>
      </c>
      <c r="D2757" s="1369"/>
      <c r="E2757" s="1370"/>
      <c r="F2757" s="1547"/>
      <c r="G2757" s="1371"/>
      <c r="H2757" s="1372" t="str">
        <f>IFERROR(VLOOKUP(F2757,#REF!,10,FALSE),"")</f>
        <v/>
      </c>
      <c r="I2757" s="1373" t="str">
        <f t="shared" si="533"/>
        <v/>
      </c>
      <c r="J2757" s="1374"/>
      <c r="K2757" s="1745"/>
      <c r="L2757" s="1577"/>
      <c r="M2757" s="1374"/>
      <c r="N2757" s="1375" t="str">
        <f t="shared" si="534"/>
        <v/>
      </c>
      <c r="O2757" s="1376"/>
      <c r="P2757" s="795" t="str">
        <f>IFERROR(VLOOKUP(F2757,#REF!,12,FALSE),"")</f>
        <v/>
      </c>
      <c r="Q2757" s="1254" t="s">
        <v>8</v>
      </c>
      <c r="R2757" s="1694" t="str">
        <f>IFERROR(VLOOKUP(F2757,#REF!,14,FALSE),"")</f>
        <v/>
      </c>
      <c r="S2757" s="1377" t="str">
        <f t="shared" si="535"/>
        <v/>
      </c>
      <c r="T2757" s="70">
        <f t="shared" si="536"/>
        <v>18.439866367512668</v>
      </c>
      <c r="U2757" s="70">
        <f t="shared" si="537"/>
        <v>19.196410328257258</v>
      </c>
      <c r="V2757" s="1369">
        <f t="shared" si="538"/>
        <v>-1.8485619705500262</v>
      </c>
      <c r="W2757" s="1766">
        <f t="shared" si="539"/>
        <v>0.96058930040524548</v>
      </c>
      <c r="X2757" s="1369">
        <v>267</v>
      </c>
    </row>
    <row r="2758" spans="1:24" x14ac:dyDescent="0.2">
      <c r="A2758" s="1648" t="s">
        <v>142</v>
      </c>
      <c r="B2758" s="1679">
        <f t="shared" ref="B2758" si="587">SUM(H2757:H2763)</f>
        <v>35.480000000000004</v>
      </c>
      <c r="C2758" s="1651">
        <v>45846</v>
      </c>
      <c r="D2758" s="1695">
        <v>90</v>
      </c>
      <c r="E2758" s="1696" t="s">
        <v>293</v>
      </c>
      <c r="F2758" s="1547" t="s">
        <v>355</v>
      </c>
      <c r="G2758" s="1697">
        <v>2.7974537037037037E-2</v>
      </c>
      <c r="H2758" s="1698">
        <v>7.18</v>
      </c>
      <c r="I2758" s="1699">
        <f t="shared" si="533"/>
        <v>3.8961750747962447E-3</v>
      </c>
      <c r="J2758" s="1700">
        <v>123</v>
      </c>
      <c r="K2758" s="1755">
        <v>36</v>
      </c>
      <c r="L2758" s="1578">
        <v>216</v>
      </c>
      <c r="M2758" s="1700">
        <v>29</v>
      </c>
      <c r="N2758" s="1701">
        <f t="shared" si="534"/>
        <v>1.0852533987444395</v>
      </c>
      <c r="O2758" s="1702" t="s">
        <v>340</v>
      </c>
      <c r="P2758" s="1635" t="str">
        <f>IFERROR(VLOOKUP(F2758,#REF!,12,FALSE),"")</f>
        <v/>
      </c>
      <c r="Q2758" s="1636" t="s">
        <v>8</v>
      </c>
      <c r="R2758" s="1703" t="str">
        <f>IFERROR(VLOOKUP(F2758,#REF!,14,FALSE),"")</f>
        <v/>
      </c>
      <c r="S2758" s="1704">
        <f t="shared" si="535"/>
        <v>1.7560975609756098</v>
      </c>
      <c r="T2758" s="1379">
        <f t="shared" si="536"/>
        <v>20.94845688643943</v>
      </c>
      <c r="U2758" s="1379">
        <f t="shared" si="537"/>
        <v>19.596495796632084</v>
      </c>
      <c r="V2758" s="1695">
        <f t="shared" si="538"/>
        <v>0.75654396074459029</v>
      </c>
      <c r="W2758" s="1767">
        <f t="shared" si="539"/>
        <v>1.0689899410505679</v>
      </c>
      <c r="X2758" s="1695">
        <v>267</v>
      </c>
    </row>
    <row r="2759" spans="1:24" x14ac:dyDescent="0.2">
      <c r="A2759" s="1649" t="s">
        <v>347</v>
      </c>
      <c r="B2759" s="1680">
        <f t="shared" ref="B2759" si="588">SUM(K2757:K2763)</f>
        <v>176</v>
      </c>
      <c r="C2759" s="1651">
        <v>45847</v>
      </c>
      <c r="D2759" s="1695">
        <v>91</v>
      </c>
      <c r="E2759" s="1696" t="s">
        <v>293</v>
      </c>
      <c r="F2759" s="1547" t="s">
        <v>343</v>
      </c>
      <c r="G2759" s="1697">
        <v>3.0162037037037036E-2</v>
      </c>
      <c r="H2759" s="1698">
        <v>7.46</v>
      </c>
      <c r="I2759" s="1699">
        <f t="shared" si="533"/>
        <v>4.0431685036242679E-3</v>
      </c>
      <c r="J2759" s="1700">
        <v>123</v>
      </c>
      <c r="K2759" s="1755">
        <v>32</v>
      </c>
      <c r="L2759" s="1578">
        <v>202</v>
      </c>
      <c r="M2759" s="1700">
        <v>24</v>
      </c>
      <c r="N2759" s="1701">
        <f t="shared" si="534"/>
        <v>1.0532031531351289</v>
      </c>
      <c r="O2759" s="1702" t="s">
        <v>358</v>
      </c>
      <c r="P2759" s="1635" t="str">
        <f>IFERROR(VLOOKUP(F2759,#REF!,12,FALSE),"")</f>
        <v/>
      </c>
      <c r="Q2759" s="1636" t="s">
        <v>8</v>
      </c>
      <c r="R2759" s="1703" t="str">
        <f>IFERROR(VLOOKUP(F2759,#REF!,14,FALSE),"")</f>
        <v/>
      </c>
      <c r="S2759" s="1704">
        <f t="shared" si="535"/>
        <v>1.6422764227642277</v>
      </c>
      <c r="T2759" s="1379">
        <f t="shared" si="536"/>
        <v>22.527248759805225</v>
      </c>
      <c r="U2759" s="1379">
        <f t="shared" si="537"/>
        <v>19.8918173252837</v>
      </c>
      <c r="V2759" s="1695">
        <f t="shared" si="538"/>
        <v>-1.3519610898073466</v>
      </c>
      <c r="W2759" s="1767">
        <f t="shared" si="539"/>
        <v>1.132488218216831</v>
      </c>
      <c r="X2759" s="1695">
        <v>267</v>
      </c>
    </row>
    <row r="2760" spans="1:24" x14ac:dyDescent="0.2">
      <c r="A2760" s="1649" t="s">
        <v>256</v>
      </c>
      <c r="B2760" s="1677">
        <f t="shared" ref="B2760" si="589">AVERAGE(W2757:W2763)</f>
        <v>1.1274037078750816</v>
      </c>
      <c r="C2760" s="1651">
        <v>45848</v>
      </c>
      <c r="D2760" s="1695"/>
      <c r="E2760" s="1696"/>
      <c r="F2760" s="1547"/>
      <c r="G2760" s="1697"/>
      <c r="H2760" s="1698"/>
      <c r="I2760" s="1699"/>
      <c r="J2760" s="1700"/>
      <c r="K2760" s="1755"/>
      <c r="L2760" s="1578"/>
      <c r="M2760" s="1700"/>
      <c r="N2760" s="1701"/>
      <c r="O2760" s="1702"/>
      <c r="P2760" s="1635" t="str">
        <f>IFERROR(VLOOKUP(F2760,#REF!,12,FALSE),"")</f>
        <v/>
      </c>
      <c r="Q2760" s="1636" t="s">
        <v>8</v>
      </c>
      <c r="R2760" s="1703" t="str">
        <f>IFERROR(VLOOKUP(F2760,#REF!,14,FALSE),"")</f>
        <v/>
      </c>
      <c r="S2760" s="1704" t="str">
        <f t="shared" si="535"/>
        <v/>
      </c>
      <c r="T2760" s="1379">
        <f t="shared" si="536"/>
        <v>19.309070365547335</v>
      </c>
      <c r="U2760" s="1379">
        <f t="shared" si="537"/>
        <v>19.418202627062659</v>
      </c>
      <c r="V2760" s="1695">
        <f t="shared" si="538"/>
        <v>-2.6354314345215251</v>
      </c>
      <c r="W2760" s="1767">
        <f t="shared" si="539"/>
        <v>0.99437989892209544</v>
      </c>
      <c r="X2760" s="1695">
        <v>267</v>
      </c>
    </row>
    <row r="2761" spans="1:24" x14ac:dyDescent="0.2">
      <c r="A2761" s="1649" t="s">
        <v>336</v>
      </c>
      <c r="B2761" s="1713">
        <f t="shared" ref="B2761" si="590">IFERROR(AVERAGE(N2757:N2763),"")</f>
        <v>1.0662803824987039</v>
      </c>
      <c r="C2761" s="1651">
        <v>45849</v>
      </c>
      <c r="D2761" s="1695">
        <v>92</v>
      </c>
      <c r="E2761" s="1696" t="s">
        <v>293</v>
      </c>
      <c r="F2761" s="1547" t="s">
        <v>360</v>
      </c>
      <c r="G2761" s="1697">
        <v>2.7777777777777776E-2</v>
      </c>
      <c r="H2761" s="1698">
        <v>7.67</v>
      </c>
      <c r="I2761" s="1699">
        <f t="shared" si="533"/>
        <v>3.6216137911053163E-3</v>
      </c>
      <c r="J2761" s="1700">
        <v>142</v>
      </c>
      <c r="K2761" s="1755">
        <v>52</v>
      </c>
      <c r="L2761" s="1578">
        <v>229</v>
      </c>
      <c r="M2761" s="1700">
        <v>15</v>
      </c>
      <c r="N2761" s="1701">
        <f t="shared" si="534"/>
        <v>1.0694895794819903</v>
      </c>
      <c r="O2761" s="1702" t="s">
        <v>345</v>
      </c>
      <c r="P2761" s="1635" t="str">
        <f>IFERROR(VLOOKUP(F2761,#REF!,12,FALSE),"")</f>
        <v/>
      </c>
      <c r="Q2761" s="1636" t="s">
        <v>8</v>
      </c>
      <c r="R2761" s="1703" t="str">
        <f>IFERROR(VLOOKUP(F2761,#REF!,14,FALSE),"")</f>
        <v/>
      </c>
      <c r="S2761" s="1704">
        <f t="shared" si="535"/>
        <v>1.6126760563380282</v>
      </c>
      <c r="T2761" s="1379">
        <f t="shared" si="536"/>
        <v>23.979203170469145</v>
      </c>
      <c r="U2761" s="1379">
        <f t="shared" si="537"/>
        <v>20.193959707370691</v>
      </c>
      <c r="V2761" s="1695">
        <f t="shared" si="538"/>
        <v>0.10913226151532385</v>
      </c>
      <c r="W2761" s="1767">
        <f t="shared" si="539"/>
        <v>1.187444340681578</v>
      </c>
      <c r="X2761" s="1695">
        <v>267</v>
      </c>
    </row>
    <row r="2762" spans="1:24" x14ac:dyDescent="0.2">
      <c r="A2762" s="1649" t="s">
        <v>337</v>
      </c>
      <c r="B2762" s="1681">
        <f t="shared" ref="B2762" si="591">IFERROR(AVERAGE(S2757:S2763),"")</f>
        <v>1.648431801358049</v>
      </c>
      <c r="C2762" s="1651">
        <v>45850</v>
      </c>
      <c r="D2762" s="1695">
        <v>93</v>
      </c>
      <c r="E2762" s="1696" t="s">
        <v>292</v>
      </c>
      <c r="F2762" s="1547" t="s">
        <v>279</v>
      </c>
      <c r="G2762" s="1697">
        <v>5.3715277777777772E-2</v>
      </c>
      <c r="H2762" s="1698">
        <v>13.17</v>
      </c>
      <c r="I2762" s="1699">
        <f t="shared" si="533"/>
        <v>4.0786087910233693E-3</v>
      </c>
      <c r="J2762" s="1700">
        <v>127</v>
      </c>
      <c r="K2762" s="1755">
        <v>56</v>
      </c>
      <c r="L2762" s="1578">
        <v>201</v>
      </c>
      <c r="M2762" s="1700">
        <v>44</v>
      </c>
      <c r="N2762" s="1701">
        <f t="shared" si="534"/>
        <v>1.0571753986332573</v>
      </c>
      <c r="O2762" s="1702" t="s">
        <v>357</v>
      </c>
      <c r="P2762" s="1635" t="str">
        <f>IFERROR(VLOOKUP(F2762,#REF!,12,FALSE),"")</f>
        <v/>
      </c>
      <c r="Q2762" s="1636" t="s">
        <v>8</v>
      </c>
      <c r="R2762" s="1703" t="str">
        <f>IFERROR(VLOOKUP(F2762,#REF!,14,FALSE),"")</f>
        <v/>
      </c>
      <c r="S2762" s="1704">
        <f t="shared" si="535"/>
        <v>1.5826771653543308</v>
      </c>
      <c r="T2762" s="1379">
        <f t="shared" si="536"/>
        <v>28.55360271754498</v>
      </c>
      <c r="U2762" s="1379">
        <f t="shared" si="537"/>
        <v>21.046484476242817</v>
      </c>
      <c r="V2762" s="1695">
        <f t="shared" si="538"/>
        <v>-3.7852434630984533</v>
      </c>
      <c r="W2762" s="1767">
        <f t="shared" si="539"/>
        <v>1.3566922661015508</v>
      </c>
      <c r="X2762" s="1695">
        <v>264</v>
      </c>
    </row>
    <row r="2763" spans="1:24" ht="16" thickBot="1" x14ac:dyDescent="0.25">
      <c r="A2763" s="1650" t="s">
        <v>5</v>
      </c>
      <c r="B2763" s="1678">
        <f t="shared" ref="B2763" si="592">IFERROR(SUM(M2757:M2763),"")</f>
        <v>112</v>
      </c>
      <c r="C2763" s="1360">
        <v>45851</v>
      </c>
      <c r="D2763" s="683"/>
      <c r="E2763" s="684"/>
      <c r="F2763" s="1429"/>
      <c r="G2763" s="1361"/>
      <c r="H2763" s="1362" t="str">
        <f>IFERROR(VLOOKUP(F2763,#REF!,10,FALSE),"")</f>
        <v/>
      </c>
      <c r="I2763" s="1363" t="str">
        <f t="shared" si="533"/>
        <v/>
      </c>
      <c r="J2763" s="1364"/>
      <c r="K2763" s="1747"/>
      <c r="L2763" s="1705"/>
      <c r="M2763" s="1364"/>
      <c r="N2763" s="1365" t="str">
        <f t="shared" si="534"/>
        <v/>
      </c>
      <c r="O2763" s="1366"/>
      <c r="P2763" s="1706" t="str">
        <f>IFERROR(VLOOKUP(F2763,#REF!,12,FALSE),"")</f>
        <v/>
      </c>
      <c r="Q2763" s="1707" t="s">
        <v>8</v>
      </c>
      <c r="R2763" s="1708" t="str">
        <f>IFERROR(VLOOKUP(F2763,#REF!,14,FALSE),"")</f>
        <v/>
      </c>
      <c r="S2763" s="1191" t="str">
        <f t="shared" si="535"/>
        <v/>
      </c>
      <c r="T2763" s="1897">
        <f t="shared" si="536"/>
        <v>24.474516615038553</v>
      </c>
      <c r="U2763" s="1897">
        <f t="shared" si="537"/>
        <v>20.545377702998941</v>
      </c>
      <c r="V2763" s="683">
        <f t="shared" si="538"/>
        <v>-7.5071182413021624</v>
      </c>
      <c r="W2763" s="1768">
        <f t="shared" si="539"/>
        <v>1.1912419897477031</v>
      </c>
      <c r="X2763" s="683">
        <v>264</v>
      </c>
    </row>
    <row r="2764" spans="1:24" ht="16" thickBot="1" x14ac:dyDescent="0.25">
      <c r="A2764" s="1962">
        <f t="shared" ref="A2764" si="593">WEEKNUM(C2764,1)</f>
        <v>29</v>
      </c>
      <c r="B2764" s="1963"/>
      <c r="C2764" s="1687">
        <v>45852</v>
      </c>
      <c r="D2764" s="1369">
        <v>94</v>
      </c>
      <c r="E2764" s="1370" t="s">
        <v>293</v>
      </c>
      <c r="F2764" s="1547" t="s">
        <v>343</v>
      </c>
      <c r="G2764" s="1371">
        <v>2.4479166666666666E-2</v>
      </c>
      <c r="H2764" s="1372">
        <v>5.89</v>
      </c>
      <c r="I2764" s="1373">
        <f t="shared" si="533"/>
        <v>4.1560554612337297E-3</v>
      </c>
      <c r="J2764" s="1374">
        <v>117</v>
      </c>
      <c r="K2764" s="1745">
        <v>24</v>
      </c>
      <c r="L2764" s="1577">
        <v>197</v>
      </c>
      <c r="M2764" s="1374">
        <v>17</v>
      </c>
      <c r="N2764" s="1375">
        <f t="shared" si="534"/>
        <v>1.0558117730532397</v>
      </c>
      <c r="O2764" s="1376" t="s">
        <v>333</v>
      </c>
      <c r="P2764" s="795" t="str">
        <f>IFERROR(VLOOKUP(F2764,#REF!,12,FALSE),"")</f>
        <v/>
      </c>
      <c r="Q2764" s="1254" t="s">
        <v>8</v>
      </c>
      <c r="R2764" s="1694" t="str">
        <f>IFERROR(VLOOKUP(F2764,#REF!,14,FALSE),"")</f>
        <v/>
      </c>
      <c r="S2764" s="1377">
        <f t="shared" si="535"/>
        <v>1.6837606837606838</v>
      </c>
      <c r="T2764" s="1369">
        <f t="shared" si="536"/>
        <v>24.406728527175904</v>
      </c>
      <c r="U2764" s="1369">
        <f t="shared" si="537"/>
        <v>20.627630614832299</v>
      </c>
      <c r="V2764" s="1369">
        <f t="shared" si="538"/>
        <v>-3.9291389120396119</v>
      </c>
      <c r="W2764" s="1766">
        <f t="shared" si="539"/>
        <v>1.1832056227352765</v>
      </c>
      <c r="X2764" s="1369">
        <v>264</v>
      </c>
    </row>
    <row r="2765" spans="1:24" x14ac:dyDescent="0.2">
      <c r="A2765" s="1648" t="s">
        <v>142</v>
      </c>
      <c r="B2765" s="1679">
        <f t="shared" ref="B2765" si="594">SUM(H2764:H2770)</f>
        <v>39.840000000000003</v>
      </c>
      <c r="C2765" s="1724">
        <v>45853</v>
      </c>
      <c r="D2765" s="1695">
        <v>95</v>
      </c>
      <c r="E2765" s="1696" t="s">
        <v>293</v>
      </c>
      <c r="F2765" s="1547" t="s">
        <v>312</v>
      </c>
      <c r="G2765" s="1697">
        <v>3.4513888888888886E-2</v>
      </c>
      <c r="H2765" s="1698">
        <v>9.07</v>
      </c>
      <c r="I2765" s="1699">
        <f t="shared" si="533"/>
        <v>3.8052799215974515E-3</v>
      </c>
      <c r="J2765" s="1700">
        <v>139</v>
      </c>
      <c r="K2765" s="1755">
        <v>55</v>
      </c>
      <c r="L2765" s="1578">
        <v>214</v>
      </c>
      <c r="M2765" s="1700">
        <v>69</v>
      </c>
      <c r="N2765" s="1701">
        <f t="shared" si="534"/>
        <v>1.0501209498263917</v>
      </c>
      <c r="O2765" s="1702" t="s">
        <v>345</v>
      </c>
      <c r="P2765" s="1635" t="str">
        <f>IFERROR(VLOOKUP(F2765,#REF!,12,FALSE),"")</f>
        <v/>
      </c>
      <c r="Q2765" s="1636" t="s">
        <v>8</v>
      </c>
      <c r="R2765" s="1703" t="str">
        <f>IFERROR(VLOOKUP(F2765,#REF!,14,FALSE),"")</f>
        <v/>
      </c>
      <c r="S2765" s="1704">
        <f t="shared" si="535"/>
        <v>1.539568345323741</v>
      </c>
      <c r="T2765" s="1828">
        <f t="shared" si="536"/>
        <v>28.777195880436487</v>
      </c>
      <c r="U2765" s="1828">
        <f t="shared" si="537"/>
        <v>21.446020362098196</v>
      </c>
      <c r="V2765" s="1695">
        <f t="shared" si="538"/>
        <v>-3.7790979123436053</v>
      </c>
      <c r="W2765" s="1767">
        <f t="shared" si="539"/>
        <v>1.3418431669166353</v>
      </c>
      <c r="X2765" s="1695">
        <v>264</v>
      </c>
    </row>
    <row r="2766" spans="1:24" x14ac:dyDescent="0.2">
      <c r="A2766" s="1649" t="s">
        <v>347</v>
      </c>
      <c r="B2766" s="1680">
        <f t="shared" ref="B2766" si="595">SUM(K2764:K2770)</f>
        <v>192</v>
      </c>
      <c r="C2766" s="1724">
        <v>45854</v>
      </c>
      <c r="D2766" s="1695"/>
      <c r="E2766" s="1696"/>
      <c r="F2766" s="1547" t="s">
        <v>361</v>
      </c>
      <c r="G2766" s="1697"/>
      <c r="H2766" s="1698" t="str">
        <f>IFERROR(VLOOKUP(F2766,#REF!,10,FALSE),"")</f>
        <v/>
      </c>
      <c r="I2766" s="1699" t="str">
        <f t="shared" si="533"/>
        <v/>
      </c>
      <c r="J2766" s="1700"/>
      <c r="K2766" s="1755"/>
      <c r="L2766" s="1578"/>
      <c r="M2766" s="1700"/>
      <c r="N2766" s="1701" t="str">
        <f t="shared" si="534"/>
        <v/>
      </c>
      <c r="O2766" s="1702"/>
      <c r="P2766" s="1635" t="str">
        <f>IFERROR(VLOOKUP(F2766,#REF!,12,FALSE),"")</f>
        <v/>
      </c>
      <c r="Q2766" s="1636" t="s">
        <v>8</v>
      </c>
      <c r="R2766" s="1703" t="str">
        <f>IFERROR(VLOOKUP(F2766,#REF!,14,FALSE),"")</f>
        <v/>
      </c>
      <c r="S2766" s="1704" t="str">
        <f t="shared" si="535"/>
        <v/>
      </c>
      <c r="T2766" s="1828">
        <f t="shared" si="536"/>
        <v>24.666167897516988</v>
      </c>
      <c r="U2766" s="1828">
        <f t="shared" si="537"/>
        <v>20.935400829667287</v>
      </c>
      <c r="V2766" s="1695">
        <f t="shared" si="538"/>
        <v>-7.3311755183382914</v>
      </c>
      <c r="W2766" s="1767">
        <f t="shared" si="539"/>
        <v>1.1782037563170455</v>
      </c>
      <c r="X2766" s="1695">
        <v>264</v>
      </c>
    </row>
    <row r="2767" spans="1:24" x14ac:dyDescent="0.2">
      <c r="A2767" s="1649" t="s">
        <v>256</v>
      </c>
      <c r="B2767" s="1677">
        <f t="shared" ref="B2767" si="596">AVERAGE(W2764:W2770)</f>
        <v>1.214201599455933</v>
      </c>
      <c r="C2767" s="1724">
        <v>45855</v>
      </c>
      <c r="D2767" s="1695">
        <v>96</v>
      </c>
      <c r="E2767" s="1696" t="s">
        <v>293</v>
      </c>
      <c r="F2767" s="1547" t="s">
        <v>343</v>
      </c>
      <c r="G2767" s="1697">
        <v>2.8321759259259258E-2</v>
      </c>
      <c r="H2767" s="1698">
        <v>7.24</v>
      </c>
      <c r="I2767" s="1699">
        <f t="shared" si="533"/>
        <v>3.9118452015551464E-3</v>
      </c>
      <c r="J2767" s="1700">
        <v>126</v>
      </c>
      <c r="K2767" s="1755">
        <v>35</v>
      </c>
      <c r="L2767" s="1578">
        <v>211</v>
      </c>
      <c r="M2767" s="1700">
        <v>17</v>
      </c>
      <c r="N2767" s="1701">
        <f t="shared" si="534"/>
        <v>1.0643955636183722</v>
      </c>
      <c r="O2767" s="1702" t="s">
        <v>358</v>
      </c>
      <c r="P2767" s="1635" t="str">
        <f>IFERROR(VLOOKUP(F2767,#REF!,12,FALSE),"")</f>
        <v/>
      </c>
      <c r="Q2767" s="1636" t="s">
        <v>8</v>
      </c>
      <c r="R2767" s="1703" t="str">
        <f>IFERROR(VLOOKUP(F2767,#REF!,14,FALSE),"")</f>
        <v/>
      </c>
      <c r="S2767" s="1704">
        <f t="shared" si="535"/>
        <v>1.6746031746031746</v>
      </c>
      <c r="T2767" s="1828">
        <f t="shared" si="536"/>
        <v>26.142429626443132</v>
      </c>
      <c r="U2767" s="1828">
        <f t="shared" si="537"/>
        <v>21.270272238484733</v>
      </c>
      <c r="V2767" s="1695">
        <f t="shared" si="538"/>
        <v>-3.7307670678497011</v>
      </c>
      <c r="W2767" s="1767">
        <f t="shared" si="539"/>
        <v>1.2290594748074313</v>
      </c>
      <c r="X2767" s="1695">
        <v>264</v>
      </c>
    </row>
    <row r="2768" spans="1:24" x14ac:dyDescent="0.2">
      <c r="A2768" s="1649" t="s">
        <v>336</v>
      </c>
      <c r="B2768" s="1713">
        <f t="shared" ref="B2768" si="597">IFERROR(AVERAGE(N2764:N2770),"")</f>
        <v>1.0591158413236779</v>
      </c>
      <c r="C2768" s="1724">
        <v>45856</v>
      </c>
      <c r="D2768" s="1695">
        <v>97</v>
      </c>
      <c r="E2768" s="1696" t="s">
        <v>292</v>
      </c>
      <c r="F2768" s="1547" t="s">
        <v>343</v>
      </c>
      <c r="G2768" s="1697">
        <v>2.7893518518518519E-2</v>
      </c>
      <c r="H2768" s="1698">
        <v>6.77</v>
      </c>
      <c r="I2768" s="1699">
        <f t="shared" si="533"/>
        <v>4.1201652169155865E-3</v>
      </c>
      <c r="J2768" s="1700">
        <v>124</v>
      </c>
      <c r="K2768" s="1755">
        <v>31</v>
      </c>
      <c r="L2768" s="1578">
        <v>201</v>
      </c>
      <c r="M2768" s="1700">
        <v>18</v>
      </c>
      <c r="N2768" s="1701">
        <f t="shared" si="534"/>
        <v>1.06794682422452</v>
      </c>
      <c r="O2768" s="1702" t="s">
        <v>346</v>
      </c>
      <c r="P2768" s="1635" t="str">
        <f>IFERROR(VLOOKUP(F2768,#REF!,12,FALSE),"")</f>
        <v/>
      </c>
      <c r="Q2768" s="1636" t="s">
        <v>8</v>
      </c>
      <c r="R2768" s="1703" t="str">
        <f>IFERROR(VLOOKUP(F2768,#REF!,14,FALSE),"")</f>
        <v/>
      </c>
      <c r="S2768" s="1704">
        <f t="shared" si="535"/>
        <v>1.6209677419354838</v>
      </c>
      <c r="T2768" s="1828">
        <f t="shared" si="536"/>
        <v>26.836368251236969</v>
      </c>
      <c r="U2768" s="1828">
        <f t="shared" si="537"/>
        <v>21.501932423282714</v>
      </c>
      <c r="V2768" s="1695">
        <f t="shared" si="538"/>
        <v>-4.8721573879583993</v>
      </c>
      <c r="W2768" s="1767">
        <f t="shared" si="539"/>
        <v>1.2480909958668656</v>
      </c>
      <c r="X2768" s="1695">
        <v>264</v>
      </c>
    </row>
    <row r="2769" spans="1:24" x14ac:dyDescent="0.2">
      <c r="A2769" s="1649" t="s">
        <v>337</v>
      </c>
      <c r="B2769" s="1681">
        <f t="shared" ref="B2769" si="598">IFERROR(AVERAGE(S2764:S2770),"")</f>
        <v>1.5903048118196521</v>
      </c>
      <c r="C2769" s="1724">
        <v>45857</v>
      </c>
      <c r="D2769" s="1695"/>
      <c r="E2769" s="1696"/>
      <c r="F2769" s="1547"/>
      <c r="G2769" s="1697"/>
      <c r="H2769" s="1698" t="str">
        <f>IFERROR(VLOOKUP(F2769,#REF!,10,FALSE),"")</f>
        <v/>
      </c>
      <c r="I2769" s="1699" t="str">
        <f t="shared" si="533"/>
        <v/>
      </c>
      <c r="J2769" s="1700"/>
      <c r="K2769" s="1755"/>
      <c r="L2769" s="1578"/>
      <c r="M2769" s="1700"/>
      <c r="N2769" s="1701" t="str">
        <f t="shared" si="534"/>
        <v/>
      </c>
      <c r="O2769" s="1702"/>
      <c r="P2769" s="1635" t="str">
        <f>IFERROR(VLOOKUP(F2769,#REF!,12,FALSE),"")</f>
        <v/>
      </c>
      <c r="Q2769" s="1636" t="s">
        <v>8</v>
      </c>
      <c r="R2769" s="1703" t="str">
        <f>IFERROR(VLOOKUP(F2769,#REF!,14,FALSE),"")</f>
        <v/>
      </c>
      <c r="S2769" s="1704" t="str">
        <f t="shared" si="535"/>
        <v/>
      </c>
      <c r="T2769" s="1828">
        <f t="shared" si="536"/>
        <v>23.002601358203115</v>
      </c>
      <c r="U2769" s="1828">
        <f t="shared" si="537"/>
        <v>20.989981651299793</v>
      </c>
      <c r="V2769" s="1695">
        <f t="shared" si="538"/>
        <v>-5.3344358279542554</v>
      </c>
      <c r="W2769" s="1767">
        <f t="shared" si="539"/>
        <v>1.0958847768587112</v>
      </c>
      <c r="X2769" s="1695">
        <v>264</v>
      </c>
    </row>
    <row r="2770" spans="1:24" ht="16" thickBot="1" x14ac:dyDescent="0.25">
      <c r="A2770" s="1650" t="s">
        <v>5</v>
      </c>
      <c r="B2770" s="1678">
        <f t="shared" ref="B2770" si="599">IFERROR(SUM(M2764:M2770),"")</f>
        <v>154</v>
      </c>
      <c r="C2770" s="1686">
        <v>45858</v>
      </c>
      <c r="D2770" s="683">
        <v>98</v>
      </c>
      <c r="E2770" s="684" t="s">
        <v>292</v>
      </c>
      <c r="F2770" s="1429" t="s">
        <v>308</v>
      </c>
      <c r="G2770" s="1361">
        <v>4.4120370370370372E-2</v>
      </c>
      <c r="H2770" s="1362">
        <v>10.87</v>
      </c>
      <c r="I2770" s="1363">
        <f t="shared" si="533"/>
        <v>4.0589117176053702E-3</v>
      </c>
      <c r="J2770" s="1364">
        <v>141</v>
      </c>
      <c r="K2770" s="1747">
        <v>47</v>
      </c>
      <c r="L2770" s="1705">
        <v>202</v>
      </c>
      <c r="M2770" s="1364">
        <v>33</v>
      </c>
      <c r="N2770" s="1365">
        <f t="shared" si="534"/>
        <v>1.0573040958958657</v>
      </c>
      <c r="O2770" s="1366" t="s">
        <v>357</v>
      </c>
      <c r="P2770" s="1706" t="str">
        <f>IFERROR(VLOOKUP(F2770,#REF!,12,FALSE),"")</f>
        <v/>
      </c>
      <c r="Q2770" s="1707" t="s">
        <v>8</v>
      </c>
      <c r="R2770" s="1708" t="str">
        <f>IFERROR(VLOOKUP(F2770,#REF!,14,FALSE),"")</f>
        <v/>
      </c>
      <c r="S2770" s="1191">
        <f t="shared" si="535"/>
        <v>1.4326241134751774</v>
      </c>
      <c r="T2770" s="1829">
        <f t="shared" si="536"/>
        <v>26.430801164174099</v>
      </c>
      <c r="U2770" s="1829">
        <f t="shared" si="537"/>
        <v>21.609267802459321</v>
      </c>
      <c r="V2770" s="683">
        <f t="shared" si="538"/>
        <v>-2.0126197069033225</v>
      </c>
      <c r="W2770" s="1768">
        <f t="shared" si="539"/>
        <v>1.2231234026895648</v>
      </c>
      <c r="X2770" s="683">
        <v>264</v>
      </c>
    </row>
    <row r="2771" spans="1:24" ht="16" thickBot="1" x14ac:dyDescent="0.25">
      <c r="A2771" s="1962">
        <f t="shared" ref="A2771" si="600">WEEKNUM(C2771,1)</f>
        <v>30</v>
      </c>
      <c r="B2771" s="1963"/>
      <c r="C2771" s="1687">
        <v>45859</v>
      </c>
      <c r="D2771" s="1369">
        <v>99</v>
      </c>
      <c r="E2771" s="1370" t="s">
        <v>292</v>
      </c>
      <c r="F2771" s="1547" t="s">
        <v>355</v>
      </c>
      <c r="G2771" s="1371">
        <v>2.4375000000000001E-2</v>
      </c>
      <c r="H2771" s="1372">
        <v>6.05</v>
      </c>
      <c r="I2771" s="1373">
        <f t="shared" si="533"/>
        <v>4.0289256198347114E-3</v>
      </c>
      <c r="J2771" s="1374">
        <v>117</v>
      </c>
      <c r="K2771" s="1745">
        <v>27</v>
      </c>
      <c r="L2771" s="1577">
        <v>203</v>
      </c>
      <c r="M2771" s="1374">
        <v>19</v>
      </c>
      <c r="N2771" s="1375">
        <f t="shared" si="534"/>
        <v>1.0546885407672386</v>
      </c>
      <c r="O2771" s="1376" t="s">
        <v>358</v>
      </c>
      <c r="P2771" s="795" t="str">
        <f>IFERROR(VLOOKUP(F2771,#REF!,12,FALSE),"")</f>
        <v/>
      </c>
      <c r="Q2771" s="1254" t="s">
        <v>8</v>
      </c>
      <c r="R2771" s="1694" t="str">
        <f>IFERROR(VLOOKUP(F2771,#REF!,14,FALSE),"")</f>
        <v/>
      </c>
      <c r="S2771" s="1377">
        <f t="shared" si="535"/>
        <v>1.7350427350427351</v>
      </c>
      <c r="T2771" s="70">
        <f t="shared" si="536"/>
        <v>26.512115283577799</v>
      </c>
      <c r="U2771" s="70">
        <f t="shared" si="537"/>
        <v>21.737618569067433</v>
      </c>
      <c r="V2771" s="1369">
        <f t="shared" si="538"/>
        <v>-4.8215333617147778</v>
      </c>
      <c r="W2771" s="1766">
        <f t="shared" si="539"/>
        <v>1.2196421240597377</v>
      </c>
      <c r="X2771" s="1369">
        <v>264</v>
      </c>
    </row>
    <row r="2772" spans="1:24" x14ac:dyDescent="0.2">
      <c r="A2772" s="1648" t="s">
        <v>142</v>
      </c>
      <c r="B2772" s="1679">
        <f t="shared" ref="B2772" si="601">SUM(H2771:H2777)</f>
        <v>44.2</v>
      </c>
      <c r="C2772" s="1724">
        <v>45860</v>
      </c>
      <c r="D2772" s="1695"/>
      <c r="E2772" s="1696"/>
      <c r="F2772" s="1547" t="s">
        <v>361</v>
      </c>
      <c r="G2772" s="1697"/>
      <c r="H2772" s="1698" t="str">
        <f>IFERROR(VLOOKUP(F2772,#REF!,10,FALSE),"")</f>
        <v/>
      </c>
      <c r="I2772" s="1699" t="str">
        <f t="shared" si="533"/>
        <v/>
      </c>
      <c r="J2772" s="1700"/>
      <c r="K2772" s="1755"/>
      <c r="L2772" s="1578"/>
      <c r="M2772" s="1700"/>
      <c r="N2772" s="1701" t="str">
        <f t="shared" si="534"/>
        <v/>
      </c>
      <c r="O2772" s="1702"/>
      <c r="P2772" s="1635" t="str">
        <f>IFERROR(VLOOKUP(F2772,#REF!,12,FALSE),"")</f>
        <v/>
      </c>
      <c r="Q2772" s="1636" t="s">
        <v>8</v>
      </c>
      <c r="R2772" s="1703" t="str">
        <f>IFERROR(VLOOKUP(F2772,#REF!,14,FALSE),"")</f>
        <v/>
      </c>
      <c r="S2772" s="1704" t="str">
        <f t="shared" si="535"/>
        <v/>
      </c>
      <c r="T2772" s="1379">
        <f t="shared" si="536"/>
        <v>22.724670243066686</v>
      </c>
      <c r="U2772" s="1379">
        <f t="shared" si="537"/>
        <v>21.220056222184876</v>
      </c>
      <c r="V2772" s="1695">
        <f t="shared" si="538"/>
        <v>-4.7744967145103665</v>
      </c>
      <c r="W2772" s="1767">
        <f t="shared" si="539"/>
        <v>1.0709052796622087</v>
      </c>
      <c r="X2772" s="1695">
        <v>264</v>
      </c>
    </row>
    <row r="2773" spans="1:24" x14ac:dyDescent="0.2">
      <c r="A2773" s="1649" t="s">
        <v>347</v>
      </c>
      <c r="B2773" s="1680">
        <f t="shared" ref="B2773" si="602">SUM(K2771:K2777)</f>
        <v>207</v>
      </c>
      <c r="C2773" s="1724">
        <v>45861</v>
      </c>
      <c r="D2773" s="1695">
        <v>100</v>
      </c>
      <c r="E2773" s="1696" t="s">
        <v>292</v>
      </c>
      <c r="F2773" s="1547" t="s">
        <v>343</v>
      </c>
      <c r="G2773" s="1697">
        <v>2.9189814814814814E-2</v>
      </c>
      <c r="H2773" s="1698">
        <v>6.52</v>
      </c>
      <c r="I2773" s="1699">
        <f t="shared" si="533"/>
        <v>4.4769654623949108E-3</v>
      </c>
      <c r="J2773" s="1700">
        <v>112</v>
      </c>
      <c r="K2773" s="1755">
        <v>24</v>
      </c>
      <c r="L2773" s="1578">
        <v>185</v>
      </c>
      <c r="M2773" s="1700">
        <v>20</v>
      </c>
      <c r="N2773" s="1701">
        <f t="shared" si="534"/>
        <v>1.0680569544913472</v>
      </c>
      <c r="O2773" s="1702" t="s">
        <v>340</v>
      </c>
      <c r="P2773" s="1635" t="str">
        <f>IFERROR(VLOOKUP(F2773,#REF!,12,FALSE),"")</f>
        <v/>
      </c>
      <c r="Q2773" s="1636" t="s">
        <v>8</v>
      </c>
      <c r="R2773" s="1703" t="str">
        <f>IFERROR(VLOOKUP(F2773,#REF!,14,FALSE),"")</f>
        <v/>
      </c>
      <c r="S2773" s="1704">
        <f t="shared" si="535"/>
        <v>1.6517857142857142</v>
      </c>
      <c r="T2773" s="1379">
        <f t="shared" si="536"/>
        <v>22.906860208342874</v>
      </c>
      <c r="U2773" s="1379">
        <f t="shared" si="537"/>
        <v>21.286245359751902</v>
      </c>
      <c r="V2773" s="1695">
        <f t="shared" si="538"/>
        <v>-1.5046140208818102</v>
      </c>
      <c r="W2773" s="1767">
        <f t="shared" si="539"/>
        <v>1.0761343685183313</v>
      </c>
      <c r="X2773" s="1695">
        <v>264</v>
      </c>
    </row>
    <row r="2774" spans="1:24" x14ac:dyDescent="0.2">
      <c r="A2774" s="1649" t="s">
        <v>256</v>
      </c>
      <c r="B2774" s="1677">
        <f t="shared" ref="B2774" si="603">AVERAGE(W2771:W2777)</f>
        <v>1.1975688684831205</v>
      </c>
      <c r="C2774" s="1724">
        <v>45862</v>
      </c>
      <c r="D2774" s="1695">
        <v>101</v>
      </c>
      <c r="E2774" s="1696" t="s">
        <v>293</v>
      </c>
      <c r="F2774" s="1547" t="s">
        <v>313</v>
      </c>
      <c r="G2774" s="1697">
        <v>3.9317129629629632E-2</v>
      </c>
      <c r="H2774" s="1698">
        <v>10.35</v>
      </c>
      <c r="I2774" s="1699">
        <f t="shared" si="533"/>
        <v>3.7987564859545539E-3</v>
      </c>
      <c r="J2774" s="1700"/>
      <c r="K2774" s="1755">
        <v>67</v>
      </c>
      <c r="L2774" s="1578">
        <v>217</v>
      </c>
      <c r="M2774" s="1700">
        <v>26</v>
      </c>
      <c r="N2774" s="1701">
        <f t="shared" si="534"/>
        <v>1.0630168000576827</v>
      </c>
      <c r="O2774" s="1702" t="s">
        <v>345</v>
      </c>
      <c r="P2774" s="1635" t="str">
        <f>IFERROR(VLOOKUP(F2774,#REF!,12,FALSE),"")</f>
        <v/>
      </c>
      <c r="Q2774" s="1636" t="s">
        <v>8</v>
      </c>
      <c r="R2774" s="1703" t="str">
        <f>IFERROR(VLOOKUP(F2774,#REF!,14,FALSE),"")</f>
        <v/>
      </c>
      <c r="S2774" s="1704" t="str">
        <f t="shared" si="535"/>
        <v/>
      </c>
      <c r="T2774" s="1379">
        <f t="shared" si="536"/>
        <v>29.205880178579605</v>
      </c>
      <c r="U2774" s="1379">
        <f t="shared" si="537"/>
        <v>22.37466808928162</v>
      </c>
      <c r="V2774" s="1695">
        <f t="shared" si="538"/>
        <v>-1.6206148485909715</v>
      </c>
      <c r="W2774" s="1767">
        <f t="shared" si="539"/>
        <v>1.3053100972063318</v>
      </c>
      <c r="X2774" s="1695">
        <v>262</v>
      </c>
    </row>
    <row r="2775" spans="1:24" x14ac:dyDescent="0.2">
      <c r="A2775" s="1649" t="s">
        <v>336</v>
      </c>
      <c r="B2775" s="1713">
        <f t="shared" ref="B2775" si="604">IFERROR(AVERAGE(N2771:N2777),"")</f>
        <v>1.0597097069607408</v>
      </c>
      <c r="C2775" s="1724">
        <v>45863</v>
      </c>
      <c r="D2775" s="1695">
        <v>102</v>
      </c>
      <c r="E2775" s="1696" t="s">
        <v>292</v>
      </c>
      <c r="F2775" s="1547" t="s">
        <v>343</v>
      </c>
      <c r="G2775" s="1697">
        <v>2.5104166666666667E-2</v>
      </c>
      <c r="H2775" s="1698">
        <v>6.02</v>
      </c>
      <c r="I2775" s="1699">
        <f t="shared" si="533"/>
        <v>4.1701273532668889E-3</v>
      </c>
      <c r="J2775" s="1700">
        <v>116</v>
      </c>
      <c r="K2775" s="1755">
        <v>25</v>
      </c>
      <c r="L2775" s="1578">
        <v>196</v>
      </c>
      <c r="M2775" s="1700">
        <v>20</v>
      </c>
      <c r="N2775" s="1701">
        <f t="shared" si="534"/>
        <v>1.0540090246442209</v>
      </c>
      <c r="O2775" s="1702" t="s">
        <v>358</v>
      </c>
      <c r="P2775" s="1635" t="str">
        <f>IFERROR(VLOOKUP(F2775,#REF!,12,FALSE),"")</f>
        <v/>
      </c>
      <c r="Q2775" s="1636" t="s">
        <v>8</v>
      </c>
      <c r="R2775" s="1703" t="str">
        <f>IFERROR(VLOOKUP(F2775,#REF!,14,FALSE),"")</f>
        <v/>
      </c>
      <c r="S2775" s="1704">
        <f t="shared" si="535"/>
        <v>1.6896551724137931</v>
      </c>
      <c r="T2775" s="1379">
        <f t="shared" si="536"/>
        <v>28.605040153068234</v>
      </c>
      <c r="U2775" s="1379">
        <f t="shared" si="537"/>
        <v>22.437175991917773</v>
      </c>
      <c r="V2775" s="1695">
        <f t="shared" si="538"/>
        <v>-6.8312120892979848</v>
      </c>
      <c r="W2775" s="1767">
        <f t="shared" si="539"/>
        <v>1.2748948514453078</v>
      </c>
      <c r="X2775" s="1695">
        <v>262</v>
      </c>
    </row>
    <row r="2776" spans="1:24" x14ac:dyDescent="0.2">
      <c r="A2776" s="1649" t="s">
        <v>337</v>
      </c>
      <c r="B2776" s="1681">
        <f t="shared" ref="B2776" si="605">IFERROR(AVERAGE(S2771:S2777),"")</f>
        <v>1.6509038511719949</v>
      </c>
      <c r="C2776" s="1724">
        <v>45864</v>
      </c>
      <c r="D2776" s="1695"/>
      <c r="E2776" s="1696"/>
      <c r="F2776" s="1547"/>
      <c r="G2776" s="1697"/>
      <c r="H2776" s="1698" t="str">
        <f>IFERROR(VLOOKUP(F2776,#REF!,10,FALSE),"")</f>
        <v/>
      </c>
      <c r="I2776" s="1699" t="str">
        <f t="shared" ref="I2776:I2839" si="606">IFERROR(G2776/H2776,"")</f>
        <v/>
      </c>
      <c r="J2776" s="1700"/>
      <c r="K2776" s="1755"/>
      <c r="L2776" s="1578"/>
      <c r="M2776" s="1700"/>
      <c r="N2776" s="1701" t="str">
        <f t="shared" ref="N2776:N2839" si="607">IFERROR((L2776/67)/(1/(I2776*24)/3.6),"")</f>
        <v/>
      </c>
      <c r="O2776" s="1702"/>
      <c r="P2776" s="1635" t="str">
        <f>IFERROR(VLOOKUP(F2776,#REF!,12,FALSE),"")</f>
        <v/>
      </c>
      <c r="Q2776" s="1636" t="s">
        <v>8</v>
      </c>
      <c r="R2776" s="1703" t="str">
        <f>IFERROR(VLOOKUP(F2776,#REF!,14,FALSE),"")</f>
        <v/>
      </c>
      <c r="S2776" s="1704" t="str">
        <f t="shared" ref="S2776:S2839" si="608">IFERROR(L2776/J2776,"")</f>
        <v/>
      </c>
      <c r="T2776" s="1379">
        <f t="shared" ref="T2776:T2839" si="609">T2775+(K2776-T2775)/7</f>
        <v>24.518605845487059</v>
      </c>
      <c r="U2776" s="1379">
        <f t="shared" ref="U2776:U2839" si="610">U2775+(K2776-U2775)/42</f>
        <v>21.902957515919731</v>
      </c>
      <c r="V2776" s="1695">
        <f t="shared" ref="V2776:V2839" si="611">U2775-T2775</f>
        <v>-6.1678641611504617</v>
      </c>
      <c r="W2776" s="1767">
        <f t="shared" ref="W2776:W2839" si="612">T2776/U2776</f>
        <v>1.1194198695617337</v>
      </c>
      <c r="X2776" s="1695">
        <v>262</v>
      </c>
    </row>
    <row r="2777" spans="1:24" ht="16" thickBot="1" x14ac:dyDescent="0.25">
      <c r="A2777" s="1650" t="s">
        <v>5</v>
      </c>
      <c r="B2777" s="1678">
        <f t="shared" ref="B2777" si="613">IFERROR(SUM(M2771:M2777),"")</f>
        <v>141</v>
      </c>
      <c r="C2777" s="1686">
        <v>45865</v>
      </c>
      <c r="D2777" s="683">
        <v>103</v>
      </c>
      <c r="E2777" s="684" t="s">
        <v>292</v>
      </c>
      <c r="F2777" s="1429" t="s">
        <v>309</v>
      </c>
      <c r="G2777" s="1361">
        <v>6.3599537037037038E-2</v>
      </c>
      <c r="H2777" s="1362">
        <v>15.26</v>
      </c>
      <c r="I2777" s="1363">
        <f t="shared" si="606"/>
        <v>4.1677285083248387E-3</v>
      </c>
      <c r="J2777" s="1364">
        <v>129</v>
      </c>
      <c r="K2777" s="1747">
        <v>64</v>
      </c>
      <c r="L2777" s="1705">
        <v>197</v>
      </c>
      <c r="M2777" s="1364">
        <v>56</v>
      </c>
      <c r="N2777" s="1365">
        <f t="shared" si="607"/>
        <v>1.0587772148432149</v>
      </c>
      <c r="O2777" s="1366" t="s">
        <v>357</v>
      </c>
      <c r="P2777" s="1706" t="str">
        <f>IFERROR(VLOOKUP(F2777,#REF!,12,FALSE),"")</f>
        <v/>
      </c>
      <c r="Q2777" s="1707" t="s">
        <v>8</v>
      </c>
      <c r="R2777" s="1708" t="str">
        <f>IFERROR(VLOOKUP(F2777,#REF!,14,FALSE),"")</f>
        <v/>
      </c>
      <c r="S2777" s="1191">
        <f t="shared" si="608"/>
        <v>1.5271317829457365</v>
      </c>
      <c r="T2777" s="1897">
        <f t="shared" si="609"/>
        <v>30.158805010417481</v>
      </c>
      <c r="U2777" s="1897">
        <f t="shared" si="610"/>
        <v>22.905268051254975</v>
      </c>
      <c r="V2777" s="683">
        <f t="shared" si="611"/>
        <v>-2.6156483295673283</v>
      </c>
      <c r="W2777" s="1768">
        <f t="shared" si="612"/>
        <v>1.3166754889281937</v>
      </c>
      <c r="X2777" s="683">
        <v>262</v>
      </c>
    </row>
    <row r="2778" spans="1:24" ht="16" thickBot="1" x14ac:dyDescent="0.25">
      <c r="A2778" s="1962">
        <f t="shared" ref="A2778" si="614">WEEKNUM(C2778,1)</f>
        <v>31</v>
      </c>
      <c r="B2778" s="1963"/>
      <c r="C2778" s="1687">
        <v>45866</v>
      </c>
      <c r="D2778" s="1369">
        <v>104</v>
      </c>
      <c r="E2778" s="1370" t="s">
        <v>293</v>
      </c>
      <c r="F2778" s="1547" t="s">
        <v>355</v>
      </c>
      <c r="G2778" s="1371">
        <v>2.6018518518518517E-2</v>
      </c>
      <c r="H2778" s="1372">
        <v>6.19</v>
      </c>
      <c r="I2778" s="1373">
        <f t="shared" si="606"/>
        <v>4.2033147848979831E-3</v>
      </c>
      <c r="J2778" s="1374">
        <v>113</v>
      </c>
      <c r="K2778" s="1745">
        <v>27</v>
      </c>
      <c r="L2778" s="1577">
        <v>196</v>
      </c>
      <c r="M2778" s="1374">
        <v>22</v>
      </c>
      <c r="N2778" s="1375">
        <f t="shared" si="607"/>
        <v>1.0623972222892002</v>
      </c>
      <c r="O2778" s="1376" t="s">
        <v>333</v>
      </c>
      <c r="P2778" s="795" t="str">
        <f>IFERROR(VLOOKUP(F2778,#REF!,12,FALSE),"")</f>
        <v/>
      </c>
      <c r="Q2778" s="1254" t="s">
        <v>8</v>
      </c>
      <c r="R2778" s="1694" t="str">
        <f>IFERROR(VLOOKUP(F2778,#REF!,14,FALSE),"")</f>
        <v/>
      </c>
      <c r="S2778" s="1377">
        <f t="shared" si="608"/>
        <v>1.7345132743362832</v>
      </c>
      <c r="T2778" s="1369">
        <f t="shared" si="609"/>
        <v>29.707547151786411</v>
      </c>
      <c r="U2778" s="1369">
        <f t="shared" si="610"/>
        <v>23.002761669082236</v>
      </c>
      <c r="V2778" s="1369">
        <f t="shared" si="611"/>
        <v>-7.2535369591625063</v>
      </c>
      <c r="W2778" s="1766">
        <f t="shared" si="612"/>
        <v>1.2914774138496599</v>
      </c>
      <c r="X2778" s="1369">
        <v>262</v>
      </c>
    </row>
    <row r="2779" spans="1:24" x14ac:dyDescent="0.2">
      <c r="A2779" s="1648" t="s">
        <v>142</v>
      </c>
      <c r="B2779" s="1679">
        <f t="shared" ref="B2779" si="615">SUM(H2778:H2784)</f>
        <v>48.44</v>
      </c>
      <c r="C2779" s="1724">
        <v>45867</v>
      </c>
      <c r="D2779" s="1695"/>
      <c r="E2779" s="1696"/>
      <c r="F2779" s="1547" t="s">
        <v>361</v>
      </c>
      <c r="G2779" s="1697"/>
      <c r="H2779" s="1698" t="str">
        <f>IFERROR(VLOOKUP(F2779,#REF!,10,FALSE),"")</f>
        <v/>
      </c>
      <c r="I2779" s="1699" t="str">
        <f t="shared" si="606"/>
        <v/>
      </c>
      <c r="J2779" s="1700"/>
      <c r="K2779" s="1755"/>
      <c r="L2779" s="1578"/>
      <c r="M2779" s="1700"/>
      <c r="N2779" s="1701" t="str">
        <f t="shared" si="607"/>
        <v/>
      </c>
      <c r="O2779" s="1702"/>
      <c r="P2779" s="1635" t="str">
        <f>IFERROR(VLOOKUP(F2779,#REF!,12,FALSE),"")</f>
        <v/>
      </c>
      <c r="Q2779" s="1636" t="s">
        <v>8</v>
      </c>
      <c r="R2779" s="1703" t="str">
        <f>IFERROR(VLOOKUP(F2779,#REF!,14,FALSE),"")</f>
        <v/>
      </c>
      <c r="S2779" s="1704" t="str">
        <f t="shared" si="608"/>
        <v/>
      </c>
      <c r="T2779" s="1828">
        <f t="shared" si="609"/>
        <v>25.463611844388353</v>
      </c>
      <c r="U2779" s="1828">
        <f t="shared" si="610"/>
        <v>22.45507686743742</v>
      </c>
      <c r="V2779" s="1695">
        <f t="shared" si="611"/>
        <v>-6.7047854827041746</v>
      </c>
      <c r="W2779" s="1767">
        <f t="shared" si="612"/>
        <v>1.133980168258238</v>
      </c>
      <c r="X2779" s="1695">
        <v>262</v>
      </c>
    </row>
    <row r="2780" spans="1:24" x14ac:dyDescent="0.2">
      <c r="A2780" s="1649" t="s">
        <v>347</v>
      </c>
      <c r="B2780" s="1680">
        <f t="shared" ref="B2780" si="616">SUM(K2778:K2784)</f>
        <v>252</v>
      </c>
      <c r="C2780" s="1724">
        <v>45868</v>
      </c>
      <c r="D2780" s="1695">
        <v>105</v>
      </c>
      <c r="E2780" s="1696" t="s">
        <v>293</v>
      </c>
      <c r="F2780" s="1547" t="s">
        <v>343</v>
      </c>
      <c r="G2780" s="1697">
        <v>2.3668981481481482E-2</v>
      </c>
      <c r="H2780" s="1698">
        <v>6.12</v>
      </c>
      <c r="I2780" s="1699">
        <f t="shared" si="606"/>
        <v>3.8674806342290004E-3</v>
      </c>
      <c r="J2780" s="1700">
        <v>121</v>
      </c>
      <c r="K2780" s="1755">
        <v>32</v>
      </c>
      <c r="L2780" s="1578">
        <v>216</v>
      </c>
      <c r="M2780" s="1700">
        <v>23</v>
      </c>
      <c r="N2780" s="1701">
        <f t="shared" si="607"/>
        <v>1.077260755048288</v>
      </c>
      <c r="O2780" s="1702" t="s">
        <v>345</v>
      </c>
      <c r="P2780" s="1635" t="str">
        <f>IFERROR(VLOOKUP(F2780,#REF!,12,FALSE),"")</f>
        <v/>
      </c>
      <c r="Q2780" s="1636" t="s">
        <v>8</v>
      </c>
      <c r="R2780" s="1703" t="str">
        <f>IFERROR(VLOOKUP(F2780,#REF!,14,FALSE),"")</f>
        <v/>
      </c>
      <c r="S2780" s="1704">
        <f t="shared" si="608"/>
        <v>1.7851239669421488</v>
      </c>
      <c r="T2780" s="1828">
        <f t="shared" si="609"/>
        <v>26.397381580904302</v>
      </c>
      <c r="U2780" s="1828">
        <f t="shared" si="610"/>
        <v>22.682336942022243</v>
      </c>
      <c r="V2780" s="1695">
        <f t="shared" si="611"/>
        <v>-3.0085349769509335</v>
      </c>
      <c r="W2780" s="1767">
        <f t="shared" si="612"/>
        <v>1.1637857972208945</v>
      </c>
      <c r="X2780" s="1695">
        <v>262</v>
      </c>
    </row>
    <row r="2781" spans="1:24" x14ac:dyDescent="0.2">
      <c r="A2781" s="1649" t="s">
        <v>256</v>
      </c>
      <c r="B2781" s="1677">
        <f t="shared" ref="B2781" si="617">AVERAGE(W2778:W2784)</f>
        <v>1.2881167911145275</v>
      </c>
      <c r="C2781" s="1724">
        <v>45869</v>
      </c>
      <c r="D2781" s="1695">
        <v>106</v>
      </c>
      <c r="E2781" s="1696" t="s">
        <v>293</v>
      </c>
      <c r="F2781" s="1547" t="s">
        <v>313</v>
      </c>
      <c r="G2781" s="1697">
        <v>3.7511574074074072E-2</v>
      </c>
      <c r="H2781" s="1698">
        <v>9.8800000000000008</v>
      </c>
      <c r="I2781" s="1699">
        <f t="shared" si="606"/>
        <v>3.7967180236917076E-3</v>
      </c>
      <c r="J2781" s="1700">
        <v>137</v>
      </c>
      <c r="K2781" s="1755">
        <v>68</v>
      </c>
      <c r="L2781" s="1578">
        <v>217</v>
      </c>
      <c r="M2781" s="1700">
        <v>17</v>
      </c>
      <c r="N2781" s="1701">
        <f t="shared" si="607"/>
        <v>1.0624463713819565</v>
      </c>
      <c r="O2781" s="1702" t="s">
        <v>345</v>
      </c>
      <c r="P2781" s="1635" t="str">
        <f>IFERROR(VLOOKUP(F2781,#REF!,12,FALSE),"")</f>
        <v/>
      </c>
      <c r="Q2781" s="1636" t="s">
        <v>8</v>
      </c>
      <c r="R2781" s="1703" t="str">
        <f>IFERROR(VLOOKUP(F2781,#REF!,14,FALSE),"")</f>
        <v/>
      </c>
      <c r="S2781" s="1704">
        <f t="shared" si="608"/>
        <v>1.583941605839416</v>
      </c>
      <c r="T2781" s="1828">
        <f t="shared" si="609"/>
        <v>32.34061278363226</v>
      </c>
      <c r="U2781" s="1828">
        <f t="shared" si="610"/>
        <v>23.76132891959314</v>
      </c>
      <c r="V2781" s="1695">
        <f t="shared" si="611"/>
        <v>-3.715044638882059</v>
      </c>
      <c r="W2781" s="1767">
        <f t="shared" si="612"/>
        <v>1.3610607762331342</v>
      </c>
      <c r="X2781" s="1695">
        <v>262</v>
      </c>
    </row>
    <row r="2782" spans="1:24" x14ac:dyDescent="0.2">
      <c r="A2782" s="1649" t="s">
        <v>336</v>
      </c>
      <c r="B2782" s="1713">
        <f t="shared" ref="B2782" si="618">IFERROR(AVERAGE(N2778:N2784),"")</f>
        <v>1.0666787783825677</v>
      </c>
      <c r="C2782" s="1724">
        <v>45870</v>
      </c>
      <c r="D2782" s="1695">
        <v>107</v>
      </c>
      <c r="E2782" s="1696" t="s">
        <v>293</v>
      </c>
      <c r="F2782" s="1547" t="s">
        <v>343</v>
      </c>
      <c r="G2782" s="1697">
        <v>3.2557870370370369E-2</v>
      </c>
      <c r="H2782" s="1698">
        <v>8.2100000000000009</v>
      </c>
      <c r="I2782" s="1699">
        <f t="shared" si="606"/>
        <v>3.9656358550999226E-3</v>
      </c>
      <c r="J2782" s="1700">
        <v>125</v>
      </c>
      <c r="K2782" s="1755">
        <v>40</v>
      </c>
      <c r="L2782" s="1578">
        <v>210</v>
      </c>
      <c r="M2782" s="1700">
        <v>25</v>
      </c>
      <c r="N2782" s="1701">
        <f t="shared" si="607"/>
        <v>1.073917864999</v>
      </c>
      <c r="O2782" s="1702" t="s">
        <v>358</v>
      </c>
      <c r="P2782" s="1635" t="str">
        <f>IFERROR(VLOOKUP(F2782,#REF!,12,FALSE),"")</f>
        <v/>
      </c>
      <c r="Q2782" s="1636" t="s">
        <v>8</v>
      </c>
      <c r="R2782" s="1703" t="str">
        <f>IFERROR(VLOOKUP(F2782,#REF!,14,FALSE),"")</f>
        <v/>
      </c>
      <c r="S2782" s="1704">
        <f t="shared" si="608"/>
        <v>1.68</v>
      </c>
      <c r="T2782" s="1828">
        <f t="shared" si="609"/>
        <v>33.43481095739908</v>
      </c>
      <c r="U2782" s="1828">
        <f t="shared" si="610"/>
        <v>24.147963945317112</v>
      </c>
      <c r="V2782" s="1695">
        <f t="shared" si="611"/>
        <v>-8.5792838640391196</v>
      </c>
      <c r="W2782" s="1767">
        <f t="shared" si="612"/>
        <v>1.3845809540345499</v>
      </c>
      <c r="X2782" s="1695">
        <v>262</v>
      </c>
    </row>
    <row r="2783" spans="1:24" x14ac:dyDescent="0.2">
      <c r="A2783" s="1649" t="s">
        <v>337</v>
      </c>
      <c r="B2783" s="1681">
        <f t="shared" ref="B2783" si="619">IFERROR(AVERAGE(S2778:S2784),"")</f>
        <v>1.6619009546087546</v>
      </c>
      <c r="C2783" s="1724">
        <v>45871</v>
      </c>
      <c r="D2783" s="1695"/>
      <c r="E2783" s="1696"/>
      <c r="F2783" s="1547"/>
      <c r="G2783" s="1697"/>
      <c r="H2783" s="1698" t="str">
        <f>IFERROR(VLOOKUP(F2783,#REF!,10,FALSE),"")</f>
        <v/>
      </c>
      <c r="I2783" s="1699" t="str">
        <f t="shared" si="606"/>
        <v/>
      </c>
      <c r="J2783" s="1700"/>
      <c r="K2783" s="1755"/>
      <c r="L2783" s="1578"/>
      <c r="M2783" s="1700"/>
      <c r="N2783" s="1701" t="str">
        <f t="shared" si="607"/>
        <v/>
      </c>
      <c r="O2783" s="1702"/>
      <c r="P2783" s="1635" t="str">
        <f>IFERROR(VLOOKUP(F2783,#REF!,12,FALSE),"")</f>
        <v/>
      </c>
      <c r="Q2783" s="1636" t="s">
        <v>8</v>
      </c>
      <c r="R2783" s="1703" t="str">
        <f>IFERROR(VLOOKUP(F2783,#REF!,14,FALSE),"")</f>
        <v/>
      </c>
      <c r="S2783" s="1704" t="str">
        <f t="shared" si="608"/>
        <v/>
      </c>
      <c r="T2783" s="1828">
        <f t="shared" si="609"/>
        <v>28.658409392056356</v>
      </c>
      <c r="U2783" s="1828">
        <f t="shared" si="610"/>
        <v>23.573012422809562</v>
      </c>
      <c r="V2783" s="1695">
        <f t="shared" si="611"/>
        <v>-9.2868470120819673</v>
      </c>
      <c r="W2783" s="1767">
        <f t="shared" si="612"/>
        <v>1.2157296181766779</v>
      </c>
      <c r="X2783" s="1695">
        <v>262</v>
      </c>
    </row>
    <row r="2784" spans="1:24" ht="16" thickBot="1" x14ac:dyDescent="0.25">
      <c r="A2784" s="1650" t="s">
        <v>5</v>
      </c>
      <c r="B2784" s="1678">
        <f t="shared" ref="B2784" si="620">IFERROR(SUM(M2778:M2784),"")</f>
        <v>174</v>
      </c>
      <c r="C2784" s="1686">
        <v>45872</v>
      </c>
      <c r="D2784" s="683">
        <v>108</v>
      </c>
      <c r="E2784" s="684" t="s">
        <v>292</v>
      </c>
      <c r="F2784" s="1429" t="s">
        <v>273</v>
      </c>
      <c r="G2784" s="1361">
        <v>7.1805555555555553E-2</v>
      </c>
      <c r="H2784" s="1362">
        <v>18.04</v>
      </c>
      <c r="I2784" s="1363">
        <f t="shared" si="606"/>
        <v>3.9803523035230352E-3</v>
      </c>
      <c r="J2784" s="1364">
        <v>135</v>
      </c>
      <c r="K2784" s="1747">
        <v>85</v>
      </c>
      <c r="L2784" s="1705">
        <v>206</v>
      </c>
      <c r="M2784" s="1364">
        <v>87</v>
      </c>
      <c r="N2784" s="1365">
        <f t="shared" si="607"/>
        <v>1.0573716781943938</v>
      </c>
      <c r="O2784" s="1366" t="s">
        <v>357</v>
      </c>
      <c r="P2784" s="1706" t="str">
        <f>IFERROR(VLOOKUP(F2784,#REF!,12,FALSE),"")</f>
        <v/>
      </c>
      <c r="Q2784" s="1707" t="s">
        <v>8</v>
      </c>
      <c r="R2784" s="1708" t="str">
        <f>IFERROR(VLOOKUP(F2784,#REF!,14,FALSE),"")</f>
        <v/>
      </c>
      <c r="S2784" s="1191">
        <f t="shared" si="608"/>
        <v>1.5259259259259259</v>
      </c>
      <c r="T2784" s="1829">
        <f t="shared" si="609"/>
        <v>36.707208050334017</v>
      </c>
      <c r="U2784" s="1829">
        <f t="shared" si="610"/>
        <v>25.035559746076</v>
      </c>
      <c r="V2784" s="683">
        <f t="shared" si="611"/>
        <v>-5.0853969692467942</v>
      </c>
      <c r="W2784" s="1768">
        <f t="shared" si="612"/>
        <v>1.4662028100285394</v>
      </c>
      <c r="X2784" s="683">
        <v>262</v>
      </c>
    </row>
    <row r="2785" spans="1:24" ht="16" thickBot="1" x14ac:dyDescent="0.25">
      <c r="A2785" s="1962">
        <f t="shared" ref="A2785" si="621">WEEKNUM(C2785,1)</f>
        <v>32</v>
      </c>
      <c r="B2785" s="1963"/>
      <c r="C2785" s="1944">
        <v>45873</v>
      </c>
      <c r="D2785" s="1369"/>
      <c r="E2785" s="1370"/>
      <c r="F2785" s="1546"/>
      <c r="G2785" s="1371"/>
      <c r="H2785" s="1372" t="str">
        <f>IFERROR(VLOOKUP(F2785,#REF!,10,FALSE),"")</f>
        <v/>
      </c>
      <c r="I2785" s="1373" t="str">
        <f t="shared" si="606"/>
        <v/>
      </c>
      <c r="J2785" s="1374"/>
      <c r="K2785" s="1745"/>
      <c r="L2785" s="1577"/>
      <c r="M2785" s="1374"/>
      <c r="N2785" s="1375" t="str">
        <f t="shared" si="607"/>
        <v/>
      </c>
      <c r="O2785" s="1376"/>
      <c r="P2785" s="795" t="str">
        <f>IFERROR(VLOOKUP(F2785,#REF!,12,FALSE),"")</f>
        <v/>
      </c>
      <c r="Q2785" s="1254" t="s">
        <v>8</v>
      </c>
      <c r="R2785" s="1694" t="str">
        <f>IFERROR(VLOOKUP(F2785,#REF!,14,FALSE),"")</f>
        <v/>
      </c>
      <c r="S2785" s="1377" t="str">
        <f t="shared" si="608"/>
        <v/>
      </c>
      <c r="T2785" s="70">
        <f t="shared" si="609"/>
        <v>31.463321186000584</v>
      </c>
      <c r="U2785" s="70">
        <f t="shared" si="610"/>
        <v>24.439474990217047</v>
      </c>
      <c r="V2785" s="1369">
        <f t="shared" si="611"/>
        <v>-11.671648304258017</v>
      </c>
      <c r="W2785" s="1766">
        <f t="shared" si="612"/>
        <v>1.2873975892933516</v>
      </c>
      <c r="X2785" s="1369">
        <v>262</v>
      </c>
    </row>
    <row r="2786" spans="1:24" x14ac:dyDescent="0.2">
      <c r="A2786" s="1648" t="s">
        <v>142</v>
      </c>
      <c r="B2786" s="1679">
        <f t="shared" ref="B2786" si="622">SUM(H2785:H2791)</f>
        <v>22.71</v>
      </c>
      <c r="C2786" s="1945">
        <v>45874</v>
      </c>
      <c r="D2786" s="1695">
        <v>109</v>
      </c>
      <c r="E2786" s="1696" t="s">
        <v>293</v>
      </c>
      <c r="F2786" s="1547" t="s">
        <v>343</v>
      </c>
      <c r="G2786" s="1697">
        <v>2.480324074074074E-2</v>
      </c>
      <c r="H2786" s="1698">
        <v>5.88</v>
      </c>
      <c r="I2786" s="1699">
        <f t="shared" si="606"/>
        <v>4.2182382212144114E-3</v>
      </c>
      <c r="J2786" s="1700">
        <v>122</v>
      </c>
      <c r="K2786" s="1755">
        <v>24</v>
      </c>
      <c r="L2786" s="1578">
        <v>194</v>
      </c>
      <c r="M2786" s="1700">
        <v>18</v>
      </c>
      <c r="N2786" s="1701">
        <f t="shared" si="607"/>
        <v>1.055289877144888</v>
      </c>
      <c r="O2786" s="1702" t="s">
        <v>358</v>
      </c>
      <c r="P2786" s="1635" t="str">
        <f>IFERROR(VLOOKUP(F2786,#REF!,12,FALSE),"")</f>
        <v/>
      </c>
      <c r="Q2786" s="1636" t="s">
        <v>8</v>
      </c>
      <c r="R2786" s="1703" t="str">
        <f>IFERROR(VLOOKUP(F2786,#REF!,14,FALSE),"")</f>
        <v/>
      </c>
      <c r="S2786" s="1704">
        <f t="shared" si="608"/>
        <v>1.5901639344262295</v>
      </c>
      <c r="T2786" s="1379">
        <f t="shared" si="609"/>
        <v>30.39713244514336</v>
      </c>
      <c r="U2786" s="1379">
        <f t="shared" si="610"/>
        <v>24.429011299973784</v>
      </c>
      <c r="V2786" s="1695">
        <f t="shared" si="611"/>
        <v>-7.0238461957835376</v>
      </c>
      <c r="W2786" s="1767">
        <f t="shared" si="612"/>
        <v>1.2443046536711857</v>
      </c>
      <c r="X2786" s="1695">
        <v>262</v>
      </c>
    </row>
    <row r="2787" spans="1:24" x14ac:dyDescent="0.2">
      <c r="A2787" s="1649" t="s">
        <v>347</v>
      </c>
      <c r="B2787" s="1680">
        <f t="shared" ref="B2787" si="623">SUM(K2785:K2791)</f>
        <v>98</v>
      </c>
      <c r="C2787" s="1945">
        <v>45875</v>
      </c>
      <c r="D2787" s="1695"/>
      <c r="E2787" s="1696"/>
      <c r="F2787" s="1547"/>
      <c r="G2787" s="1697"/>
      <c r="H2787" s="1698" t="str">
        <f>IFERROR(VLOOKUP(F2787,#REF!,10,FALSE),"")</f>
        <v/>
      </c>
      <c r="I2787" s="1699" t="str">
        <f t="shared" si="606"/>
        <v/>
      </c>
      <c r="J2787" s="1700"/>
      <c r="K2787" s="1755"/>
      <c r="L2787" s="1578"/>
      <c r="M2787" s="1700"/>
      <c r="N2787" s="1701" t="str">
        <f t="shared" si="607"/>
        <v/>
      </c>
      <c r="O2787" s="1702"/>
      <c r="P2787" s="1635" t="str">
        <f>IFERROR(VLOOKUP(F2787,#REF!,12,FALSE),"")</f>
        <v/>
      </c>
      <c r="Q2787" s="1636" t="s">
        <v>8</v>
      </c>
      <c r="R2787" s="1703" t="str">
        <f>IFERROR(VLOOKUP(F2787,#REF!,14,FALSE),"")</f>
        <v/>
      </c>
      <c r="S2787" s="1704" t="str">
        <f t="shared" si="608"/>
        <v/>
      </c>
      <c r="T2787" s="1379">
        <f t="shared" si="609"/>
        <v>26.054684952980022</v>
      </c>
      <c r="U2787" s="1379">
        <f t="shared" si="610"/>
        <v>23.847368173783931</v>
      </c>
      <c r="V2787" s="1695">
        <f t="shared" si="611"/>
        <v>-5.9681211451695759</v>
      </c>
      <c r="W2787" s="1767">
        <f t="shared" si="612"/>
        <v>1.092560183711285</v>
      </c>
      <c r="X2787" s="1695">
        <v>262</v>
      </c>
    </row>
    <row r="2788" spans="1:24" x14ac:dyDescent="0.2">
      <c r="A2788" s="1649" t="s">
        <v>256</v>
      </c>
      <c r="B2788" s="1677">
        <f t="shared" ref="B2788" si="624">AVERAGE(W2785:W2791)</f>
        <v>1.0692714886959118</v>
      </c>
      <c r="C2788" s="1945">
        <v>45876</v>
      </c>
      <c r="D2788" s="1695">
        <v>110</v>
      </c>
      <c r="E2788" s="1696" t="s">
        <v>293</v>
      </c>
      <c r="F2788" s="1547" t="s">
        <v>343</v>
      </c>
      <c r="G2788" s="1697">
        <v>2.4513888888888891E-2</v>
      </c>
      <c r="H2788" s="1698">
        <v>5.87</v>
      </c>
      <c r="I2788" s="1699">
        <f t="shared" si="606"/>
        <v>4.1761309861820936E-3</v>
      </c>
      <c r="J2788" s="1700">
        <v>117</v>
      </c>
      <c r="K2788" s="1755">
        <v>24</v>
      </c>
      <c r="L2788" s="1578">
        <v>196</v>
      </c>
      <c r="M2788" s="1700">
        <v>18</v>
      </c>
      <c r="N2788" s="1701">
        <f t="shared" si="607"/>
        <v>1.0555264563045081</v>
      </c>
      <c r="O2788" s="1702" t="s">
        <v>333</v>
      </c>
      <c r="P2788" s="1635" t="str">
        <f>IFERROR(VLOOKUP(F2788,#REF!,12,FALSE),"")</f>
        <v/>
      </c>
      <c r="Q2788" s="1636" t="s">
        <v>8</v>
      </c>
      <c r="R2788" s="1703" t="str">
        <f>IFERROR(VLOOKUP(F2788,#REF!,14,FALSE),"")</f>
        <v/>
      </c>
      <c r="S2788" s="1704">
        <f t="shared" si="608"/>
        <v>1.6752136752136753</v>
      </c>
      <c r="T2788" s="1379">
        <f t="shared" si="609"/>
        <v>25.761158531125734</v>
      </c>
      <c r="U2788" s="1379">
        <f t="shared" si="610"/>
        <v>23.851002264884315</v>
      </c>
      <c r="V2788" s="1695">
        <f t="shared" si="611"/>
        <v>-2.2073167791960913</v>
      </c>
      <c r="W2788" s="1767">
        <f t="shared" si="612"/>
        <v>1.0800870439333163</v>
      </c>
      <c r="X2788" s="1695">
        <v>262</v>
      </c>
    </row>
    <row r="2789" spans="1:24" x14ac:dyDescent="0.2">
      <c r="A2789" s="1649" t="s">
        <v>336</v>
      </c>
      <c r="B2789" s="1713">
        <f t="shared" ref="B2789" si="625">IFERROR(AVERAGE(N2785:N2791),"")</f>
        <v>1.0620313804964958</v>
      </c>
      <c r="C2789" s="1945">
        <v>45877</v>
      </c>
      <c r="D2789" s="1695"/>
      <c r="E2789" s="1696"/>
      <c r="F2789" s="1547" t="s">
        <v>361</v>
      </c>
      <c r="G2789" s="1697"/>
      <c r="H2789" s="1698" t="str">
        <f>IFERROR(VLOOKUP(F2789,#REF!,10,FALSE),"")</f>
        <v/>
      </c>
      <c r="I2789" s="1699" t="str">
        <f t="shared" si="606"/>
        <v/>
      </c>
      <c r="J2789" s="1700"/>
      <c r="K2789" s="1755"/>
      <c r="L2789" s="1578"/>
      <c r="M2789" s="1700"/>
      <c r="N2789" s="1701" t="str">
        <f t="shared" si="607"/>
        <v/>
      </c>
      <c r="O2789" s="1702"/>
      <c r="P2789" s="1635" t="str">
        <f>IFERROR(VLOOKUP(F2789,#REF!,12,FALSE),"")</f>
        <v/>
      </c>
      <c r="Q2789" s="1636" t="s">
        <v>8</v>
      </c>
      <c r="R2789" s="1703" t="str">
        <f>IFERROR(VLOOKUP(F2789,#REF!,14,FALSE),"")</f>
        <v/>
      </c>
      <c r="S2789" s="1704" t="str">
        <f t="shared" si="608"/>
        <v/>
      </c>
      <c r="T2789" s="1379">
        <f t="shared" si="609"/>
        <v>22.080993026679199</v>
      </c>
      <c r="U2789" s="1379">
        <f t="shared" si="610"/>
        <v>23.283121258577545</v>
      </c>
      <c r="V2789" s="1695">
        <f t="shared" si="611"/>
        <v>-1.9101562662414189</v>
      </c>
      <c r="W2789" s="1767">
        <f t="shared" si="612"/>
        <v>0.94836911174632654</v>
      </c>
      <c r="X2789" s="1695">
        <v>262</v>
      </c>
    </row>
    <row r="2790" spans="1:24" x14ac:dyDescent="0.2">
      <c r="A2790" s="1649" t="s">
        <v>337</v>
      </c>
      <c r="B2790" s="1681">
        <f t="shared" ref="B2790" si="626">IFERROR(AVERAGE(S2785:S2791),"")</f>
        <v>1.6513007332679466</v>
      </c>
      <c r="C2790" s="1945">
        <v>45878</v>
      </c>
      <c r="D2790" s="1695"/>
      <c r="E2790" s="1696"/>
      <c r="F2790" s="1547"/>
      <c r="G2790" s="1697"/>
      <c r="H2790" s="1698" t="str">
        <f>IFERROR(VLOOKUP(F2790,#REF!,10,FALSE),"")</f>
        <v/>
      </c>
      <c r="I2790" s="1699" t="str">
        <f t="shared" si="606"/>
        <v/>
      </c>
      <c r="J2790" s="1700"/>
      <c r="K2790" s="1755"/>
      <c r="L2790" s="1578"/>
      <c r="M2790" s="1700"/>
      <c r="N2790" s="1701" t="str">
        <f t="shared" si="607"/>
        <v/>
      </c>
      <c r="O2790" s="1702"/>
      <c r="P2790" s="1635" t="str">
        <f>IFERROR(VLOOKUP(F2790,#REF!,12,FALSE),"")</f>
        <v/>
      </c>
      <c r="Q2790" s="1636" t="s">
        <v>8</v>
      </c>
      <c r="R2790" s="1703" t="str">
        <f>IFERROR(VLOOKUP(F2790,#REF!,14,FALSE),"")</f>
        <v/>
      </c>
      <c r="S2790" s="1704" t="str">
        <f t="shared" si="608"/>
        <v/>
      </c>
      <c r="T2790" s="1379">
        <f t="shared" si="609"/>
        <v>18.926565451439313</v>
      </c>
      <c r="U2790" s="1379">
        <f t="shared" si="610"/>
        <v>22.728761228611411</v>
      </c>
      <c r="V2790" s="1695">
        <f t="shared" si="611"/>
        <v>1.2021282318983459</v>
      </c>
      <c r="W2790" s="1767">
        <f t="shared" si="612"/>
        <v>0.83271434202116479</v>
      </c>
      <c r="X2790" s="1695">
        <v>262</v>
      </c>
    </row>
    <row r="2791" spans="1:24" ht="16" thickBot="1" x14ac:dyDescent="0.25">
      <c r="A2791" s="1650" t="s">
        <v>5</v>
      </c>
      <c r="B2791" s="1678">
        <f t="shared" ref="B2791" si="627">IFERROR(SUM(M2785:M2791),"")</f>
        <v>66</v>
      </c>
      <c r="C2791" s="1946">
        <v>45879</v>
      </c>
      <c r="D2791" s="683">
        <v>111</v>
      </c>
      <c r="E2791" s="684" t="s">
        <v>293</v>
      </c>
      <c r="F2791" s="1429" t="s">
        <v>279</v>
      </c>
      <c r="G2791" s="1361">
        <v>4.4363425925925924E-2</v>
      </c>
      <c r="H2791" s="1362">
        <v>10.96</v>
      </c>
      <c r="I2791" s="1363">
        <f t="shared" si="606"/>
        <v>4.0477578399567447E-3</v>
      </c>
      <c r="J2791" s="1364">
        <v>122</v>
      </c>
      <c r="K2791" s="1747">
        <v>50</v>
      </c>
      <c r="L2791" s="1705">
        <v>206</v>
      </c>
      <c r="M2791" s="1364">
        <v>30</v>
      </c>
      <c r="N2791" s="1365">
        <f t="shared" si="607"/>
        <v>1.0752778080400913</v>
      </c>
      <c r="O2791" s="1366" t="s">
        <v>357</v>
      </c>
      <c r="P2791" s="1706" t="str">
        <f>IFERROR(VLOOKUP(F2791,#REF!,12,FALSE),"")</f>
        <v/>
      </c>
      <c r="Q2791" s="1707" t="s">
        <v>8</v>
      </c>
      <c r="R2791" s="1708" t="str">
        <f>IFERROR(VLOOKUP(F2791,#REF!,14,FALSE),"")</f>
        <v/>
      </c>
      <c r="S2791" s="1191">
        <f t="shared" si="608"/>
        <v>1.6885245901639345</v>
      </c>
      <c r="T2791" s="1897">
        <f t="shared" si="609"/>
        <v>23.365627529805124</v>
      </c>
      <c r="U2791" s="1897">
        <f t="shared" si="610"/>
        <v>23.378076437453995</v>
      </c>
      <c r="V2791" s="683">
        <f t="shared" si="611"/>
        <v>3.8021957771720984</v>
      </c>
      <c r="W2791" s="1768">
        <f t="shared" si="612"/>
        <v>0.99946749649475319</v>
      </c>
      <c r="X2791" s="683">
        <v>262</v>
      </c>
    </row>
    <row r="2792" spans="1:24" ht="16" thickBot="1" x14ac:dyDescent="0.25">
      <c r="A2792" s="1962">
        <f t="shared" ref="A2792" si="628">WEEKNUM(C2792,1)</f>
        <v>33</v>
      </c>
      <c r="B2792" s="1963"/>
      <c r="C2792" s="1687">
        <v>45880</v>
      </c>
      <c r="D2792" s="1369"/>
      <c r="E2792" s="1370"/>
      <c r="F2792" s="1547"/>
      <c r="G2792" s="1371"/>
      <c r="H2792" s="1372" t="str">
        <f>IFERROR(VLOOKUP(F2792,#REF!,10,FALSE),"")</f>
        <v/>
      </c>
      <c r="I2792" s="1373" t="str">
        <f t="shared" si="606"/>
        <v/>
      </c>
      <c r="J2792" s="1374"/>
      <c r="K2792" s="1745"/>
      <c r="L2792" s="1577"/>
      <c r="M2792" s="1374"/>
      <c r="N2792" s="1375" t="str">
        <f t="shared" si="607"/>
        <v/>
      </c>
      <c r="O2792" s="1376"/>
      <c r="P2792" s="795" t="str">
        <f>IFERROR(VLOOKUP(F2792,#REF!,12,FALSE),"")</f>
        <v/>
      </c>
      <c r="Q2792" s="1254" t="s">
        <v>8</v>
      </c>
      <c r="R2792" s="1694" t="str">
        <f>IFERROR(VLOOKUP(F2792,#REF!,14,FALSE),"")</f>
        <v/>
      </c>
      <c r="S2792" s="1377" t="str">
        <f t="shared" si="608"/>
        <v/>
      </c>
      <c r="T2792" s="1369">
        <f t="shared" si="609"/>
        <v>20.027680739832963</v>
      </c>
      <c r="U2792" s="1369">
        <f t="shared" si="610"/>
        <v>22.821455569895566</v>
      </c>
      <c r="V2792" s="1369">
        <f t="shared" si="611"/>
        <v>1.2448907648870744E-2</v>
      </c>
      <c r="W2792" s="1766">
        <f t="shared" si="612"/>
        <v>0.87758121643441744</v>
      </c>
      <c r="X2792" s="1369">
        <v>262</v>
      </c>
    </row>
    <row r="2793" spans="1:24" x14ac:dyDescent="0.2">
      <c r="A2793" s="1648" t="s">
        <v>142</v>
      </c>
      <c r="B2793" s="1679">
        <f t="shared" ref="B2793" si="629">SUM(H2792:H2798)</f>
        <v>0</v>
      </c>
      <c r="C2793" s="1724">
        <v>45881</v>
      </c>
      <c r="D2793" s="1695"/>
      <c r="E2793" s="1696"/>
      <c r="F2793" s="1547"/>
      <c r="G2793" s="1697"/>
      <c r="H2793" s="1698" t="str">
        <f>IFERROR(VLOOKUP(F2793,#REF!,10,FALSE),"")</f>
        <v/>
      </c>
      <c r="I2793" s="1699" t="str">
        <f t="shared" si="606"/>
        <v/>
      </c>
      <c r="J2793" s="1700"/>
      <c r="K2793" s="1755"/>
      <c r="L2793" s="1578"/>
      <c r="M2793" s="1700"/>
      <c r="N2793" s="1701" t="str">
        <f t="shared" si="607"/>
        <v/>
      </c>
      <c r="O2793" s="1702"/>
      <c r="P2793" s="1635" t="str">
        <f>IFERROR(VLOOKUP(F2793,#REF!,12,FALSE),"")</f>
        <v/>
      </c>
      <c r="Q2793" s="1636" t="s">
        <v>8</v>
      </c>
      <c r="R2793" s="1703" t="str">
        <f>IFERROR(VLOOKUP(F2793,#REF!,14,FALSE),"")</f>
        <v/>
      </c>
      <c r="S2793" s="1704" t="str">
        <f t="shared" si="608"/>
        <v/>
      </c>
      <c r="T2793" s="1828">
        <f t="shared" si="609"/>
        <v>17.166583491285397</v>
      </c>
      <c r="U2793" s="1828">
        <f t="shared" si="610"/>
        <v>22.278087580136148</v>
      </c>
      <c r="V2793" s="1695">
        <f t="shared" si="611"/>
        <v>2.7937748300626026</v>
      </c>
      <c r="W2793" s="1767">
        <f t="shared" si="612"/>
        <v>0.77055911686924461</v>
      </c>
      <c r="X2793" s="1695">
        <v>262</v>
      </c>
    </row>
    <row r="2794" spans="1:24" x14ac:dyDescent="0.2">
      <c r="A2794" s="1649" t="s">
        <v>347</v>
      </c>
      <c r="B2794" s="1680">
        <f t="shared" ref="B2794" si="630">SUM(K2792:K2798)</f>
        <v>0</v>
      </c>
      <c r="C2794" s="1724">
        <v>45882</v>
      </c>
      <c r="D2794" s="1695"/>
      <c r="E2794" s="1696"/>
      <c r="F2794" s="1547"/>
      <c r="G2794" s="1697"/>
      <c r="H2794" s="1698" t="str">
        <f>IFERROR(VLOOKUP(F2794,#REF!,10,FALSE),"")</f>
        <v/>
      </c>
      <c r="I2794" s="1699" t="str">
        <f t="shared" si="606"/>
        <v/>
      </c>
      <c r="J2794" s="1700"/>
      <c r="K2794" s="1755"/>
      <c r="L2794" s="1578"/>
      <c r="M2794" s="1700"/>
      <c r="N2794" s="1701" t="str">
        <f t="shared" si="607"/>
        <v/>
      </c>
      <c r="O2794" s="1702"/>
      <c r="P2794" s="1635" t="str">
        <f>IFERROR(VLOOKUP(F2794,#REF!,12,FALSE),"")</f>
        <v/>
      </c>
      <c r="Q2794" s="1636" t="s">
        <v>8</v>
      </c>
      <c r="R2794" s="1703" t="str">
        <f>IFERROR(VLOOKUP(F2794,#REF!,14,FALSE),"")</f>
        <v/>
      </c>
      <c r="S2794" s="1704" t="str">
        <f t="shared" si="608"/>
        <v/>
      </c>
      <c r="T2794" s="1828">
        <f t="shared" si="609"/>
        <v>14.714214421101769</v>
      </c>
      <c r="U2794" s="1828">
        <f t="shared" si="610"/>
        <v>21.747656923466241</v>
      </c>
      <c r="V2794" s="1695">
        <f t="shared" si="611"/>
        <v>5.1115040888507508</v>
      </c>
      <c r="W2794" s="1767">
        <f t="shared" si="612"/>
        <v>0.67658849286080014</v>
      </c>
      <c r="X2794" s="1695">
        <v>262</v>
      </c>
    </row>
    <row r="2795" spans="1:24" x14ac:dyDescent="0.2">
      <c r="A2795" s="1649" t="s">
        <v>256</v>
      </c>
      <c r="B2795" s="1677">
        <f t="shared" ref="B2795" si="631">AVERAGE(W2792:W2798)</f>
        <v>0.6143731285752202</v>
      </c>
      <c r="C2795" s="1724">
        <v>45883</v>
      </c>
      <c r="D2795" s="1695"/>
      <c r="E2795" s="1696"/>
      <c r="F2795" s="1547"/>
      <c r="G2795" s="1697"/>
      <c r="H2795" s="1698" t="str">
        <f>IFERROR(VLOOKUP(F2795,#REF!,10,FALSE),"")</f>
        <v/>
      </c>
      <c r="I2795" s="1699" t="str">
        <f t="shared" si="606"/>
        <v/>
      </c>
      <c r="J2795" s="1700"/>
      <c r="K2795" s="1755"/>
      <c r="L2795" s="1578"/>
      <c r="M2795" s="1700"/>
      <c r="N2795" s="1701" t="str">
        <f t="shared" si="607"/>
        <v/>
      </c>
      <c r="O2795" s="1702"/>
      <c r="P2795" s="1635" t="str">
        <f>IFERROR(VLOOKUP(F2795,#REF!,12,FALSE),"")</f>
        <v/>
      </c>
      <c r="Q2795" s="1636" t="s">
        <v>8</v>
      </c>
      <c r="R2795" s="1703" t="str">
        <f>IFERROR(VLOOKUP(F2795,#REF!,14,FALSE),"")</f>
        <v/>
      </c>
      <c r="S2795" s="1704" t="str">
        <f t="shared" si="608"/>
        <v/>
      </c>
      <c r="T2795" s="1828">
        <f t="shared" si="609"/>
        <v>12.612183789515802</v>
      </c>
      <c r="U2795" s="1828">
        <f t="shared" si="610"/>
        <v>21.229855568145616</v>
      </c>
      <c r="V2795" s="1695">
        <f t="shared" si="611"/>
        <v>7.0334425023644727</v>
      </c>
      <c r="W2795" s="1767">
        <f t="shared" si="612"/>
        <v>0.59407770104850743</v>
      </c>
      <c r="X2795" s="1695">
        <v>262</v>
      </c>
    </row>
    <row r="2796" spans="1:24" x14ac:dyDescent="0.2">
      <c r="A2796" s="1649" t="s">
        <v>336</v>
      </c>
      <c r="B2796" s="1713" t="str">
        <f t="shared" ref="B2796" si="632">IFERROR(AVERAGE(N2792:N2798),"")</f>
        <v/>
      </c>
      <c r="C2796" s="1724">
        <v>45884</v>
      </c>
      <c r="D2796" s="1695"/>
      <c r="E2796" s="1696"/>
      <c r="F2796" s="1547"/>
      <c r="G2796" s="1697"/>
      <c r="H2796" s="1698" t="str">
        <f>IFERROR(VLOOKUP(F2796,#REF!,10,FALSE),"")</f>
        <v/>
      </c>
      <c r="I2796" s="1699" t="str">
        <f t="shared" si="606"/>
        <v/>
      </c>
      <c r="J2796" s="1700"/>
      <c r="K2796" s="1755"/>
      <c r="L2796" s="1578"/>
      <c r="M2796" s="1700"/>
      <c r="N2796" s="1701" t="str">
        <f t="shared" si="607"/>
        <v/>
      </c>
      <c r="O2796" s="1702"/>
      <c r="P2796" s="1635" t="str">
        <f>IFERROR(VLOOKUP(F2796,#REF!,12,FALSE),"")</f>
        <v/>
      </c>
      <c r="Q2796" s="1636" t="s">
        <v>8</v>
      </c>
      <c r="R2796" s="1703" t="str">
        <f>IFERROR(VLOOKUP(F2796,#REF!,14,FALSE),"")</f>
        <v/>
      </c>
      <c r="S2796" s="1704" t="str">
        <f t="shared" si="608"/>
        <v/>
      </c>
      <c r="T2796" s="1828">
        <f t="shared" si="609"/>
        <v>10.810443248156401</v>
      </c>
      <c r="U2796" s="1828">
        <f t="shared" si="610"/>
        <v>20.7243828165231</v>
      </c>
      <c r="V2796" s="1695">
        <f t="shared" si="611"/>
        <v>8.6176717786298145</v>
      </c>
      <c r="W2796" s="1767">
        <f t="shared" si="612"/>
        <v>0.52162920092064069</v>
      </c>
      <c r="X2796" s="1695">
        <v>262</v>
      </c>
    </row>
    <row r="2797" spans="1:24" x14ac:dyDescent="0.2">
      <c r="A2797" s="1649" t="s">
        <v>337</v>
      </c>
      <c r="B2797" s="1681" t="str">
        <f t="shared" ref="B2797" si="633">IFERROR(AVERAGE(S2792:S2798),"")</f>
        <v/>
      </c>
      <c r="C2797" s="1724">
        <v>45885</v>
      </c>
      <c r="D2797" s="1695"/>
      <c r="E2797" s="1696"/>
      <c r="F2797" s="1547" t="s">
        <v>361</v>
      </c>
      <c r="G2797" s="1697"/>
      <c r="H2797" s="1698" t="str">
        <f>IFERROR(VLOOKUP(F2797,#REF!,10,FALSE),"")</f>
        <v/>
      </c>
      <c r="I2797" s="1699" t="str">
        <f t="shared" si="606"/>
        <v/>
      </c>
      <c r="J2797" s="1700"/>
      <c r="K2797" s="1755"/>
      <c r="L2797" s="1578"/>
      <c r="M2797" s="1700"/>
      <c r="N2797" s="1701" t="str">
        <f t="shared" si="607"/>
        <v/>
      </c>
      <c r="O2797" s="1702"/>
      <c r="P2797" s="1635" t="str">
        <f>IFERROR(VLOOKUP(F2797,#REF!,12,FALSE),"")</f>
        <v/>
      </c>
      <c r="Q2797" s="1636" t="s">
        <v>8</v>
      </c>
      <c r="R2797" s="1703" t="str">
        <f>IFERROR(VLOOKUP(F2797,#REF!,14,FALSE),"")</f>
        <v/>
      </c>
      <c r="S2797" s="1704" t="str">
        <f t="shared" si="608"/>
        <v/>
      </c>
      <c r="T2797" s="1828">
        <f t="shared" si="609"/>
        <v>9.2660942127054877</v>
      </c>
      <c r="U2797" s="1828">
        <f t="shared" si="610"/>
        <v>20.230945130415407</v>
      </c>
      <c r="V2797" s="1695">
        <f t="shared" si="611"/>
        <v>9.9139395683666987</v>
      </c>
      <c r="W2797" s="1767">
        <f t="shared" si="612"/>
        <v>0.45801588373519675</v>
      </c>
      <c r="X2797" s="1695">
        <v>262</v>
      </c>
    </row>
    <row r="2798" spans="1:24" ht="16" thickBot="1" x14ac:dyDescent="0.25">
      <c r="A2798" s="1650" t="s">
        <v>5</v>
      </c>
      <c r="B2798" s="1678">
        <f t="shared" ref="B2798" si="634">IFERROR(SUM(M2792:M2798),"")</f>
        <v>0</v>
      </c>
      <c r="C2798" s="1686">
        <v>45886</v>
      </c>
      <c r="D2798" s="683"/>
      <c r="E2798" s="684"/>
      <c r="F2798" s="1429"/>
      <c r="G2798" s="1361"/>
      <c r="H2798" s="1362" t="str">
        <f>IFERROR(VLOOKUP(F2798,#REF!,10,FALSE),"")</f>
        <v/>
      </c>
      <c r="I2798" s="1363" t="str">
        <f t="shared" si="606"/>
        <v/>
      </c>
      <c r="J2798" s="1364"/>
      <c r="K2798" s="1747"/>
      <c r="L2798" s="1705"/>
      <c r="M2798" s="1364"/>
      <c r="N2798" s="1365" t="str">
        <f t="shared" si="607"/>
        <v/>
      </c>
      <c r="O2798" s="1366"/>
      <c r="P2798" s="1706" t="str">
        <f>IFERROR(VLOOKUP(F2798,#REF!,12,FALSE),"")</f>
        <v/>
      </c>
      <c r="Q2798" s="1707" t="s">
        <v>8</v>
      </c>
      <c r="R2798" s="1708" t="str">
        <f>IFERROR(VLOOKUP(F2798,#REF!,14,FALSE),"")</f>
        <v/>
      </c>
      <c r="S2798" s="1191" t="str">
        <f t="shared" si="608"/>
        <v/>
      </c>
      <c r="T2798" s="1829">
        <f t="shared" si="609"/>
        <v>7.9423664680332751</v>
      </c>
      <c r="U2798" s="1829">
        <f t="shared" si="610"/>
        <v>19.749255960643612</v>
      </c>
      <c r="V2798" s="683">
        <f t="shared" si="611"/>
        <v>10.964850917709919</v>
      </c>
      <c r="W2798" s="1768">
        <f t="shared" si="612"/>
        <v>0.40216028815773369</v>
      </c>
      <c r="X2798" s="683">
        <v>262</v>
      </c>
    </row>
    <row r="2799" spans="1:24" ht="16" thickBot="1" x14ac:dyDescent="0.25">
      <c r="A2799" s="1962">
        <f t="shared" ref="A2799" si="635">WEEKNUM(C2799,1)</f>
        <v>34</v>
      </c>
      <c r="B2799" s="1963"/>
      <c r="C2799" s="1687">
        <v>45887</v>
      </c>
      <c r="D2799" s="1369"/>
      <c r="E2799" s="1370"/>
      <c r="F2799" s="1547" t="s">
        <v>361</v>
      </c>
      <c r="G2799" s="1371"/>
      <c r="H2799" s="1372" t="str">
        <f>IFERROR(VLOOKUP(F2799,#REF!,10,FALSE),"")</f>
        <v/>
      </c>
      <c r="I2799" s="1373" t="str">
        <f t="shared" si="606"/>
        <v/>
      </c>
      <c r="J2799" s="1374"/>
      <c r="K2799" s="1745"/>
      <c r="L2799" s="1577"/>
      <c r="M2799" s="1374"/>
      <c r="N2799" s="1375" t="str">
        <f t="shared" si="607"/>
        <v/>
      </c>
      <c r="O2799" s="1376"/>
      <c r="P2799" s="795" t="str">
        <f>IFERROR(VLOOKUP(F2799,#REF!,12,FALSE),"")</f>
        <v/>
      </c>
      <c r="Q2799" s="1254" t="s">
        <v>8</v>
      </c>
      <c r="R2799" s="1694" t="str">
        <f>IFERROR(VLOOKUP(F2799,#REF!,14,FALSE),"")</f>
        <v/>
      </c>
      <c r="S2799" s="1377" t="str">
        <f t="shared" si="608"/>
        <v/>
      </c>
      <c r="T2799" s="70">
        <f t="shared" si="609"/>
        <v>6.8077426868856641</v>
      </c>
      <c r="U2799" s="70">
        <f t="shared" si="610"/>
        <v>19.279035580628289</v>
      </c>
      <c r="V2799" s="1369">
        <f t="shared" si="611"/>
        <v>11.806889492610338</v>
      </c>
      <c r="W2799" s="1766">
        <f t="shared" si="612"/>
        <v>0.35311635057752228</v>
      </c>
      <c r="X2799" s="1369">
        <v>262</v>
      </c>
    </row>
    <row r="2800" spans="1:24" x14ac:dyDescent="0.2">
      <c r="A2800" s="1648" t="s">
        <v>142</v>
      </c>
      <c r="B2800" s="1679">
        <f t="shared" ref="B2800" si="636">SUM(H2799:H2805)</f>
        <v>37.340000000000003</v>
      </c>
      <c r="C2800" s="1724">
        <v>45888</v>
      </c>
      <c r="D2800" s="1695"/>
      <c r="E2800" s="1696"/>
      <c r="F2800" s="1547"/>
      <c r="G2800" s="1697"/>
      <c r="H2800" s="1698" t="str">
        <f>IFERROR(VLOOKUP(F2800,#REF!,10,FALSE),"")</f>
        <v/>
      </c>
      <c r="I2800" s="1699" t="str">
        <f t="shared" si="606"/>
        <v/>
      </c>
      <c r="J2800" s="1700"/>
      <c r="K2800" s="1755"/>
      <c r="L2800" s="1578"/>
      <c r="M2800" s="1700"/>
      <c r="N2800" s="1701" t="str">
        <f t="shared" si="607"/>
        <v/>
      </c>
      <c r="O2800" s="1702"/>
      <c r="P2800" s="1635" t="str">
        <f>IFERROR(VLOOKUP(F2800,#REF!,12,FALSE),"")</f>
        <v/>
      </c>
      <c r="Q2800" s="1636" t="s">
        <v>8</v>
      </c>
      <c r="R2800" s="1703" t="str">
        <f>IFERROR(VLOOKUP(F2800,#REF!,14,FALSE),"")</f>
        <v/>
      </c>
      <c r="S2800" s="1704" t="str">
        <f t="shared" si="608"/>
        <v/>
      </c>
      <c r="T2800" s="1379">
        <f t="shared" si="609"/>
        <v>5.8352080173305696</v>
      </c>
      <c r="U2800" s="1379">
        <f t="shared" si="610"/>
        <v>18.820010923946661</v>
      </c>
      <c r="V2800" s="1695">
        <f t="shared" si="611"/>
        <v>12.471292893742625</v>
      </c>
      <c r="W2800" s="1767">
        <f t="shared" si="612"/>
        <v>0.31005338099489765</v>
      </c>
      <c r="X2800" s="1695">
        <v>262</v>
      </c>
    </row>
    <row r="2801" spans="1:24" x14ac:dyDescent="0.2">
      <c r="A2801" s="1649" t="s">
        <v>347</v>
      </c>
      <c r="B2801" s="1680">
        <f t="shared" ref="B2801" si="637">SUM(K2799:K2805)</f>
        <v>165</v>
      </c>
      <c r="C2801" s="1724">
        <v>45889</v>
      </c>
      <c r="D2801" s="1695">
        <v>112</v>
      </c>
      <c r="E2801" s="1696" t="s">
        <v>292</v>
      </c>
      <c r="F2801" s="1547" t="s">
        <v>322</v>
      </c>
      <c r="G2801" s="1697">
        <v>3.8090277777777778E-2</v>
      </c>
      <c r="H2801" s="1698">
        <v>9.34</v>
      </c>
      <c r="I2801" s="1699">
        <f t="shared" si="606"/>
        <v>4.0781881989055439E-3</v>
      </c>
      <c r="J2801" s="1700">
        <v>126</v>
      </c>
      <c r="K2801" s="1755">
        <v>41</v>
      </c>
      <c r="L2801" s="1578">
        <v>203</v>
      </c>
      <c r="M2801" s="1700">
        <v>36</v>
      </c>
      <c r="N2801" s="1701">
        <f t="shared" si="607"/>
        <v>1.0675844546006583</v>
      </c>
      <c r="O2801" s="1702" t="s">
        <v>358</v>
      </c>
      <c r="P2801" s="1635" t="str">
        <f>IFERROR(VLOOKUP(F2801,#REF!,12,FALSE),"")</f>
        <v/>
      </c>
      <c r="Q2801" s="1636" t="s">
        <v>8</v>
      </c>
      <c r="R2801" s="1703" t="str">
        <f>IFERROR(VLOOKUP(F2801,#REF!,14,FALSE),"")</f>
        <v/>
      </c>
      <c r="S2801" s="1704">
        <f t="shared" si="608"/>
        <v>1.6111111111111112</v>
      </c>
      <c r="T2801" s="1379">
        <f t="shared" si="609"/>
        <v>10.858749729140488</v>
      </c>
      <c r="U2801" s="1379">
        <f t="shared" si="610"/>
        <v>19.348105901947932</v>
      </c>
      <c r="V2801" s="1695">
        <f t="shared" si="611"/>
        <v>12.984802906616093</v>
      </c>
      <c r="W2801" s="1767">
        <f t="shared" si="612"/>
        <v>0.56123063333280854</v>
      </c>
      <c r="X2801" s="1695">
        <v>262</v>
      </c>
    </row>
    <row r="2802" spans="1:24" x14ac:dyDescent="0.2">
      <c r="A2802" s="1649" t="s">
        <v>256</v>
      </c>
      <c r="B2802" s="1677">
        <f t="shared" ref="B2802" si="638">AVERAGE(W2799:W2805)</f>
        <v>0.62100441339561296</v>
      </c>
      <c r="C2802" s="1724">
        <v>45890</v>
      </c>
      <c r="D2802" s="1695"/>
      <c r="E2802" s="1696"/>
      <c r="F2802" s="1547"/>
      <c r="G2802" s="1697"/>
      <c r="H2802" s="1698" t="str">
        <f>IFERROR(VLOOKUP(F2802,#REF!,10,FALSE),"")</f>
        <v/>
      </c>
      <c r="I2802" s="1699" t="str">
        <f t="shared" si="606"/>
        <v/>
      </c>
      <c r="J2802" s="1700"/>
      <c r="K2802" s="1755"/>
      <c r="L2802" s="1578"/>
      <c r="M2802" s="1700"/>
      <c r="N2802" s="1701" t="str">
        <f t="shared" si="607"/>
        <v/>
      </c>
      <c r="O2802" s="1702"/>
      <c r="P2802" s="1635" t="str">
        <f>IFERROR(VLOOKUP(F2802,#REF!,12,FALSE),"")</f>
        <v/>
      </c>
      <c r="Q2802" s="1636" t="s">
        <v>8</v>
      </c>
      <c r="R2802" s="1703" t="str">
        <f>IFERROR(VLOOKUP(F2802,#REF!,14,FALSE),"")</f>
        <v/>
      </c>
      <c r="S2802" s="1704" t="str">
        <f t="shared" si="608"/>
        <v/>
      </c>
      <c r="T2802" s="1379">
        <f t="shared" si="609"/>
        <v>9.3074997678347042</v>
      </c>
      <c r="U2802" s="1379">
        <f t="shared" si="610"/>
        <v>18.887436713806313</v>
      </c>
      <c r="V2802" s="1695">
        <f t="shared" si="611"/>
        <v>8.4893561728074438</v>
      </c>
      <c r="W2802" s="1767">
        <f t="shared" si="612"/>
        <v>0.49278787317027095</v>
      </c>
      <c r="X2802" s="1695">
        <v>262</v>
      </c>
    </row>
    <row r="2803" spans="1:24" x14ac:dyDescent="0.2">
      <c r="A2803" s="1649" t="s">
        <v>336</v>
      </c>
      <c r="B2803" s="1713">
        <f t="shared" ref="B2803" si="639">IFERROR(AVERAGE(N2799:N2805),"")</f>
        <v>1.0620800285695216</v>
      </c>
      <c r="C2803" s="1724">
        <v>45891</v>
      </c>
      <c r="D2803" s="1695">
        <v>113</v>
      </c>
      <c r="E2803" s="1696" t="s">
        <v>292</v>
      </c>
      <c r="F2803" s="1547" t="s">
        <v>343</v>
      </c>
      <c r="G2803" s="1697">
        <v>3.2858796296296296E-2</v>
      </c>
      <c r="H2803" s="1698">
        <v>7.95</v>
      </c>
      <c r="I2803" s="1699">
        <f t="shared" si="606"/>
        <v>4.1331819240624269E-3</v>
      </c>
      <c r="J2803" s="1700">
        <v>122</v>
      </c>
      <c r="K2803" s="1755">
        <v>34</v>
      </c>
      <c r="L2803" s="1578">
        <v>199</v>
      </c>
      <c r="M2803" s="1700">
        <v>34</v>
      </c>
      <c r="N2803" s="1701">
        <f t="shared" si="607"/>
        <v>1.0606608467098468</v>
      </c>
      <c r="O2803" s="1702" t="s">
        <v>358</v>
      </c>
      <c r="P2803" s="1635" t="str">
        <f>IFERROR(VLOOKUP(F2803,#REF!,12,FALSE),"")</f>
        <v/>
      </c>
      <c r="Q2803" s="1636" t="s">
        <v>8</v>
      </c>
      <c r="R2803" s="1703" t="str">
        <f>IFERROR(VLOOKUP(F2803,#REF!,14,FALSE),"")</f>
        <v/>
      </c>
      <c r="S2803" s="1704">
        <f t="shared" si="608"/>
        <v>1.6311475409836065</v>
      </c>
      <c r="T2803" s="1379">
        <f t="shared" si="609"/>
        <v>12.834999801001175</v>
      </c>
      <c r="U2803" s="1379">
        <f t="shared" si="610"/>
        <v>19.247259649191875</v>
      </c>
      <c r="V2803" s="1695">
        <f t="shared" si="611"/>
        <v>9.5799369459716086</v>
      </c>
      <c r="W2803" s="1767">
        <f t="shared" si="612"/>
        <v>0.66684816617725995</v>
      </c>
      <c r="X2803" s="1695">
        <v>262</v>
      </c>
    </row>
    <row r="2804" spans="1:24" x14ac:dyDescent="0.2">
      <c r="A2804" s="1649" t="s">
        <v>337</v>
      </c>
      <c r="B2804" s="1681">
        <f t="shared" ref="B2804" si="640">IFERROR(AVERAGE(S2799:S2805),"")</f>
        <v>1.634335154826958</v>
      </c>
      <c r="C2804" s="1724">
        <v>45892</v>
      </c>
      <c r="D2804" s="1695">
        <v>114</v>
      </c>
      <c r="E2804" s="1696" t="s">
        <v>292</v>
      </c>
      <c r="F2804" s="1547" t="s">
        <v>279</v>
      </c>
      <c r="G2804" s="1697">
        <v>4.9421296296296297E-2</v>
      </c>
      <c r="H2804" s="1698">
        <v>12.03</v>
      </c>
      <c r="I2804" s="1699">
        <f t="shared" si="606"/>
        <v>4.1081709306979471E-3</v>
      </c>
      <c r="J2804" s="1700">
        <v>122</v>
      </c>
      <c r="K2804" s="1755">
        <v>53</v>
      </c>
      <c r="L2804" s="1578">
        <v>201</v>
      </c>
      <c r="M2804" s="1700">
        <v>42</v>
      </c>
      <c r="N2804" s="1701">
        <f t="shared" si="607"/>
        <v>1.0648379052369079</v>
      </c>
      <c r="O2804" s="1702" t="s">
        <v>357</v>
      </c>
      <c r="P2804" s="1635" t="str">
        <f>IFERROR(VLOOKUP(F2804,#REF!,12,FALSE),"")</f>
        <v/>
      </c>
      <c r="Q2804" s="1636" t="s">
        <v>8</v>
      </c>
      <c r="R2804" s="1703" t="str">
        <f>IFERROR(VLOOKUP(F2804,#REF!,14,FALSE),"")</f>
        <v/>
      </c>
      <c r="S2804" s="1704">
        <f t="shared" si="608"/>
        <v>1.6475409836065573</v>
      </c>
      <c r="T2804" s="1379">
        <f t="shared" si="609"/>
        <v>18.572856972286722</v>
      </c>
      <c r="U2804" s="1379">
        <f t="shared" si="610"/>
        <v>20.050896324211116</v>
      </c>
      <c r="V2804" s="1695">
        <f t="shared" si="611"/>
        <v>6.4122598481907005</v>
      </c>
      <c r="W2804" s="1767">
        <f t="shared" si="612"/>
        <v>0.92628562194799802</v>
      </c>
      <c r="X2804" s="1695">
        <v>262</v>
      </c>
    </row>
    <row r="2805" spans="1:24" ht="16" thickBot="1" x14ac:dyDescent="0.25">
      <c r="A2805" s="1650" t="s">
        <v>5</v>
      </c>
      <c r="B2805" s="1678">
        <f t="shared" ref="B2805" si="641">IFERROR(SUM(M2799:M2805),"")</f>
        <v>132</v>
      </c>
      <c r="C2805" s="1686">
        <v>45893</v>
      </c>
      <c r="D2805" s="683">
        <v>115</v>
      </c>
      <c r="E2805" s="684" t="s">
        <v>292</v>
      </c>
      <c r="F2805" s="1429" t="s">
        <v>322</v>
      </c>
      <c r="G2805" s="1361">
        <v>3.2650462962962964E-2</v>
      </c>
      <c r="H2805" s="1362">
        <v>8.02</v>
      </c>
      <c r="I2805" s="1363">
        <f t="shared" si="606"/>
        <v>4.0711300452572277E-3</v>
      </c>
      <c r="J2805" s="1364">
        <v>122</v>
      </c>
      <c r="K2805" s="1747">
        <v>37</v>
      </c>
      <c r="L2805" s="1705">
        <v>201</v>
      </c>
      <c r="M2805" s="1364">
        <v>20</v>
      </c>
      <c r="N2805" s="1365">
        <f t="shared" si="607"/>
        <v>1.0552369077306734</v>
      </c>
      <c r="O2805" s="1366" t="s">
        <v>358</v>
      </c>
      <c r="P2805" s="1706" t="str">
        <f>IFERROR(VLOOKUP(F2805,#REF!,12,FALSE),"")</f>
        <v/>
      </c>
      <c r="Q2805" s="1707" t="s">
        <v>8</v>
      </c>
      <c r="R2805" s="1708" t="str">
        <f>IFERROR(VLOOKUP(F2805,#REF!,14,FALSE),"")</f>
        <v/>
      </c>
      <c r="S2805" s="1191">
        <f t="shared" si="608"/>
        <v>1.6475409836065573</v>
      </c>
      <c r="T2805" s="1897">
        <f t="shared" si="609"/>
        <v>21.205305976245761</v>
      </c>
      <c r="U2805" s="1897">
        <f t="shared" si="610"/>
        <v>20.454446411729901</v>
      </c>
      <c r="V2805" s="683">
        <f t="shared" si="611"/>
        <v>1.4780393519243944</v>
      </c>
      <c r="W2805" s="1768">
        <f t="shared" si="612"/>
        <v>1.0367088675685336</v>
      </c>
      <c r="X2805" s="683">
        <v>262</v>
      </c>
    </row>
    <row r="2806" spans="1:24" ht="16" thickBot="1" x14ac:dyDescent="0.25">
      <c r="A2806" s="1962">
        <f t="shared" ref="A2806" si="642">WEEKNUM(C2806,1)</f>
        <v>35</v>
      </c>
      <c r="B2806" s="1963"/>
      <c r="C2806" s="1687">
        <v>45894</v>
      </c>
      <c r="D2806" s="1369"/>
      <c r="E2806" s="1370"/>
      <c r="F2806" s="1547"/>
      <c r="G2806" s="1371"/>
      <c r="H2806" s="1372" t="str">
        <f>IFERROR(VLOOKUP(F2806,#REF!,10,FALSE),"")</f>
        <v/>
      </c>
      <c r="I2806" s="1373" t="str">
        <f t="shared" si="606"/>
        <v/>
      </c>
      <c r="J2806" s="1374"/>
      <c r="K2806" s="1745"/>
      <c r="L2806" s="1577"/>
      <c r="M2806" s="1374"/>
      <c r="N2806" s="1375" t="str">
        <f t="shared" si="607"/>
        <v/>
      </c>
      <c r="O2806" s="1376"/>
      <c r="P2806" s="795" t="str">
        <f>IFERROR(VLOOKUP(F2806,#REF!,12,FALSE),"")</f>
        <v/>
      </c>
      <c r="Q2806" s="1254" t="s">
        <v>8</v>
      </c>
      <c r="R2806" s="1694" t="str">
        <f>IFERROR(VLOOKUP(F2806,#REF!,14,FALSE),"")</f>
        <v/>
      </c>
      <c r="S2806" s="1377" t="str">
        <f t="shared" si="608"/>
        <v/>
      </c>
      <c r="T2806" s="1369">
        <f t="shared" si="609"/>
        <v>18.175976551067794</v>
      </c>
      <c r="U2806" s="1369">
        <f t="shared" si="610"/>
        <v>19.967435782879189</v>
      </c>
      <c r="V2806" s="1369">
        <f t="shared" si="611"/>
        <v>-0.75085956451586</v>
      </c>
      <c r="W2806" s="1766">
        <f t="shared" si="612"/>
        <v>0.9102809568894441</v>
      </c>
      <c r="X2806" s="1369">
        <v>262</v>
      </c>
    </row>
    <row r="2807" spans="1:24" x14ac:dyDescent="0.2">
      <c r="A2807" s="1648" t="s">
        <v>142</v>
      </c>
      <c r="B2807" s="1679">
        <f t="shared" ref="B2807" si="643">SUM(H2806:H2812)</f>
        <v>25.28</v>
      </c>
      <c r="C2807" s="1724">
        <v>45895</v>
      </c>
      <c r="D2807" s="1695">
        <v>116</v>
      </c>
      <c r="E2807" s="1696" t="s">
        <v>292</v>
      </c>
      <c r="F2807" s="1547" t="s">
        <v>343</v>
      </c>
      <c r="G2807" s="1697">
        <v>2.9282407407407406E-2</v>
      </c>
      <c r="H2807" s="1698">
        <v>7.13</v>
      </c>
      <c r="I2807" s="1699">
        <f t="shared" si="606"/>
        <v>4.1069295101553169E-3</v>
      </c>
      <c r="J2807" s="1700">
        <v>117</v>
      </c>
      <c r="K2807" s="1755">
        <v>31</v>
      </c>
      <c r="L2807" s="1578">
        <v>200</v>
      </c>
      <c r="M2807" s="1700">
        <v>21</v>
      </c>
      <c r="N2807" s="1701">
        <f t="shared" si="607"/>
        <v>1.0592200288878191</v>
      </c>
      <c r="O2807" s="1702" t="s">
        <v>340</v>
      </c>
      <c r="P2807" s="1635" t="str">
        <f>IFERROR(VLOOKUP(F2807,#REF!,12,FALSE),"")</f>
        <v/>
      </c>
      <c r="Q2807" s="1636" t="s">
        <v>8</v>
      </c>
      <c r="R2807" s="1703" t="str">
        <f>IFERROR(VLOOKUP(F2807,#REF!,14,FALSE),"")</f>
        <v/>
      </c>
      <c r="S2807" s="1704">
        <f t="shared" si="608"/>
        <v>1.7094017094017093</v>
      </c>
      <c r="T2807" s="1828">
        <f t="shared" si="609"/>
        <v>20.007979900915252</v>
      </c>
      <c r="U2807" s="1828">
        <f t="shared" si="610"/>
        <v>20.230115883286828</v>
      </c>
      <c r="V2807" s="1695">
        <f t="shared" si="611"/>
        <v>1.7914592318113947</v>
      </c>
      <c r="W2807" s="1767">
        <f t="shared" si="612"/>
        <v>0.98901953979635415</v>
      </c>
      <c r="X2807" s="1695">
        <v>262</v>
      </c>
    </row>
    <row r="2808" spans="1:24" x14ac:dyDescent="0.2">
      <c r="A2808" s="1649" t="s">
        <v>347</v>
      </c>
      <c r="B2808" s="1680">
        <f t="shared" ref="B2808" si="644">SUM(K2806:K2812)</f>
        <v>110</v>
      </c>
      <c r="C2808" s="1724">
        <v>45896</v>
      </c>
      <c r="D2808" s="1695"/>
      <c r="E2808" s="1696"/>
      <c r="F2808" s="1547"/>
      <c r="G2808" s="1697"/>
      <c r="H2808" s="1698" t="str">
        <f>IFERROR(VLOOKUP(F2808,#REF!,10,FALSE),"")</f>
        <v/>
      </c>
      <c r="I2808" s="1699" t="str">
        <f t="shared" si="606"/>
        <v/>
      </c>
      <c r="J2808" s="1700"/>
      <c r="K2808" s="1755"/>
      <c r="L2808" s="1578"/>
      <c r="M2808" s="1700"/>
      <c r="N2808" s="1701" t="str">
        <f t="shared" si="607"/>
        <v/>
      </c>
      <c r="O2808" s="1702"/>
      <c r="P2808" s="1635" t="str">
        <f>IFERROR(VLOOKUP(F2808,#REF!,12,FALSE),"")</f>
        <v/>
      </c>
      <c r="Q2808" s="1636" t="s">
        <v>8</v>
      </c>
      <c r="R2808" s="1703" t="str">
        <f>IFERROR(VLOOKUP(F2808,#REF!,14,FALSE),"")</f>
        <v/>
      </c>
      <c r="S2808" s="1704" t="str">
        <f t="shared" si="608"/>
        <v/>
      </c>
      <c r="T2808" s="1828">
        <f t="shared" si="609"/>
        <v>17.149697057927359</v>
      </c>
      <c r="U2808" s="1828">
        <f t="shared" si="610"/>
        <v>19.748446457494286</v>
      </c>
      <c r="V2808" s="1695">
        <f t="shared" si="611"/>
        <v>0.22213598237157584</v>
      </c>
      <c r="W2808" s="1767">
        <f t="shared" si="612"/>
        <v>0.86840740079679868</v>
      </c>
      <c r="X2808" s="1695">
        <v>262</v>
      </c>
    </row>
    <row r="2809" spans="1:24" x14ac:dyDescent="0.2">
      <c r="A2809" s="1649" t="s">
        <v>256</v>
      </c>
      <c r="B2809" s="1677">
        <f t="shared" ref="B2809" si="645">AVERAGE(W2806:W2812)</f>
        <v>0.92814433359543891</v>
      </c>
      <c r="C2809" s="1724">
        <v>45897</v>
      </c>
      <c r="D2809" s="1695">
        <v>117</v>
      </c>
      <c r="E2809" s="1696" t="s">
        <v>292</v>
      </c>
      <c r="F2809" s="1547" t="s">
        <v>343</v>
      </c>
      <c r="G2809" s="1697">
        <v>2.7650462962962963E-2</v>
      </c>
      <c r="H2809" s="1698">
        <v>6.81</v>
      </c>
      <c r="I2809" s="1699">
        <f t="shared" si="606"/>
        <v>4.0602735628433133E-3</v>
      </c>
      <c r="J2809" s="1700">
        <v>120</v>
      </c>
      <c r="K2809" s="1755">
        <v>30</v>
      </c>
      <c r="L2809" s="1578">
        <v>202</v>
      </c>
      <c r="M2809" s="1700">
        <v>19</v>
      </c>
      <c r="N2809" s="1701">
        <f t="shared" si="607"/>
        <v>1.0576588423521158</v>
      </c>
      <c r="O2809" s="1702" t="s">
        <v>358</v>
      </c>
      <c r="P2809" s="1635" t="str">
        <f>IFERROR(VLOOKUP(F2809,#REF!,12,FALSE),"")</f>
        <v/>
      </c>
      <c r="Q2809" s="1636" t="s">
        <v>8</v>
      </c>
      <c r="R2809" s="1703" t="str">
        <f>IFERROR(VLOOKUP(F2809,#REF!,14,FALSE),"")</f>
        <v/>
      </c>
      <c r="S2809" s="1704">
        <f t="shared" si="608"/>
        <v>1.6833333333333333</v>
      </c>
      <c r="T2809" s="1828">
        <f t="shared" si="609"/>
        <v>18.985454621080592</v>
      </c>
      <c r="U2809" s="1828">
        <f t="shared" si="610"/>
        <v>19.992531065649182</v>
      </c>
      <c r="V2809" s="1695">
        <f t="shared" si="611"/>
        <v>2.5987493995669269</v>
      </c>
      <c r="W2809" s="1767">
        <f t="shared" si="612"/>
        <v>0.94962736627685274</v>
      </c>
      <c r="X2809" s="1695">
        <v>262</v>
      </c>
    </row>
    <row r="2810" spans="1:24" x14ac:dyDescent="0.2">
      <c r="A2810" s="1649" t="s">
        <v>336</v>
      </c>
      <c r="B2810" s="1713">
        <f t="shared" ref="B2810" si="646">IFERROR(AVERAGE(N2806:N2812),"")</f>
        <v>1.0579190593727474</v>
      </c>
      <c r="C2810" s="1724">
        <v>45898</v>
      </c>
      <c r="D2810" s="1695"/>
      <c r="E2810" s="1696"/>
      <c r="F2810" s="1547" t="s">
        <v>361</v>
      </c>
      <c r="G2810" s="1697"/>
      <c r="H2810" s="1698" t="str">
        <f>IFERROR(VLOOKUP(F2810,#REF!,10,FALSE),"")</f>
        <v/>
      </c>
      <c r="I2810" s="1699" t="str">
        <f t="shared" si="606"/>
        <v/>
      </c>
      <c r="J2810" s="1700"/>
      <c r="K2810" s="1755"/>
      <c r="L2810" s="1578"/>
      <c r="M2810" s="1700"/>
      <c r="N2810" s="1701" t="str">
        <f t="shared" si="607"/>
        <v/>
      </c>
      <c r="O2810" s="1702"/>
      <c r="P2810" s="1635" t="str">
        <f>IFERROR(VLOOKUP(F2810,#REF!,12,FALSE),"")</f>
        <v/>
      </c>
      <c r="Q2810" s="1636" t="s">
        <v>8</v>
      </c>
      <c r="R2810" s="1703" t="str">
        <f>IFERROR(VLOOKUP(F2810,#REF!,14,FALSE),"")</f>
        <v/>
      </c>
      <c r="S2810" s="1704" t="str">
        <f t="shared" si="608"/>
        <v/>
      </c>
      <c r="T2810" s="1828">
        <f t="shared" si="609"/>
        <v>16.273246818069079</v>
      </c>
      <c r="U2810" s="1828">
        <f t="shared" si="610"/>
        <v>19.516518421228962</v>
      </c>
      <c r="V2810" s="1695">
        <f t="shared" si="611"/>
        <v>1.0070764445685896</v>
      </c>
      <c r="W2810" s="1767">
        <f t="shared" si="612"/>
        <v>0.83381915087723657</v>
      </c>
      <c r="X2810" s="1695">
        <v>262</v>
      </c>
    </row>
    <row r="2811" spans="1:24" x14ac:dyDescent="0.2">
      <c r="A2811" s="1649" t="s">
        <v>337</v>
      </c>
      <c r="B2811" s="1681">
        <f t="shared" ref="B2811" si="647">IFERROR(AVERAGE(S2806:S2812),"")</f>
        <v>1.6235587397352103</v>
      </c>
      <c r="C2811" s="1724">
        <v>45899</v>
      </c>
      <c r="D2811" s="1695">
        <v>118</v>
      </c>
      <c r="E2811" s="1696" t="s">
        <v>292</v>
      </c>
      <c r="F2811" s="1547" t="s">
        <v>279</v>
      </c>
      <c r="G2811" s="1697">
        <v>4.6238425925925926E-2</v>
      </c>
      <c r="H2811" s="1698">
        <v>11.34</v>
      </c>
      <c r="I2811" s="1699">
        <f t="shared" si="606"/>
        <v>4.0774626036971717E-3</v>
      </c>
      <c r="J2811" s="1700">
        <v>136</v>
      </c>
      <c r="K2811" s="1755">
        <v>49</v>
      </c>
      <c r="L2811" s="1578">
        <v>201</v>
      </c>
      <c r="M2811" s="1700">
        <v>34</v>
      </c>
      <c r="N2811" s="1701">
        <f t="shared" si="607"/>
        <v>1.0568783068783068</v>
      </c>
      <c r="O2811" s="1702" t="s">
        <v>357</v>
      </c>
      <c r="P2811" s="1635" t="str">
        <f>IFERROR(VLOOKUP(F2811,#REF!,12,FALSE),"")</f>
        <v/>
      </c>
      <c r="Q2811" s="1636" t="s">
        <v>8</v>
      </c>
      <c r="R2811" s="1703" t="str">
        <f>IFERROR(VLOOKUP(F2811,#REF!,14,FALSE),"")</f>
        <v/>
      </c>
      <c r="S2811" s="1704">
        <f t="shared" si="608"/>
        <v>1.4779411764705883</v>
      </c>
      <c r="T2811" s="1828">
        <f t="shared" si="609"/>
        <v>20.94849727263064</v>
      </c>
      <c r="U2811" s="1828">
        <f t="shared" si="610"/>
        <v>20.218506077866369</v>
      </c>
      <c r="V2811" s="1695">
        <f t="shared" si="611"/>
        <v>3.2432716031598829</v>
      </c>
      <c r="W2811" s="1767">
        <f t="shared" si="612"/>
        <v>1.0361051005426858</v>
      </c>
      <c r="X2811" s="1695">
        <v>262</v>
      </c>
    </row>
    <row r="2812" spans="1:24" ht="16" thickBot="1" x14ac:dyDescent="0.25">
      <c r="A2812" s="1650" t="s">
        <v>5</v>
      </c>
      <c r="B2812" s="1678">
        <f t="shared" ref="B2812" si="648">IFERROR(SUM(M2806:M2812),"")</f>
        <v>74</v>
      </c>
      <c r="C2812" s="1686">
        <v>45900</v>
      </c>
      <c r="D2812" s="683"/>
      <c r="E2812" s="684"/>
      <c r="F2812" s="1429"/>
      <c r="G2812" s="1361"/>
      <c r="H2812" s="1362" t="str">
        <f>IFERROR(VLOOKUP(F2812,#REF!,10,FALSE),"")</f>
        <v/>
      </c>
      <c r="I2812" s="1363" t="str">
        <f t="shared" si="606"/>
        <v/>
      </c>
      <c r="J2812" s="1364"/>
      <c r="K2812" s="1747"/>
      <c r="L2812" s="1705"/>
      <c r="M2812" s="1364"/>
      <c r="N2812" s="1365" t="str">
        <f t="shared" si="607"/>
        <v/>
      </c>
      <c r="O2812" s="1366"/>
      <c r="P2812" s="1706" t="str">
        <f>IFERROR(VLOOKUP(F2812,#REF!,12,FALSE),"")</f>
        <v/>
      </c>
      <c r="Q2812" s="1707" t="s">
        <v>8</v>
      </c>
      <c r="R2812" s="1708" t="str">
        <f>IFERROR(VLOOKUP(F2812,#REF!,14,FALSE),"")</f>
        <v/>
      </c>
      <c r="S2812" s="1191" t="str">
        <f t="shared" si="608"/>
        <v/>
      </c>
      <c r="T2812" s="1829">
        <f t="shared" si="609"/>
        <v>17.955854805111976</v>
      </c>
      <c r="U2812" s="1829">
        <f t="shared" si="610"/>
        <v>19.737113076012406</v>
      </c>
      <c r="V2812" s="683">
        <f t="shared" si="611"/>
        <v>-0.72999119476427055</v>
      </c>
      <c r="W2812" s="1768">
        <f t="shared" si="612"/>
        <v>0.90975081998869978</v>
      </c>
      <c r="X2812" s="683">
        <v>262</v>
      </c>
    </row>
    <row r="2813" spans="1:24" ht="16" thickBot="1" x14ac:dyDescent="0.25">
      <c r="A2813" s="1962">
        <f>WEEKNUM(C2813,1)</f>
        <v>36</v>
      </c>
      <c r="B2813" s="1963"/>
      <c r="C2813" s="1944">
        <v>45901</v>
      </c>
      <c r="D2813" s="1369">
        <v>119</v>
      </c>
      <c r="E2813" s="1370" t="s">
        <v>293</v>
      </c>
      <c r="F2813" s="1546" t="s">
        <v>343</v>
      </c>
      <c r="G2813" s="1371">
        <v>2.9837962962962962E-2</v>
      </c>
      <c r="H2813" s="1372">
        <v>7.33</v>
      </c>
      <c r="I2813" s="1373">
        <f t="shared" si="606"/>
        <v>4.0706634328735282E-3</v>
      </c>
      <c r="J2813" s="1374">
        <v>117</v>
      </c>
      <c r="K2813" s="1745">
        <v>34</v>
      </c>
      <c r="L2813" s="1577">
        <v>205</v>
      </c>
      <c r="M2813" s="1374">
        <v>26</v>
      </c>
      <c r="N2813" s="1375">
        <f t="shared" si="607"/>
        <v>1.0761132943739693</v>
      </c>
      <c r="O2813" s="1376" t="s">
        <v>357</v>
      </c>
      <c r="P2813" s="795" t="str">
        <f>IFERROR(VLOOKUP(F2813,#REF!,12,FALSE),"")</f>
        <v/>
      </c>
      <c r="Q2813" s="1254" t="s">
        <v>8</v>
      </c>
      <c r="R2813" s="1694" t="str">
        <f>IFERROR(VLOOKUP(F2813,#REF!,14,FALSE),"")</f>
        <v/>
      </c>
      <c r="S2813" s="1377">
        <f t="shared" si="608"/>
        <v>1.7521367521367521</v>
      </c>
      <c r="T2813" s="70">
        <f t="shared" si="609"/>
        <v>20.247875547238838</v>
      </c>
      <c r="U2813" s="70">
        <f t="shared" si="610"/>
        <v>20.076705621821635</v>
      </c>
      <c r="V2813" s="1369">
        <f t="shared" si="611"/>
        <v>1.7812582709004303</v>
      </c>
      <c r="W2813" s="1766">
        <f t="shared" si="612"/>
        <v>1.0085257974411477</v>
      </c>
      <c r="X2813" s="1369">
        <v>262</v>
      </c>
    </row>
    <row r="2814" spans="1:24" x14ac:dyDescent="0.2">
      <c r="A2814" s="1648" t="s">
        <v>142</v>
      </c>
      <c r="B2814" s="1679">
        <f>SUM(H2813:H2819)</f>
        <v>32.99</v>
      </c>
      <c r="C2814" s="1945">
        <v>45902</v>
      </c>
      <c r="D2814" s="1695"/>
      <c r="E2814" s="1696"/>
      <c r="F2814" s="1547"/>
      <c r="G2814" s="1697"/>
      <c r="H2814" s="1698" t="str">
        <f>IFERROR(VLOOKUP(F2814,#REF!,10,FALSE),"")</f>
        <v/>
      </c>
      <c r="I2814" s="1699" t="str">
        <f t="shared" si="606"/>
        <v/>
      </c>
      <c r="J2814" s="1700"/>
      <c r="K2814" s="1755"/>
      <c r="L2814" s="1578"/>
      <c r="M2814" s="1700"/>
      <c r="N2814" s="1701" t="str">
        <f t="shared" si="607"/>
        <v/>
      </c>
      <c r="O2814" s="1702"/>
      <c r="P2814" s="1635" t="str">
        <f>IFERROR(VLOOKUP(F2814,#REF!,12,FALSE),"")</f>
        <v/>
      </c>
      <c r="Q2814" s="1636" t="s">
        <v>8</v>
      </c>
      <c r="R2814" s="1703" t="str">
        <f>IFERROR(VLOOKUP(F2814,#REF!,14,FALSE),"")</f>
        <v/>
      </c>
      <c r="S2814" s="1704" t="str">
        <f t="shared" si="608"/>
        <v/>
      </c>
      <c r="T2814" s="1379">
        <f t="shared" si="609"/>
        <v>17.355321897633289</v>
      </c>
      <c r="U2814" s="1379">
        <f t="shared" si="610"/>
        <v>19.598688821302073</v>
      </c>
      <c r="V2814" s="1695">
        <f t="shared" si="611"/>
        <v>-0.17116992541720322</v>
      </c>
      <c r="W2814" s="1767">
        <f t="shared" si="612"/>
        <v>0.88553484653369063</v>
      </c>
      <c r="X2814" s="1695">
        <v>262</v>
      </c>
    </row>
    <row r="2815" spans="1:24" x14ac:dyDescent="0.2">
      <c r="A2815" s="1649" t="s">
        <v>347</v>
      </c>
      <c r="B2815" s="1680">
        <f>SUM(K2813:K2819)</f>
        <v>151</v>
      </c>
      <c r="C2815" s="1945">
        <v>45903</v>
      </c>
      <c r="D2815" s="1695">
        <v>120</v>
      </c>
      <c r="E2815" s="1696" t="s">
        <v>292</v>
      </c>
      <c r="F2815" s="1547" t="s">
        <v>343</v>
      </c>
      <c r="G2815" s="1697">
        <v>2.6932870370370371E-2</v>
      </c>
      <c r="H2815" s="1698">
        <v>6.61</v>
      </c>
      <c r="I2815" s="1699">
        <f t="shared" si="606"/>
        <v>4.0745643525522497E-3</v>
      </c>
      <c r="J2815" s="1700">
        <v>118</v>
      </c>
      <c r="K2815" s="1755">
        <v>29</v>
      </c>
      <c r="L2815" s="1578">
        <v>202</v>
      </c>
      <c r="M2815" s="1700">
        <v>22</v>
      </c>
      <c r="N2815" s="1701">
        <f t="shared" si="607"/>
        <v>1.0613814437645357</v>
      </c>
      <c r="O2815" s="1702" t="s">
        <v>358</v>
      </c>
      <c r="P2815" s="1635" t="str">
        <f>IFERROR(VLOOKUP(F2815,#REF!,12,FALSE),"")</f>
        <v/>
      </c>
      <c r="Q2815" s="1636" t="s">
        <v>8</v>
      </c>
      <c r="R2815" s="1703" t="str">
        <f>IFERROR(VLOOKUP(F2815,#REF!,14,FALSE),"")</f>
        <v/>
      </c>
      <c r="S2815" s="1704">
        <f t="shared" si="608"/>
        <v>1.7118644067796611</v>
      </c>
      <c r="T2815" s="1379">
        <f t="shared" si="609"/>
        <v>19.018847340828533</v>
      </c>
      <c r="U2815" s="1379">
        <f t="shared" si="610"/>
        <v>19.822529563652022</v>
      </c>
      <c r="V2815" s="1695">
        <f t="shared" si="611"/>
        <v>2.2433669236687841</v>
      </c>
      <c r="W2815" s="1767">
        <f t="shared" si="612"/>
        <v>0.95945612187169205</v>
      </c>
      <c r="X2815" s="1695">
        <v>261</v>
      </c>
    </row>
    <row r="2816" spans="1:24" x14ac:dyDescent="0.2">
      <c r="A2816" s="1649" t="s">
        <v>256</v>
      </c>
      <c r="B2816" s="1677">
        <f>AVERAGE(W2813:W2819)</f>
        <v>0.9881898111666414</v>
      </c>
      <c r="C2816" s="1945">
        <v>45904</v>
      </c>
      <c r="D2816" s="1695">
        <v>121</v>
      </c>
      <c r="E2816" s="1696" t="s">
        <v>292</v>
      </c>
      <c r="F2816" s="1547" t="s">
        <v>343</v>
      </c>
      <c r="G2816" s="1697">
        <v>2.6284722222222223E-2</v>
      </c>
      <c r="H2816" s="1698">
        <v>6.45</v>
      </c>
      <c r="I2816" s="1699">
        <f t="shared" si="606"/>
        <v>4.0751507321274763E-3</v>
      </c>
      <c r="J2816" s="1700">
        <v>122</v>
      </c>
      <c r="K2816" s="1755">
        <v>29</v>
      </c>
      <c r="L2816" s="1578">
        <v>202</v>
      </c>
      <c r="M2816" s="1700">
        <v>24</v>
      </c>
      <c r="N2816" s="1701">
        <f t="shared" si="607"/>
        <v>1.0615341895175285</v>
      </c>
      <c r="O2816" s="1702" t="s">
        <v>357</v>
      </c>
      <c r="P2816" s="1635" t="str">
        <f>IFERROR(VLOOKUP(F2816,#REF!,12,FALSE),"")</f>
        <v/>
      </c>
      <c r="Q2816" s="1636" t="s">
        <v>8</v>
      </c>
      <c r="R2816" s="1703" t="str">
        <f>IFERROR(VLOOKUP(F2816,#REF!,14,FALSE),"")</f>
        <v/>
      </c>
      <c r="S2816" s="1704">
        <f t="shared" si="608"/>
        <v>1.6557377049180328</v>
      </c>
      <c r="T2816" s="1379">
        <f t="shared" si="609"/>
        <v>20.444726292138743</v>
      </c>
      <c r="U2816" s="1379">
        <f t="shared" si="610"/>
        <v>20.041040764517451</v>
      </c>
      <c r="V2816" s="1695">
        <f t="shared" si="611"/>
        <v>0.80368222282348967</v>
      </c>
      <c r="W2816" s="1767">
        <f t="shared" si="612"/>
        <v>1.0201429422934969</v>
      </c>
      <c r="X2816" s="1695">
        <v>261</v>
      </c>
    </row>
    <row r="2817" spans="1:24" x14ac:dyDescent="0.2">
      <c r="A2817" s="1649" t="s">
        <v>336</v>
      </c>
      <c r="B2817" s="1713">
        <f>IFERROR(AVERAGE(N2813:N2819),"")</f>
        <v>1.0655538440912178</v>
      </c>
      <c r="C2817" s="1945">
        <v>45905</v>
      </c>
      <c r="D2817" s="1695"/>
      <c r="E2817" s="1696"/>
      <c r="F2817" s="1547"/>
      <c r="G2817" s="1697"/>
      <c r="H2817" s="1698" t="str">
        <f>IFERROR(VLOOKUP(F2817,#REF!,10,FALSE),"")</f>
        <v/>
      </c>
      <c r="I2817" s="1699" t="str">
        <f t="shared" si="606"/>
        <v/>
      </c>
      <c r="J2817" s="1700"/>
      <c r="K2817" s="1755"/>
      <c r="L2817" s="1578"/>
      <c r="M2817" s="1700"/>
      <c r="N2817" s="1701" t="str">
        <f t="shared" si="607"/>
        <v/>
      </c>
      <c r="O2817" s="1702"/>
      <c r="P2817" s="1635" t="str">
        <f>IFERROR(VLOOKUP(F2817,#REF!,12,FALSE),"")</f>
        <v/>
      </c>
      <c r="Q2817" s="1636" t="s">
        <v>8</v>
      </c>
      <c r="R2817" s="1703" t="str">
        <f>IFERROR(VLOOKUP(F2817,#REF!,14,FALSE),"")</f>
        <v/>
      </c>
      <c r="S2817" s="1704" t="str">
        <f t="shared" si="608"/>
        <v/>
      </c>
      <c r="T2817" s="1379">
        <f t="shared" si="609"/>
        <v>17.524051107547493</v>
      </c>
      <c r="U2817" s="1379">
        <f t="shared" si="610"/>
        <v>19.563873127267037</v>
      </c>
      <c r="V2817" s="1695">
        <f t="shared" si="611"/>
        <v>-0.40368552762129184</v>
      </c>
      <c r="W2817" s="1767">
        <f t="shared" si="612"/>
        <v>0.89573526640404588</v>
      </c>
      <c r="X2817" s="1695">
        <v>261</v>
      </c>
    </row>
    <row r="2818" spans="1:24" x14ac:dyDescent="0.2">
      <c r="A2818" s="1649" t="s">
        <v>337</v>
      </c>
      <c r="B2818" s="1681">
        <f>IFERROR(AVERAGE(S2813:S2819),"")</f>
        <v>1.6854465269822334</v>
      </c>
      <c r="C2818" s="1945">
        <v>45906</v>
      </c>
      <c r="D2818" s="1695">
        <v>122</v>
      </c>
      <c r="E2818" s="1696" t="s">
        <v>292</v>
      </c>
      <c r="F2818" s="1547" t="s">
        <v>279</v>
      </c>
      <c r="G2818" s="1697">
        <v>5.0428240740740739E-2</v>
      </c>
      <c r="H2818" s="1698">
        <v>12.6</v>
      </c>
      <c r="I2818" s="1699">
        <f t="shared" si="606"/>
        <v>4.0022413286302178E-3</v>
      </c>
      <c r="J2818" s="1700">
        <v>127</v>
      </c>
      <c r="K2818" s="1755">
        <v>59</v>
      </c>
      <c r="L2818" s="1578">
        <v>206</v>
      </c>
      <c r="M2818" s="1700">
        <v>39</v>
      </c>
      <c r="N2818" s="1701">
        <f t="shared" si="607"/>
        <v>1.0631864487088369</v>
      </c>
      <c r="O2818" s="1702" t="s">
        <v>358</v>
      </c>
      <c r="P2818" s="1635" t="str">
        <f>IFERROR(VLOOKUP(F2818,#REF!,12,FALSE),"")</f>
        <v/>
      </c>
      <c r="Q2818" s="1636" t="s">
        <v>8</v>
      </c>
      <c r="R2818" s="1703" t="str">
        <f>IFERROR(VLOOKUP(F2818,#REF!,14,FALSE),"")</f>
        <v/>
      </c>
      <c r="S2818" s="1704">
        <f t="shared" si="608"/>
        <v>1.6220472440944882</v>
      </c>
      <c r="T2818" s="1379">
        <f t="shared" si="609"/>
        <v>23.449186663612139</v>
      </c>
      <c r="U2818" s="1379">
        <f t="shared" si="610"/>
        <v>20.502828528998773</v>
      </c>
      <c r="V2818" s="1695">
        <f t="shared" si="611"/>
        <v>2.0398220197195442</v>
      </c>
      <c r="W2818" s="1767">
        <f t="shared" si="612"/>
        <v>1.1437049590716764</v>
      </c>
      <c r="X2818" s="1695">
        <v>261</v>
      </c>
    </row>
    <row r="2819" spans="1:24" ht="16" thickBot="1" x14ac:dyDescent="0.25">
      <c r="A2819" s="1650" t="s">
        <v>5</v>
      </c>
      <c r="B2819" s="1678">
        <f>IFERROR(SUM(M2813:M2819),"")</f>
        <v>111</v>
      </c>
      <c r="C2819" s="1946">
        <v>45907</v>
      </c>
      <c r="D2819" s="683"/>
      <c r="E2819" s="684"/>
      <c r="F2819" s="1429"/>
      <c r="G2819" s="1361"/>
      <c r="H2819" s="1362" t="str">
        <f>IFERROR(VLOOKUP(F2819,#REF!,10,FALSE),"")</f>
        <v/>
      </c>
      <c r="I2819" s="1363" t="str">
        <f t="shared" si="606"/>
        <v/>
      </c>
      <c r="J2819" s="1364"/>
      <c r="K2819" s="1747"/>
      <c r="L2819" s="1705"/>
      <c r="M2819" s="1364"/>
      <c r="N2819" s="1365" t="str">
        <f t="shared" si="607"/>
        <v/>
      </c>
      <c r="O2819" s="1366"/>
      <c r="P2819" s="1706" t="str">
        <f>IFERROR(VLOOKUP(F2819,#REF!,12,FALSE),"")</f>
        <v/>
      </c>
      <c r="Q2819" s="1707" t="s">
        <v>8</v>
      </c>
      <c r="R2819" s="1708" t="str">
        <f>IFERROR(VLOOKUP(F2819,#REF!,14,FALSE),"")</f>
        <v/>
      </c>
      <c r="S2819" s="1191" t="str">
        <f t="shared" si="608"/>
        <v/>
      </c>
      <c r="T2819" s="1897">
        <f t="shared" si="609"/>
        <v>20.099302854524691</v>
      </c>
      <c r="U2819" s="1897">
        <f t="shared" si="610"/>
        <v>20.014665944974993</v>
      </c>
      <c r="V2819" s="683">
        <f t="shared" si="611"/>
        <v>-2.9463581346133658</v>
      </c>
      <c r="W2819" s="1768">
        <f t="shared" si="612"/>
        <v>1.0042287445507401</v>
      </c>
      <c r="X2819" s="683">
        <v>261</v>
      </c>
    </row>
    <row r="2820" spans="1:24" ht="16" thickBot="1" x14ac:dyDescent="0.25">
      <c r="A2820" s="1962">
        <f t="shared" ref="A2820" si="649">WEEKNUM(C2820,1)</f>
        <v>37</v>
      </c>
      <c r="B2820" s="1963"/>
      <c r="C2820" s="1687">
        <v>45908</v>
      </c>
      <c r="D2820" s="1369"/>
      <c r="E2820" s="1370"/>
      <c r="F2820" s="1547" t="s">
        <v>361</v>
      </c>
      <c r="G2820" s="1371"/>
      <c r="H2820" s="1372" t="str">
        <f>IFERROR(VLOOKUP(F2820,#REF!,10,FALSE),"")</f>
        <v/>
      </c>
      <c r="I2820" s="1373" t="str">
        <f t="shared" si="606"/>
        <v/>
      </c>
      <c r="J2820" s="1374"/>
      <c r="K2820" s="1745"/>
      <c r="L2820" s="1577"/>
      <c r="M2820" s="1374"/>
      <c r="N2820" s="1375" t="str">
        <f t="shared" si="607"/>
        <v/>
      </c>
      <c r="O2820" s="1376"/>
      <c r="P2820" s="795" t="str">
        <f>IFERROR(VLOOKUP(F2820,#REF!,12,FALSE),"")</f>
        <v/>
      </c>
      <c r="Q2820" s="1254" t="s">
        <v>8</v>
      </c>
      <c r="R2820" s="1694" t="str">
        <f>IFERROR(VLOOKUP(F2820,#REF!,14,FALSE),"")</f>
        <v/>
      </c>
      <c r="S2820" s="1377" t="str">
        <f t="shared" si="608"/>
        <v/>
      </c>
      <c r="T2820" s="1369">
        <f t="shared" si="609"/>
        <v>17.227973875306876</v>
      </c>
      <c r="U2820" s="1369">
        <f t="shared" si="610"/>
        <v>19.538126279618446</v>
      </c>
      <c r="V2820" s="1369">
        <f t="shared" si="611"/>
        <v>-8.4636909549697492E-2</v>
      </c>
      <c r="W2820" s="1766">
        <f t="shared" si="612"/>
        <v>0.88176182448357665</v>
      </c>
      <c r="X2820" s="1369">
        <v>261</v>
      </c>
    </row>
    <row r="2821" spans="1:24" x14ac:dyDescent="0.2">
      <c r="A2821" s="1648" t="s">
        <v>142</v>
      </c>
      <c r="B2821" s="1679">
        <f t="shared" ref="B2821" si="650">SUM(H2820:H2826)</f>
        <v>6.73</v>
      </c>
      <c r="C2821" s="1724">
        <v>45909</v>
      </c>
      <c r="D2821" s="1695">
        <v>123</v>
      </c>
      <c r="E2821" s="1696" t="s">
        <v>292</v>
      </c>
      <c r="F2821" s="1547" t="s">
        <v>343</v>
      </c>
      <c r="G2821" s="1697">
        <v>2.7164351851851853E-2</v>
      </c>
      <c r="H2821" s="1698">
        <v>6.73</v>
      </c>
      <c r="I2821" s="1699">
        <f t="shared" si="606"/>
        <v>4.0363078531726378E-3</v>
      </c>
      <c r="J2821" s="1700">
        <v>122</v>
      </c>
      <c r="K2821" s="1755">
        <v>30</v>
      </c>
      <c r="L2821" s="1578">
        <v>202</v>
      </c>
      <c r="M2821" s="1700">
        <v>20</v>
      </c>
      <c r="N2821" s="1701">
        <f t="shared" si="607"/>
        <v>1.0514160253709166</v>
      </c>
      <c r="O2821" s="1702" t="s">
        <v>333</v>
      </c>
      <c r="P2821" s="1635" t="str">
        <f>IFERROR(VLOOKUP(F2821,#REF!,12,FALSE),"")</f>
        <v/>
      </c>
      <c r="Q2821" s="1636" t="s">
        <v>8</v>
      </c>
      <c r="R2821" s="1703" t="str">
        <f>IFERROR(VLOOKUP(F2821,#REF!,14,FALSE),"")</f>
        <v/>
      </c>
      <c r="S2821" s="1704">
        <f t="shared" si="608"/>
        <v>1.6557377049180328</v>
      </c>
      <c r="T2821" s="1828">
        <f t="shared" si="609"/>
        <v>19.052549035977322</v>
      </c>
      <c r="U2821" s="1828">
        <f t="shared" si="610"/>
        <v>19.787218511056103</v>
      </c>
      <c r="V2821" s="1695">
        <f t="shared" si="611"/>
        <v>2.3101524043115695</v>
      </c>
      <c r="W2821" s="1767">
        <f t="shared" si="612"/>
        <v>0.96287151351422706</v>
      </c>
      <c r="X2821" s="1695">
        <v>261</v>
      </c>
    </row>
    <row r="2822" spans="1:24" x14ac:dyDescent="0.2">
      <c r="A2822" s="1649" t="s">
        <v>347</v>
      </c>
      <c r="B2822" s="1680">
        <f t="shared" ref="B2822" si="651">SUM(K2820:K2826)</f>
        <v>30</v>
      </c>
      <c r="C2822" s="1724">
        <v>45910</v>
      </c>
      <c r="D2822" s="1695"/>
      <c r="E2822" s="1696"/>
      <c r="F2822" s="1547"/>
      <c r="G2822" s="1697"/>
      <c r="H2822" s="1698" t="str">
        <f>IFERROR(VLOOKUP(F2822,#REF!,10,FALSE),"")</f>
        <v/>
      </c>
      <c r="I2822" s="1699" t="str">
        <f t="shared" si="606"/>
        <v/>
      </c>
      <c r="J2822" s="1700"/>
      <c r="K2822" s="1755"/>
      <c r="L2822" s="1578"/>
      <c r="M2822" s="1700"/>
      <c r="N2822" s="1701" t="str">
        <f t="shared" si="607"/>
        <v/>
      </c>
      <c r="O2822" s="1702"/>
      <c r="P2822" s="1635" t="str">
        <f>IFERROR(VLOOKUP(F2822,#REF!,12,FALSE),"")</f>
        <v/>
      </c>
      <c r="Q2822" s="1636" t="s">
        <v>8</v>
      </c>
      <c r="R2822" s="1703" t="str">
        <f>IFERROR(VLOOKUP(F2822,#REF!,14,FALSE),"")</f>
        <v/>
      </c>
      <c r="S2822" s="1704" t="str">
        <f t="shared" si="608"/>
        <v/>
      </c>
      <c r="T2822" s="1828">
        <f t="shared" si="609"/>
        <v>16.330756316551991</v>
      </c>
      <c r="U2822" s="1828">
        <f t="shared" si="610"/>
        <v>19.316094260792863</v>
      </c>
      <c r="V2822" s="1695">
        <f t="shared" si="611"/>
        <v>0.73466947507878189</v>
      </c>
      <c r="W2822" s="1767">
        <f t="shared" si="612"/>
        <v>0.8454481582076141</v>
      </c>
      <c r="X2822" s="1695">
        <v>261</v>
      </c>
    </row>
    <row r="2823" spans="1:24" x14ac:dyDescent="0.2">
      <c r="A2823" s="1649" t="s">
        <v>256</v>
      </c>
      <c r="B2823" s="1677">
        <f t="shared" ref="B2823" si="652">AVERAGE(W2820:W2826)</f>
        <v>0.7370136939434192</v>
      </c>
      <c r="C2823" s="1724">
        <v>45911</v>
      </c>
      <c r="D2823" s="1695"/>
      <c r="E2823" s="1696"/>
      <c r="F2823" s="1547"/>
      <c r="G2823" s="1697"/>
      <c r="H2823" s="1698" t="str">
        <f>IFERROR(VLOOKUP(F2823,#REF!,10,FALSE),"")</f>
        <v/>
      </c>
      <c r="I2823" s="1699" t="str">
        <f t="shared" si="606"/>
        <v/>
      </c>
      <c r="J2823" s="1700"/>
      <c r="K2823" s="1755" t="str">
        <f>IFERROR(VLOOKUP(F2823,#REF!,15,FALSE),"0")</f>
        <v>0</v>
      </c>
      <c r="L2823" s="1578"/>
      <c r="M2823" s="1700"/>
      <c r="N2823" s="1701" t="str">
        <f t="shared" si="607"/>
        <v/>
      </c>
      <c r="O2823" s="1702"/>
      <c r="P2823" s="1635" t="str">
        <f>IFERROR(VLOOKUP(F2823,#REF!,12,FALSE),"")</f>
        <v/>
      </c>
      <c r="Q2823" s="1636" t="s">
        <v>8</v>
      </c>
      <c r="R2823" s="1703" t="str">
        <f>IFERROR(VLOOKUP(F2823,#REF!,14,FALSE),"")</f>
        <v/>
      </c>
      <c r="S2823" s="1704" t="str">
        <f t="shared" si="608"/>
        <v/>
      </c>
      <c r="T2823" s="1828">
        <f t="shared" si="609"/>
        <v>13.997791128473136</v>
      </c>
      <c r="U2823" s="1828">
        <f t="shared" si="610"/>
        <v>18.85618725458351</v>
      </c>
      <c r="V2823" s="1695">
        <f t="shared" si="611"/>
        <v>2.9853379442408716</v>
      </c>
      <c r="W2823" s="1767">
        <f t="shared" si="612"/>
        <v>0.74234472427985621</v>
      </c>
      <c r="X2823" s="1695">
        <v>261</v>
      </c>
    </row>
    <row r="2824" spans="1:24" x14ac:dyDescent="0.2">
      <c r="A2824" s="1649" t="s">
        <v>336</v>
      </c>
      <c r="B2824" s="1713">
        <f t="shared" ref="B2824" si="653">IFERROR(AVERAGE(N2820:N2826),"")</f>
        <v>1.0514160253709166</v>
      </c>
      <c r="C2824" s="1958">
        <v>45912</v>
      </c>
      <c r="D2824" s="1695"/>
      <c r="E2824" s="1696"/>
      <c r="F2824" s="1547"/>
      <c r="G2824" s="1697"/>
      <c r="H2824" s="1698" t="str">
        <f>IFERROR(VLOOKUP(F2824,#REF!,10,FALSE),"")</f>
        <v/>
      </c>
      <c r="I2824" s="1699" t="str">
        <f t="shared" si="606"/>
        <v/>
      </c>
      <c r="J2824" s="1700"/>
      <c r="K2824" s="1755" t="str">
        <f>IFERROR(VLOOKUP(F2824,#REF!,15,FALSE),"0")</f>
        <v>0</v>
      </c>
      <c r="L2824" s="1578"/>
      <c r="M2824" s="1700"/>
      <c r="N2824" s="1701" t="str">
        <f t="shared" si="607"/>
        <v/>
      </c>
      <c r="O2824" s="1702"/>
      <c r="P2824" s="1635" t="str">
        <f>IFERROR(VLOOKUP(F2824,#REF!,12,FALSE),"")</f>
        <v/>
      </c>
      <c r="Q2824" s="1636" t="s">
        <v>8</v>
      </c>
      <c r="R2824" s="1703" t="str">
        <f>IFERROR(VLOOKUP(F2824,#REF!,14,FALSE),"")</f>
        <v/>
      </c>
      <c r="S2824" s="1704" t="str">
        <f t="shared" si="608"/>
        <v/>
      </c>
      <c r="T2824" s="1828">
        <f t="shared" si="609"/>
        <v>11.998106681548402</v>
      </c>
      <c r="U2824" s="1828">
        <f t="shared" si="610"/>
        <v>18.407230415188664</v>
      </c>
      <c r="V2824" s="1695">
        <f t="shared" si="611"/>
        <v>4.8583961261103745</v>
      </c>
      <c r="W2824" s="1767">
        <f t="shared" si="612"/>
        <v>0.65181487985548359</v>
      </c>
      <c r="X2824" s="1695">
        <v>261</v>
      </c>
    </row>
    <row r="2825" spans="1:24" x14ac:dyDescent="0.2">
      <c r="A2825" s="1649" t="s">
        <v>337</v>
      </c>
      <c r="B2825" s="1681">
        <f t="shared" ref="B2825" si="654">IFERROR(AVERAGE(S2820:S2826),"")</f>
        <v>1.6557377049180328</v>
      </c>
      <c r="C2825" s="1958">
        <v>45913</v>
      </c>
      <c r="D2825" s="1695"/>
      <c r="E2825" s="1696"/>
      <c r="F2825" s="1547"/>
      <c r="G2825" s="1697"/>
      <c r="H2825" s="1698" t="str">
        <f>IFERROR(VLOOKUP(F2825,#REF!,10,FALSE),"")</f>
        <v/>
      </c>
      <c r="I2825" s="1699" t="str">
        <f t="shared" si="606"/>
        <v/>
      </c>
      <c r="J2825" s="1700"/>
      <c r="K2825" s="1755" t="str">
        <f>IFERROR(VLOOKUP(F2825,#REF!,15,FALSE),"0")</f>
        <v>0</v>
      </c>
      <c r="L2825" s="1578"/>
      <c r="M2825" s="1700"/>
      <c r="N2825" s="1701" t="str">
        <f t="shared" si="607"/>
        <v/>
      </c>
      <c r="O2825" s="1702"/>
      <c r="P2825" s="1635" t="str">
        <f>IFERROR(VLOOKUP(F2825,#REF!,12,FALSE),"")</f>
        <v/>
      </c>
      <c r="Q2825" s="1636" t="s">
        <v>8</v>
      </c>
      <c r="R2825" s="1703" t="str">
        <f>IFERROR(VLOOKUP(F2825,#REF!,14,FALSE),"")</f>
        <v/>
      </c>
      <c r="S2825" s="1704" t="str">
        <f t="shared" si="608"/>
        <v/>
      </c>
      <c r="T2825" s="1828">
        <f t="shared" si="609"/>
        <v>10.284091441327201</v>
      </c>
      <c r="U2825" s="1828">
        <f t="shared" si="610"/>
        <v>17.968963024350838</v>
      </c>
      <c r="V2825" s="1695">
        <f t="shared" si="611"/>
        <v>6.4091237336402624</v>
      </c>
      <c r="W2825" s="1767">
        <f t="shared" si="612"/>
        <v>0.57232526036091236</v>
      </c>
      <c r="X2825" s="1695">
        <v>261</v>
      </c>
    </row>
    <row r="2826" spans="1:24" ht="16" thickBot="1" x14ac:dyDescent="0.25">
      <c r="A2826" s="1650" t="s">
        <v>5</v>
      </c>
      <c r="B2826" s="1678">
        <f t="shared" ref="B2826" si="655">IFERROR(SUM(M2820:M2826),"")</f>
        <v>20</v>
      </c>
      <c r="C2826" s="1959">
        <v>45914</v>
      </c>
      <c r="D2826" s="683"/>
      <c r="E2826" s="684"/>
      <c r="F2826" s="1429"/>
      <c r="G2826" s="1361"/>
      <c r="H2826" s="1362" t="str">
        <f>IFERROR(VLOOKUP(F2826,#REF!,10,FALSE),"")</f>
        <v/>
      </c>
      <c r="I2826" s="1363" t="str">
        <f t="shared" si="606"/>
        <v/>
      </c>
      <c r="J2826" s="1364"/>
      <c r="K2826" s="1747" t="str">
        <f>IFERROR(VLOOKUP(F2826,#REF!,15,FALSE),"0")</f>
        <v>0</v>
      </c>
      <c r="L2826" s="1705"/>
      <c r="M2826" s="1364"/>
      <c r="N2826" s="1365" t="str">
        <f t="shared" si="607"/>
        <v/>
      </c>
      <c r="O2826" s="1366"/>
      <c r="P2826" s="1706" t="str">
        <f>IFERROR(VLOOKUP(F2826,#REF!,12,FALSE),"")</f>
        <v/>
      </c>
      <c r="Q2826" s="1707" t="s">
        <v>8</v>
      </c>
      <c r="R2826" s="1708" t="str">
        <f>IFERROR(VLOOKUP(F2826,#REF!,14,FALSE),"")</f>
        <v/>
      </c>
      <c r="S2826" s="1191" t="str">
        <f t="shared" si="608"/>
        <v/>
      </c>
      <c r="T2826" s="1829">
        <f t="shared" si="609"/>
        <v>8.8149355211376008</v>
      </c>
      <c r="U2826" s="1829">
        <f t="shared" si="610"/>
        <v>17.541130571390106</v>
      </c>
      <c r="V2826" s="683">
        <f t="shared" si="611"/>
        <v>7.6848715830236376</v>
      </c>
      <c r="W2826" s="1768">
        <f t="shared" si="612"/>
        <v>0.50252949690226445</v>
      </c>
      <c r="X2826" s="683">
        <v>261</v>
      </c>
    </row>
    <row r="2827" spans="1:24" ht="16" thickBot="1" x14ac:dyDescent="0.25">
      <c r="A2827" s="1962">
        <f t="shared" ref="A2827" si="656">WEEKNUM(C2827,1)</f>
        <v>38</v>
      </c>
      <c r="B2827" s="1963"/>
      <c r="C2827" s="1960">
        <v>45915</v>
      </c>
      <c r="D2827" s="1369"/>
      <c r="E2827" s="1370"/>
      <c r="F2827" s="1547"/>
      <c r="G2827" s="1371"/>
      <c r="H2827" s="1372" t="str">
        <f>IFERROR(VLOOKUP(F2827,#REF!,10,FALSE),"")</f>
        <v/>
      </c>
      <c r="I2827" s="1373" t="str">
        <f t="shared" si="606"/>
        <v/>
      </c>
      <c r="J2827" s="1374"/>
      <c r="K2827" s="1745" t="str">
        <f>IFERROR(VLOOKUP(F2827,#REF!,15,FALSE),"0")</f>
        <v>0</v>
      </c>
      <c r="L2827" s="1577"/>
      <c r="M2827" s="1374"/>
      <c r="N2827" s="1375" t="str">
        <f t="shared" si="607"/>
        <v/>
      </c>
      <c r="O2827" s="1376"/>
      <c r="P2827" s="795" t="str">
        <f>IFERROR(VLOOKUP(F2827,#REF!,12,FALSE),"")</f>
        <v/>
      </c>
      <c r="Q2827" s="1254" t="s">
        <v>8</v>
      </c>
      <c r="R2827" s="1694" t="str">
        <f>IFERROR(VLOOKUP(F2827,#REF!,14,FALSE),"")</f>
        <v/>
      </c>
      <c r="S2827" s="1377" t="str">
        <f t="shared" si="608"/>
        <v/>
      </c>
      <c r="T2827" s="70">
        <f t="shared" si="609"/>
        <v>7.555659018117943</v>
      </c>
      <c r="U2827" s="70">
        <f t="shared" si="610"/>
        <v>17.123484605404627</v>
      </c>
      <c r="V2827" s="1369">
        <f t="shared" si="611"/>
        <v>8.726195050252505</v>
      </c>
      <c r="W2827" s="1766">
        <f t="shared" si="612"/>
        <v>0.44124541191418343</v>
      </c>
      <c r="X2827" s="1369">
        <v>261</v>
      </c>
    </row>
    <row r="2828" spans="1:24" x14ac:dyDescent="0.2">
      <c r="A2828" s="1648" t="s">
        <v>142</v>
      </c>
      <c r="B2828" s="1679">
        <f t="shared" ref="B2828" si="657">SUM(H2827:H2833)</f>
        <v>0</v>
      </c>
      <c r="C2828" s="1958">
        <v>45916</v>
      </c>
      <c r="D2828" s="1695"/>
      <c r="E2828" s="1696"/>
      <c r="F2828" s="1547"/>
      <c r="G2828" s="1697"/>
      <c r="H2828" s="1698" t="str">
        <f>IFERROR(VLOOKUP(F2828,#REF!,10,FALSE),"")</f>
        <v/>
      </c>
      <c r="I2828" s="1699" t="str">
        <f t="shared" si="606"/>
        <v/>
      </c>
      <c r="J2828" s="1700"/>
      <c r="K2828" s="1755" t="str">
        <f>IFERROR(VLOOKUP(F2828,#REF!,15,FALSE),"0")</f>
        <v>0</v>
      </c>
      <c r="L2828" s="1578"/>
      <c r="M2828" s="1700"/>
      <c r="N2828" s="1701" t="str">
        <f t="shared" si="607"/>
        <v/>
      </c>
      <c r="O2828" s="1702"/>
      <c r="P2828" s="1635" t="str">
        <f>IFERROR(VLOOKUP(F2828,#REF!,12,FALSE),"")</f>
        <v/>
      </c>
      <c r="Q2828" s="1636" t="s">
        <v>8</v>
      </c>
      <c r="R2828" s="1703" t="str">
        <f>IFERROR(VLOOKUP(F2828,#REF!,14,FALSE),"")</f>
        <v/>
      </c>
      <c r="S2828" s="1704" t="str">
        <f t="shared" si="608"/>
        <v/>
      </c>
      <c r="T2828" s="1379">
        <f t="shared" si="609"/>
        <v>6.4762791583868085</v>
      </c>
      <c r="U2828" s="1379">
        <f t="shared" si="610"/>
        <v>16.71578259099023</v>
      </c>
      <c r="V2828" s="1695">
        <f t="shared" si="611"/>
        <v>9.5678255872866842</v>
      </c>
      <c r="W2828" s="1767">
        <f t="shared" si="612"/>
        <v>0.3874349958270879</v>
      </c>
      <c r="X2828" s="1695">
        <v>261</v>
      </c>
    </row>
    <row r="2829" spans="1:24" x14ac:dyDescent="0.2">
      <c r="A2829" s="1649" t="s">
        <v>347</v>
      </c>
      <c r="B2829" s="1680">
        <f t="shared" ref="B2829" si="658">SUM(K2827:K2833)</f>
        <v>0</v>
      </c>
      <c r="C2829" s="1958">
        <v>45917</v>
      </c>
      <c r="D2829" s="1695"/>
      <c r="E2829" s="1696"/>
      <c r="F2829" s="1547"/>
      <c r="G2829" s="1697"/>
      <c r="H2829" s="1698" t="str">
        <f>IFERROR(VLOOKUP(F2829,#REF!,10,FALSE),"")</f>
        <v/>
      </c>
      <c r="I2829" s="1699" t="str">
        <f t="shared" si="606"/>
        <v/>
      </c>
      <c r="J2829" s="1700"/>
      <c r="K2829" s="1755" t="str">
        <f>IFERROR(VLOOKUP(F2829,#REF!,15,FALSE),"0")</f>
        <v>0</v>
      </c>
      <c r="L2829" s="1578"/>
      <c r="M2829" s="1700"/>
      <c r="N2829" s="1701" t="str">
        <f t="shared" si="607"/>
        <v/>
      </c>
      <c r="O2829" s="1702"/>
      <c r="P2829" s="1635" t="str">
        <f>IFERROR(VLOOKUP(F2829,#REF!,12,FALSE),"")</f>
        <v/>
      </c>
      <c r="Q2829" s="1636" t="s">
        <v>8</v>
      </c>
      <c r="R2829" s="1703" t="str">
        <f>IFERROR(VLOOKUP(F2829,#REF!,14,FALSE),"")</f>
        <v/>
      </c>
      <c r="S2829" s="1704" t="str">
        <f t="shared" si="608"/>
        <v/>
      </c>
      <c r="T2829" s="1379">
        <f t="shared" si="609"/>
        <v>5.5510964214744076</v>
      </c>
      <c r="U2829" s="1379">
        <f t="shared" si="610"/>
        <v>16.317787767395224</v>
      </c>
      <c r="V2829" s="1695">
        <f t="shared" si="611"/>
        <v>10.239503432603421</v>
      </c>
      <c r="W2829" s="1767">
        <f t="shared" si="612"/>
        <v>0.34018682560427232</v>
      </c>
      <c r="X2829" s="1695">
        <v>261</v>
      </c>
    </row>
    <row r="2830" spans="1:24" x14ac:dyDescent="0.2">
      <c r="A2830" s="1649" t="s">
        <v>256</v>
      </c>
      <c r="B2830" s="1677">
        <f t="shared" ref="B2830" si="659">AVERAGE(W2827:W2833)</f>
        <v>0.30890511226824707</v>
      </c>
      <c r="C2830" s="1958">
        <v>45918</v>
      </c>
      <c r="D2830" s="1695"/>
      <c r="E2830" s="1696"/>
      <c r="F2830" s="1547"/>
      <c r="G2830" s="1697"/>
      <c r="H2830" s="1698" t="str">
        <f>IFERROR(VLOOKUP(F2830,#REF!,10,FALSE),"")</f>
        <v/>
      </c>
      <c r="I2830" s="1699" t="str">
        <f t="shared" si="606"/>
        <v/>
      </c>
      <c r="J2830" s="1700"/>
      <c r="K2830" s="1755" t="str">
        <f>IFERROR(VLOOKUP(F2830,#REF!,15,FALSE),"0")</f>
        <v>0</v>
      </c>
      <c r="L2830" s="1578"/>
      <c r="M2830" s="1700"/>
      <c r="N2830" s="1701" t="str">
        <f t="shared" si="607"/>
        <v/>
      </c>
      <c r="O2830" s="1702"/>
      <c r="P2830" s="1635" t="str">
        <f>IFERROR(VLOOKUP(F2830,#REF!,12,FALSE),"")</f>
        <v/>
      </c>
      <c r="Q2830" s="1636" t="s">
        <v>8</v>
      </c>
      <c r="R2830" s="1703" t="str">
        <f>IFERROR(VLOOKUP(F2830,#REF!,14,FALSE),"")</f>
        <v/>
      </c>
      <c r="S2830" s="1704" t="str">
        <f t="shared" si="608"/>
        <v/>
      </c>
      <c r="T2830" s="1379">
        <f t="shared" si="609"/>
        <v>4.7580826469780639</v>
      </c>
      <c r="U2830" s="1379">
        <f t="shared" si="610"/>
        <v>15.929269011028671</v>
      </c>
      <c r="V2830" s="1695">
        <f t="shared" si="611"/>
        <v>10.766691345920815</v>
      </c>
      <c r="W2830" s="1767">
        <f t="shared" si="612"/>
        <v>0.29870062735984892</v>
      </c>
      <c r="X2830" s="1695">
        <v>261</v>
      </c>
    </row>
    <row r="2831" spans="1:24" x14ac:dyDescent="0.2">
      <c r="A2831" s="1649" t="s">
        <v>336</v>
      </c>
      <c r="B2831" s="1713" t="str">
        <f t="shared" ref="B2831" si="660">IFERROR(AVERAGE(N2827:N2833),"")</f>
        <v/>
      </c>
      <c r="C2831" s="1958">
        <v>45919</v>
      </c>
      <c r="D2831" s="1695"/>
      <c r="E2831" s="1696"/>
      <c r="F2831" s="1547"/>
      <c r="G2831" s="1697"/>
      <c r="H2831" s="1698" t="str">
        <f>IFERROR(VLOOKUP(F2831,#REF!,10,FALSE),"")</f>
        <v/>
      </c>
      <c r="I2831" s="1699" t="str">
        <f t="shared" si="606"/>
        <v/>
      </c>
      <c r="J2831" s="1700"/>
      <c r="K2831" s="1755" t="str">
        <f>IFERROR(VLOOKUP(F2831,#REF!,15,FALSE),"0")</f>
        <v>0</v>
      </c>
      <c r="L2831" s="1578"/>
      <c r="M2831" s="1700"/>
      <c r="N2831" s="1701" t="str">
        <f t="shared" si="607"/>
        <v/>
      </c>
      <c r="O2831" s="1702"/>
      <c r="P2831" s="1635" t="str">
        <f>IFERROR(VLOOKUP(F2831,#REF!,12,FALSE),"")</f>
        <v/>
      </c>
      <c r="Q2831" s="1636" t="s">
        <v>8</v>
      </c>
      <c r="R2831" s="1703" t="str">
        <f>IFERROR(VLOOKUP(F2831,#REF!,14,FALSE),"")</f>
        <v/>
      </c>
      <c r="S2831" s="1704" t="str">
        <f t="shared" si="608"/>
        <v/>
      </c>
      <c r="T2831" s="1379">
        <f t="shared" si="609"/>
        <v>4.0783565545526264</v>
      </c>
      <c r="U2831" s="1379">
        <f t="shared" si="610"/>
        <v>15.550000701242274</v>
      </c>
      <c r="V2831" s="1695">
        <f t="shared" si="611"/>
        <v>11.171186364050607</v>
      </c>
      <c r="W2831" s="1767">
        <f t="shared" si="612"/>
        <v>0.2622737215842576</v>
      </c>
      <c r="X2831" s="1695">
        <v>261</v>
      </c>
    </row>
    <row r="2832" spans="1:24" x14ac:dyDescent="0.2">
      <c r="A2832" s="1649" t="s">
        <v>337</v>
      </c>
      <c r="B2832" s="1681" t="str">
        <f t="shared" ref="B2832" si="661">IFERROR(AVERAGE(S2827:S2833),"")</f>
        <v/>
      </c>
      <c r="C2832" s="1724">
        <v>45920</v>
      </c>
      <c r="D2832" s="1695"/>
      <c r="E2832" s="1696"/>
      <c r="F2832" s="1547" t="s">
        <v>279</v>
      </c>
      <c r="G2832" s="1697"/>
      <c r="H2832" s="1698" t="str">
        <f>IFERROR(VLOOKUP(F2832,#REF!,10,FALSE),"")</f>
        <v/>
      </c>
      <c r="I2832" s="1699" t="str">
        <f t="shared" si="606"/>
        <v/>
      </c>
      <c r="J2832" s="1700"/>
      <c r="K2832" s="1755" t="str">
        <f>IFERROR(VLOOKUP(F2832,#REF!,15,FALSE),"0")</f>
        <v>0</v>
      </c>
      <c r="L2832" s="1578"/>
      <c r="M2832" s="1700"/>
      <c r="N2832" s="1701" t="str">
        <f t="shared" si="607"/>
        <v/>
      </c>
      <c r="O2832" s="1702"/>
      <c r="P2832" s="1635" t="str">
        <f>IFERROR(VLOOKUP(F2832,#REF!,12,FALSE),"")</f>
        <v/>
      </c>
      <c r="Q2832" s="1636" t="s">
        <v>8</v>
      </c>
      <c r="R2832" s="1703" t="str">
        <f>IFERROR(VLOOKUP(F2832,#REF!,14,FALSE),"")</f>
        <v/>
      </c>
      <c r="S2832" s="1704" t="str">
        <f t="shared" si="608"/>
        <v/>
      </c>
      <c r="T2832" s="1379">
        <f t="shared" si="609"/>
        <v>3.4957341896165368</v>
      </c>
      <c r="U2832" s="1379">
        <f t="shared" si="610"/>
        <v>15.179762589307934</v>
      </c>
      <c r="V2832" s="1695">
        <f t="shared" si="611"/>
        <v>11.471644146689648</v>
      </c>
      <c r="W2832" s="1767">
        <f t="shared" si="612"/>
        <v>0.23028912139105542</v>
      </c>
      <c r="X2832" s="1695">
        <v>261</v>
      </c>
    </row>
    <row r="2833" spans="1:24" ht="16" thickBot="1" x14ac:dyDescent="0.25">
      <c r="A2833" s="1650" t="s">
        <v>5</v>
      </c>
      <c r="B2833" s="1678">
        <f t="shared" ref="B2833" si="662">IFERROR(SUM(M2827:M2833),"")</f>
        <v>0</v>
      </c>
      <c r="C2833" s="1686">
        <v>45921</v>
      </c>
      <c r="D2833" s="683"/>
      <c r="E2833" s="684"/>
      <c r="F2833" s="1429" t="s">
        <v>309</v>
      </c>
      <c r="G2833" s="1361"/>
      <c r="H2833" s="1362" t="str">
        <f>IFERROR(VLOOKUP(F2833,#REF!,10,FALSE),"")</f>
        <v/>
      </c>
      <c r="I2833" s="1363" t="str">
        <f t="shared" si="606"/>
        <v/>
      </c>
      <c r="J2833" s="1364"/>
      <c r="K2833" s="1747" t="str">
        <f>IFERROR(VLOOKUP(F2833,#REF!,15,FALSE),"0")</f>
        <v>0</v>
      </c>
      <c r="L2833" s="1705"/>
      <c r="M2833" s="1364"/>
      <c r="N2833" s="1365" t="str">
        <f t="shared" si="607"/>
        <v/>
      </c>
      <c r="O2833" s="1366"/>
      <c r="P2833" s="1706" t="str">
        <f>IFERROR(VLOOKUP(F2833,#REF!,12,FALSE),"")</f>
        <v/>
      </c>
      <c r="Q2833" s="1707" t="s">
        <v>8</v>
      </c>
      <c r="R2833" s="1708" t="str">
        <f>IFERROR(VLOOKUP(F2833,#REF!,14,FALSE),"")</f>
        <v/>
      </c>
      <c r="S2833" s="1191" t="str">
        <f t="shared" si="608"/>
        <v/>
      </c>
      <c r="T2833" s="1897">
        <f t="shared" si="609"/>
        <v>2.9963435910998886</v>
      </c>
      <c r="U2833" s="1897">
        <f t="shared" si="610"/>
        <v>14.818339670514888</v>
      </c>
      <c r="V2833" s="683">
        <f t="shared" si="611"/>
        <v>11.684028399691398</v>
      </c>
      <c r="W2833" s="1768">
        <f t="shared" si="612"/>
        <v>0.20220508219702427</v>
      </c>
      <c r="X2833" s="683">
        <v>261</v>
      </c>
    </row>
    <row r="2834" spans="1:24" ht="16" thickBot="1" x14ac:dyDescent="0.25">
      <c r="A2834" s="1962">
        <f t="shared" ref="A2834" si="663">WEEKNUM(C2834,1)</f>
        <v>39</v>
      </c>
      <c r="B2834" s="1963"/>
      <c r="C2834" s="1687">
        <v>45922</v>
      </c>
      <c r="D2834" s="1369"/>
      <c r="E2834" s="1370"/>
      <c r="F2834" s="1547" t="s">
        <v>355</v>
      </c>
      <c r="G2834" s="1371"/>
      <c r="H2834" s="1372" t="str">
        <f>IFERROR(VLOOKUP(F2834,#REF!,10,FALSE),"")</f>
        <v/>
      </c>
      <c r="I2834" s="1373" t="str">
        <f t="shared" si="606"/>
        <v/>
      </c>
      <c r="J2834" s="1374"/>
      <c r="K2834" s="1745" t="str">
        <f>IFERROR(VLOOKUP(F2834,#REF!,15,FALSE),"0")</f>
        <v>0</v>
      </c>
      <c r="L2834" s="1577"/>
      <c r="M2834" s="1374"/>
      <c r="N2834" s="1375" t="str">
        <f t="shared" si="607"/>
        <v/>
      </c>
      <c r="O2834" s="1376"/>
      <c r="P2834" s="795" t="str">
        <f>IFERROR(VLOOKUP(F2834,#REF!,12,FALSE),"")</f>
        <v/>
      </c>
      <c r="Q2834" s="1254" t="s">
        <v>8</v>
      </c>
      <c r="R2834" s="1694" t="str">
        <f>IFERROR(VLOOKUP(F2834,#REF!,14,FALSE),"")</f>
        <v/>
      </c>
      <c r="S2834" s="1377" t="str">
        <f t="shared" si="608"/>
        <v/>
      </c>
      <c r="T2834" s="1369">
        <f t="shared" si="609"/>
        <v>2.5682945066570473</v>
      </c>
      <c r="U2834" s="1369">
        <f t="shared" si="610"/>
        <v>14.465522059312153</v>
      </c>
      <c r="V2834" s="1369">
        <f t="shared" si="611"/>
        <v>11.821996079414999</v>
      </c>
      <c r="W2834" s="1766">
        <f t="shared" si="612"/>
        <v>0.1775459258315335</v>
      </c>
      <c r="X2834" s="1369">
        <v>261</v>
      </c>
    </row>
    <row r="2835" spans="1:24" x14ac:dyDescent="0.2">
      <c r="A2835" s="1648" t="s">
        <v>142</v>
      </c>
      <c r="B2835" s="1679">
        <f t="shared" ref="B2835" si="664">SUM(H2834:H2840)</f>
        <v>0</v>
      </c>
      <c r="C2835" s="1724">
        <v>45923</v>
      </c>
      <c r="D2835" s="1695"/>
      <c r="E2835" s="1696"/>
      <c r="F2835" s="1547" t="s">
        <v>303</v>
      </c>
      <c r="G2835" s="1697"/>
      <c r="H2835" s="1698" t="str">
        <f>IFERROR(VLOOKUP(F2835,#REF!,10,FALSE),"")</f>
        <v/>
      </c>
      <c r="I2835" s="1699" t="str">
        <f t="shared" si="606"/>
        <v/>
      </c>
      <c r="J2835" s="1700"/>
      <c r="K2835" s="1755" t="str">
        <f>IFERROR(VLOOKUP(F2835,#REF!,15,FALSE),"0")</f>
        <v>0</v>
      </c>
      <c r="L2835" s="1578"/>
      <c r="M2835" s="1700"/>
      <c r="N2835" s="1701" t="str">
        <f t="shared" si="607"/>
        <v/>
      </c>
      <c r="O2835" s="1702"/>
      <c r="P2835" s="1635" t="str">
        <f>IFERROR(VLOOKUP(F2835,#REF!,12,FALSE),"")</f>
        <v/>
      </c>
      <c r="Q2835" s="1636" t="s">
        <v>8</v>
      </c>
      <c r="R2835" s="1703" t="str">
        <f>IFERROR(VLOOKUP(F2835,#REF!,14,FALSE),"")</f>
        <v/>
      </c>
      <c r="S2835" s="1704" t="str">
        <f t="shared" si="608"/>
        <v/>
      </c>
      <c r="T2835" s="1828">
        <f t="shared" si="609"/>
        <v>2.2013952914203263</v>
      </c>
      <c r="U2835" s="1828">
        <f t="shared" si="610"/>
        <v>14.121104867423769</v>
      </c>
      <c r="V2835" s="1695">
        <f t="shared" si="611"/>
        <v>11.897227552655107</v>
      </c>
      <c r="W2835" s="1767">
        <f t="shared" si="612"/>
        <v>0.15589398365695625</v>
      </c>
      <c r="X2835" s="1695">
        <v>261</v>
      </c>
    </row>
    <row r="2836" spans="1:24" x14ac:dyDescent="0.2">
      <c r="A2836" s="1649" t="s">
        <v>347</v>
      </c>
      <c r="B2836" s="1680">
        <f t="shared" ref="B2836" si="665">SUM(K2834:K2840)</f>
        <v>0</v>
      </c>
      <c r="C2836" s="1724">
        <v>45924</v>
      </c>
      <c r="D2836" s="1695"/>
      <c r="E2836" s="1696"/>
      <c r="F2836" s="1547" t="s">
        <v>343</v>
      </c>
      <c r="G2836" s="1697"/>
      <c r="H2836" s="1698" t="str">
        <f>IFERROR(VLOOKUP(F2836,#REF!,10,FALSE),"")</f>
        <v/>
      </c>
      <c r="I2836" s="1699" t="str">
        <f t="shared" si="606"/>
        <v/>
      </c>
      <c r="J2836" s="1700"/>
      <c r="K2836" s="1755" t="str">
        <f>IFERROR(VLOOKUP(F2836,#REF!,15,FALSE),"0")</f>
        <v>0</v>
      </c>
      <c r="L2836" s="1578"/>
      <c r="M2836" s="1700"/>
      <c r="N2836" s="1701" t="str">
        <f t="shared" si="607"/>
        <v/>
      </c>
      <c r="O2836" s="1702"/>
      <c r="P2836" s="1635" t="str">
        <f>IFERROR(VLOOKUP(F2836,#REF!,12,FALSE),"")</f>
        <v/>
      </c>
      <c r="Q2836" s="1636" t="s">
        <v>8</v>
      </c>
      <c r="R2836" s="1703" t="str">
        <f>IFERROR(VLOOKUP(F2836,#REF!,14,FALSE),"")</f>
        <v/>
      </c>
      <c r="S2836" s="1704" t="str">
        <f t="shared" si="608"/>
        <v/>
      </c>
      <c r="T2836" s="1828">
        <f t="shared" si="609"/>
        <v>1.8869102497888512</v>
      </c>
      <c r="U2836" s="1828">
        <f t="shared" si="610"/>
        <v>13.78488808486606</v>
      </c>
      <c r="V2836" s="1695">
        <f t="shared" si="611"/>
        <v>11.919709576003443</v>
      </c>
      <c r="W2836" s="1767">
        <f t="shared" si="612"/>
        <v>0.13688252223537622</v>
      </c>
      <c r="X2836" s="1695">
        <v>261</v>
      </c>
    </row>
    <row r="2837" spans="1:24" x14ac:dyDescent="0.2">
      <c r="A2837" s="1649" t="s">
        <v>256</v>
      </c>
      <c r="B2837" s="1677">
        <f t="shared" ref="B2837" si="666">AVERAGE(W2834:W2840)</f>
        <v>0.12429555678286884</v>
      </c>
      <c r="C2837" s="1724">
        <v>45925</v>
      </c>
      <c r="D2837" s="1695"/>
      <c r="E2837" s="1696"/>
      <c r="F2837" s="1547"/>
      <c r="G2837" s="1697"/>
      <c r="H2837" s="1698" t="str">
        <f>IFERROR(VLOOKUP(F2837,#REF!,10,FALSE),"")</f>
        <v/>
      </c>
      <c r="I2837" s="1699" t="str">
        <f t="shared" si="606"/>
        <v/>
      </c>
      <c r="J2837" s="1700"/>
      <c r="K2837" s="1755" t="str">
        <f>IFERROR(VLOOKUP(F2837,#REF!,15,FALSE),"0")</f>
        <v>0</v>
      </c>
      <c r="L2837" s="1578"/>
      <c r="M2837" s="1700"/>
      <c r="N2837" s="1701" t="str">
        <f t="shared" si="607"/>
        <v/>
      </c>
      <c r="O2837" s="1702"/>
      <c r="P2837" s="1635" t="str">
        <f>IFERROR(VLOOKUP(F2837,#REF!,12,FALSE),"")</f>
        <v/>
      </c>
      <c r="Q2837" s="1636" t="s">
        <v>8</v>
      </c>
      <c r="R2837" s="1703" t="str">
        <f>IFERROR(VLOOKUP(F2837,#REF!,14,FALSE),"")</f>
        <v/>
      </c>
      <c r="S2837" s="1704" t="str">
        <f t="shared" si="608"/>
        <v/>
      </c>
      <c r="T2837" s="1828">
        <f t="shared" si="609"/>
        <v>1.6173516426761583</v>
      </c>
      <c r="U2837" s="1828">
        <f t="shared" si="610"/>
        <v>13.45667646379782</v>
      </c>
      <c r="V2837" s="1695">
        <f t="shared" si="611"/>
        <v>11.897977835077208</v>
      </c>
      <c r="W2837" s="1767">
        <f t="shared" si="612"/>
        <v>0.12018953171886694</v>
      </c>
      <c r="X2837" s="1695">
        <v>261</v>
      </c>
    </row>
    <row r="2838" spans="1:24" x14ac:dyDescent="0.2">
      <c r="A2838" s="1649" t="s">
        <v>336</v>
      </c>
      <c r="B2838" s="1713" t="str">
        <f t="shared" ref="B2838" si="667">IFERROR(AVERAGE(N2834:N2840),"")</f>
        <v/>
      </c>
      <c r="C2838" s="1724">
        <v>45926</v>
      </c>
      <c r="D2838" s="1695"/>
      <c r="E2838" s="1696"/>
      <c r="F2838" s="1547" t="s">
        <v>343</v>
      </c>
      <c r="G2838" s="1697"/>
      <c r="H2838" s="1698" t="str">
        <f>IFERROR(VLOOKUP(F2838,#REF!,10,FALSE),"")</f>
        <v/>
      </c>
      <c r="I2838" s="1699" t="str">
        <f t="shared" si="606"/>
        <v/>
      </c>
      <c r="J2838" s="1700"/>
      <c r="K2838" s="1755" t="str">
        <f>IFERROR(VLOOKUP(F2838,#REF!,15,FALSE),"0")</f>
        <v>0</v>
      </c>
      <c r="L2838" s="1578"/>
      <c r="M2838" s="1700"/>
      <c r="N2838" s="1701" t="str">
        <f t="shared" si="607"/>
        <v/>
      </c>
      <c r="O2838" s="1702"/>
      <c r="P2838" s="1635" t="str">
        <f>IFERROR(VLOOKUP(F2838,#REF!,12,FALSE),"")</f>
        <v/>
      </c>
      <c r="Q2838" s="1636" t="s">
        <v>8</v>
      </c>
      <c r="R2838" s="1703" t="str">
        <f>IFERROR(VLOOKUP(F2838,#REF!,14,FALSE),"")</f>
        <v/>
      </c>
      <c r="S2838" s="1704" t="str">
        <f t="shared" si="608"/>
        <v/>
      </c>
      <c r="T2838" s="1828">
        <f t="shared" si="609"/>
        <v>1.3863014080081357</v>
      </c>
      <c r="U2838" s="1828">
        <f t="shared" si="610"/>
        <v>13.136279405135967</v>
      </c>
      <c r="V2838" s="1695">
        <f t="shared" si="611"/>
        <v>11.839324821121661</v>
      </c>
      <c r="W2838" s="1767">
        <f t="shared" si="612"/>
        <v>0.10553227175315145</v>
      </c>
      <c r="X2838" s="1695">
        <v>261</v>
      </c>
    </row>
    <row r="2839" spans="1:24" x14ac:dyDescent="0.2">
      <c r="A2839" s="1649" t="s">
        <v>337</v>
      </c>
      <c r="B2839" s="1681" t="str">
        <f t="shared" ref="B2839" si="668">IFERROR(AVERAGE(S2834:S2840),"")</f>
        <v/>
      </c>
      <c r="C2839" s="1724">
        <v>45927</v>
      </c>
      <c r="D2839" s="1695"/>
      <c r="E2839" s="1696"/>
      <c r="F2839" s="1547"/>
      <c r="G2839" s="1697"/>
      <c r="H2839" s="1698" t="str">
        <f>IFERROR(VLOOKUP(F2839,#REF!,10,FALSE),"")</f>
        <v/>
      </c>
      <c r="I2839" s="1699" t="str">
        <f t="shared" si="606"/>
        <v/>
      </c>
      <c r="J2839" s="1700"/>
      <c r="K2839" s="1755" t="str">
        <f>IFERROR(VLOOKUP(F2839,#REF!,15,FALSE),"0")</f>
        <v>0</v>
      </c>
      <c r="L2839" s="1578"/>
      <c r="M2839" s="1700"/>
      <c r="N2839" s="1701" t="str">
        <f t="shared" si="607"/>
        <v/>
      </c>
      <c r="O2839" s="1702"/>
      <c r="P2839" s="1635" t="str">
        <f>IFERROR(VLOOKUP(F2839,#REF!,12,FALSE),"")</f>
        <v/>
      </c>
      <c r="Q2839" s="1636" t="s">
        <v>8</v>
      </c>
      <c r="R2839" s="1703" t="str">
        <f>IFERROR(VLOOKUP(F2839,#REF!,14,FALSE),"")</f>
        <v/>
      </c>
      <c r="S2839" s="1704" t="str">
        <f t="shared" si="608"/>
        <v/>
      </c>
      <c r="T2839" s="1828">
        <f t="shared" si="609"/>
        <v>1.1882583497212591</v>
      </c>
      <c r="U2839" s="1828">
        <f t="shared" si="610"/>
        <v>12.823510847870825</v>
      </c>
      <c r="V2839" s="1695">
        <f t="shared" si="611"/>
        <v>11.749977997127832</v>
      </c>
      <c r="W2839" s="1767">
        <f t="shared" si="612"/>
        <v>9.2662482514962258E-2</v>
      </c>
      <c r="X2839" s="1695">
        <v>261</v>
      </c>
    </row>
    <row r="2840" spans="1:24" ht="16" thickBot="1" x14ac:dyDescent="0.25">
      <c r="A2840" s="1650" t="s">
        <v>5</v>
      </c>
      <c r="B2840" s="1678">
        <f t="shared" ref="B2840" si="669">IFERROR(SUM(M2834:M2840),"")</f>
        <v>0</v>
      </c>
      <c r="C2840" s="1686">
        <v>45928</v>
      </c>
      <c r="D2840" s="683"/>
      <c r="E2840" s="684"/>
      <c r="F2840" s="1429" t="s">
        <v>308</v>
      </c>
      <c r="G2840" s="1361"/>
      <c r="H2840" s="1362" t="str">
        <f>IFERROR(VLOOKUP(F2840,#REF!,10,FALSE),"")</f>
        <v/>
      </c>
      <c r="I2840" s="1363" t="str">
        <f t="shared" ref="I2840:I2903" si="670">IFERROR(G2840/H2840,"")</f>
        <v/>
      </c>
      <c r="J2840" s="1364"/>
      <c r="K2840" s="1747" t="str">
        <f>IFERROR(VLOOKUP(F2840,#REF!,15,FALSE),"0")</f>
        <v>0</v>
      </c>
      <c r="L2840" s="1705"/>
      <c r="M2840" s="1364"/>
      <c r="N2840" s="1365" t="str">
        <f t="shared" ref="N2840:N2903" si="671">IFERROR((L2840/67)/(1/(I2840*24)/3.6),"")</f>
        <v/>
      </c>
      <c r="O2840" s="1366"/>
      <c r="P2840" s="1706" t="str">
        <f>IFERROR(VLOOKUP(F2840,#REF!,12,FALSE),"")</f>
        <v/>
      </c>
      <c r="Q2840" s="1707" t="s">
        <v>8</v>
      </c>
      <c r="R2840" s="1708" t="str">
        <f>IFERROR(VLOOKUP(F2840,#REF!,14,FALSE),"")</f>
        <v/>
      </c>
      <c r="S2840" s="1191" t="str">
        <f t="shared" ref="S2840:S2903" si="672">IFERROR(L2840/J2840,"")</f>
        <v/>
      </c>
      <c r="T2840" s="1829">
        <f t="shared" ref="T2840:T2903" si="673">T2839+(K2840-T2839)/7</f>
        <v>1.0185071569039363</v>
      </c>
      <c r="U2840" s="1829">
        <f t="shared" ref="U2840:U2903" si="674">U2839+(K2840-U2839)/42</f>
        <v>12.518189161016757</v>
      </c>
      <c r="V2840" s="683">
        <f t="shared" ref="V2840:V2903" si="675">U2839-T2839</f>
        <v>11.635252498149566</v>
      </c>
      <c r="W2840" s="1768">
        <f t="shared" ref="W2840:W2903" si="676">T2840/U2840</f>
        <v>8.1362179769235154E-2</v>
      </c>
      <c r="X2840" s="683">
        <v>261</v>
      </c>
    </row>
    <row r="2841" spans="1:24" ht="16" thickBot="1" x14ac:dyDescent="0.25">
      <c r="A2841" s="1962">
        <f t="shared" ref="A2841" si="677">WEEKNUM(C2841,1)</f>
        <v>40</v>
      </c>
      <c r="B2841" s="1963"/>
      <c r="C2841" s="1368">
        <v>45929</v>
      </c>
      <c r="D2841" s="1369"/>
      <c r="E2841" s="1370"/>
      <c r="F2841" s="1546" t="s">
        <v>355</v>
      </c>
      <c r="G2841" s="1371"/>
      <c r="H2841" s="1372" t="str">
        <f>IFERROR(VLOOKUP(F2841,#REF!,10,FALSE),"")</f>
        <v/>
      </c>
      <c r="I2841" s="1373" t="str">
        <f t="shared" si="670"/>
        <v/>
      </c>
      <c r="J2841" s="1374"/>
      <c r="K2841" s="1745" t="str">
        <f>IFERROR(VLOOKUP(F2841,#REF!,15,FALSE),"0")</f>
        <v>0</v>
      </c>
      <c r="L2841" s="1577"/>
      <c r="M2841" s="1374"/>
      <c r="N2841" s="1375" t="str">
        <f t="shared" si="671"/>
        <v/>
      </c>
      <c r="O2841" s="1376"/>
      <c r="P2841" s="795" t="str">
        <f>IFERROR(VLOOKUP(F2841,#REF!,12,FALSE),"")</f>
        <v/>
      </c>
      <c r="Q2841" s="1254" t="s">
        <v>8</v>
      </c>
      <c r="R2841" s="1694" t="str">
        <f>IFERROR(VLOOKUP(F2841,#REF!,14,FALSE),"")</f>
        <v/>
      </c>
      <c r="S2841" s="1377" t="str">
        <f t="shared" si="672"/>
        <v/>
      </c>
      <c r="T2841" s="70">
        <f t="shared" si="673"/>
        <v>0.87300613448908826</v>
      </c>
      <c r="U2841" s="70">
        <f t="shared" si="674"/>
        <v>12.220137038135405</v>
      </c>
      <c r="V2841" s="1369">
        <f t="shared" si="675"/>
        <v>11.49968200411282</v>
      </c>
      <c r="W2841" s="1766">
        <f t="shared" si="676"/>
        <v>7.1439962724206468E-2</v>
      </c>
      <c r="X2841" s="1369">
        <v>261</v>
      </c>
    </row>
    <row r="2842" spans="1:24" x14ac:dyDescent="0.2">
      <c r="A2842" s="1648" t="s">
        <v>142</v>
      </c>
      <c r="B2842" s="1679">
        <f t="shared" ref="B2842" si="678">SUM(H2841:H2847)</f>
        <v>10</v>
      </c>
      <c r="C2842" s="1651">
        <v>45930</v>
      </c>
      <c r="D2842" s="1695"/>
      <c r="E2842" s="1696"/>
      <c r="F2842" s="1878" t="s">
        <v>362</v>
      </c>
      <c r="G2842" s="1697"/>
      <c r="H2842" s="1698" t="str">
        <f>IFERROR(VLOOKUP(F2842,#REF!,10,FALSE),"")</f>
        <v/>
      </c>
      <c r="I2842" s="1699" t="str">
        <f t="shared" si="670"/>
        <v/>
      </c>
      <c r="J2842" s="1700"/>
      <c r="K2842" s="1755" t="str">
        <f>IFERROR(VLOOKUP(F2842,#REF!,15,FALSE),"0")</f>
        <v>0</v>
      </c>
      <c r="L2842" s="1578"/>
      <c r="M2842" s="1700"/>
      <c r="N2842" s="1701" t="str">
        <f t="shared" si="671"/>
        <v/>
      </c>
      <c r="O2842" s="1702"/>
      <c r="P2842" s="1635" t="str">
        <f>IFERROR(VLOOKUP(F2842,#REF!,12,FALSE),"")</f>
        <v/>
      </c>
      <c r="Q2842" s="1636" t="s">
        <v>8</v>
      </c>
      <c r="R2842" s="1703" t="str">
        <f>IFERROR(VLOOKUP(F2842,#REF!,14,FALSE),"")</f>
        <v/>
      </c>
      <c r="S2842" s="1704" t="str">
        <f t="shared" si="672"/>
        <v/>
      </c>
      <c r="T2842" s="1379">
        <f t="shared" si="673"/>
        <v>0.74829097241921849</v>
      </c>
      <c r="U2842" s="1379">
        <f t="shared" si="674"/>
        <v>11.929181394370277</v>
      </c>
      <c r="V2842" s="1695">
        <f t="shared" si="675"/>
        <v>11.347130903646317</v>
      </c>
      <c r="W2842" s="1767">
        <f t="shared" si="676"/>
        <v>6.2727772148083727E-2</v>
      </c>
      <c r="X2842" s="1695">
        <v>261</v>
      </c>
    </row>
    <row r="2843" spans="1:24" x14ac:dyDescent="0.2">
      <c r="A2843" s="1649" t="s">
        <v>347</v>
      </c>
      <c r="B2843" s="1680">
        <f t="shared" ref="B2843" si="679">SUM(K2841:K2847)</f>
        <v>0</v>
      </c>
      <c r="C2843" s="1651">
        <v>45931</v>
      </c>
      <c r="D2843" s="1695"/>
      <c r="E2843" s="1696"/>
      <c r="F2843" s="1878" t="s">
        <v>331</v>
      </c>
      <c r="G2843" s="1697"/>
      <c r="H2843" s="1698" t="str">
        <f>IFERROR(VLOOKUP(F2843,#REF!,10,FALSE),"")</f>
        <v/>
      </c>
      <c r="I2843" s="1699" t="str">
        <f t="shared" si="670"/>
        <v/>
      </c>
      <c r="J2843" s="1700"/>
      <c r="K2843" s="1755" t="str">
        <f>IFERROR(VLOOKUP(F2843,#REF!,15,FALSE),"0")</f>
        <v>0</v>
      </c>
      <c r="L2843" s="1578"/>
      <c r="M2843" s="1700"/>
      <c r="N2843" s="1701" t="str">
        <f t="shared" si="671"/>
        <v/>
      </c>
      <c r="O2843" s="1702"/>
      <c r="P2843" s="1635" t="str">
        <f>IFERROR(VLOOKUP(F2843,#REF!,12,FALSE),"")</f>
        <v/>
      </c>
      <c r="Q2843" s="1636" t="s">
        <v>8</v>
      </c>
      <c r="R2843" s="1703" t="str">
        <f>IFERROR(VLOOKUP(F2843,#REF!,14,FALSE),"")</f>
        <v/>
      </c>
      <c r="S2843" s="1704" t="str">
        <f t="shared" si="672"/>
        <v/>
      </c>
      <c r="T2843" s="1379">
        <f t="shared" si="673"/>
        <v>0.64139226207361588</v>
      </c>
      <c r="U2843" s="1379">
        <f t="shared" si="674"/>
        <v>11.645153265932889</v>
      </c>
      <c r="V2843" s="1695">
        <f t="shared" si="675"/>
        <v>11.180890421951059</v>
      </c>
      <c r="W2843" s="1767">
        <f t="shared" si="676"/>
        <v>5.5078043837341821E-2</v>
      </c>
      <c r="X2843" s="1695">
        <v>261</v>
      </c>
    </row>
    <row r="2844" spans="1:24" x14ac:dyDescent="0.2">
      <c r="A2844" s="1649" t="s">
        <v>256</v>
      </c>
      <c r="B2844" s="1677">
        <f t="shared" ref="B2844" si="680">AVERAGE(W2841:W2847)</f>
        <v>5.001336922694704E-2</v>
      </c>
      <c r="C2844" s="1651">
        <v>45932</v>
      </c>
      <c r="D2844" s="1695"/>
      <c r="E2844" s="1696"/>
      <c r="F2844" s="1547"/>
      <c r="G2844" s="1697"/>
      <c r="H2844" s="1698" t="str">
        <f>IFERROR(VLOOKUP(F2844,#REF!,10,FALSE),"")</f>
        <v/>
      </c>
      <c r="I2844" s="1699" t="str">
        <f t="shared" si="670"/>
        <v/>
      </c>
      <c r="J2844" s="1700"/>
      <c r="K2844" s="1755" t="str">
        <f>IFERROR(VLOOKUP(F2844,#REF!,15,FALSE),"0")</f>
        <v>0</v>
      </c>
      <c r="L2844" s="1578"/>
      <c r="M2844" s="1700"/>
      <c r="N2844" s="1701" t="str">
        <f t="shared" si="671"/>
        <v/>
      </c>
      <c r="O2844" s="1702"/>
      <c r="P2844" s="1635" t="str">
        <f>IFERROR(VLOOKUP(F2844,#REF!,12,FALSE),"")</f>
        <v/>
      </c>
      <c r="Q2844" s="1636" t="s">
        <v>8</v>
      </c>
      <c r="R2844" s="1703" t="str">
        <f>IFERROR(VLOOKUP(F2844,#REF!,14,FALSE),"")</f>
        <v/>
      </c>
      <c r="S2844" s="1704" t="str">
        <f t="shared" si="672"/>
        <v/>
      </c>
      <c r="T2844" s="1379">
        <f t="shared" si="673"/>
        <v>0.54976479606309936</v>
      </c>
      <c r="U2844" s="1379">
        <f t="shared" si="674"/>
        <v>11.367887711982105</v>
      </c>
      <c r="V2844" s="1695">
        <f t="shared" si="675"/>
        <v>11.003761003859273</v>
      </c>
      <c r="W2844" s="1767">
        <f t="shared" si="676"/>
        <v>4.8361209223031845E-2</v>
      </c>
      <c r="X2844" s="1695">
        <v>261</v>
      </c>
    </row>
    <row r="2845" spans="1:24" x14ac:dyDescent="0.2">
      <c r="A2845" s="1649" t="s">
        <v>336</v>
      </c>
      <c r="B2845" s="1713" t="str">
        <f t="shared" ref="B2845" si="681">IFERROR(AVERAGE(N2841:N2847),"")</f>
        <v/>
      </c>
      <c r="C2845" s="1651">
        <v>45933</v>
      </c>
      <c r="D2845" s="1695"/>
      <c r="E2845" s="1696"/>
      <c r="F2845" s="1943" t="s">
        <v>198</v>
      </c>
      <c r="G2845" s="1697"/>
      <c r="H2845" s="1698">
        <v>10</v>
      </c>
      <c r="I2845" s="1699">
        <f t="shared" si="670"/>
        <v>0</v>
      </c>
      <c r="J2845" s="1700"/>
      <c r="K2845" s="1755" t="str">
        <f>IFERROR(VLOOKUP(F2845,#REF!,15,FALSE),"0")</f>
        <v>0</v>
      </c>
      <c r="L2845" s="1578"/>
      <c r="M2845" s="1700"/>
      <c r="N2845" s="1701" t="str">
        <f t="shared" si="671"/>
        <v/>
      </c>
      <c r="O2845" s="1702"/>
      <c r="P2845" s="1635" t="str">
        <f>IFERROR(VLOOKUP(F2845,#REF!,12,FALSE),"")</f>
        <v/>
      </c>
      <c r="Q2845" s="1636" t="s">
        <v>8</v>
      </c>
      <c r="R2845" s="1703" t="str">
        <f>IFERROR(VLOOKUP(F2845,#REF!,14,FALSE),"")</f>
        <v/>
      </c>
      <c r="S2845" s="1704" t="str">
        <f t="shared" si="672"/>
        <v/>
      </c>
      <c r="T2845" s="1379">
        <f t="shared" si="673"/>
        <v>0.47122696805408515</v>
      </c>
      <c r="U2845" s="1379">
        <f t="shared" si="674"/>
        <v>11.097223718839674</v>
      </c>
      <c r="V2845" s="1695">
        <f t="shared" si="675"/>
        <v>10.818122915919005</v>
      </c>
      <c r="W2845" s="1767">
        <f t="shared" si="676"/>
        <v>4.246350078119869E-2</v>
      </c>
      <c r="X2845" s="1695">
        <v>261</v>
      </c>
    </row>
    <row r="2846" spans="1:24" x14ac:dyDescent="0.2">
      <c r="A2846" s="1649" t="s">
        <v>337</v>
      </c>
      <c r="B2846" s="1681" t="str">
        <f t="shared" ref="B2846" si="682">IFERROR(AVERAGE(S2841:S2847),"")</f>
        <v/>
      </c>
      <c r="C2846" s="1651">
        <v>45934</v>
      </c>
      <c r="D2846" s="1695"/>
      <c r="E2846" s="1696"/>
      <c r="F2846" s="1547"/>
      <c r="G2846" s="1697"/>
      <c r="H2846" s="1698" t="str">
        <f>IFERROR(VLOOKUP(F2846,#REF!,10,FALSE),"")</f>
        <v/>
      </c>
      <c r="I2846" s="1699" t="str">
        <f t="shared" si="670"/>
        <v/>
      </c>
      <c r="J2846" s="1700"/>
      <c r="K2846" s="1755" t="str">
        <f>IFERROR(VLOOKUP(F2846,#REF!,15,FALSE),"0")</f>
        <v>0</v>
      </c>
      <c r="L2846" s="1578"/>
      <c r="M2846" s="1700"/>
      <c r="N2846" s="1701" t="str">
        <f t="shared" si="671"/>
        <v/>
      </c>
      <c r="O2846" s="1702"/>
      <c r="P2846" s="1635" t="str">
        <f>IFERROR(VLOOKUP(F2846,#REF!,12,FALSE),"")</f>
        <v/>
      </c>
      <c r="Q2846" s="1636" t="s">
        <v>8</v>
      </c>
      <c r="R2846" s="1703" t="str">
        <f>IFERROR(VLOOKUP(F2846,#REF!,14,FALSE),"")</f>
        <v/>
      </c>
      <c r="S2846" s="1704" t="str">
        <f t="shared" si="672"/>
        <v/>
      </c>
      <c r="T2846" s="1379">
        <f t="shared" si="673"/>
        <v>0.40390882976064441</v>
      </c>
      <c r="U2846" s="1379">
        <f t="shared" si="674"/>
        <v>10.833004106486348</v>
      </c>
      <c r="V2846" s="1695">
        <f t="shared" si="675"/>
        <v>10.625996750785589</v>
      </c>
      <c r="W2846" s="1767">
        <f t="shared" si="676"/>
        <v>3.7285025076174462E-2</v>
      </c>
      <c r="X2846" s="1695">
        <v>261</v>
      </c>
    </row>
    <row r="2847" spans="1:24" ht="16" thickBot="1" x14ac:dyDescent="0.25">
      <c r="A2847" s="1650" t="s">
        <v>5</v>
      </c>
      <c r="B2847" s="1678">
        <f t="shared" ref="B2847" si="683">IFERROR(SUM(M2841:M2847),"")</f>
        <v>0</v>
      </c>
      <c r="C2847" s="1360">
        <v>45935</v>
      </c>
      <c r="D2847" s="683"/>
      <c r="E2847" s="684"/>
      <c r="F2847" s="1642"/>
      <c r="G2847" s="1361"/>
      <c r="H2847" s="1362" t="str">
        <f>IFERROR(VLOOKUP(F2847,#REF!,10,FALSE),"")</f>
        <v/>
      </c>
      <c r="I2847" s="1363" t="str">
        <f t="shared" si="670"/>
        <v/>
      </c>
      <c r="J2847" s="1364"/>
      <c r="K2847" s="1747" t="str">
        <f>IFERROR(VLOOKUP(F2847,#REF!,15,FALSE),"0")</f>
        <v>0</v>
      </c>
      <c r="L2847" s="1705"/>
      <c r="M2847" s="1364"/>
      <c r="N2847" s="1365" t="str">
        <f t="shared" si="671"/>
        <v/>
      </c>
      <c r="O2847" s="1366"/>
      <c r="P2847" s="1706" t="str">
        <f>IFERROR(VLOOKUP(F2847,#REF!,12,FALSE),"")</f>
        <v/>
      </c>
      <c r="Q2847" s="1707" t="s">
        <v>8</v>
      </c>
      <c r="R2847" s="1708" t="str">
        <f>IFERROR(VLOOKUP(F2847,#REF!,14,FALSE),"")</f>
        <v/>
      </c>
      <c r="S2847" s="1191" t="str">
        <f t="shared" si="672"/>
        <v/>
      </c>
      <c r="T2847" s="1897">
        <f t="shared" si="673"/>
        <v>0.34620756836626665</v>
      </c>
      <c r="U2847" s="1897">
        <f t="shared" si="674"/>
        <v>10.575075437284292</v>
      </c>
      <c r="V2847" s="683">
        <f t="shared" si="675"/>
        <v>10.429095276725704</v>
      </c>
      <c r="W2847" s="1768">
        <f t="shared" si="676"/>
        <v>3.2738070798592214E-2</v>
      </c>
      <c r="X2847" s="683">
        <v>261</v>
      </c>
    </row>
    <row r="2848" spans="1:24" ht="16" thickBot="1" x14ac:dyDescent="0.25">
      <c r="A2848" s="1962">
        <f t="shared" ref="A2848" si="684">WEEKNUM(C2848,1)</f>
        <v>41</v>
      </c>
      <c r="B2848" s="1963"/>
      <c r="C2848" s="1368">
        <v>45936</v>
      </c>
      <c r="D2848" s="1369"/>
      <c r="E2848" s="1370"/>
      <c r="F2848" s="1505"/>
      <c r="G2848" s="1371"/>
      <c r="H2848" s="1372" t="str">
        <f>IFERROR(VLOOKUP(F2848,#REF!,10,FALSE),"")</f>
        <v/>
      </c>
      <c r="I2848" s="1373" t="str">
        <f t="shared" si="670"/>
        <v/>
      </c>
      <c r="J2848" s="1374"/>
      <c r="K2848" s="1745" t="str">
        <f>IFERROR(VLOOKUP(F2848,#REF!,15,FALSE),"0")</f>
        <v>0</v>
      </c>
      <c r="L2848" s="1577"/>
      <c r="M2848" s="1374"/>
      <c r="N2848" s="1375" t="str">
        <f t="shared" si="671"/>
        <v/>
      </c>
      <c r="O2848" s="1376"/>
      <c r="P2848" s="795" t="str">
        <f>IFERROR(VLOOKUP(F2848,#REF!,12,FALSE),"")</f>
        <v/>
      </c>
      <c r="Q2848" s="1254" t="s">
        <v>8</v>
      </c>
      <c r="R2848" s="1694" t="str">
        <f>IFERROR(VLOOKUP(F2848,#REF!,14,FALSE),"")</f>
        <v/>
      </c>
      <c r="S2848" s="1377" t="str">
        <f t="shared" si="672"/>
        <v/>
      </c>
      <c r="T2848" s="1369">
        <f t="shared" si="673"/>
        <v>0.29674934431394284</v>
      </c>
      <c r="U2848" s="1369">
        <f t="shared" si="674"/>
        <v>10.323287926872762</v>
      </c>
      <c r="V2848" s="1369">
        <f t="shared" si="675"/>
        <v>10.228867868918027</v>
      </c>
      <c r="W2848" s="1766">
        <f t="shared" si="676"/>
        <v>2.8745623140227307E-2</v>
      </c>
      <c r="X2848" s="1369">
        <v>261</v>
      </c>
    </row>
    <row r="2849" spans="1:24" x14ac:dyDescent="0.2">
      <c r="A2849" s="1648" t="s">
        <v>142</v>
      </c>
      <c r="B2849" s="1679">
        <f t="shared" ref="B2849" si="685">SUM(H2848:H2854)</f>
        <v>0</v>
      </c>
      <c r="C2849" s="1651">
        <v>45937</v>
      </c>
      <c r="D2849" s="1695"/>
      <c r="E2849" s="1696"/>
      <c r="F2849" s="1503" t="s">
        <v>362</v>
      </c>
      <c r="G2849" s="1697"/>
      <c r="H2849" s="1698" t="str">
        <f>IFERROR(VLOOKUP(F2849,#REF!,10,FALSE),"")</f>
        <v/>
      </c>
      <c r="I2849" s="1699" t="str">
        <f t="shared" si="670"/>
        <v/>
      </c>
      <c r="J2849" s="1700"/>
      <c r="K2849" s="1755" t="str">
        <f>IFERROR(VLOOKUP(F2849,#REF!,15,FALSE),"0")</f>
        <v>0</v>
      </c>
      <c r="L2849" s="1578"/>
      <c r="M2849" s="1700"/>
      <c r="N2849" s="1701" t="str">
        <f t="shared" si="671"/>
        <v/>
      </c>
      <c r="O2849" s="1702"/>
      <c r="P2849" s="1635" t="str">
        <f>IFERROR(VLOOKUP(F2849,#REF!,12,FALSE),"")</f>
        <v/>
      </c>
      <c r="Q2849" s="1636" t="s">
        <v>8</v>
      </c>
      <c r="R2849" s="1703" t="str">
        <f>IFERROR(VLOOKUP(F2849,#REF!,14,FALSE),"")</f>
        <v/>
      </c>
      <c r="S2849" s="1704" t="str">
        <f t="shared" si="672"/>
        <v/>
      </c>
      <c r="T2849" s="1828">
        <f t="shared" si="673"/>
        <v>0.25435658084052243</v>
      </c>
      <c r="U2849" s="1828">
        <f t="shared" si="674"/>
        <v>10.077495357185315</v>
      </c>
      <c r="V2849" s="1695">
        <f t="shared" si="675"/>
        <v>10.026538582558819</v>
      </c>
      <c r="W2849" s="1767">
        <f t="shared" si="676"/>
        <v>2.5240059342638611E-2</v>
      </c>
      <c r="X2849" s="1695">
        <v>261</v>
      </c>
    </row>
    <row r="2850" spans="1:24" x14ac:dyDescent="0.2">
      <c r="A2850" s="1649" t="s">
        <v>347</v>
      </c>
      <c r="B2850" s="1680">
        <f t="shared" ref="B2850" si="686">SUM(K2848:K2854)</f>
        <v>0</v>
      </c>
      <c r="C2850" s="1651">
        <v>45938</v>
      </c>
      <c r="D2850" s="1695"/>
      <c r="E2850" s="1696"/>
      <c r="F2850" s="1503"/>
      <c r="G2850" s="1697"/>
      <c r="H2850" s="1698" t="str">
        <f>IFERROR(VLOOKUP(F2850,#REF!,10,FALSE),"")</f>
        <v/>
      </c>
      <c r="I2850" s="1699" t="str">
        <f t="shared" si="670"/>
        <v/>
      </c>
      <c r="J2850" s="1700"/>
      <c r="K2850" s="1755" t="str">
        <f>IFERROR(VLOOKUP(F2850,#REF!,15,FALSE),"0")</f>
        <v>0</v>
      </c>
      <c r="L2850" s="1578"/>
      <c r="M2850" s="1700"/>
      <c r="N2850" s="1701" t="str">
        <f t="shared" si="671"/>
        <v/>
      </c>
      <c r="O2850" s="1702"/>
      <c r="P2850" s="1635" t="str">
        <f>IFERROR(VLOOKUP(F2850,#REF!,12,FALSE),"")</f>
        <v/>
      </c>
      <c r="Q2850" s="1636" t="s">
        <v>8</v>
      </c>
      <c r="R2850" s="1703" t="str">
        <f>IFERROR(VLOOKUP(F2850,#REF!,14,FALSE),"")</f>
        <v/>
      </c>
      <c r="S2850" s="1704" t="str">
        <f t="shared" si="672"/>
        <v/>
      </c>
      <c r="T2850" s="1828">
        <f t="shared" si="673"/>
        <v>0.2180199264347335</v>
      </c>
      <c r="U2850" s="1828">
        <f t="shared" si="674"/>
        <v>9.8375549915380454</v>
      </c>
      <c r="V2850" s="1695">
        <f t="shared" si="675"/>
        <v>9.823138776344793</v>
      </c>
      <c r="W2850" s="1767">
        <f t="shared" si="676"/>
        <v>2.2162003325243658E-2</v>
      </c>
      <c r="X2850" s="1695">
        <v>261</v>
      </c>
    </row>
    <row r="2851" spans="1:24" x14ac:dyDescent="0.2">
      <c r="A2851" s="1649" t="s">
        <v>256</v>
      </c>
      <c r="B2851" s="1677">
        <f t="shared" ref="B2851" si="687">AVERAGE(W2848:W2854)</f>
        <v>2.0124107137638902E-2</v>
      </c>
      <c r="C2851" s="1651">
        <v>45939</v>
      </c>
      <c r="D2851" s="1695"/>
      <c r="E2851" s="1696"/>
      <c r="F2851" s="1503" t="s">
        <v>363</v>
      </c>
      <c r="G2851" s="1697"/>
      <c r="H2851" s="1698" t="str">
        <f>IFERROR(VLOOKUP(F2851,#REF!,10,FALSE),"")</f>
        <v/>
      </c>
      <c r="I2851" s="1699" t="str">
        <f t="shared" si="670"/>
        <v/>
      </c>
      <c r="J2851" s="1700"/>
      <c r="K2851" s="1755" t="str">
        <f>IFERROR(VLOOKUP(F2851,#REF!,15,FALSE),"0")</f>
        <v>0</v>
      </c>
      <c r="L2851" s="1578"/>
      <c r="M2851" s="1700"/>
      <c r="N2851" s="1701" t="str">
        <f t="shared" si="671"/>
        <v/>
      </c>
      <c r="O2851" s="1702"/>
      <c r="P2851" s="1635" t="str">
        <f>IFERROR(VLOOKUP(F2851,#REF!,12,FALSE),"")</f>
        <v/>
      </c>
      <c r="Q2851" s="1636" t="s">
        <v>8</v>
      </c>
      <c r="R2851" s="1703" t="str">
        <f>IFERROR(VLOOKUP(F2851,#REF!,14,FALSE),"")</f>
        <v/>
      </c>
      <c r="S2851" s="1704" t="str">
        <f t="shared" si="672"/>
        <v/>
      </c>
      <c r="T2851" s="1828">
        <f t="shared" si="673"/>
        <v>0.186874222658343</v>
      </c>
      <c r="U2851" s="1828">
        <f t="shared" si="674"/>
        <v>9.6033274917395204</v>
      </c>
      <c r="V2851" s="1695">
        <f t="shared" si="675"/>
        <v>9.619535065103312</v>
      </c>
      <c r="W2851" s="1767">
        <f t="shared" si="676"/>
        <v>1.9459319992896868E-2</v>
      </c>
      <c r="X2851" s="1695">
        <v>261</v>
      </c>
    </row>
    <row r="2852" spans="1:24" x14ac:dyDescent="0.2">
      <c r="A2852" s="1649" t="s">
        <v>336</v>
      </c>
      <c r="B2852" s="1713" t="str">
        <f t="shared" ref="B2852" si="688">IFERROR(AVERAGE(N2848:N2854),"")</f>
        <v/>
      </c>
      <c r="C2852" s="1651">
        <v>45940</v>
      </c>
      <c r="D2852" s="1695"/>
      <c r="E2852" s="1696"/>
      <c r="F2852" s="1503"/>
      <c r="G2852" s="1697"/>
      <c r="H2852" s="1698" t="str">
        <f>IFERROR(VLOOKUP(F2852,#REF!,10,FALSE),"")</f>
        <v/>
      </c>
      <c r="I2852" s="1699" t="str">
        <f t="shared" si="670"/>
        <v/>
      </c>
      <c r="J2852" s="1700"/>
      <c r="K2852" s="1755" t="str">
        <f>IFERROR(VLOOKUP(F2852,#REF!,15,FALSE),"0")</f>
        <v>0</v>
      </c>
      <c r="L2852" s="1578"/>
      <c r="M2852" s="1700"/>
      <c r="N2852" s="1701" t="str">
        <f t="shared" si="671"/>
        <v/>
      </c>
      <c r="O2852" s="1702"/>
      <c r="P2852" s="1635" t="str">
        <f>IFERROR(VLOOKUP(F2852,#REF!,12,FALSE),"")</f>
        <v/>
      </c>
      <c r="Q2852" s="1636" t="s">
        <v>8</v>
      </c>
      <c r="R2852" s="1703" t="str">
        <f>IFERROR(VLOOKUP(F2852,#REF!,14,FALSE),"")</f>
        <v/>
      </c>
      <c r="S2852" s="1704" t="str">
        <f t="shared" si="672"/>
        <v/>
      </c>
      <c r="T2852" s="1828">
        <f t="shared" si="673"/>
        <v>0.16017790513572258</v>
      </c>
      <c r="U2852" s="1828">
        <f t="shared" si="674"/>
        <v>9.3746768371742935</v>
      </c>
      <c r="V2852" s="1695">
        <f t="shared" si="675"/>
        <v>9.4164532690811775</v>
      </c>
      <c r="W2852" s="1767">
        <f t="shared" si="676"/>
        <v>1.7086232188885057E-2</v>
      </c>
      <c r="X2852" s="1695">
        <v>261</v>
      </c>
    </row>
    <row r="2853" spans="1:24" x14ac:dyDescent="0.2">
      <c r="A2853" s="1649" t="s">
        <v>337</v>
      </c>
      <c r="B2853" s="1681" t="str">
        <f t="shared" ref="B2853" si="689">IFERROR(AVERAGE(S2848:S2854),"")</f>
        <v/>
      </c>
      <c r="C2853" s="1651">
        <v>45941</v>
      </c>
      <c r="D2853" s="1695"/>
      <c r="E2853" s="1696"/>
      <c r="F2853" s="1877" t="s">
        <v>364</v>
      </c>
      <c r="G2853" s="1697"/>
      <c r="H2853" s="1698" t="str">
        <f>IFERROR(VLOOKUP(F2853,#REF!,10,FALSE),"")</f>
        <v/>
      </c>
      <c r="I2853" s="1699" t="str">
        <f t="shared" si="670"/>
        <v/>
      </c>
      <c r="J2853" s="1700"/>
      <c r="K2853" s="1755" t="str">
        <f>IFERROR(VLOOKUP(F2853,#REF!,15,FALSE),"0")</f>
        <v>0</v>
      </c>
      <c r="L2853" s="1578"/>
      <c r="M2853" s="1700"/>
      <c r="N2853" s="1701" t="str">
        <f t="shared" si="671"/>
        <v/>
      </c>
      <c r="O2853" s="1702"/>
      <c r="P2853" s="1635" t="str">
        <f>IFERROR(VLOOKUP(F2853,#REF!,12,FALSE),"")</f>
        <v/>
      </c>
      <c r="Q2853" s="1636" t="s">
        <v>8</v>
      </c>
      <c r="R2853" s="1703" t="str">
        <f>IFERROR(VLOOKUP(F2853,#REF!,14,FALSE),"")</f>
        <v/>
      </c>
      <c r="S2853" s="1704" t="str">
        <f t="shared" si="672"/>
        <v/>
      </c>
      <c r="T2853" s="1828">
        <f t="shared" si="673"/>
        <v>0.13729534725919079</v>
      </c>
      <c r="U2853" s="1828">
        <f t="shared" si="674"/>
        <v>9.1514702458129999</v>
      </c>
      <c r="V2853" s="1695">
        <f t="shared" si="675"/>
        <v>9.2144989320385715</v>
      </c>
      <c r="W2853" s="1767">
        <f t="shared" si="676"/>
        <v>1.5002545336582004E-2</v>
      </c>
      <c r="X2853" s="1695">
        <v>261</v>
      </c>
    </row>
    <row r="2854" spans="1:24" ht="16" thickBot="1" x14ac:dyDescent="0.25">
      <c r="A2854" s="1650" t="s">
        <v>5</v>
      </c>
      <c r="B2854" s="1678">
        <f t="shared" ref="B2854" si="690">IFERROR(SUM(M2848:M2854),"")</f>
        <v>0</v>
      </c>
      <c r="C2854" s="1360">
        <v>45942</v>
      </c>
      <c r="D2854" s="683"/>
      <c r="E2854" s="684"/>
      <c r="F2854" s="1538"/>
      <c r="G2854" s="1361"/>
      <c r="H2854" s="1362" t="str">
        <f>IFERROR(VLOOKUP(F2854,#REF!,10,FALSE),"")</f>
        <v/>
      </c>
      <c r="I2854" s="1363" t="str">
        <f t="shared" si="670"/>
        <v/>
      </c>
      <c r="J2854" s="1364"/>
      <c r="K2854" s="1747" t="str">
        <f>IFERROR(VLOOKUP(F2854,#REF!,15,FALSE),"0")</f>
        <v>0</v>
      </c>
      <c r="L2854" s="1705"/>
      <c r="M2854" s="1364"/>
      <c r="N2854" s="1365" t="str">
        <f t="shared" si="671"/>
        <v/>
      </c>
      <c r="O2854" s="1366"/>
      <c r="P2854" s="1706" t="str">
        <f>IFERROR(VLOOKUP(F2854,#REF!,12,FALSE),"")</f>
        <v/>
      </c>
      <c r="Q2854" s="1707" t="s">
        <v>8</v>
      </c>
      <c r="R2854" s="1708" t="str">
        <f>IFERROR(VLOOKUP(F2854,#REF!,14,FALSE),"")</f>
        <v/>
      </c>
      <c r="S2854" s="1191" t="str">
        <f t="shared" si="672"/>
        <v/>
      </c>
      <c r="T2854" s="1829">
        <f t="shared" si="673"/>
        <v>0.11768172622216354</v>
      </c>
      <c r="U2854" s="1829">
        <f t="shared" si="674"/>
        <v>8.9335780971031671</v>
      </c>
      <c r="V2854" s="683">
        <f t="shared" si="675"/>
        <v>9.0141748985538097</v>
      </c>
      <c r="W2854" s="1768">
        <f t="shared" si="676"/>
        <v>1.3172966636998833E-2</v>
      </c>
      <c r="X2854" s="683">
        <v>261</v>
      </c>
    </row>
    <row r="2855" spans="1:24" ht="16" thickBot="1" x14ac:dyDescent="0.25">
      <c r="A2855" s="1962">
        <f t="shared" ref="A2855" si="691">WEEKNUM(C2855,1)</f>
        <v>42</v>
      </c>
      <c r="B2855" s="1963"/>
      <c r="C2855" s="1368">
        <v>45943</v>
      </c>
      <c r="D2855" s="1369"/>
      <c r="E2855" s="1370"/>
      <c r="F2855" s="1547" t="s">
        <v>363</v>
      </c>
      <c r="G2855" s="1371"/>
      <c r="H2855" s="1372" t="str">
        <f>IFERROR(VLOOKUP(F2855,#REF!,10,FALSE),"")</f>
        <v/>
      </c>
      <c r="I2855" s="1373" t="str">
        <f t="shared" si="670"/>
        <v/>
      </c>
      <c r="J2855" s="1374"/>
      <c r="K2855" s="1745" t="str">
        <f>IFERROR(VLOOKUP(F2855,#REF!,15,FALSE),"0")</f>
        <v>0</v>
      </c>
      <c r="L2855" s="1577"/>
      <c r="M2855" s="1374"/>
      <c r="N2855" s="1375" t="str">
        <f t="shared" si="671"/>
        <v/>
      </c>
      <c r="O2855" s="1376"/>
      <c r="P2855" s="795" t="str">
        <f>IFERROR(VLOOKUP(F2855,#REF!,12,FALSE),"")</f>
        <v/>
      </c>
      <c r="Q2855" s="1254" t="s">
        <v>8</v>
      </c>
      <c r="R2855" s="1694" t="str">
        <f>IFERROR(VLOOKUP(F2855,#REF!,14,FALSE),"")</f>
        <v/>
      </c>
      <c r="S2855" s="1377" t="str">
        <f t="shared" si="672"/>
        <v/>
      </c>
      <c r="T2855" s="70">
        <f t="shared" si="673"/>
        <v>0.10087005104756874</v>
      </c>
      <c r="U2855" s="70">
        <f t="shared" si="674"/>
        <v>8.7208738566959489</v>
      </c>
      <c r="V2855" s="1369">
        <f t="shared" si="675"/>
        <v>8.8158963708810028</v>
      </c>
      <c r="W2855" s="1766">
        <f t="shared" si="676"/>
        <v>1.1566507291023365E-2</v>
      </c>
      <c r="X2855" s="1369">
        <v>261</v>
      </c>
    </row>
    <row r="2856" spans="1:24" x14ac:dyDescent="0.2">
      <c r="A2856" s="1648" t="s">
        <v>142</v>
      </c>
      <c r="B2856" s="1679">
        <f t="shared" ref="B2856" si="692">SUM(H2855:H2861)</f>
        <v>0</v>
      </c>
      <c r="C2856" s="1651">
        <v>45944</v>
      </c>
      <c r="D2856" s="1695"/>
      <c r="E2856" s="1696"/>
      <c r="F2856" s="1547" t="s">
        <v>343</v>
      </c>
      <c r="G2856" s="1697"/>
      <c r="H2856" s="1698" t="str">
        <f>IFERROR(VLOOKUP(F2856,#REF!,10,FALSE),"")</f>
        <v/>
      </c>
      <c r="I2856" s="1699" t="str">
        <f t="shared" si="670"/>
        <v/>
      </c>
      <c r="J2856" s="1700"/>
      <c r="K2856" s="1755" t="str">
        <f>IFERROR(VLOOKUP(F2856,#REF!,15,FALSE),"0")</f>
        <v>0</v>
      </c>
      <c r="L2856" s="1578"/>
      <c r="M2856" s="1700"/>
      <c r="N2856" s="1701" t="str">
        <f t="shared" si="671"/>
        <v/>
      </c>
      <c r="O2856" s="1702"/>
      <c r="P2856" s="1635" t="str">
        <f>IFERROR(VLOOKUP(F2856,#REF!,12,FALSE),"")</f>
        <v/>
      </c>
      <c r="Q2856" s="1636" t="s">
        <v>8</v>
      </c>
      <c r="R2856" s="1703" t="str">
        <f>IFERROR(VLOOKUP(F2856,#REF!,14,FALSE),"")</f>
        <v/>
      </c>
      <c r="S2856" s="1704" t="str">
        <f t="shared" si="672"/>
        <v/>
      </c>
      <c r="T2856" s="1379">
        <f t="shared" si="673"/>
        <v>8.6460043755058918E-2</v>
      </c>
      <c r="U2856" s="1379">
        <f t="shared" si="674"/>
        <v>8.5132340029650937</v>
      </c>
      <c r="V2856" s="1695">
        <f t="shared" si="675"/>
        <v>8.6200038056483805</v>
      </c>
      <c r="W2856" s="1767">
        <f t="shared" si="676"/>
        <v>1.0155957621386368E-2</v>
      </c>
      <c r="X2856" s="1695">
        <v>261</v>
      </c>
    </row>
    <row r="2857" spans="1:24" x14ac:dyDescent="0.2">
      <c r="A2857" s="1649" t="s">
        <v>347</v>
      </c>
      <c r="B2857" s="1680">
        <f t="shared" ref="B2857" si="693">SUM(K2855:K2861)</f>
        <v>0</v>
      </c>
      <c r="C2857" s="1651">
        <v>45945</v>
      </c>
      <c r="D2857" s="1695"/>
      <c r="E2857" s="1696"/>
      <c r="F2857" s="1547" t="s">
        <v>363</v>
      </c>
      <c r="G2857" s="1697"/>
      <c r="H2857" s="1698" t="str">
        <f>IFERROR(VLOOKUP(#REF!,#REF!,10,FALSE),"")</f>
        <v/>
      </c>
      <c r="I2857" s="1699" t="str">
        <f t="shared" si="670"/>
        <v/>
      </c>
      <c r="J2857" s="1700"/>
      <c r="K2857" s="1755" t="str">
        <f>IFERROR(VLOOKUP(#REF!,#REF!,15,FALSE),"0")</f>
        <v>0</v>
      </c>
      <c r="L2857" s="1578"/>
      <c r="M2857" s="1700"/>
      <c r="N2857" s="1701" t="str">
        <f t="shared" si="671"/>
        <v/>
      </c>
      <c r="O2857" s="1702"/>
      <c r="P2857" s="1635" t="str">
        <f>IFERROR(VLOOKUP(#REF!,#REF!,12,FALSE),"")</f>
        <v/>
      </c>
      <c r="Q2857" s="1636" t="s">
        <v>8</v>
      </c>
      <c r="R2857" s="1703" t="str">
        <f>IFERROR(VLOOKUP(#REF!,#REF!,14,FALSE),"")</f>
        <v/>
      </c>
      <c r="S2857" s="1704" t="str">
        <f t="shared" si="672"/>
        <v/>
      </c>
      <c r="T2857" s="1379">
        <f t="shared" si="673"/>
        <v>7.4108608932907646E-2</v>
      </c>
      <c r="U2857" s="1379">
        <f t="shared" si="674"/>
        <v>8.3105379552754481</v>
      </c>
      <c r="V2857" s="1695">
        <f t="shared" si="675"/>
        <v>8.4267739592100348</v>
      </c>
      <c r="W2857" s="1767">
        <f t="shared" si="676"/>
        <v>8.9174262041441278E-3</v>
      </c>
      <c r="X2857" s="1695">
        <v>261</v>
      </c>
    </row>
    <row r="2858" spans="1:24" x14ac:dyDescent="0.2">
      <c r="A2858" s="1649" t="s">
        <v>256</v>
      </c>
      <c r="B2858" s="1677">
        <f t="shared" ref="B2858" si="694">AVERAGE(W2855:W2861)</f>
        <v>8.0974286345213368E-3</v>
      </c>
      <c r="C2858" s="1651">
        <v>45946</v>
      </c>
      <c r="D2858" s="1695"/>
      <c r="E2858" s="1696"/>
      <c r="F2858" s="1547" t="s">
        <v>343</v>
      </c>
      <c r="G2858" s="1697"/>
      <c r="H2858" s="1698" t="str">
        <f>IFERROR(VLOOKUP(F2857,#REF!,10,FALSE),"")</f>
        <v/>
      </c>
      <c r="I2858" s="1699" t="str">
        <f t="shared" si="670"/>
        <v/>
      </c>
      <c r="J2858" s="1700"/>
      <c r="K2858" s="1755" t="str">
        <f>IFERROR(VLOOKUP(F2857,#REF!,15,FALSE),"0")</f>
        <v>0</v>
      </c>
      <c r="L2858" s="1578"/>
      <c r="M2858" s="1700"/>
      <c r="N2858" s="1701" t="str">
        <f t="shared" si="671"/>
        <v/>
      </c>
      <c r="O2858" s="1702"/>
      <c r="P2858" s="1635" t="str">
        <f>IFERROR(VLOOKUP(F2857,#REF!,12,FALSE),"")</f>
        <v/>
      </c>
      <c r="Q2858" s="1636" t="s">
        <v>8</v>
      </c>
      <c r="R2858" s="1703" t="str">
        <f>IFERROR(VLOOKUP(F2857,#REF!,14,FALSE),"")</f>
        <v/>
      </c>
      <c r="S2858" s="1704" t="str">
        <f t="shared" si="672"/>
        <v/>
      </c>
      <c r="T2858" s="1379">
        <f t="shared" si="673"/>
        <v>6.3521664799635127E-2</v>
      </c>
      <c r="U2858" s="1379">
        <f t="shared" si="674"/>
        <v>8.1126680039593655</v>
      </c>
      <c r="V2858" s="1695">
        <f t="shared" si="675"/>
        <v>8.2364293463425398</v>
      </c>
      <c r="W2858" s="1767">
        <f t="shared" si="676"/>
        <v>7.8299352036387479E-3</v>
      </c>
      <c r="X2858" s="1695">
        <v>261</v>
      </c>
    </row>
    <row r="2859" spans="1:24" x14ac:dyDescent="0.2">
      <c r="A2859" s="1649" t="s">
        <v>336</v>
      </c>
      <c r="B2859" s="1713" t="str">
        <f t="shared" ref="B2859" si="695">IFERROR(AVERAGE(N2855:N2861),"")</f>
        <v/>
      </c>
      <c r="C2859" s="1651">
        <v>45947</v>
      </c>
      <c r="D2859" s="1695"/>
      <c r="E2859" s="1696"/>
      <c r="F2859" s="1947"/>
      <c r="G2859" s="1697"/>
      <c r="H2859" s="1698" t="str">
        <f>IFERROR(VLOOKUP(F2858,#REF!,10,FALSE),"")</f>
        <v/>
      </c>
      <c r="I2859" s="1699" t="str">
        <f t="shared" si="670"/>
        <v/>
      </c>
      <c r="J2859" s="1700"/>
      <c r="K2859" s="1755" t="str">
        <f>IFERROR(VLOOKUP(F2858,#REF!,15,FALSE),"0")</f>
        <v>0</v>
      </c>
      <c r="L2859" s="1578"/>
      <c r="M2859" s="1700"/>
      <c r="N2859" s="1701" t="str">
        <f t="shared" si="671"/>
        <v/>
      </c>
      <c r="O2859" s="1702"/>
      <c r="P2859" s="1635" t="str">
        <f>IFERROR(VLOOKUP(F2858,#REF!,12,FALSE),"")</f>
        <v/>
      </c>
      <c r="Q2859" s="1636" t="s">
        <v>8</v>
      </c>
      <c r="R2859" s="1703" t="str">
        <f>IFERROR(VLOOKUP(F2858,#REF!,14,FALSE),"")</f>
        <v/>
      </c>
      <c r="S2859" s="1704" t="str">
        <f t="shared" si="672"/>
        <v/>
      </c>
      <c r="T2859" s="1379">
        <f t="shared" si="673"/>
        <v>5.444714125683011E-2</v>
      </c>
      <c r="U2859" s="1379">
        <f t="shared" si="674"/>
        <v>7.9195092419603332</v>
      </c>
      <c r="V2859" s="1695">
        <f t="shared" si="675"/>
        <v>8.04914633915973</v>
      </c>
      <c r="W2859" s="1767">
        <f t="shared" si="676"/>
        <v>6.8750650568535345E-3</v>
      </c>
      <c r="X2859" s="1695">
        <v>261</v>
      </c>
    </row>
    <row r="2860" spans="1:24" x14ac:dyDescent="0.2">
      <c r="A2860" s="1649" t="s">
        <v>337</v>
      </c>
      <c r="B2860" s="1681" t="str">
        <f t="shared" ref="B2860" si="696">IFERROR(AVERAGE(S2855:S2861),"")</f>
        <v/>
      </c>
      <c r="C2860" s="1651">
        <v>45948</v>
      </c>
      <c r="D2860" s="1695"/>
      <c r="E2860" s="1696"/>
      <c r="F2860" s="1547"/>
      <c r="G2860" s="1697"/>
      <c r="H2860" s="1698" t="str">
        <f>IFERROR(VLOOKUP(F2860,#REF!,10,FALSE),"")</f>
        <v/>
      </c>
      <c r="I2860" s="1699" t="str">
        <f t="shared" si="670"/>
        <v/>
      </c>
      <c r="J2860" s="1700"/>
      <c r="K2860" s="1755" t="str">
        <f>IFERROR(VLOOKUP(F2860,#REF!,15,FALSE),"0")</f>
        <v>0</v>
      </c>
      <c r="L2860" s="1578"/>
      <c r="M2860" s="1700"/>
      <c r="N2860" s="1701" t="str">
        <f t="shared" si="671"/>
        <v/>
      </c>
      <c r="O2860" s="1702"/>
      <c r="P2860" s="1635" t="str">
        <f>IFERROR(VLOOKUP(F2860,#REF!,12,FALSE),"")</f>
        <v/>
      </c>
      <c r="Q2860" s="1636" t="s">
        <v>8</v>
      </c>
      <c r="R2860" s="1703" t="str">
        <f>IFERROR(VLOOKUP(F2860,#REF!,14,FALSE),"")</f>
        <v/>
      </c>
      <c r="S2860" s="1704" t="str">
        <f t="shared" si="672"/>
        <v/>
      </c>
      <c r="T2860" s="1379">
        <f t="shared" si="673"/>
        <v>4.6668978220140094E-2</v>
      </c>
      <c r="U2860" s="1379">
        <f t="shared" si="674"/>
        <v>7.7309494981041347</v>
      </c>
      <c r="V2860" s="1695">
        <f t="shared" si="675"/>
        <v>7.8650621007035033</v>
      </c>
      <c r="W2860" s="1767">
        <f t="shared" si="676"/>
        <v>6.0366424889445672E-3</v>
      </c>
      <c r="X2860" s="1695">
        <v>261</v>
      </c>
    </row>
    <row r="2861" spans="1:24" ht="16" thickBot="1" x14ac:dyDescent="0.25">
      <c r="A2861" s="1650" t="s">
        <v>5</v>
      </c>
      <c r="B2861" s="1678">
        <f t="shared" ref="B2861" si="697">IFERROR(SUM(M2855:M2861),"")</f>
        <v>0</v>
      </c>
      <c r="C2861" s="1360">
        <v>45949</v>
      </c>
      <c r="D2861" s="683"/>
      <c r="E2861" s="684"/>
      <c r="F2861" s="1429" t="s">
        <v>279</v>
      </c>
      <c r="G2861" s="1361"/>
      <c r="H2861" s="1362" t="str">
        <f>IFERROR(VLOOKUP(F2861,#REF!,10,FALSE),"")</f>
        <v/>
      </c>
      <c r="I2861" s="1363" t="str">
        <f t="shared" si="670"/>
        <v/>
      </c>
      <c r="J2861" s="1364"/>
      <c r="K2861" s="1747" t="str">
        <f>IFERROR(VLOOKUP(F2861,#REF!,15,FALSE),"0")</f>
        <v>0</v>
      </c>
      <c r="L2861" s="1705"/>
      <c r="M2861" s="1364"/>
      <c r="N2861" s="1365" t="str">
        <f t="shared" si="671"/>
        <v/>
      </c>
      <c r="O2861" s="1366"/>
      <c r="P2861" s="1706" t="str">
        <f>IFERROR(VLOOKUP(F2861,#REF!,12,FALSE),"")</f>
        <v/>
      </c>
      <c r="Q2861" s="1707" t="s">
        <v>8</v>
      </c>
      <c r="R2861" s="1708" t="str">
        <f>IFERROR(VLOOKUP(F2861,#REF!,14,FALSE),"")</f>
        <v/>
      </c>
      <c r="S2861" s="1191" t="str">
        <f t="shared" si="672"/>
        <v/>
      </c>
      <c r="T2861" s="1897">
        <f t="shared" si="673"/>
        <v>4.0001981331548649E-2</v>
      </c>
      <c r="U2861" s="1897">
        <f t="shared" si="674"/>
        <v>7.5468792719587983</v>
      </c>
      <c r="V2861" s="683">
        <f t="shared" si="675"/>
        <v>7.6842805198839947</v>
      </c>
      <c r="W2861" s="1768">
        <f t="shared" si="676"/>
        <v>5.3004665756586434E-3</v>
      </c>
      <c r="X2861" s="683">
        <v>261</v>
      </c>
    </row>
    <row r="2862" spans="1:24" ht="16" thickBot="1" x14ac:dyDescent="0.25">
      <c r="A2862" s="1962">
        <f t="shared" ref="A2862" si="698">WEEKNUM(C2862,1)</f>
        <v>43</v>
      </c>
      <c r="B2862" s="1963"/>
      <c r="C2862" s="1368">
        <v>45950</v>
      </c>
      <c r="D2862" s="1369"/>
      <c r="E2862" s="1370"/>
      <c r="F2862" s="1547" t="s">
        <v>363</v>
      </c>
      <c r="G2862" s="1371"/>
      <c r="H2862" s="1372" t="str">
        <f>IFERROR(VLOOKUP(F2862,#REF!,10,FALSE),"")</f>
        <v/>
      </c>
      <c r="I2862" s="1373" t="str">
        <f t="shared" si="670"/>
        <v/>
      </c>
      <c r="J2862" s="1374"/>
      <c r="K2862" s="1745" t="str">
        <f>IFERROR(VLOOKUP(F2862,#REF!,15,FALSE),"0")</f>
        <v>0</v>
      </c>
      <c r="L2862" s="1577"/>
      <c r="M2862" s="1374"/>
      <c r="N2862" s="1375" t="str">
        <f t="shared" si="671"/>
        <v/>
      </c>
      <c r="O2862" s="1376"/>
      <c r="P2862" s="795" t="str">
        <f>IFERROR(VLOOKUP(F2862,#REF!,12,FALSE),"")</f>
        <v/>
      </c>
      <c r="Q2862" s="1254" t="s">
        <v>8</v>
      </c>
      <c r="R2862" s="1694" t="str">
        <f>IFERROR(VLOOKUP(F2862,#REF!,14,FALSE),"")</f>
        <v/>
      </c>
      <c r="S2862" s="1377" t="str">
        <f t="shared" si="672"/>
        <v/>
      </c>
      <c r="T2862" s="1369">
        <f t="shared" si="673"/>
        <v>3.428741256989884E-2</v>
      </c>
      <c r="U2862" s="1369">
        <f t="shared" si="674"/>
        <v>7.3671916702454938</v>
      </c>
      <c r="V2862" s="1369">
        <f t="shared" si="675"/>
        <v>7.5068772906272496</v>
      </c>
      <c r="W2862" s="1766">
        <f t="shared" si="676"/>
        <v>4.6540682127734429E-3</v>
      </c>
      <c r="X2862" s="1369">
        <v>261</v>
      </c>
    </row>
    <row r="2863" spans="1:24" x14ac:dyDescent="0.2">
      <c r="A2863" s="1648" t="s">
        <v>142</v>
      </c>
      <c r="B2863" s="1679">
        <f t="shared" ref="B2863" si="699">SUM(H2862:H2868)</f>
        <v>0</v>
      </c>
      <c r="C2863" s="1651">
        <v>45951</v>
      </c>
      <c r="D2863" s="1695"/>
      <c r="E2863" s="1696"/>
      <c r="F2863" s="1547" t="s">
        <v>343</v>
      </c>
      <c r="G2863" s="1697"/>
      <c r="H2863" s="1698" t="str">
        <f>IFERROR(VLOOKUP(F2863,#REF!,10,FALSE),"")</f>
        <v/>
      </c>
      <c r="I2863" s="1699" t="str">
        <f t="shared" si="670"/>
        <v/>
      </c>
      <c r="J2863" s="1700"/>
      <c r="K2863" s="1755" t="str">
        <f>IFERROR(VLOOKUP(F2863,#REF!,15,FALSE),"0")</f>
        <v>0</v>
      </c>
      <c r="L2863" s="1578"/>
      <c r="M2863" s="1700"/>
      <c r="N2863" s="1701" t="str">
        <f t="shared" si="671"/>
        <v/>
      </c>
      <c r="O2863" s="1702"/>
      <c r="P2863" s="1635" t="str">
        <f>IFERROR(VLOOKUP(F2863,#REF!,12,FALSE),"")</f>
        <v/>
      </c>
      <c r="Q2863" s="1636" t="s">
        <v>8</v>
      </c>
      <c r="R2863" s="1703" t="str">
        <f>IFERROR(VLOOKUP(F2863,#REF!,14,FALSE),"")</f>
        <v/>
      </c>
      <c r="S2863" s="1704" t="str">
        <f t="shared" si="672"/>
        <v/>
      </c>
      <c r="T2863" s="1828">
        <f t="shared" si="673"/>
        <v>2.9389210774199006E-2</v>
      </c>
      <c r="U2863" s="1828">
        <f t="shared" si="674"/>
        <v>7.1917823447634586</v>
      </c>
      <c r="V2863" s="1695">
        <f t="shared" si="675"/>
        <v>7.3329042576755947</v>
      </c>
      <c r="W2863" s="1767">
        <f t="shared" si="676"/>
        <v>4.0864989185327785E-3</v>
      </c>
      <c r="X2863" s="1695">
        <v>261</v>
      </c>
    </row>
    <row r="2864" spans="1:24" x14ac:dyDescent="0.2">
      <c r="A2864" s="1649" t="s">
        <v>347</v>
      </c>
      <c r="B2864" s="1680">
        <f t="shared" ref="B2864" si="700">SUM(K2862:K2868)</f>
        <v>0</v>
      </c>
      <c r="C2864" s="1651">
        <v>45952</v>
      </c>
      <c r="D2864" s="1695"/>
      <c r="E2864" s="1696"/>
      <c r="F2864" s="1547" t="s">
        <v>363</v>
      </c>
      <c r="G2864" s="1697"/>
      <c r="H2864" s="1698" t="str">
        <f>IFERROR(VLOOKUP(F2864,#REF!,10,FALSE),"")</f>
        <v/>
      </c>
      <c r="I2864" s="1699" t="str">
        <f t="shared" si="670"/>
        <v/>
      </c>
      <c r="J2864" s="1700"/>
      <c r="K2864" s="1755" t="str">
        <f>IFERROR(VLOOKUP(F2864,#REF!,15,FALSE),"0")</f>
        <v>0</v>
      </c>
      <c r="L2864" s="1578"/>
      <c r="M2864" s="1700"/>
      <c r="N2864" s="1701" t="str">
        <f t="shared" si="671"/>
        <v/>
      </c>
      <c r="O2864" s="1702"/>
      <c r="P2864" s="1635" t="str">
        <f>IFERROR(VLOOKUP(F2864,#REF!,12,FALSE),"")</f>
        <v/>
      </c>
      <c r="Q2864" s="1636" t="s">
        <v>8</v>
      </c>
      <c r="R2864" s="1703" t="str">
        <f>IFERROR(VLOOKUP(F2864,#REF!,14,FALSE),"")</f>
        <v/>
      </c>
      <c r="S2864" s="1704" t="str">
        <f t="shared" si="672"/>
        <v/>
      </c>
      <c r="T2864" s="1828">
        <f t="shared" si="673"/>
        <v>2.5190752092170577E-2</v>
      </c>
      <c r="U2864" s="1828">
        <f t="shared" si="674"/>
        <v>7.0205494317929</v>
      </c>
      <c r="V2864" s="1695">
        <f t="shared" si="675"/>
        <v>7.1623931339892595</v>
      </c>
      <c r="W2864" s="1767">
        <f t="shared" si="676"/>
        <v>3.5881453918824402E-3</v>
      </c>
      <c r="X2864" s="1695">
        <v>261</v>
      </c>
    </row>
    <row r="2865" spans="1:24" x14ac:dyDescent="0.2">
      <c r="A2865" s="1649" t="s">
        <v>256</v>
      </c>
      <c r="B2865" s="1677">
        <f t="shared" ref="B2865" si="701">AVERAGE(W2862:W2868)</f>
        <v>3.2581992355094854E-3</v>
      </c>
      <c r="C2865" s="1651">
        <v>45953</v>
      </c>
      <c r="D2865" s="1695"/>
      <c r="E2865" s="1696"/>
      <c r="F2865" s="1547" t="s">
        <v>343</v>
      </c>
      <c r="G2865" s="1697"/>
      <c r="H2865" s="1698" t="str">
        <f>IFERROR(VLOOKUP(F2865,#REF!,10,FALSE),"")</f>
        <v/>
      </c>
      <c r="I2865" s="1699" t="str">
        <f t="shared" si="670"/>
        <v/>
      </c>
      <c r="J2865" s="1700"/>
      <c r="K2865" s="1755" t="str">
        <f>IFERROR(VLOOKUP(F2865,#REF!,15,FALSE),"0")</f>
        <v>0</v>
      </c>
      <c r="L2865" s="1578"/>
      <c r="M2865" s="1700"/>
      <c r="N2865" s="1701" t="str">
        <f t="shared" si="671"/>
        <v/>
      </c>
      <c r="O2865" s="1702"/>
      <c r="P2865" s="1635" t="str">
        <f>IFERROR(VLOOKUP(F2865,#REF!,12,FALSE),"")</f>
        <v/>
      </c>
      <c r="Q2865" s="1636" t="s">
        <v>8</v>
      </c>
      <c r="R2865" s="1703" t="str">
        <f>IFERROR(VLOOKUP(F2865,#REF!,14,FALSE),"")</f>
        <v/>
      </c>
      <c r="S2865" s="1704" t="str">
        <f t="shared" si="672"/>
        <v/>
      </c>
      <c r="T2865" s="1828">
        <f t="shared" si="673"/>
        <v>2.1592073221860495E-2</v>
      </c>
      <c r="U2865" s="1828">
        <f t="shared" si="674"/>
        <v>6.8533934929406879</v>
      </c>
      <c r="V2865" s="1695">
        <f t="shared" si="675"/>
        <v>6.9953586797007299</v>
      </c>
      <c r="W2865" s="1767">
        <f t="shared" si="676"/>
        <v>3.1505666855553135E-3</v>
      </c>
      <c r="X2865" s="1695">
        <v>261</v>
      </c>
    </row>
    <row r="2866" spans="1:24" x14ac:dyDescent="0.2">
      <c r="A2866" s="1649" t="s">
        <v>336</v>
      </c>
      <c r="B2866" s="1713" t="str">
        <f t="shared" ref="B2866" si="702">IFERROR(AVERAGE(N2862:N2868),"")</f>
        <v/>
      </c>
      <c r="C2866" s="1651">
        <v>45954</v>
      </c>
      <c r="D2866" s="1695"/>
      <c r="E2866" s="1696"/>
      <c r="F2866" s="1947"/>
      <c r="G2866" s="1697"/>
      <c r="H2866" s="1698" t="str">
        <f>IFERROR(VLOOKUP(F2866,#REF!,10,FALSE),"")</f>
        <v/>
      </c>
      <c r="I2866" s="1699" t="str">
        <f t="shared" si="670"/>
        <v/>
      </c>
      <c r="J2866" s="1700"/>
      <c r="K2866" s="1755" t="str">
        <f>IFERROR(VLOOKUP(F2866,#REF!,15,FALSE),"0")</f>
        <v>0</v>
      </c>
      <c r="L2866" s="1578"/>
      <c r="M2866" s="1700"/>
      <c r="N2866" s="1701" t="str">
        <f t="shared" si="671"/>
        <v/>
      </c>
      <c r="O2866" s="1702"/>
      <c r="P2866" s="1635" t="str">
        <f>IFERROR(VLOOKUP(F2866,#REF!,12,FALSE),"")</f>
        <v/>
      </c>
      <c r="Q2866" s="1636" t="s">
        <v>8</v>
      </c>
      <c r="R2866" s="1703" t="str">
        <f>IFERROR(VLOOKUP(F2866,#REF!,14,FALSE),"")</f>
        <v/>
      </c>
      <c r="S2866" s="1704" t="str">
        <f t="shared" si="672"/>
        <v/>
      </c>
      <c r="T2866" s="1828">
        <f t="shared" si="673"/>
        <v>1.850749133302328E-2</v>
      </c>
      <c r="U2866" s="1828">
        <f t="shared" si="674"/>
        <v>6.690217457394481</v>
      </c>
      <c r="V2866" s="1695">
        <f t="shared" si="675"/>
        <v>6.8318014197188273</v>
      </c>
      <c r="W2866" s="1767">
        <f t="shared" si="676"/>
        <v>2.7663512360973481E-3</v>
      </c>
      <c r="X2866" s="1695">
        <v>261</v>
      </c>
    </row>
    <row r="2867" spans="1:24" x14ac:dyDescent="0.2">
      <c r="A2867" s="1649" t="s">
        <v>337</v>
      </c>
      <c r="B2867" s="1681" t="str">
        <f t="shared" ref="B2867" si="703">IFERROR(AVERAGE(S2862:S2868),"")</f>
        <v/>
      </c>
      <c r="C2867" s="1651">
        <v>45955</v>
      </c>
      <c r="D2867" s="1695"/>
      <c r="E2867" s="1696"/>
      <c r="F2867" s="1547"/>
      <c r="G2867" s="1697"/>
      <c r="H2867" s="1698" t="str">
        <f>IFERROR(VLOOKUP(F2867,#REF!,10,FALSE),"")</f>
        <v/>
      </c>
      <c r="I2867" s="1699" t="str">
        <f t="shared" si="670"/>
        <v/>
      </c>
      <c r="J2867" s="1700"/>
      <c r="K2867" s="1755" t="str">
        <f>IFERROR(VLOOKUP(F2867,#REF!,15,FALSE),"0")</f>
        <v>0</v>
      </c>
      <c r="L2867" s="1578"/>
      <c r="M2867" s="1700"/>
      <c r="N2867" s="1701" t="str">
        <f t="shared" si="671"/>
        <v/>
      </c>
      <c r="O2867" s="1702"/>
      <c r="P2867" s="1635" t="str">
        <f>IFERROR(VLOOKUP(F2867,#REF!,12,FALSE),"")</f>
        <v/>
      </c>
      <c r="Q2867" s="1636" t="s">
        <v>8</v>
      </c>
      <c r="R2867" s="1703" t="str">
        <f>IFERROR(VLOOKUP(F2867,#REF!,14,FALSE),"")</f>
        <v/>
      </c>
      <c r="S2867" s="1704" t="str">
        <f t="shared" si="672"/>
        <v/>
      </c>
      <c r="T2867" s="1828">
        <f t="shared" si="673"/>
        <v>1.5863563999734241E-2</v>
      </c>
      <c r="U2867" s="1828">
        <f t="shared" si="674"/>
        <v>6.5309265655517557</v>
      </c>
      <c r="V2867" s="1695">
        <f t="shared" si="675"/>
        <v>6.6717099660614574</v>
      </c>
      <c r="W2867" s="1767">
        <f t="shared" si="676"/>
        <v>2.4289913292562079E-3</v>
      </c>
      <c r="X2867" s="1695">
        <v>261</v>
      </c>
    </row>
    <row r="2868" spans="1:24" ht="16" thickBot="1" x14ac:dyDescent="0.25">
      <c r="A2868" s="1650" t="s">
        <v>5</v>
      </c>
      <c r="B2868" s="1678">
        <f t="shared" ref="B2868" si="704">IFERROR(SUM(M2862:M2868),"")</f>
        <v>0</v>
      </c>
      <c r="C2868" s="1360">
        <v>45956</v>
      </c>
      <c r="D2868" s="683"/>
      <c r="E2868" s="684"/>
      <c r="F2868" s="1429" t="s">
        <v>279</v>
      </c>
      <c r="G2868" s="1361"/>
      <c r="H2868" s="1362" t="str">
        <f>IFERROR(VLOOKUP(F2868,#REF!,10,FALSE),"")</f>
        <v/>
      </c>
      <c r="I2868" s="1363" t="str">
        <f t="shared" si="670"/>
        <v/>
      </c>
      <c r="J2868" s="1364"/>
      <c r="K2868" s="1747" t="str">
        <f>IFERROR(VLOOKUP(F2868,#REF!,15,FALSE),"0")</f>
        <v>0</v>
      </c>
      <c r="L2868" s="1705"/>
      <c r="M2868" s="1364"/>
      <c r="N2868" s="1365" t="str">
        <f t="shared" si="671"/>
        <v/>
      </c>
      <c r="O2868" s="1366"/>
      <c r="P2868" s="1706" t="str">
        <f>IFERROR(VLOOKUP(F2868,#REF!,12,FALSE),"")</f>
        <v/>
      </c>
      <c r="Q2868" s="1707" t="s">
        <v>8</v>
      </c>
      <c r="R2868" s="1708" t="str">
        <f>IFERROR(VLOOKUP(F2868,#REF!,14,FALSE),"")</f>
        <v/>
      </c>
      <c r="S2868" s="1191" t="str">
        <f t="shared" si="672"/>
        <v/>
      </c>
      <c r="T2868" s="1829">
        <f t="shared" si="673"/>
        <v>1.3597340571200777E-2</v>
      </c>
      <c r="U2868" s="1829">
        <f t="shared" si="674"/>
        <v>6.3754283139909997</v>
      </c>
      <c r="V2868" s="683">
        <f t="shared" si="675"/>
        <v>6.5150630015520212</v>
      </c>
      <c r="W2868" s="1768">
        <f t="shared" si="676"/>
        <v>2.1327728744688656E-3</v>
      </c>
      <c r="X2868" s="683">
        <v>261</v>
      </c>
    </row>
    <row r="2869" spans="1:24" ht="16" thickBot="1" x14ac:dyDescent="0.25">
      <c r="A2869" s="1962">
        <f t="shared" ref="A2869" si="705">WEEKNUM(C2869,1)</f>
        <v>44</v>
      </c>
      <c r="B2869" s="1963"/>
      <c r="C2869" s="1368">
        <v>45957</v>
      </c>
      <c r="D2869" s="1369"/>
      <c r="E2869" s="1370"/>
      <c r="F2869" s="1547" t="s">
        <v>363</v>
      </c>
      <c r="G2869" s="1371"/>
      <c r="H2869" s="1372" t="str">
        <f>IFERROR(VLOOKUP(F2869,#REF!,10,FALSE),"")</f>
        <v/>
      </c>
      <c r="I2869" s="1373" t="str">
        <f t="shared" si="670"/>
        <v/>
      </c>
      <c r="J2869" s="1374"/>
      <c r="K2869" s="1745" t="str">
        <f>IFERROR(VLOOKUP(F2869,#REF!,15,FALSE),"0")</f>
        <v>0</v>
      </c>
      <c r="L2869" s="1577"/>
      <c r="M2869" s="1374"/>
      <c r="N2869" s="1375" t="str">
        <f t="shared" si="671"/>
        <v/>
      </c>
      <c r="O2869" s="1376"/>
      <c r="P2869" s="795" t="str">
        <f>IFERROR(VLOOKUP(F2869,#REF!,12,FALSE),"")</f>
        <v/>
      </c>
      <c r="Q2869" s="1254" t="s">
        <v>8</v>
      </c>
      <c r="R2869" s="1694" t="str">
        <f>IFERROR(VLOOKUP(F2869,#REF!,14,FALSE),"")</f>
        <v/>
      </c>
      <c r="S2869" s="1377" t="str">
        <f t="shared" si="672"/>
        <v/>
      </c>
      <c r="T2869" s="70">
        <f t="shared" si="673"/>
        <v>1.1654863346743522E-2</v>
      </c>
      <c r="U2869" s="70">
        <f t="shared" si="674"/>
        <v>6.223632401753119</v>
      </c>
      <c r="V2869" s="1369">
        <f t="shared" si="675"/>
        <v>6.3618309734197993</v>
      </c>
      <c r="W2869" s="1766">
        <f t="shared" si="676"/>
        <v>1.8726786214848573E-3</v>
      </c>
      <c r="X2869" s="1369">
        <v>261</v>
      </c>
    </row>
    <row r="2870" spans="1:24" x14ac:dyDescent="0.2">
      <c r="A2870" s="1648" t="s">
        <v>142</v>
      </c>
      <c r="B2870" s="1679">
        <f t="shared" ref="B2870" si="706">SUM(H2869:H2875)</f>
        <v>0</v>
      </c>
      <c r="C2870" s="1651">
        <v>45958</v>
      </c>
      <c r="D2870" s="1695"/>
      <c r="E2870" s="1696"/>
      <c r="F2870" s="1547" t="s">
        <v>343</v>
      </c>
      <c r="G2870" s="1697"/>
      <c r="H2870" s="1698" t="str">
        <f>IFERROR(VLOOKUP(F2870,#REF!,10,FALSE),"")</f>
        <v/>
      </c>
      <c r="I2870" s="1699" t="str">
        <f t="shared" si="670"/>
        <v/>
      </c>
      <c r="J2870" s="1700"/>
      <c r="K2870" s="1755" t="str">
        <f>IFERROR(VLOOKUP(F2870,#REF!,15,FALSE),"0")</f>
        <v>0</v>
      </c>
      <c r="L2870" s="1578"/>
      <c r="M2870" s="1700"/>
      <c r="N2870" s="1701" t="str">
        <f t="shared" si="671"/>
        <v/>
      </c>
      <c r="O2870" s="1702"/>
      <c r="P2870" s="1635" t="str">
        <f>IFERROR(VLOOKUP(F2870,#REF!,12,FALSE),"")</f>
        <v/>
      </c>
      <c r="Q2870" s="1636" t="s">
        <v>8</v>
      </c>
      <c r="R2870" s="1703" t="str">
        <f>IFERROR(VLOOKUP(F2870,#REF!,14,FALSE),"")</f>
        <v/>
      </c>
      <c r="S2870" s="1704" t="str">
        <f t="shared" si="672"/>
        <v/>
      </c>
      <c r="T2870" s="1379">
        <f t="shared" si="673"/>
        <v>9.9898828686373047E-3</v>
      </c>
      <c r="U2870" s="1379">
        <f t="shared" si="674"/>
        <v>6.0754506779018547</v>
      </c>
      <c r="V2870" s="1695">
        <f t="shared" si="675"/>
        <v>6.2119775384063756</v>
      </c>
      <c r="W2870" s="1767">
        <f t="shared" si="676"/>
        <v>1.6443031798403624E-3</v>
      </c>
      <c r="X2870" s="1695">
        <v>261</v>
      </c>
    </row>
    <row r="2871" spans="1:24" x14ac:dyDescent="0.2">
      <c r="A2871" s="1649" t="s">
        <v>347</v>
      </c>
      <c r="B2871" s="1680">
        <f t="shared" ref="B2871" si="707">SUM(K2869:K2875)</f>
        <v>0</v>
      </c>
      <c r="C2871" s="1651">
        <v>45959</v>
      </c>
      <c r="D2871" s="1695"/>
      <c r="E2871" s="1696"/>
      <c r="F2871" s="1547" t="s">
        <v>363</v>
      </c>
      <c r="G2871" s="1697"/>
      <c r="H2871" s="1698" t="str">
        <f>IFERROR(VLOOKUP(F2871,#REF!,10,FALSE),"")</f>
        <v/>
      </c>
      <c r="I2871" s="1699" t="str">
        <f t="shared" si="670"/>
        <v/>
      </c>
      <c r="J2871" s="1700"/>
      <c r="K2871" s="1755" t="str">
        <f>IFERROR(VLOOKUP(F2871,#REF!,15,FALSE),"0")</f>
        <v>0</v>
      </c>
      <c r="L2871" s="1578"/>
      <c r="M2871" s="1700"/>
      <c r="N2871" s="1701" t="str">
        <f t="shared" si="671"/>
        <v/>
      </c>
      <c r="O2871" s="1702"/>
      <c r="P2871" s="1635" t="str">
        <f>IFERROR(VLOOKUP(F2871,#REF!,12,FALSE),"")</f>
        <v/>
      </c>
      <c r="Q2871" s="1636" t="s">
        <v>8</v>
      </c>
      <c r="R2871" s="1703" t="str">
        <f>IFERROR(VLOOKUP(F2871,#REF!,14,FALSE),"")</f>
        <v/>
      </c>
      <c r="S2871" s="1704" t="str">
        <f t="shared" si="672"/>
        <v/>
      </c>
      <c r="T2871" s="1379">
        <f t="shared" si="673"/>
        <v>8.5627567445462609E-3</v>
      </c>
      <c r="U2871" s="1379">
        <f t="shared" si="674"/>
        <v>5.9307970903327627</v>
      </c>
      <c r="V2871" s="1695">
        <f t="shared" si="675"/>
        <v>6.0654607950332178</v>
      </c>
      <c r="W2871" s="1767">
        <f t="shared" si="676"/>
        <v>1.4437784018110499E-3</v>
      </c>
      <c r="X2871" s="1695">
        <v>261</v>
      </c>
    </row>
    <row r="2872" spans="1:24" x14ac:dyDescent="0.2">
      <c r="A2872" s="1649" t="s">
        <v>256</v>
      </c>
      <c r="B2872" s="1677">
        <f t="shared" ref="B2872" si="708">AVERAGE(W2869:W2875)</f>
        <v>1.3110164642904727E-3</v>
      </c>
      <c r="C2872" s="1651">
        <v>45960</v>
      </c>
      <c r="D2872" s="1695"/>
      <c r="E2872" s="1696"/>
      <c r="F2872" s="1547" t="s">
        <v>343</v>
      </c>
      <c r="G2872" s="1697"/>
      <c r="H2872" s="1698" t="str">
        <f>IFERROR(VLOOKUP(F2872,#REF!,10,FALSE),"")</f>
        <v/>
      </c>
      <c r="I2872" s="1699" t="str">
        <f t="shared" si="670"/>
        <v/>
      </c>
      <c r="J2872" s="1700"/>
      <c r="K2872" s="1755" t="str">
        <f>IFERROR(VLOOKUP(F2872,#REF!,15,FALSE),"0")</f>
        <v>0</v>
      </c>
      <c r="L2872" s="1578"/>
      <c r="M2872" s="1700"/>
      <c r="N2872" s="1701" t="str">
        <f t="shared" si="671"/>
        <v/>
      </c>
      <c r="O2872" s="1702"/>
      <c r="P2872" s="1635" t="str">
        <f>IFERROR(VLOOKUP(F2872,#REF!,12,FALSE),"")</f>
        <v/>
      </c>
      <c r="Q2872" s="1636" t="s">
        <v>8</v>
      </c>
      <c r="R2872" s="1703" t="str">
        <f>IFERROR(VLOOKUP(F2872,#REF!,14,FALSE),"")</f>
        <v/>
      </c>
      <c r="S2872" s="1704" t="str">
        <f t="shared" si="672"/>
        <v/>
      </c>
      <c r="T2872" s="1379">
        <f t="shared" si="673"/>
        <v>7.3395057810396527E-3</v>
      </c>
      <c r="U2872" s="1379">
        <f t="shared" si="674"/>
        <v>5.7895876358010305</v>
      </c>
      <c r="V2872" s="1695">
        <f t="shared" si="675"/>
        <v>5.9222343335882162</v>
      </c>
      <c r="W2872" s="1767">
        <f t="shared" si="676"/>
        <v>1.2677078650048244E-3</v>
      </c>
      <c r="X2872" s="1695">
        <v>261</v>
      </c>
    </row>
    <row r="2873" spans="1:24" x14ac:dyDescent="0.2">
      <c r="A2873" s="1649" t="s">
        <v>336</v>
      </c>
      <c r="B2873" s="1713" t="str">
        <f t="shared" ref="B2873" si="709">IFERROR(AVERAGE(N2869:N2875),"")</f>
        <v/>
      </c>
      <c r="C2873" s="1651">
        <v>45961</v>
      </c>
      <c r="D2873" s="1695"/>
      <c r="E2873" s="1696"/>
      <c r="F2873" s="1947"/>
      <c r="G2873" s="1697"/>
      <c r="H2873" s="1698" t="str">
        <f>IFERROR(VLOOKUP(F2873,#REF!,10,FALSE),"")</f>
        <v/>
      </c>
      <c r="I2873" s="1699" t="str">
        <f t="shared" si="670"/>
        <v/>
      </c>
      <c r="J2873" s="1700"/>
      <c r="K2873" s="1755" t="str">
        <f>IFERROR(VLOOKUP(F2873,#REF!,15,FALSE),"0")</f>
        <v>0</v>
      </c>
      <c r="L2873" s="1578"/>
      <c r="M2873" s="1700"/>
      <c r="N2873" s="1701" t="str">
        <f t="shared" si="671"/>
        <v/>
      </c>
      <c r="O2873" s="1702"/>
      <c r="P2873" s="1635" t="str">
        <f>IFERROR(VLOOKUP(F2873,#REF!,12,FALSE),"")</f>
        <v/>
      </c>
      <c r="Q2873" s="1636" t="s">
        <v>8</v>
      </c>
      <c r="R2873" s="1703" t="str">
        <f>IFERROR(VLOOKUP(F2873,#REF!,14,FALSE),"")</f>
        <v/>
      </c>
      <c r="S2873" s="1704" t="str">
        <f t="shared" si="672"/>
        <v/>
      </c>
      <c r="T2873" s="1379">
        <f t="shared" si="673"/>
        <v>6.291004955176845E-3</v>
      </c>
      <c r="U2873" s="1379">
        <f t="shared" si="674"/>
        <v>5.6517403111391014</v>
      </c>
      <c r="V2873" s="1695">
        <f t="shared" si="675"/>
        <v>5.7822481300199913</v>
      </c>
      <c r="W2873" s="1767">
        <f t="shared" si="676"/>
        <v>1.1131093448822848E-3</v>
      </c>
      <c r="X2873" s="1695">
        <v>261</v>
      </c>
    </row>
    <row r="2874" spans="1:24" x14ac:dyDescent="0.2">
      <c r="A2874" s="1649" t="s">
        <v>337</v>
      </c>
      <c r="B2874" s="1681" t="str">
        <f t="shared" ref="B2874" si="710">IFERROR(AVERAGE(S2869:S2875),"")</f>
        <v/>
      </c>
      <c r="C2874" s="1651">
        <v>45962</v>
      </c>
      <c r="D2874" s="1695"/>
      <c r="E2874" s="1696"/>
      <c r="F2874" s="1547"/>
      <c r="G2874" s="1697"/>
      <c r="H2874" s="1698" t="str">
        <f>IFERROR(VLOOKUP(F2874,#REF!,10,FALSE),"")</f>
        <v/>
      </c>
      <c r="I2874" s="1699" t="str">
        <f t="shared" si="670"/>
        <v/>
      </c>
      <c r="J2874" s="1700"/>
      <c r="K2874" s="1755" t="str">
        <f>IFERROR(VLOOKUP(F2874,#REF!,15,FALSE),"0")</f>
        <v>0</v>
      </c>
      <c r="L2874" s="1578"/>
      <c r="M2874" s="1700"/>
      <c r="N2874" s="1701" t="str">
        <f t="shared" si="671"/>
        <v/>
      </c>
      <c r="O2874" s="1702"/>
      <c r="P2874" s="1635" t="str">
        <f>IFERROR(VLOOKUP(F2874,#REF!,12,FALSE),"")</f>
        <v/>
      </c>
      <c r="Q2874" s="1636" t="s">
        <v>8</v>
      </c>
      <c r="R2874" s="1703" t="str">
        <f>IFERROR(VLOOKUP(F2874,#REF!,14,FALSE),"")</f>
        <v/>
      </c>
      <c r="S2874" s="1704" t="str">
        <f t="shared" si="672"/>
        <v/>
      </c>
      <c r="T2874" s="1379">
        <f t="shared" si="673"/>
        <v>5.3922899615801529E-3</v>
      </c>
      <c r="U2874" s="1379">
        <f t="shared" si="674"/>
        <v>5.5171750656357892</v>
      </c>
      <c r="V2874" s="1695">
        <f t="shared" si="675"/>
        <v>5.6454493061839246</v>
      </c>
      <c r="W2874" s="1767">
        <f t="shared" si="676"/>
        <v>9.7736430282346952E-4</v>
      </c>
      <c r="X2874" s="1695">
        <v>261</v>
      </c>
    </row>
    <row r="2875" spans="1:24" ht="16" thickBot="1" x14ac:dyDescent="0.25">
      <c r="A2875" s="1650" t="s">
        <v>5</v>
      </c>
      <c r="B2875" s="1678">
        <f t="shared" ref="B2875" si="711">IFERROR(SUM(M2869:M2875),"")</f>
        <v>0</v>
      </c>
      <c r="C2875" s="1360">
        <v>45963</v>
      </c>
      <c r="D2875" s="683"/>
      <c r="E2875" s="684"/>
      <c r="F2875" s="1429" t="s">
        <v>279</v>
      </c>
      <c r="G2875" s="1361"/>
      <c r="H2875" s="1362" t="str">
        <f>IFERROR(VLOOKUP(F2875,#REF!,10,FALSE),"")</f>
        <v/>
      </c>
      <c r="I2875" s="1363" t="str">
        <f t="shared" si="670"/>
        <v/>
      </c>
      <c r="J2875" s="1364"/>
      <c r="K2875" s="1747" t="str">
        <f>IFERROR(VLOOKUP(F2875,#REF!,15,FALSE),"0")</f>
        <v>0</v>
      </c>
      <c r="L2875" s="1705"/>
      <c r="M2875" s="1364"/>
      <c r="N2875" s="1365" t="str">
        <f t="shared" si="671"/>
        <v/>
      </c>
      <c r="O2875" s="1366"/>
      <c r="P2875" s="1706" t="str">
        <f>IFERROR(VLOOKUP(F2875,#REF!,12,FALSE),"")</f>
        <v/>
      </c>
      <c r="Q2875" s="1707" t="s">
        <v>8</v>
      </c>
      <c r="R2875" s="1708" t="str">
        <f>IFERROR(VLOOKUP(F2875,#REF!,14,FALSE),"")</f>
        <v/>
      </c>
      <c r="S2875" s="1191" t="str">
        <f t="shared" si="672"/>
        <v/>
      </c>
      <c r="T2875" s="1897">
        <f t="shared" si="673"/>
        <v>4.6219628242115595E-3</v>
      </c>
      <c r="U2875" s="1897">
        <f t="shared" si="674"/>
        <v>5.3858137545492228</v>
      </c>
      <c r="V2875" s="683">
        <f t="shared" si="675"/>
        <v>5.5117827756742086</v>
      </c>
      <c r="W2875" s="1768">
        <f t="shared" si="676"/>
        <v>8.5817353418646107E-4</v>
      </c>
      <c r="X2875" s="683">
        <v>261</v>
      </c>
    </row>
    <row r="2876" spans="1:24" ht="16" thickBot="1" x14ac:dyDescent="0.25">
      <c r="A2876" s="1962">
        <f t="shared" ref="A2876" si="712">WEEKNUM(C2876,1)</f>
        <v>45</v>
      </c>
      <c r="B2876" s="1963"/>
      <c r="C2876" s="1368">
        <v>45964</v>
      </c>
      <c r="D2876" s="1369"/>
      <c r="E2876" s="1370"/>
      <c r="F2876" s="1547" t="s">
        <v>363</v>
      </c>
      <c r="G2876" s="1371"/>
      <c r="H2876" s="1372" t="str">
        <f>IFERROR(VLOOKUP(F2876,#REF!,10,FALSE),"")</f>
        <v/>
      </c>
      <c r="I2876" s="1373" t="str">
        <f t="shared" si="670"/>
        <v/>
      </c>
      <c r="J2876" s="1374"/>
      <c r="K2876" s="1745" t="str">
        <f>IFERROR(VLOOKUP(F2876,#REF!,15,FALSE),"0")</f>
        <v>0</v>
      </c>
      <c r="L2876" s="1577"/>
      <c r="M2876" s="1374"/>
      <c r="N2876" s="1375" t="str">
        <f t="shared" si="671"/>
        <v/>
      </c>
      <c r="O2876" s="1376"/>
      <c r="P2876" s="795" t="str">
        <f>IFERROR(VLOOKUP(F2876,#REF!,12,FALSE),"")</f>
        <v/>
      </c>
      <c r="Q2876" s="1254" t="s">
        <v>8</v>
      </c>
      <c r="R2876" s="1694" t="str">
        <f>IFERROR(VLOOKUP(F2876,#REF!,14,FALSE),"")</f>
        <v/>
      </c>
      <c r="S2876" s="1377" t="str">
        <f t="shared" si="672"/>
        <v/>
      </c>
      <c r="T2876" s="1369">
        <f t="shared" si="673"/>
        <v>3.9616824207527653E-3</v>
      </c>
      <c r="U2876" s="1369">
        <f t="shared" si="674"/>
        <v>5.2575800937266219</v>
      </c>
      <c r="V2876" s="1369">
        <f t="shared" si="675"/>
        <v>5.3811917917250112</v>
      </c>
      <c r="W2876" s="1766">
        <f t="shared" si="676"/>
        <v>7.5351822513933166E-4</v>
      </c>
      <c r="X2876" s="1369">
        <v>261</v>
      </c>
    </row>
    <row r="2877" spans="1:24" x14ac:dyDescent="0.2">
      <c r="A2877" s="1648" t="s">
        <v>142</v>
      </c>
      <c r="B2877" s="1679">
        <f t="shared" ref="B2877" si="713">SUM(H2876:H2882)</f>
        <v>0</v>
      </c>
      <c r="C2877" s="1651">
        <v>45965</v>
      </c>
      <c r="D2877" s="1695"/>
      <c r="E2877" s="1696"/>
      <c r="F2877" s="1547" t="s">
        <v>343</v>
      </c>
      <c r="G2877" s="1697"/>
      <c r="H2877" s="1698" t="str">
        <f>IFERROR(VLOOKUP(F2877,#REF!,10,FALSE),"")</f>
        <v/>
      </c>
      <c r="I2877" s="1699" t="str">
        <f t="shared" si="670"/>
        <v/>
      </c>
      <c r="J2877" s="1700"/>
      <c r="K2877" s="1755" t="str">
        <f>IFERROR(VLOOKUP(F2877,#REF!,15,FALSE),"0")</f>
        <v>0</v>
      </c>
      <c r="L2877" s="1578"/>
      <c r="M2877" s="1700"/>
      <c r="N2877" s="1701" t="str">
        <f t="shared" si="671"/>
        <v/>
      </c>
      <c r="O2877" s="1702"/>
      <c r="P2877" s="1635" t="str">
        <f>IFERROR(VLOOKUP(F2877,#REF!,12,FALSE),"")</f>
        <v/>
      </c>
      <c r="Q2877" s="1636" t="s">
        <v>8</v>
      </c>
      <c r="R2877" s="1703" t="str">
        <f>IFERROR(VLOOKUP(F2877,#REF!,14,FALSE),"")</f>
        <v/>
      </c>
      <c r="S2877" s="1704" t="str">
        <f t="shared" si="672"/>
        <v/>
      </c>
      <c r="T2877" s="1828">
        <f t="shared" si="673"/>
        <v>3.3957277892166559E-3</v>
      </c>
      <c r="U2877" s="1828">
        <f t="shared" si="674"/>
        <v>5.1323996153045597</v>
      </c>
      <c r="V2877" s="1695">
        <f t="shared" si="675"/>
        <v>5.2536184113058688</v>
      </c>
      <c r="W2877" s="1767">
        <f t="shared" si="676"/>
        <v>6.6162575865892539E-4</v>
      </c>
      <c r="X2877" s="1695">
        <v>261</v>
      </c>
    </row>
    <row r="2878" spans="1:24" x14ac:dyDescent="0.2">
      <c r="A2878" s="1649" t="s">
        <v>347</v>
      </c>
      <c r="B2878" s="1680">
        <f t="shared" ref="B2878" si="714">SUM(K2876:K2882)</f>
        <v>0</v>
      </c>
      <c r="C2878" s="1651">
        <v>45966</v>
      </c>
      <c r="D2878" s="1695"/>
      <c r="E2878" s="1696"/>
      <c r="F2878" s="1547" t="s">
        <v>363</v>
      </c>
      <c r="G2878" s="1697"/>
      <c r="H2878" s="1698" t="str">
        <f>IFERROR(VLOOKUP(F2878,#REF!,10,FALSE),"")</f>
        <v/>
      </c>
      <c r="I2878" s="1699" t="str">
        <f t="shared" si="670"/>
        <v/>
      </c>
      <c r="J2878" s="1700"/>
      <c r="K2878" s="1755" t="str">
        <f>IFERROR(VLOOKUP(F2878,#REF!,15,FALSE),"0")</f>
        <v>0</v>
      </c>
      <c r="L2878" s="1578"/>
      <c r="M2878" s="1700"/>
      <c r="N2878" s="1701" t="str">
        <f t="shared" si="671"/>
        <v/>
      </c>
      <c r="O2878" s="1702"/>
      <c r="P2878" s="1635" t="str">
        <f>IFERROR(VLOOKUP(F2878,#REF!,12,FALSE),"")</f>
        <v/>
      </c>
      <c r="Q2878" s="1636" t="s">
        <v>8</v>
      </c>
      <c r="R2878" s="1703" t="str">
        <f>IFERROR(VLOOKUP(F2878,#REF!,14,FALSE),"")</f>
        <v/>
      </c>
      <c r="S2878" s="1704" t="str">
        <f t="shared" si="672"/>
        <v/>
      </c>
      <c r="T2878" s="1828">
        <f t="shared" si="673"/>
        <v>2.9106238193285622E-3</v>
      </c>
      <c r="U2878" s="1828">
        <f t="shared" si="674"/>
        <v>5.0101996244639748</v>
      </c>
      <c r="V2878" s="1695">
        <f t="shared" si="675"/>
        <v>5.129003887515343</v>
      </c>
      <c r="W2878" s="1767">
        <f t="shared" si="676"/>
        <v>5.8093969052978812E-4</v>
      </c>
      <c r="X2878" s="1695">
        <v>261</v>
      </c>
    </row>
    <row r="2879" spans="1:24" x14ac:dyDescent="0.2">
      <c r="A2879" s="1649" t="s">
        <v>256</v>
      </c>
      <c r="B2879" s="1677">
        <f t="shared" ref="B2879" si="715">AVERAGE(W2876:W2882)</f>
        <v>5.2751966512935768E-4</v>
      </c>
      <c r="C2879" s="1651">
        <v>45967</v>
      </c>
      <c r="D2879" s="1695"/>
      <c r="E2879" s="1696"/>
      <c r="F2879" s="1547" t="s">
        <v>343</v>
      </c>
      <c r="G2879" s="1697"/>
      <c r="H2879" s="1698" t="str">
        <f>IFERROR(VLOOKUP(F2879,#REF!,10,FALSE),"")</f>
        <v/>
      </c>
      <c r="I2879" s="1699" t="str">
        <f t="shared" si="670"/>
        <v/>
      </c>
      <c r="J2879" s="1700"/>
      <c r="K2879" s="1755" t="str">
        <f>IFERROR(VLOOKUP(F2879,#REF!,15,FALSE),"0")</f>
        <v>0</v>
      </c>
      <c r="L2879" s="1578"/>
      <c r="M2879" s="1700"/>
      <c r="N2879" s="1701" t="str">
        <f t="shared" si="671"/>
        <v/>
      </c>
      <c r="O2879" s="1702"/>
      <c r="P2879" s="1635" t="str">
        <f>IFERROR(VLOOKUP(F2879,#REF!,12,FALSE),"")</f>
        <v/>
      </c>
      <c r="Q2879" s="1636" t="s">
        <v>8</v>
      </c>
      <c r="R2879" s="1703" t="str">
        <f>IFERROR(VLOOKUP(F2879,#REF!,14,FALSE),"")</f>
        <v/>
      </c>
      <c r="S2879" s="1704" t="str">
        <f t="shared" si="672"/>
        <v/>
      </c>
      <c r="T2879" s="1828">
        <f t="shared" si="673"/>
        <v>2.4948204165673392E-3</v>
      </c>
      <c r="U2879" s="1828">
        <f t="shared" si="674"/>
        <v>4.8909091572148329</v>
      </c>
      <c r="V2879" s="1695">
        <f t="shared" si="675"/>
        <v>5.0072890006446462</v>
      </c>
      <c r="W2879" s="1767">
        <f t="shared" si="676"/>
        <v>5.1009338680664323E-4</v>
      </c>
      <c r="X2879" s="1695">
        <v>261</v>
      </c>
    </row>
    <row r="2880" spans="1:24" x14ac:dyDescent="0.2">
      <c r="A2880" s="1649" t="s">
        <v>336</v>
      </c>
      <c r="B2880" s="1713" t="str">
        <f t="shared" ref="B2880" si="716">IFERROR(AVERAGE(N2876:N2882),"")</f>
        <v/>
      </c>
      <c r="C2880" s="1651">
        <v>45968</v>
      </c>
      <c r="D2880" s="1695"/>
      <c r="E2880" s="1696"/>
      <c r="F2880" s="1947"/>
      <c r="G2880" s="1697"/>
      <c r="H2880" s="1698" t="str">
        <f>IFERROR(VLOOKUP(F2880,#REF!,10,FALSE),"")</f>
        <v/>
      </c>
      <c r="I2880" s="1699" t="str">
        <f t="shared" si="670"/>
        <v/>
      </c>
      <c r="J2880" s="1700"/>
      <c r="K2880" s="1755" t="str">
        <f>IFERROR(VLOOKUP(F2880,#REF!,15,FALSE),"0")</f>
        <v>0</v>
      </c>
      <c r="L2880" s="1578"/>
      <c r="M2880" s="1700"/>
      <c r="N2880" s="1701" t="str">
        <f t="shared" si="671"/>
        <v/>
      </c>
      <c r="O2880" s="1702"/>
      <c r="P2880" s="1635" t="str">
        <f>IFERROR(VLOOKUP(F2880,#REF!,12,FALSE),"")</f>
        <v/>
      </c>
      <c r="Q2880" s="1636" t="s">
        <v>8</v>
      </c>
      <c r="R2880" s="1703" t="str">
        <f>IFERROR(VLOOKUP(F2880,#REF!,14,FALSE),"")</f>
        <v/>
      </c>
      <c r="S2880" s="1704" t="str">
        <f t="shared" si="672"/>
        <v/>
      </c>
      <c r="T2880" s="1828">
        <f t="shared" si="673"/>
        <v>2.1384174999148622E-3</v>
      </c>
      <c r="U2880" s="1828">
        <f t="shared" si="674"/>
        <v>4.7744589391859087</v>
      </c>
      <c r="V2880" s="1695">
        <f t="shared" si="675"/>
        <v>4.8884143367982658</v>
      </c>
      <c r="W2880" s="1767">
        <f t="shared" si="676"/>
        <v>4.4788687622046721E-4</v>
      </c>
      <c r="X2880" s="1695">
        <v>261</v>
      </c>
    </row>
    <row r="2881" spans="1:27" x14ac:dyDescent="0.2">
      <c r="A2881" s="1649" t="s">
        <v>337</v>
      </c>
      <c r="B2881" s="1681" t="str">
        <f t="shared" ref="B2881" si="717">IFERROR(AVERAGE(S2876:S2882),"")</f>
        <v/>
      </c>
      <c r="C2881" s="1651">
        <v>45969</v>
      </c>
      <c r="D2881" s="1695"/>
      <c r="E2881" s="1696"/>
      <c r="F2881" s="1547"/>
      <c r="G2881" s="1697"/>
      <c r="H2881" s="1698" t="str">
        <f>IFERROR(VLOOKUP(F2881,#REF!,10,FALSE),"")</f>
        <v/>
      </c>
      <c r="I2881" s="1699" t="str">
        <f t="shared" si="670"/>
        <v/>
      </c>
      <c r="J2881" s="1700"/>
      <c r="K2881" s="1755" t="str">
        <f>IFERROR(VLOOKUP(F2881,#REF!,15,FALSE),"0")</f>
        <v>0</v>
      </c>
      <c r="L2881" s="1578"/>
      <c r="M2881" s="1700"/>
      <c r="N2881" s="1701" t="str">
        <f t="shared" si="671"/>
        <v/>
      </c>
      <c r="O2881" s="1702"/>
      <c r="P2881" s="1635" t="str">
        <f>IFERROR(VLOOKUP(F2881,#REF!,12,FALSE),"")</f>
        <v/>
      </c>
      <c r="Q2881" s="1636" t="s">
        <v>8</v>
      </c>
      <c r="R2881" s="1703" t="str">
        <f>IFERROR(VLOOKUP(F2881,#REF!,14,FALSE),"")</f>
        <v/>
      </c>
      <c r="S2881" s="1704" t="str">
        <f t="shared" si="672"/>
        <v/>
      </c>
      <c r="T2881" s="1828">
        <f t="shared" si="673"/>
        <v>1.8329292856413106E-3</v>
      </c>
      <c r="U2881" s="1828">
        <f t="shared" si="674"/>
        <v>4.660781345395768</v>
      </c>
      <c r="V2881" s="1695">
        <f t="shared" si="675"/>
        <v>4.7723205216859936</v>
      </c>
      <c r="W2881" s="1767">
        <f t="shared" si="676"/>
        <v>3.9326652546187364E-4</v>
      </c>
      <c r="X2881" s="1695">
        <v>261</v>
      </c>
    </row>
    <row r="2882" spans="1:27" ht="16" thickBot="1" x14ac:dyDescent="0.25">
      <c r="A2882" s="1650" t="s">
        <v>5</v>
      </c>
      <c r="B2882" s="1678">
        <f t="shared" ref="B2882" si="718">IFERROR(SUM(M2876:M2882),"")</f>
        <v>0</v>
      </c>
      <c r="C2882" s="1360">
        <v>45970</v>
      </c>
      <c r="D2882" s="683"/>
      <c r="E2882" s="684"/>
      <c r="F2882" s="1429" t="s">
        <v>279</v>
      </c>
      <c r="G2882" s="1361"/>
      <c r="H2882" s="1362" t="str">
        <f>IFERROR(VLOOKUP(F2882,#REF!,10,FALSE),"")</f>
        <v/>
      </c>
      <c r="I2882" s="1363" t="str">
        <f t="shared" si="670"/>
        <v/>
      </c>
      <c r="J2882" s="1364"/>
      <c r="K2882" s="1747" t="str">
        <f>IFERROR(VLOOKUP(F2882,#REF!,15,FALSE),"0")</f>
        <v>0</v>
      </c>
      <c r="L2882" s="1705"/>
      <c r="M2882" s="1364"/>
      <c r="N2882" s="1365" t="str">
        <f t="shared" si="671"/>
        <v/>
      </c>
      <c r="O2882" s="1366"/>
      <c r="P2882" s="1706" t="str">
        <f>IFERROR(VLOOKUP(F2882,#REF!,12,FALSE),"")</f>
        <v/>
      </c>
      <c r="Q2882" s="1707" t="s">
        <v>8</v>
      </c>
      <c r="R2882" s="1708" t="str">
        <f>IFERROR(VLOOKUP(F2882,#REF!,14,FALSE),"")</f>
        <v/>
      </c>
      <c r="S2882" s="1191" t="str">
        <f t="shared" si="672"/>
        <v/>
      </c>
      <c r="T2882" s="1829">
        <f t="shared" si="673"/>
        <v>1.571082244835409E-3</v>
      </c>
      <c r="U2882" s="1829">
        <f t="shared" si="674"/>
        <v>4.5498103609815832</v>
      </c>
      <c r="V2882" s="683">
        <f t="shared" si="675"/>
        <v>4.6589484161101264</v>
      </c>
      <c r="W2882" s="1768">
        <f t="shared" si="676"/>
        <v>3.453071930884744E-4</v>
      </c>
      <c r="X2882" s="683">
        <v>261</v>
      </c>
    </row>
    <row r="2883" spans="1:27" ht="16" thickBot="1" x14ac:dyDescent="0.25">
      <c r="A2883" s="1962">
        <f t="shared" ref="A2883" si="719">WEEKNUM(C2883,1)</f>
        <v>46</v>
      </c>
      <c r="B2883" s="1963"/>
      <c r="C2883" s="1368">
        <v>45971</v>
      </c>
      <c r="D2883" s="1369"/>
      <c r="E2883" s="1370"/>
      <c r="F2883" s="1547" t="s">
        <v>363</v>
      </c>
      <c r="G2883" s="1371"/>
      <c r="H2883" s="1372" t="str">
        <f>IFERROR(VLOOKUP(F2883,#REF!,10,FALSE),"")</f>
        <v/>
      </c>
      <c r="I2883" s="1373" t="str">
        <f t="shared" si="670"/>
        <v/>
      </c>
      <c r="J2883" s="1374"/>
      <c r="K2883" s="1745" t="str">
        <f>IFERROR(VLOOKUP(F2883,#REF!,15,FALSE),"0")</f>
        <v>0</v>
      </c>
      <c r="L2883" s="1577"/>
      <c r="M2883" s="1374"/>
      <c r="N2883" s="1375" t="str">
        <f t="shared" si="671"/>
        <v/>
      </c>
      <c r="O2883" s="1376"/>
      <c r="P2883" s="795" t="str">
        <f>IFERROR(VLOOKUP(F2883,#REF!,12,FALSE),"")</f>
        <v/>
      </c>
      <c r="Q2883" s="1254" t="s">
        <v>8</v>
      </c>
      <c r="R2883" s="1694" t="str">
        <f>IFERROR(VLOOKUP(F2883,#REF!,14,FALSE),"")</f>
        <v/>
      </c>
      <c r="S2883" s="1377" t="str">
        <f t="shared" si="672"/>
        <v/>
      </c>
      <c r="T2883" s="70">
        <f t="shared" si="673"/>
        <v>1.3466419241446362E-3</v>
      </c>
      <c r="U2883" s="70">
        <f t="shared" si="674"/>
        <v>4.4414815428629737</v>
      </c>
      <c r="V2883" s="1369">
        <f t="shared" si="675"/>
        <v>4.548239278736748</v>
      </c>
      <c r="W2883" s="1766">
        <f t="shared" si="676"/>
        <v>3.0319655978500192E-4</v>
      </c>
      <c r="X2883" s="1369">
        <v>261</v>
      </c>
    </row>
    <row r="2884" spans="1:27" x14ac:dyDescent="0.2">
      <c r="A2884" s="1648" t="s">
        <v>142</v>
      </c>
      <c r="B2884" s="1679">
        <f t="shared" ref="B2884" si="720">SUM(H2883:H2889)</f>
        <v>0</v>
      </c>
      <c r="C2884" s="1651">
        <v>45972</v>
      </c>
      <c r="D2884" s="1695"/>
      <c r="E2884" s="1696"/>
      <c r="F2884" s="1547" t="s">
        <v>343</v>
      </c>
      <c r="G2884" s="1697"/>
      <c r="H2884" s="1698" t="str">
        <f>IFERROR(VLOOKUP(F2884,#REF!,10,FALSE),"")</f>
        <v/>
      </c>
      <c r="I2884" s="1699" t="str">
        <f t="shared" si="670"/>
        <v/>
      </c>
      <c r="J2884" s="1700"/>
      <c r="K2884" s="1755" t="str">
        <f>IFERROR(VLOOKUP(F2884,#REF!,15,FALSE),"0")</f>
        <v>0</v>
      </c>
      <c r="L2884" s="1578"/>
      <c r="M2884" s="1700"/>
      <c r="N2884" s="1701" t="str">
        <f t="shared" si="671"/>
        <v/>
      </c>
      <c r="O2884" s="1702"/>
      <c r="P2884" s="1635" t="str">
        <f>IFERROR(VLOOKUP(F2884,#REF!,12,FALSE),"")</f>
        <v/>
      </c>
      <c r="Q2884" s="1636" t="s">
        <v>8</v>
      </c>
      <c r="R2884" s="1703" t="str">
        <f>IFERROR(VLOOKUP(F2884,#REF!,14,FALSE),"")</f>
        <v/>
      </c>
      <c r="S2884" s="1704" t="str">
        <f t="shared" si="672"/>
        <v/>
      </c>
      <c r="T2884" s="1379">
        <f t="shared" si="673"/>
        <v>1.1542645064096882E-3</v>
      </c>
      <c r="U2884" s="1379">
        <f t="shared" si="674"/>
        <v>4.3357319823186176</v>
      </c>
      <c r="V2884" s="1695">
        <f t="shared" si="675"/>
        <v>4.4401349009388289</v>
      </c>
      <c r="W2884" s="1767">
        <f t="shared" si="676"/>
        <v>2.6622136956731872E-4</v>
      </c>
      <c r="X2884" s="1695">
        <v>261</v>
      </c>
    </row>
    <row r="2885" spans="1:27" x14ac:dyDescent="0.2">
      <c r="A2885" s="1649" t="s">
        <v>347</v>
      </c>
      <c r="B2885" s="1680">
        <f t="shared" ref="B2885" si="721">SUM(K2883:K2889)</f>
        <v>0</v>
      </c>
      <c r="C2885" s="1651">
        <v>45973</v>
      </c>
      <c r="D2885" s="1695"/>
      <c r="E2885" s="1696"/>
      <c r="F2885" s="1547" t="s">
        <v>363</v>
      </c>
      <c r="G2885" s="1697"/>
      <c r="H2885" s="1698" t="str">
        <f>IFERROR(VLOOKUP(F2885,#REF!,10,FALSE),"")</f>
        <v/>
      </c>
      <c r="I2885" s="1699" t="str">
        <f t="shared" si="670"/>
        <v/>
      </c>
      <c r="J2885" s="1700"/>
      <c r="K2885" s="1755" t="str">
        <f>IFERROR(VLOOKUP(F2885,#REF!,15,FALSE),"0")</f>
        <v>0</v>
      </c>
      <c r="L2885" s="1578"/>
      <c r="M2885" s="1700"/>
      <c r="N2885" s="1701" t="str">
        <f t="shared" si="671"/>
        <v/>
      </c>
      <c r="O2885" s="1702"/>
      <c r="P2885" s="1635" t="str">
        <f>IFERROR(VLOOKUP(F2885,#REF!,12,FALSE),"")</f>
        <v/>
      </c>
      <c r="Q2885" s="1636" t="s">
        <v>8</v>
      </c>
      <c r="R2885" s="1703" t="str">
        <f>IFERROR(VLOOKUP(F2885,#REF!,14,FALSE),"")</f>
        <v/>
      </c>
      <c r="S2885" s="1704" t="str">
        <f t="shared" si="672"/>
        <v/>
      </c>
      <c r="T2885" s="1379">
        <f t="shared" si="673"/>
        <v>9.8936957692258992E-4</v>
      </c>
      <c r="U2885" s="1379">
        <f t="shared" si="674"/>
        <v>4.2325002684538884</v>
      </c>
      <c r="V2885" s="1695">
        <f t="shared" si="675"/>
        <v>4.3345777178122082</v>
      </c>
      <c r="W2885" s="1767">
        <f t="shared" si="676"/>
        <v>2.3375534888837746E-4</v>
      </c>
      <c r="X2885" s="1695">
        <v>261</v>
      </c>
    </row>
    <row r="2886" spans="1:27" x14ac:dyDescent="0.2">
      <c r="A2886" s="1649" t="s">
        <v>256</v>
      </c>
      <c r="B2886" s="1677">
        <f t="shared" ref="B2886" si="722">AVERAGE(W2883:W2889)</f>
        <v>2.122604899922399E-4</v>
      </c>
      <c r="C2886" s="1651">
        <v>45974</v>
      </c>
      <c r="D2886" s="1695"/>
      <c r="E2886" s="1696"/>
      <c r="F2886" s="1547" t="s">
        <v>343</v>
      </c>
      <c r="G2886" s="1697"/>
      <c r="H2886" s="1698" t="str">
        <f>IFERROR(VLOOKUP(F2886,#REF!,10,FALSE),"")</f>
        <v/>
      </c>
      <c r="I2886" s="1699" t="str">
        <f t="shared" si="670"/>
        <v/>
      </c>
      <c r="J2886" s="1700"/>
      <c r="K2886" s="1755" t="str">
        <f>IFERROR(VLOOKUP(F2886,#REF!,15,FALSE),"0")</f>
        <v>0</v>
      </c>
      <c r="L2886" s="1578"/>
      <c r="M2886" s="1700"/>
      <c r="N2886" s="1701" t="str">
        <f t="shared" si="671"/>
        <v/>
      </c>
      <c r="O2886" s="1702"/>
      <c r="P2886" s="1635" t="str">
        <f>IFERROR(VLOOKUP(F2886,#REF!,12,FALSE),"")</f>
        <v/>
      </c>
      <c r="Q2886" s="1636" t="s">
        <v>8</v>
      </c>
      <c r="R2886" s="1703" t="str">
        <f>IFERROR(VLOOKUP(F2886,#REF!,14,FALSE),"")</f>
        <v/>
      </c>
      <c r="S2886" s="1704" t="str">
        <f t="shared" si="672"/>
        <v/>
      </c>
      <c r="T2886" s="1379">
        <f t="shared" si="673"/>
        <v>8.4803106593364847E-4</v>
      </c>
      <c r="U2886" s="1379">
        <f t="shared" si="674"/>
        <v>4.1317264525383193</v>
      </c>
      <c r="V2886" s="1695">
        <f t="shared" si="675"/>
        <v>4.2315108988769659</v>
      </c>
      <c r="W2886" s="1767">
        <f t="shared" si="676"/>
        <v>2.0524859902394118E-4</v>
      </c>
      <c r="X2886" s="1695">
        <v>261</v>
      </c>
    </row>
    <row r="2887" spans="1:27" x14ac:dyDescent="0.2">
      <c r="A2887" s="1649" t="s">
        <v>336</v>
      </c>
      <c r="B2887" s="1713" t="str">
        <f t="shared" ref="B2887" si="723">IFERROR(AVERAGE(N2883:N2889),"")</f>
        <v/>
      </c>
      <c r="C2887" s="1651">
        <v>45975</v>
      </c>
      <c r="D2887" s="1695"/>
      <c r="E2887" s="1696"/>
      <c r="F2887" s="1947"/>
      <c r="G2887" s="1697"/>
      <c r="H2887" s="1698" t="str">
        <f>IFERROR(VLOOKUP(F2887,#REF!,10,FALSE),"")</f>
        <v/>
      </c>
      <c r="I2887" s="1699" t="str">
        <f t="shared" si="670"/>
        <v/>
      </c>
      <c r="J2887" s="1700"/>
      <c r="K2887" s="1755" t="str">
        <f>IFERROR(VLOOKUP(F2887,#REF!,15,FALSE),"0")</f>
        <v>0</v>
      </c>
      <c r="L2887" s="1578"/>
      <c r="M2887" s="1700"/>
      <c r="N2887" s="1701" t="str">
        <f t="shared" si="671"/>
        <v/>
      </c>
      <c r="O2887" s="1702"/>
      <c r="P2887" s="1635" t="str">
        <f>IFERROR(VLOOKUP(F2887,#REF!,12,FALSE),"")</f>
        <v/>
      </c>
      <c r="Q2887" s="1636" t="s">
        <v>8</v>
      </c>
      <c r="R2887" s="1703" t="str">
        <f>IFERROR(VLOOKUP(F2887,#REF!,14,FALSE),"")</f>
        <v/>
      </c>
      <c r="S2887" s="1704" t="str">
        <f t="shared" si="672"/>
        <v/>
      </c>
      <c r="T2887" s="1379">
        <f t="shared" si="673"/>
        <v>7.2688377080027007E-4</v>
      </c>
      <c r="U2887" s="1379">
        <f t="shared" si="674"/>
        <v>4.033352013192169</v>
      </c>
      <c r="V2887" s="1695">
        <f t="shared" si="675"/>
        <v>4.1308784214723859</v>
      </c>
      <c r="W2887" s="1767">
        <f t="shared" si="676"/>
        <v>1.8021828206980201E-4</v>
      </c>
      <c r="X2887" s="1695">
        <v>261</v>
      </c>
    </row>
    <row r="2888" spans="1:27" x14ac:dyDescent="0.2">
      <c r="A2888" s="1649" t="s">
        <v>337</v>
      </c>
      <c r="B2888" s="1681" t="str">
        <f t="shared" ref="B2888" si="724">IFERROR(AVERAGE(S2883:S2889),"")</f>
        <v/>
      </c>
      <c r="C2888" s="1651">
        <v>45976</v>
      </c>
      <c r="D2888" s="1695"/>
      <c r="E2888" s="1696"/>
      <c r="F2888" s="1547"/>
      <c r="G2888" s="1697"/>
      <c r="H2888" s="1698" t="str">
        <f>IFERROR(VLOOKUP(F2888,#REF!,10,FALSE),"")</f>
        <v/>
      </c>
      <c r="I2888" s="1699" t="str">
        <f t="shared" si="670"/>
        <v/>
      </c>
      <c r="J2888" s="1700"/>
      <c r="K2888" s="1755" t="str">
        <f>IFERROR(VLOOKUP(F2888,#REF!,15,FALSE),"0")</f>
        <v>0</v>
      </c>
      <c r="L2888" s="1578"/>
      <c r="M2888" s="1700"/>
      <c r="N2888" s="1701" t="str">
        <f t="shared" si="671"/>
        <v/>
      </c>
      <c r="O2888" s="1702"/>
      <c r="P2888" s="1635" t="str">
        <f>IFERROR(VLOOKUP(F2888,#REF!,12,FALSE),"")</f>
        <v/>
      </c>
      <c r="Q2888" s="1636" t="s">
        <v>8</v>
      </c>
      <c r="R2888" s="1703" t="str">
        <f>IFERROR(VLOOKUP(F2888,#REF!,14,FALSE),"")</f>
        <v/>
      </c>
      <c r="S2888" s="1704" t="str">
        <f t="shared" si="672"/>
        <v/>
      </c>
      <c r="T2888" s="1379">
        <f t="shared" si="673"/>
        <v>6.2304323211451716E-4</v>
      </c>
      <c r="U2888" s="1379">
        <f t="shared" si="674"/>
        <v>3.9373198224018791</v>
      </c>
      <c r="V2888" s="1695">
        <f t="shared" si="675"/>
        <v>4.0326251294213691</v>
      </c>
      <c r="W2888" s="1767">
        <f t="shared" si="676"/>
        <v>1.5824044279299688E-4</v>
      </c>
      <c r="X2888" s="1695">
        <v>261</v>
      </c>
    </row>
    <row r="2889" spans="1:27" ht="16" thickBot="1" x14ac:dyDescent="0.25">
      <c r="A2889" s="1650" t="s">
        <v>5</v>
      </c>
      <c r="B2889" s="1678">
        <f t="shared" ref="B2889" si="725">IFERROR(SUM(M2883:M2889),"")</f>
        <v>0</v>
      </c>
      <c r="C2889" s="1360">
        <v>45977</v>
      </c>
      <c r="D2889" s="683"/>
      <c r="E2889" s="684"/>
      <c r="F2889" s="1429" t="s">
        <v>279</v>
      </c>
      <c r="G2889" s="1361"/>
      <c r="H2889" s="1362" t="str">
        <f>IFERROR(VLOOKUP(F2889,#REF!,10,FALSE),"")</f>
        <v/>
      </c>
      <c r="I2889" s="1363" t="str">
        <f t="shared" si="670"/>
        <v/>
      </c>
      <c r="J2889" s="1364"/>
      <c r="K2889" s="1747" t="str">
        <f>IFERROR(VLOOKUP(F2889,#REF!,15,FALSE),"0")</f>
        <v>0</v>
      </c>
      <c r="L2889" s="1705"/>
      <c r="M2889" s="1364"/>
      <c r="N2889" s="1365" t="str">
        <f t="shared" si="671"/>
        <v/>
      </c>
      <c r="O2889" s="1366"/>
      <c r="P2889" s="1706" t="str">
        <f>IFERROR(VLOOKUP(F2889,#REF!,12,FALSE),"")</f>
        <v/>
      </c>
      <c r="Q2889" s="1707" t="s">
        <v>8</v>
      </c>
      <c r="R2889" s="1708" t="str">
        <f>IFERROR(VLOOKUP(F2889,#REF!,14,FALSE),"")</f>
        <v/>
      </c>
      <c r="S2889" s="1191" t="str">
        <f t="shared" si="672"/>
        <v/>
      </c>
      <c r="T2889" s="1897">
        <f t="shared" si="673"/>
        <v>5.340370560981576E-4</v>
      </c>
      <c r="U2889" s="1897">
        <f t="shared" si="674"/>
        <v>3.8435741123446916</v>
      </c>
      <c r="V2889" s="683">
        <f t="shared" si="675"/>
        <v>3.9366967791697647</v>
      </c>
      <c r="W2889" s="1768">
        <f t="shared" si="676"/>
        <v>1.3894282781824117E-4</v>
      </c>
      <c r="X2889" s="683">
        <v>261</v>
      </c>
      <c r="AA2889" s="1929"/>
    </row>
    <row r="2890" spans="1:27" ht="16" thickBot="1" x14ac:dyDescent="0.25">
      <c r="A2890" s="1962">
        <f t="shared" ref="A2890" si="726">WEEKNUM(C2890,1)</f>
        <v>47</v>
      </c>
      <c r="B2890" s="1963"/>
      <c r="C2890" s="1368">
        <v>45978</v>
      </c>
      <c r="D2890" s="1369"/>
      <c r="E2890" s="1370"/>
      <c r="F2890" s="1547" t="s">
        <v>363</v>
      </c>
      <c r="G2890" s="1371"/>
      <c r="H2890" s="1372" t="str">
        <f>IFERROR(VLOOKUP(F2890,#REF!,10,FALSE),"")</f>
        <v/>
      </c>
      <c r="I2890" s="1373" t="str">
        <f t="shared" si="670"/>
        <v/>
      </c>
      <c r="J2890" s="1374"/>
      <c r="K2890" s="1745" t="str">
        <f>IFERROR(VLOOKUP(F2890,#REF!,15,FALSE),"0")</f>
        <v>0</v>
      </c>
      <c r="L2890" s="1577"/>
      <c r="M2890" s="1374"/>
      <c r="N2890" s="1375" t="str">
        <f t="shared" si="671"/>
        <v/>
      </c>
      <c r="O2890" s="1376"/>
      <c r="P2890" s="795" t="str">
        <f>IFERROR(VLOOKUP(F2890,#REF!,12,FALSE),"")</f>
        <v/>
      </c>
      <c r="Q2890" s="1254" t="s">
        <v>8</v>
      </c>
      <c r="R2890" s="1694" t="str">
        <f>IFERROR(VLOOKUP(F2890,#REF!,14,FALSE),"")</f>
        <v/>
      </c>
      <c r="S2890" s="1377" t="str">
        <f t="shared" si="672"/>
        <v/>
      </c>
      <c r="T2890" s="1369">
        <f t="shared" si="673"/>
        <v>4.5774604808413507E-4</v>
      </c>
      <c r="U2890" s="1369">
        <f t="shared" si="674"/>
        <v>3.7520604430031512</v>
      </c>
      <c r="V2890" s="1369">
        <f t="shared" si="675"/>
        <v>3.8430400752885934</v>
      </c>
      <c r="W2890" s="1766">
        <f t="shared" si="676"/>
        <v>1.219985805233337E-4</v>
      </c>
      <c r="X2890" s="1369">
        <v>261</v>
      </c>
    </row>
    <row r="2891" spans="1:27" x14ac:dyDescent="0.2">
      <c r="A2891" s="1648" t="s">
        <v>142</v>
      </c>
      <c r="B2891" s="1679">
        <f t="shared" ref="B2891" si="727">SUM(H2890:H2896)</f>
        <v>0</v>
      </c>
      <c r="C2891" s="1651">
        <v>45979</v>
      </c>
      <c r="D2891" s="1695"/>
      <c r="E2891" s="1696"/>
      <c r="F2891" s="1547" t="s">
        <v>343</v>
      </c>
      <c r="G2891" s="1697"/>
      <c r="H2891" s="1698" t="str">
        <f>IFERROR(VLOOKUP(F2891,#REF!,10,FALSE),"")</f>
        <v/>
      </c>
      <c r="I2891" s="1699" t="str">
        <f t="shared" si="670"/>
        <v/>
      </c>
      <c r="J2891" s="1700"/>
      <c r="K2891" s="1755" t="str">
        <f>IFERROR(VLOOKUP(F2891,#REF!,15,FALSE),"0")</f>
        <v>0</v>
      </c>
      <c r="L2891" s="1578"/>
      <c r="M2891" s="1700"/>
      <c r="N2891" s="1701" t="str">
        <f t="shared" si="671"/>
        <v/>
      </c>
      <c r="O2891" s="1702"/>
      <c r="P2891" s="1635" t="str">
        <f>IFERROR(VLOOKUP(F2891,#REF!,12,FALSE),"")</f>
        <v/>
      </c>
      <c r="Q2891" s="1636" t="s">
        <v>8</v>
      </c>
      <c r="R2891" s="1703" t="str">
        <f>IFERROR(VLOOKUP(F2891,#REF!,14,FALSE),"")</f>
        <v/>
      </c>
      <c r="S2891" s="1704" t="str">
        <f t="shared" si="672"/>
        <v/>
      </c>
      <c r="T2891" s="1828">
        <f t="shared" si="673"/>
        <v>3.923537555006872E-4</v>
      </c>
      <c r="U2891" s="1828">
        <f t="shared" si="674"/>
        <v>3.6627256705506954</v>
      </c>
      <c r="V2891" s="1695">
        <f t="shared" si="675"/>
        <v>3.7516026969550671</v>
      </c>
      <c r="W2891" s="1767">
        <f t="shared" si="676"/>
        <v>1.0712070484975642E-4</v>
      </c>
      <c r="X2891" s="1695">
        <v>261</v>
      </c>
    </row>
    <row r="2892" spans="1:27" x14ac:dyDescent="0.2">
      <c r="A2892" s="1649" t="s">
        <v>347</v>
      </c>
      <c r="B2892" s="1680">
        <f t="shared" ref="B2892" si="728">SUM(K2890:K2896)</f>
        <v>0</v>
      </c>
      <c r="C2892" s="1651">
        <v>45980</v>
      </c>
      <c r="D2892" s="1695"/>
      <c r="E2892" s="1696"/>
      <c r="F2892" s="1547" t="s">
        <v>363</v>
      </c>
      <c r="G2892" s="1697"/>
      <c r="H2892" s="1698" t="str">
        <f>IFERROR(VLOOKUP(F2892,#REF!,10,FALSE),"")</f>
        <v/>
      </c>
      <c r="I2892" s="1699" t="str">
        <f t="shared" si="670"/>
        <v/>
      </c>
      <c r="J2892" s="1700"/>
      <c r="K2892" s="1755" t="str">
        <f>IFERROR(VLOOKUP(F2892,#REF!,15,FALSE),"0")</f>
        <v>0</v>
      </c>
      <c r="L2892" s="1578"/>
      <c r="M2892" s="1700"/>
      <c r="N2892" s="1701" t="str">
        <f t="shared" si="671"/>
        <v/>
      </c>
      <c r="O2892" s="1702"/>
      <c r="P2892" s="1635" t="str">
        <f>IFERROR(VLOOKUP(F2892,#REF!,12,FALSE),"")</f>
        <v/>
      </c>
      <c r="Q2892" s="1636" t="s">
        <v>8</v>
      </c>
      <c r="R2892" s="1703" t="str">
        <f>IFERROR(VLOOKUP(F2892,#REF!,14,FALSE),"")</f>
        <v/>
      </c>
      <c r="S2892" s="1704" t="str">
        <f t="shared" si="672"/>
        <v/>
      </c>
      <c r="T2892" s="1828">
        <f t="shared" si="673"/>
        <v>3.3630321900058902E-4</v>
      </c>
      <c r="U2892" s="1828">
        <f t="shared" si="674"/>
        <v>3.5755179164899644</v>
      </c>
      <c r="V2892" s="1695">
        <f t="shared" si="675"/>
        <v>3.6623333167951948</v>
      </c>
      <c r="W2892" s="1767">
        <f t="shared" si="676"/>
        <v>9.405720425832271E-5</v>
      </c>
      <c r="X2892" s="1695">
        <v>261</v>
      </c>
    </row>
    <row r="2893" spans="1:27" x14ac:dyDescent="0.2">
      <c r="A2893" s="1649" t="s">
        <v>256</v>
      </c>
      <c r="B2893" s="1677">
        <f t="shared" ref="B2893" si="729">AVERAGE(W2890:W2896)</f>
        <v>8.540821999630586E-5</v>
      </c>
      <c r="C2893" s="1651">
        <v>45981</v>
      </c>
      <c r="D2893" s="1695"/>
      <c r="E2893" s="1696"/>
      <c r="F2893" s="1547" t="s">
        <v>343</v>
      </c>
      <c r="G2893" s="1697"/>
      <c r="H2893" s="1698" t="str">
        <f>IFERROR(VLOOKUP(F2893,#REF!,10,FALSE),"")</f>
        <v/>
      </c>
      <c r="I2893" s="1699" t="str">
        <f t="shared" si="670"/>
        <v/>
      </c>
      <c r="J2893" s="1700"/>
      <c r="K2893" s="1755" t="str">
        <f>IFERROR(VLOOKUP(F2893,#REF!,15,FALSE),"0")</f>
        <v>0</v>
      </c>
      <c r="L2893" s="1578"/>
      <c r="M2893" s="1700"/>
      <c r="N2893" s="1701" t="str">
        <f t="shared" si="671"/>
        <v/>
      </c>
      <c r="O2893" s="1702"/>
      <c r="P2893" s="1635" t="str">
        <f>IFERROR(VLOOKUP(F2893,#REF!,12,FALSE),"")</f>
        <v/>
      </c>
      <c r="Q2893" s="1636" t="s">
        <v>8</v>
      </c>
      <c r="R2893" s="1703" t="str">
        <f>IFERROR(VLOOKUP(F2893,#REF!,14,FALSE),"")</f>
        <v/>
      </c>
      <c r="S2893" s="1704" t="str">
        <f t="shared" si="672"/>
        <v/>
      </c>
      <c r="T2893" s="1828">
        <f t="shared" si="673"/>
        <v>2.8825990200050485E-4</v>
      </c>
      <c r="U2893" s="1828">
        <f t="shared" si="674"/>
        <v>3.4903865375259175</v>
      </c>
      <c r="V2893" s="1695">
        <f t="shared" si="675"/>
        <v>3.575181613270964</v>
      </c>
      <c r="W2893" s="1767">
        <f t="shared" si="676"/>
        <v>8.258681349511262E-5</v>
      </c>
      <c r="X2893" s="1695">
        <v>261</v>
      </c>
    </row>
    <row r="2894" spans="1:27" x14ac:dyDescent="0.2">
      <c r="A2894" s="1649" t="s">
        <v>336</v>
      </c>
      <c r="B2894" s="1713" t="str">
        <f t="shared" ref="B2894" si="730">IFERROR(AVERAGE(N2890:N2896),"")</f>
        <v/>
      </c>
      <c r="C2894" s="1651">
        <v>45982</v>
      </c>
      <c r="D2894" s="1695"/>
      <c r="E2894" s="1696"/>
      <c r="F2894" s="1947"/>
      <c r="G2894" s="1697"/>
      <c r="H2894" s="1698" t="str">
        <f>IFERROR(VLOOKUP(F2894,#REF!,10,FALSE),"")</f>
        <v/>
      </c>
      <c r="I2894" s="1699" t="str">
        <f t="shared" si="670"/>
        <v/>
      </c>
      <c r="J2894" s="1700"/>
      <c r="K2894" s="1755" t="str">
        <f>IFERROR(VLOOKUP(F2894,#REF!,15,FALSE),"0")</f>
        <v>0</v>
      </c>
      <c r="L2894" s="1578"/>
      <c r="M2894" s="1700"/>
      <c r="N2894" s="1701" t="str">
        <f t="shared" si="671"/>
        <v/>
      </c>
      <c r="O2894" s="1702"/>
      <c r="P2894" s="1635" t="str">
        <f>IFERROR(VLOOKUP(F2894,#REF!,12,FALSE),"")</f>
        <v/>
      </c>
      <c r="Q2894" s="1636" t="s">
        <v>8</v>
      </c>
      <c r="R2894" s="1703" t="str">
        <f>IFERROR(VLOOKUP(F2894,#REF!,14,FALSE),"")</f>
        <v/>
      </c>
      <c r="S2894" s="1704" t="str">
        <f t="shared" si="672"/>
        <v/>
      </c>
      <c r="T2894" s="1828">
        <f t="shared" si="673"/>
        <v>2.4707991600043271E-4</v>
      </c>
      <c r="U2894" s="1828">
        <f t="shared" si="674"/>
        <v>3.4072820961562527</v>
      </c>
      <c r="V2894" s="1695">
        <f t="shared" si="675"/>
        <v>3.4900982776239169</v>
      </c>
      <c r="W2894" s="1767">
        <f t="shared" si="676"/>
        <v>7.2515250873757416E-5</v>
      </c>
      <c r="X2894" s="1695">
        <v>261</v>
      </c>
    </row>
    <row r="2895" spans="1:27" x14ac:dyDescent="0.2">
      <c r="A2895" s="1649" t="s">
        <v>337</v>
      </c>
      <c r="B2895" s="1681" t="str">
        <f t="shared" ref="B2895" si="731">IFERROR(AVERAGE(S2890:S2896),"")</f>
        <v/>
      </c>
      <c r="C2895" s="1651">
        <v>45983</v>
      </c>
      <c r="D2895" s="1695"/>
      <c r="E2895" s="1696"/>
      <c r="F2895" s="1547"/>
      <c r="G2895" s="1697"/>
      <c r="H2895" s="1698" t="str">
        <f>IFERROR(VLOOKUP(F2895,#REF!,10,FALSE),"")</f>
        <v/>
      </c>
      <c r="I2895" s="1699" t="str">
        <f t="shared" si="670"/>
        <v/>
      </c>
      <c r="J2895" s="1700"/>
      <c r="K2895" s="1755" t="str">
        <f>IFERROR(VLOOKUP(F2895,#REF!,15,FALSE),"0")</f>
        <v>0</v>
      </c>
      <c r="L2895" s="1578"/>
      <c r="M2895" s="1700"/>
      <c r="N2895" s="1701" t="str">
        <f t="shared" si="671"/>
        <v/>
      </c>
      <c r="O2895" s="1702"/>
      <c r="P2895" s="1635" t="str">
        <f>IFERROR(VLOOKUP(F2895,#REF!,12,FALSE),"")</f>
        <v/>
      </c>
      <c r="Q2895" s="1636" t="s">
        <v>8</v>
      </c>
      <c r="R2895" s="1703" t="str">
        <f>IFERROR(VLOOKUP(F2895,#REF!,14,FALSE),"")</f>
        <v/>
      </c>
      <c r="S2895" s="1704" t="str">
        <f t="shared" si="672"/>
        <v/>
      </c>
      <c r="T2895" s="1828">
        <f t="shared" si="673"/>
        <v>2.1178278514322803E-4</v>
      </c>
      <c r="U2895" s="1828">
        <f t="shared" si="674"/>
        <v>3.3261563319620562</v>
      </c>
      <c r="V2895" s="1695">
        <f t="shared" si="675"/>
        <v>3.4070350162402523</v>
      </c>
      <c r="W2895" s="1767">
        <f t="shared" si="676"/>
        <v>6.3671927596469925E-5</v>
      </c>
      <c r="X2895" s="1695">
        <v>261</v>
      </c>
    </row>
    <row r="2896" spans="1:27" ht="16" thickBot="1" x14ac:dyDescent="0.25">
      <c r="A2896" s="1650" t="s">
        <v>5</v>
      </c>
      <c r="B2896" s="1678">
        <f t="shared" ref="B2896" si="732">IFERROR(SUM(M2890:M2896),"")</f>
        <v>0</v>
      </c>
      <c r="C2896" s="1360">
        <v>45984</v>
      </c>
      <c r="D2896" s="683"/>
      <c r="E2896" s="684"/>
      <c r="F2896" s="1429" t="s">
        <v>279</v>
      </c>
      <c r="G2896" s="1361"/>
      <c r="H2896" s="1362" t="str">
        <f>IFERROR(VLOOKUP(F2896,#REF!,10,FALSE),"")</f>
        <v/>
      </c>
      <c r="I2896" s="1363" t="str">
        <f t="shared" si="670"/>
        <v/>
      </c>
      <c r="J2896" s="1364"/>
      <c r="K2896" s="1747" t="str">
        <f>IFERROR(VLOOKUP(F2896,#REF!,15,FALSE),"0")</f>
        <v>0</v>
      </c>
      <c r="L2896" s="1705"/>
      <c r="M2896" s="1364"/>
      <c r="N2896" s="1365" t="str">
        <f t="shared" si="671"/>
        <v/>
      </c>
      <c r="O2896" s="1366"/>
      <c r="P2896" s="1706" t="str">
        <f>IFERROR(VLOOKUP(F2896,#REF!,12,FALSE),"")</f>
        <v/>
      </c>
      <c r="Q2896" s="1707" t="s">
        <v>8</v>
      </c>
      <c r="R2896" s="1708" t="str">
        <f>IFERROR(VLOOKUP(F2896,#REF!,14,FALSE),"")</f>
        <v/>
      </c>
      <c r="S2896" s="1191" t="str">
        <f t="shared" si="672"/>
        <v/>
      </c>
      <c r="T2896" s="1829">
        <f t="shared" si="673"/>
        <v>1.815281015513383E-4</v>
      </c>
      <c r="U2896" s="1829">
        <f t="shared" si="674"/>
        <v>3.2469621335820071</v>
      </c>
      <c r="V2896" s="683">
        <f t="shared" si="675"/>
        <v>3.3259445491769131</v>
      </c>
      <c r="W2896" s="1768">
        <f t="shared" si="676"/>
        <v>5.5907058377388229E-5</v>
      </c>
      <c r="X2896" s="683">
        <v>261</v>
      </c>
    </row>
    <row r="2897" spans="1:24" ht="16" thickBot="1" x14ac:dyDescent="0.25">
      <c r="A2897" s="1962">
        <f t="shared" ref="A2897" si="733">WEEKNUM(C2897,1)</f>
        <v>48</v>
      </c>
      <c r="B2897" s="1963"/>
      <c r="C2897" s="1368">
        <v>45985</v>
      </c>
      <c r="D2897" s="1369"/>
      <c r="E2897" s="1370"/>
      <c r="F2897" s="1547" t="s">
        <v>363</v>
      </c>
      <c r="G2897" s="1371"/>
      <c r="H2897" s="1372" t="str">
        <f>IFERROR(VLOOKUP(F2897,#REF!,10,FALSE),"")</f>
        <v/>
      </c>
      <c r="I2897" s="1373" t="str">
        <f t="shared" si="670"/>
        <v/>
      </c>
      <c r="J2897" s="1374"/>
      <c r="K2897" s="1745" t="str">
        <f>IFERROR(VLOOKUP(F2897,#REF!,15,FALSE),"0")</f>
        <v>0</v>
      </c>
      <c r="L2897" s="1577"/>
      <c r="M2897" s="1374"/>
      <c r="N2897" s="1375" t="str">
        <f t="shared" si="671"/>
        <v/>
      </c>
      <c r="O2897" s="1376"/>
      <c r="P2897" s="795" t="str">
        <f>IFERROR(VLOOKUP(F2897,#REF!,12,FALSE),"")</f>
        <v/>
      </c>
      <c r="Q2897" s="1254" t="s">
        <v>8</v>
      </c>
      <c r="R2897" s="1694" t="str">
        <f>IFERROR(VLOOKUP(F2897,#REF!,14,FALSE),"")</f>
        <v/>
      </c>
      <c r="S2897" s="1377" t="str">
        <f t="shared" si="672"/>
        <v/>
      </c>
      <c r="T2897" s="70">
        <f t="shared" si="673"/>
        <v>1.5559551561543283E-4</v>
      </c>
      <c r="U2897" s="70">
        <f t="shared" si="674"/>
        <v>3.169653511353864</v>
      </c>
      <c r="V2897" s="1369">
        <f t="shared" si="675"/>
        <v>3.2467806054804558</v>
      </c>
      <c r="W2897" s="1766">
        <f t="shared" si="676"/>
        <v>4.9089124428926246E-5</v>
      </c>
      <c r="X2897" s="1369">
        <v>261</v>
      </c>
    </row>
    <row r="2898" spans="1:24" x14ac:dyDescent="0.2">
      <c r="A2898" s="1648" t="s">
        <v>142</v>
      </c>
      <c r="B2898" s="1679">
        <f t="shared" ref="B2898" si="734">SUM(H2897:H2903)</f>
        <v>0</v>
      </c>
      <c r="C2898" s="1651">
        <v>45986</v>
      </c>
      <c r="D2898" s="1695"/>
      <c r="E2898" s="1696"/>
      <c r="F2898" s="1547" t="s">
        <v>343</v>
      </c>
      <c r="G2898" s="1697"/>
      <c r="H2898" s="1698" t="str">
        <f>IFERROR(VLOOKUP(F2898,#REF!,10,FALSE),"")</f>
        <v/>
      </c>
      <c r="I2898" s="1699" t="str">
        <f t="shared" si="670"/>
        <v/>
      </c>
      <c r="J2898" s="1700"/>
      <c r="K2898" s="1755" t="str">
        <f>IFERROR(VLOOKUP(F2898,#REF!,15,FALSE),"0")</f>
        <v>0</v>
      </c>
      <c r="L2898" s="1578"/>
      <c r="M2898" s="1700"/>
      <c r="N2898" s="1701" t="str">
        <f t="shared" si="671"/>
        <v/>
      </c>
      <c r="O2898" s="1702"/>
      <c r="P2898" s="1635" t="str">
        <f>IFERROR(VLOOKUP(F2898,#REF!,12,FALSE),"")</f>
        <v/>
      </c>
      <c r="Q2898" s="1636" t="s">
        <v>8</v>
      </c>
      <c r="R2898" s="1703" t="str">
        <f>IFERROR(VLOOKUP(F2898,#REF!,14,FALSE),"")</f>
        <v/>
      </c>
      <c r="S2898" s="1704" t="str">
        <f t="shared" si="672"/>
        <v/>
      </c>
      <c r="T2898" s="1379">
        <f t="shared" si="673"/>
        <v>1.3336758481322813E-4</v>
      </c>
      <c r="U2898" s="1379">
        <f t="shared" si="674"/>
        <v>3.0941855706073436</v>
      </c>
      <c r="V2898" s="1695">
        <f t="shared" si="675"/>
        <v>3.1694979158382486</v>
      </c>
      <c r="W2898" s="1767">
        <f t="shared" si="676"/>
        <v>4.3102645840032802E-5</v>
      </c>
      <c r="X2898" s="1695">
        <v>261</v>
      </c>
    </row>
    <row r="2899" spans="1:24" x14ac:dyDescent="0.2">
      <c r="A2899" s="1649" t="s">
        <v>347</v>
      </c>
      <c r="B2899" s="1680">
        <f t="shared" ref="B2899" si="735">SUM(K2897:K2903)</f>
        <v>0</v>
      </c>
      <c r="C2899" s="1651">
        <v>45987</v>
      </c>
      <c r="D2899" s="1695"/>
      <c r="E2899" s="1696"/>
      <c r="F2899" s="1547" t="s">
        <v>363</v>
      </c>
      <c r="G2899" s="1697"/>
      <c r="H2899" s="1698" t="str">
        <f>IFERROR(VLOOKUP(F2899,#REF!,10,FALSE),"")</f>
        <v/>
      </c>
      <c r="I2899" s="1699" t="str">
        <f t="shared" si="670"/>
        <v/>
      </c>
      <c r="J2899" s="1700"/>
      <c r="K2899" s="1755" t="str">
        <f>IFERROR(VLOOKUP(F2899,#REF!,15,FALSE),"0")</f>
        <v>0</v>
      </c>
      <c r="L2899" s="1578"/>
      <c r="M2899" s="1700"/>
      <c r="N2899" s="1701" t="str">
        <f t="shared" si="671"/>
        <v/>
      </c>
      <c r="O2899" s="1702"/>
      <c r="P2899" s="1635" t="str">
        <f>IFERROR(VLOOKUP(F2899,#REF!,12,FALSE),"")</f>
        <v/>
      </c>
      <c r="Q2899" s="1636" t="s">
        <v>8</v>
      </c>
      <c r="R2899" s="1703" t="str">
        <f>IFERROR(VLOOKUP(F2899,#REF!,14,FALSE),"")</f>
        <v/>
      </c>
      <c r="S2899" s="1704" t="str">
        <f t="shared" si="672"/>
        <v/>
      </c>
      <c r="T2899" s="1379">
        <f t="shared" si="673"/>
        <v>1.1431507269705267E-4</v>
      </c>
      <c r="U2899" s="1379">
        <f t="shared" si="674"/>
        <v>3.0205144855928832</v>
      </c>
      <c r="V2899" s="1695">
        <f t="shared" si="675"/>
        <v>3.0940522030225304</v>
      </c>
      <c r="W2899" s="1767">
        <f t="shared" si="676"/>
        <v>3.7846225615638554E-5</v>
      </c>
      <c r="X2899" s="1695">
        <v>261</v>
      </c>
    </row>
    <row r="2900" spans="1:24" x14ac:dyDescent="0.2">
      <c r="A2900" s="1649" t="s">
        <v>256</v>
      </c>
      <c r="B2900" s="1677">
        <f t="shared" ref="B2900" si="736">AVERAGE(W2897:W2903)</f>
        <v>3.4366094430499352E-5</v>
      </c>
      <c r="C2900" s="1651">
        <v>45988</v>
      </c>
      <c r="D2900" s="1695"/>
      <c r="E2900" s="1696"/>
      <c r="F2900" s="1547" t="s">
        <v>343</v>
      </c>
      <c r="G2900" s="1697"/>
      <c r="H2900" s="1698" t="str">
        <f>IFERROR(VLOOKUP(F2900,#REF!,10,FALSE),"")</f>
        <v/>
      </c>
      <c r="I2900" s="1699" t="str">
        <f t="shared" si="670"/>
        <v/>
      </c>
      <c r="J2900" s="1700"/>
      <c r="K2900" s="1755" t="str">
        <f>IFERROR(VLOOKUP(F2900,#REF!,15,FALSE),"0")</f>
        <v>0</v>
      </c>
      <c r="L2900" s="1578"/>
      <c r="M2900" s="1700"/>
      <c r="N2900" s="1701" t="str">
        <f t="shared" si="671"/>
        <v/>
      </c>
      <c r="O2900" s="1702"/>
      <c r="P2900" s="1635" t="str">
        <f>IFERROR(VLOOKUP(F2900,#REF!,12,FALSE),"")</f>
        <v/>
      </c>
      <c r="Q2900" s="1636" t="s">
        <v>8</v>
      </c>
      <c r="R2900" s="1703" t="str">
        <f>IFERROR(VLOOKUP(F2900,#REF!,14,FALSE),"")</f>
        <v/>
      </c>
      <c r="S2900" s="1704" t="str">
        <f t="shared" si="672"/>
        <v/>
      </c>
      <c r="T2900" s="1379">
        <f t="shared" si="673"/>
        <v>9.7984348026045146E-5</v>
      </c>
      <c r="U2900" s="1379">
        <f t="shared" si="674"/>
        <v>2.948597474031148</v>
      </c>
      <c r="V2900" s="1695">
        <f t="shared" si="675"/>
        <v>3.0204001705201859</v>
      </c>
      <c r="W2900" s="1767">
        <f t="shared" si="676"/>
        <v>3.3230832247877749E-5</v>
      </c>
      <c r="X2900" s="1695">
        <v>261</v>
      </c>
    </row>
    <row r="2901" spans="1:24" x14ac:dyDescent="0.2">
      <c r="A2901" s="1649" t="s">
        <v>336</v>
      </c>
      <c r="B2901" s="1713" t="str">
        <f t="shared" ref="B2901" si="737">IFERROR(AVERAGE(N2897:N2903),"")</f>
        <v/>
      </c>
      <c r="C2901" s="1651">
        <v>45989</v>
      </c>
      <c r="D2901" s="1695"/>
      <c r="E2901" s="1696"/>
      <c r="F2901" s="1947"/>
      <c r="G2901" s="1697"/>
      <c r="H2901" s="1698" t="str">
        <f>IFERROR(VLOOKUP(F2901,#REF!,10,FALSE),"")</f>
        <v/>
      </c>
      <c r="I2901" s="1699" t="str">
        <f t="shared" si="670"/>
        <v/>
      </c>
      <c r="J2901" s="1700"/>
      <c r="K2901" s="1755" t="str">
        <f>IFERROR(VLOOKUP(F2901,#REF!,15,FALSE),"0")</f>
        <v>0</v>
      </c>
      <c r="L2901" s="1578"/>
      <c r="M2901" s="1700"/>
      <c r="N2901" s="1701" t="str">
        <f t="shared" si="671"/>
        <v/>
      </c>
      <c r="O2901" s="1702"/>
      <c r="P2901" s="1635" t="str">
        <f>IFERROR(VLOOKUP(F2901,#REF!,12,FALSE),"")</f>
        <v/>
      </c>
      <c r="Q2901" s="1636" t="s">
        <v>8</v>
      </c>
      <c r="R2901" s="1703" t="str">
        <f>IFERROR(VLOOKUP(F2901,#REF!,14,FALSE),"")</f>
        <v/>
      </c>
      <c r="S2901" s="1704" t="str">
        <f t="shared" si="672"/>
        <v/>
      </c>
      <c r="T2901" s="1379">
        <f t="shared" si="673"/>
        <v>8.3986584022324417E-5</v>
      </c>
      <c r="U2901" s="1379">
        <f t="shared" si="674"/>
        <v>2.8783927722685014</v>
      </c>
      <c r="V2901" s="1695">
        <f t="shared" si="675"/>
        <v>2.948499489683122</v>
      </c>
      <c r="W2901" s="1767">
        <f t="shared" si="676"/>
        <v>2.9178291729843883E-5</v>
      </c>
      <c r="X2901" s="1695">
        <v>261</v>
      </c>
    </row>
    <row r="2902" spans="1:24" x14ac:dyDescent="0.2">
      <c r="A2902" s="1649" t="s">
        <v>337</v>
      </c>
      <c r="B2902" s="1681" t="str">
        <f t="shared" ref="B2902" si="738">IFERROR(AVERAGE(S2897:S2903),"")</f>
        <v/>
      </c>
      <c r="C2902" s="1651">
        <v>45990</v>
      </c>
      <c r="D2902" s="1695"/>
      <c r="E2902" s="1696"/>
      <c r="F2902" s="1547"/>
      <c r="G2902" s="1697"/>
      <c r="H2902" s="1698" t="str">
        <f>IFERROR(VLOOKUP(F2902,#REF!,10,FALSE),"")</f>
        <v/>
      </c>
      <c r="I2902" s="1699" t="str">
        <f t="shared" si="670"/>
        <v/>
      </c>
      <c r="J2902" s="1700"/>
      <c r="K2902" s="1755" t="str">
        <f>IFERROR(VLOOKUP(F2902,#REF!,15,FALSE),"0")</f>
        <v>0</v>
      </c>
      <c r="L2902" s="1578"/>
      <c r="M2902" s="1700"/>
      <c r="N2902" s="1701" t="str">
        <f t="shared" si="671"/>
        <v/>
      </c>
      <c r="O2902" s="1702"/>
      <c r="P2902" s="1635" t="str">
        <f>IFERROR(VLOOKUP(F2902,#REF!,12,FALSE),"")</f>
        <v/>
      </c>
      <c r="Q2902" s="1636" t="s">
        <v>8</v>
      </c>
      <c r="R2902" s="1703" t="str">
        <f>IFERROR(VLOOKUP(F2902,#REF!,14,FALSE),"")</f>
        <v/>
      </c>
      <c r="S2902" s="1704" t="str">
        <f t="shared" si="672"/>
        <v/>
      </c>
      <c r="T2902" s="1379">
        <f t="shared" si="673"/>
        <v>7.1988500590563782E-5</v>
      </c>
      <c r="U2902" s="1379">
        <f t="shared" si="674"/>
        <v>2.8098596110240135</v>
      </c>
      <c r="V2902" s="1695">
        <f t="shared" si="675"/>
        <v>2.8783087856844789</v>
      </c>
      <c r="W2902" s="1767">
        <f t="shared" si="676"/>
        <v>2.561996347010682E-5</v>
      </c>
      <c r="X2902" s="1695">
        <v>261</v>
      </c>
    </row>
    <row r="2903" spans="1:24" ht="16" thickBot="1" x14ac:dyDescent="0.25">
      <c r="A2903" s="1650" t="s">
        <v>5</v>
      </c>
      <c r="B2903" s="1678">
        <f t="shared" ref="B2903" si="739">IFERROR(SUM(M2897:M2903),"")</f>
        <v>0</v>
      </c>
      <c r="C2903" s="1360">
        <v>45991</v>
      </c>
      <c r="D2903" s="683"/>
      <c r="E2903" s="684"/>
      <c r="F2903" s="1429" t="s">
        <v>279</v>
      </c>
      <c r="G2903" s="1361"/>
      <c r="H2903" s="1362" t="str">
        <f>IFERROR(VLOOKUP(F2903,#REF!,10,FALSE),"")</f>
        <v/>
      </c>
      <c r="I2903" s="1363" t="str">
        <f t="shared" si="670"/>
        <v/>
      </c>
      <c r="J2903" s="1364"/>
      <c r="K2903" s="1747" t="str">
        <f>IFERROR(VLOOKUP(F2903,#REF!,15,FALSE),"0")</f>
        <v>0</v>
      </c>
      <c r="L2903" s="1705"/>
      <c r="M2903" s="1364"/>
      <c r="N2903" s="1365" t="str">
        <f t="shared" si="671"/>
        <v/>
      </c>
      <c r="O2903" s="1366"/>
      <c r="P2903" s="1706" t="str">
        <f>IFERROR(VLOOKUP(F2903,#REF!,12,FALSE),"")</f>
        <v/>
      </c>
      <c r="Q2903" s="1707" t="s">
        <v>8</v>
      </c>
      <c r="R2903" s="1708" t="str">
        <f>IFERROR(VLOOKUP(F2903,#REF!,14,FALSE),"")</f>
        <v/>
      </c>
      <c r="S2903" s="1191" t="str">
        <f t="shared" si="672"/>
        <v/>
      </c>
      <c r="T2903" s="1897">
        <f t="shared" si="673"/>
        <v>6.1704429077626095E-5</v>
      </c>
      <c r="U2903" s="1897">
        <f t="shared" si="674"/>
        <v>2.7429581917139179</v>
      </c>
      <c r="V2903" s="683">
        <f t="shared" si="675"/>
        <v>2.8097876225234231</v>
      </c>
      <c r="W2903" s="1768">
        <f t="shared" si="676"/>
        <v>2.24955776810694E-5</v>
      </c>
      <c r="X2903" s="683">
        <v>261</v>
      </c>
    </row>
    <row r="2904" spans="1:24" ht="16" thickBot="1" x14ac:dyDescent="0.25">
      <c r="A2904" s="1962">
        <f t="shared" ref="A2904" si="740">WEEKNUM(C2904,1)</f>
        <v>49</v>
      </c>
      <c r="B2904" s="1963"/>
      <c r="C2904" s="1368">
        <v>45992</v>
      </c>
      <c r="D2904" s="1369"/>
      <c r="E2904" s="1370"/>
      <c r="F2904" s="1547" t="s">
        <v>363</v>
      </c>
      <c r="G2904" s="1371"/>
      <c r="H2904" s="1372" t="str">
        <f>IFERROR(VLOOKUP(F2904,#REF!,10,FALSE),"")</f>
        <v/>
      </c>
      <c r="I2904" s="1373" t="str">
        <f t="shared" ref="I2904:I2934" si="741">IFERROR(G2904/H2904,"")</f>
        <v/>
      </c>
      <c r="J2904" s="1374"/>
      <c r="K2904" s="1745" t="str">
        <f>IFERROR(VLOOKUP(F2904,#REF!,15,FALSE),"0")</f>
        <v>0</v>
      </c>
      <c r="L2904" s="1577"/>
      <c r="M2904" s="1374"/>
      <c r="N2904" s="1375" t="str">
        <f t="shared" ref="N2904:N2934" si="742">IFERROR((L2904/67)/(1/(I2904*24)/3.6),"")</f>
        <v/>
      </c>
      <c r="O2904" s="1376"/>
      <c r="P2904" s="795" t="str">
        <f>IFERROR(VLOOKUP(F2904,#REF!,12,FALSE),"")</f>
        <v/>
      </c>
      <c r="Q2904" s="1254" t="s">
        <v>8</v>
      </c>
      <c r="R2904" s="1694" t="str">
        <f>IFERROR(VLOOKUP(F2904,#REF!,14,FALSE),"")</f>
        <v/>
      </c>
      <c r="S2904" s="1377" t="str">
        <f t="shared" ref="S2904:S2934" si="743">IFERROR(L2904/J2904,"")</f>
        <v/>
      </c>
      <c r="T2904" s="1369">
        <f t="shared" ref="T2904:T2934" si="744">T2903+(K2904-T2903)/7</f>
        <v>5.2889510637965222E-5</v>
      </c>
      <c r="U2904" s="1369">
        <f t="shared" ref="U2904:U2934" si="745">U2903+(K2904-U2903)/42</f>
        <v>2.6776496633397771</v>
      </c>
      <c r="V2904" s="1369">
        <f t="shared" ref="V2904:V2934" si="746">U2903-T2903</f>
        <v>2.74289648728484</v>
      </c>
      <c r="W2904" s="1766">
        <f t="shared" ref="W2904:W2934" si="747">T2904/U2904</f>
        <v>1.9752214549231669E-5</v>
      </c>
      <c r="X2904" s="1369">
        <v>261</v>
      </c>
    </row>
    <row r="2905" spans="1:24" x14ac:dyDescent="0.2">
      <c r="A2905" s="1648" t="s">
        <v>142</v>
      </c>
      <c r="B2905" s="1679">
        <f t="shared" ref="B2905" si="748">SUM(H2904:H2910)</f>
        <v>0</v>
      </c>
      <c r="C2905" s="1651">
        <v>45993</v>
      </c>
      <c r="D2905" s="1695"/>
      <c r="E2905" s="1696"/>
      <c r="F2905" s="1547" t="s">
        <v>343</v>
      </c>
      <c r="G2905" s="1697"/>
      <c r="H2905" s="1698" t="str">
        <f>IFERROR(VLOOKUP(F2905,#REF!,10,FALSE),"")</f>
        <v/>
      </c>
      <c r="I2905" s="1699" t="str">
        <f t="shared" si="741"/>
        <v/>
      </c>
      <c r="J2905" s="1700"/>
      <c r="K2905" s="1755" t="str">
        <f>IFERROR(VLOOKUP(F2905,#REF!,15,FALSE),"0")</f>
        <v>0</v>
      </c>
      <c r="L2905" s="1578"/>
      <c r="M2905" s="1700"/>
      <c r="N2905" s="1701" t="str">
        <f t="shared" si="742"/>
        <v/>
      </c>
      <c r="O2905" s="1702"/>
      <c r="P2905" s="1635" t="str">
        <f>IFERROR(VLOOKUP(F2905,#REF!,12,FALSE),"")</f>
        <v/>
      </c>
      <c r="Q2905" s="1636" t="s">
        <v>8</v>
      </c>
      <c r="R2905" s="1703" t="str">
        <f>IFERROR(VLOOKUP(F2905,#REF!,14,FALSE),"")</f>
        <v/>
      </c>
      <c r="S2905" s="1704" t="str">
        <f t="shared" si="743"/>
        <v/>
      </c>
      <c r="T2905" s="1828">
        <f t="shared" si="744"/>
        <v>4.5333866261113048E-5</v>
      </c>
      <c r="U2905" s="1828">
        <f t="shared" si="745"/>
        <v>2.6138960999269254</v>
      </c>
      <c r="V2905" s="1695">
        <f t="shared" si="746"/>
        <v>2.6775967738291393</v>
      </c>
      <c r="W2905" s="1767">
        <f t="shared" si="747"/>
        <v>1.7343407896886342E-5</v>
      </c>
      <c r="X2905" s="1695">
        <v>261</v>
      </c>
    </row>
    <row r="2906" spans="1:24" x14ac:dyDescent="0.2">
      <c r="A2906" s="1649" t="s">
        <v>347</v>
      </c>
      <c r="B2906" s="1680">
        <f t="shared" ref="B2906" si="749">SUM(K2904:K2910)</f>
        <v>0</v>
      </c>
      <c r="C2906" s="1651">
        <v>45994</v>
      </c>
      <c r="D2906" s="1695"/>
      <c r="E2906" s="1696"/>
      <c r="F2906" s="1547" t="s">
        <v>363</v>
      </c>
      <c r="G2906" s="1697"/>
      <c r="H2906" s="1698" t="str">
        <f>IFERROR(VLOOKUP(F2906,#REF!,10,FALSE),"")</f>
        <v/>
      </c>
      <c r="I2906" s="1699" t="str">
        <f t="shared" si="741"/>
        <v/>
      </c>
      <c r="J2906" s="1700"/>
      <c r="K2906" s="1755" t="str">
        <f>IFERROR(VLOOKUP(F2906,#REF!,15,FALSE),"0")</f>
        <v>0</v>
      </c>
      <c r="L2906" s="1578"/>
      <c r="M2906" s="1700"/>
      <c r="N2906" s="1701" t="str">
        <f t="shared" si="742"/>
        <v/>
      </c>
      <c r="O2906" s="1702"/>
      <c r="P2906" s="1635" t="str">
        <f>IFERROR(VLOOKUP(F2906,#REF!,12,FALSE),"")</f>
        <v/>
      </c>
      <c r="Q2906" s="1636" t="s">
        <v>8</v>
      </c>
      <c r="R2906" s="1703" t="str">
        <f>IFERROR(VLOOKUP(F2906,#REF!,14,FALSE),"")</f>
        <v/>
      </c>
      <c r="S2906" s="1704" t="str">
        <f t="shared" si="743"/>
        <v/>
      </c>
      <c r="T2906" s="1828">
        <f t="shared" si="744"/>
        <v>3.885759965238261E-5</v>
      </c>
      <c r="U2906" s="1828">
        <f t="shared" si="745"/>
        <v>2.5516604785000938</v>
      </c>
      <c r="V2906" s="1695">
        <f t="shared" si="746"/>
        <v>2.6138507660606645</v>
      </c>
      <c r="W2906" s="1767">
        <f t="shared" si="747"/>
        <v>1.5228358153363616E-5</v>
      </c>
      <c r="X2906" s="1695">
        <v>261</v>
      </c>
    </row>
    <row r="2907" spans="1:24" x14ac:dyDescent="0.2">
      <c r="A2907" s="1649" t="s">
        <v>256</v>
      </c>
      <c r="B2907" s="1677">
        <f t="shared" ref="B2907" si="750">AVERAGE(W2904:W2910)</f>
        <v>1.3828041919818503E-5</v>
      </c>
      <c r="C2907" s="1651">
        <v>45995</v>
      </c>
      <c r="D2907" s="1695"/>
      <c r="E2907" s="1696"/>
      <c r="F2907" s="1547" t="s">
        <v>343</v>
      </c>
      <c r="G2907" s="1697"/>
      <c r="H2907" s="1698" t="str">
        <f>IFERROR(VLOOKUP(F2907,#REF!,10,FALSE),"")</f>
        <v/>
      </c>
      <c r="I2907" s="1699" t="str">
        <f t="shared" si="741"/>
        <v/>
      </c>
      <c r="J2907" s="1700"/>
      <c r="K2907" s="1755" t="str">
        <f>IFERROR(VLOOKUP(F2907,#REF!,15,FALSE),"0")</f>
        <v>0</v>
      </c>
      <c r="L2907" s="1578"/>
      <c r="M2907" s="1700"/>
      <c r="N2907" s="1701" t="str">
        <f t="shared" si="742"/>
        <v/>
      </c>
      <c r="O2907" s="1702"/>
      <c r="P2907" s="1635" t="str">
        <f>IFERROR(VLOOKUP(F2907,#REF!,12,FALSE),"")</f>
        <v/>
      </c>
      <c r="Q2907" s="1636" t="s">
        <v>8</v>
      </c>
      <c r="R2907" s="1703" t="str">
        <f>IFERROR(VLOOKUP(F2907,#REF!,14,FALSE),"")</f>
        <v/>
      </c>
      <c r="S2907" s="1704" t="str">
        <f t="shared" si="743"/>
        <v/>
      </c>
      <c r="T2907" s="1828">
        <f t="shared" si="744"/>
        <v>3.330651398775652E-5</v>
      </c>
      <c r="U2907" s="1828">
        <f t="shared" si="745"/>
        <v>2.4909066575834249</v>
      </c>
      <c r="V2907" s="1695">
        <f t="shared" si="746"/>
        <v>2.5516216209004416</v>
      </c>
      <c r="W2907" s="1767">
        <f t="shared" si="747"/>
        <v>1.3371241305392442E-5</v>
      </c>
      <c r="X2907" s="1695">
        <v>261</v>
      </c>
    </row>
    <row r="2908" spans="1:24" x14ac:dyDescent="0.2">
      <c r="A2908" s="1649" t="s">
        <v>336</v>
      </c>
      <c r="B2908" s="1713" t="str">
        <f t="shared" ref="B2908" si="751">IFERROR(AVERAGE(N2904:N2910),"")</f>
        <v/>
      </c>
      <c r="C2908" s="1651">
        <v>45996</v>
      </c>
      <c r="D2908" s="1695"/>
      <c r="E2908" s="1696"/>
      <c r="F2908" s="1947"/>
      <c r="G2908" s="1697"/>
      <c r="H2908" s="1698" t="str">
        <f>IFERROR(VLOOKUP(F2908,#REF!,10,FALSE),"")</f>
        <v/>
      </c>
      <c r="I2908" s="1699" t="str">
        <f t="shared" si="741"/>
        <v/>
      </c>
      <c r="J2908" s="1700"/>
      <c r="K2908" s="1755" t="str">
        <f>IFERROR(VLOOKUP(F2908,#REF!,15,FALSE),"0")</f>
        <v>0</v>
      </c>
      <c r="L2908" s="1578"/>
      <c r="M2908" s="1700"/>
      <c r="N2908" s="1701" t="str">
        <f t="shared" si="742"/>
        <v/>
      </c>
      <c r="O2908" s="1702"/>
      <c r="P2908" s="1635" t="str">
        <f>IFERROR(VLOOKUP(F2908,#REF!,12,FALSE),"")</f>
        <v/>
      </c>
      <c r="Q2908" s="1636" t="s">
        <v>8</v>
      </c>
      <c r="R2908" s="1703" t="str">
        <f>IFERROR(VLOOKUP(F2908,#REF!,14,FALSE),"")</f>
        <v/>
      </c>
      <c r="S2908" s="1704" t="str">
        <f t="shared" si="743"/>
        <v/>
      </c>
      <c r="T2908" s="1828">
        <f t="shared" si="744"/>
        <v>2.8548440560934161E-5</v>
      </c>
      <c r="U2908" s="1828">
        <f t="shared" si="745"/>
        <v>2.431599356212391</v>
      </c>
      <c r="V2908" s="1695">
        <f t="shared" si="746"/>
        <v>2.4908733510694372</v>
      </c>
      <c r="W2908" s="1767">
        <f t="shared" si="747"/>
        <v>1.1740602121807999E-5</v>
      </c>
      <c r="X2908" s="1695">
        <v>261</v>
      </c>
    </row>
    <row r="2909" spans="1:24" x14ac:dyDescent="0.2">
      <c r="A2909" s="1649" t="s">
        <v>337</v>
      </c>
      <c r="B2909" s="1681" t="str">
        <f t="shared" ref="B2909" si="752">IFERROR(AVERAGE(S2904:S2910),"")</f>
        <v/>
      </c>
      <c r="C2909" s="1651">
        <v>45997</v>
      </c>
      <c r="D2909" s="1695"/>
      <c r="E2909" s="1696"/>
      <c r="F2909" s="1547"/>
      <c r="G2909" s="1697"/>
      <c r="H2909" s="1698" t="str">
        <f>IFERROR(VLOOKUP(F2909,#REF!,10,FALSE),"")</f>
        <v/>
      </c>
      <c r="I2909" s="1699" t="str">
        <f t="shared" si="741"/>
        <v/>
      </c>
      <c r="J2909" s="1700"/>
      <c r="K2909" s="1755" t="str">
        <f>IFERROR(VLOOKUP(F2909,#REF!,15,FALSE),"0")</f>
        <v>0</v>
      </c>
      <c r="L2909" s="1578"/>
      <c r="M2909" s="1700"/>
      <c r="N2909" s="1701" t="str">
        <f t="shared" si="742"/>
        <v/>
      </c>
      <c r="O2909" s="1702"/>
      <c r="P2909" s="1635" t="str">
        <f>IFERROR(VLOOKUP(F2909,#REF!,12,FALSE),"")</f>
        <v/>
      </c>
      <c r="Q2909" s="1636" t="s">
        <v>8</v>
      </c>
      <c r="R2909" s="1703" t="str">
        <f>IFERROR(VLOOKUP(F2909,#REF!,14,FALSE),"")</f>
        <v/>
      </c>
      <c r="S2909" s="1704" t="str">
        <f t="shared" si="743"/>
        <v/>
      </c>
      <c r="T2909" s="1828">
        <f t="shared" si="744"/>
        <v>2.4470091909372136E-5</v>
      </c>
      <c r="U2909" s="1828">
        <f t="shared" si="745"/>
        <v>2.3737041334454294</v>
      </c>
      <c r="V2909" s="1695">
        <f t="shared" si="746"/>
        <v>2.4315708077718301</v>
      </c>
      <c r="W2909" s="1767">
        <f t="shared" si="747"/>
        <v>1.0308821375246046E-5</v>
      </c>
      <c r="X2909" s="1695">
        <v>261</v>
      </c>
    </row>
    <row r="2910" spans="1:24" ht="16" thickBot="1" x14ac:dyDescent="0.25">
      <c r="A2910" s="1650" t="s">
        <v>5</v>
      </c>
      <c r="B2910" s="1678">
        <f t="shared" ref="B2910" si="753">IFERROR(SUM(M2904:M2910),"")</f>
        <v>0</v>
      </c>
      <c r="C2910" s="1360">
        <v>45998</v>
      </c>
      <c r="D2910" s="683"/>
      <c r="E2910" s="684"/>
      <c r="F2910" s="1429" t="s">
        <v>279</v>
      </c>
      <c r="G2910" s="1361"/>
      <c r="H2910" s="1362" t="str">
        <f>IFERROR(VLOOKUP(F2910,#REF!,10,FALSE),"")</f>
        <v/>
      </c>
      <c r="I2910" s="1363" t="str">
        <f t="shared" si="741"/>
        <v/>
      </c>
      <c r="J2910" s="1364"/>
      <c r="K2910" s="1747" t="str">
        <f>IFERROR(VLOOKUP(F2910,#REF!,15,FALSE),"0")</f>
        <v>0</v>
      </c>
      <c r="L2910" s="1705"/>
      <c r="M2910" s="1364"/>
      <c r="N2910" s="1365" t="str">
        <f t="shared" si="742"/>
        <v/>
      </c>
      <c r="O2910" s="1366"/>
      <c r="P2910" s="1706" t="str">
        <f>IFERROR(VLOOKUP(F2910,#REF!,12,FALSE),"")</f>
        <v/>
      </c>
      <c r="Q2910" s="1707" t="s">
        <v>8</v>
      </c>
      <c r="R2910" s="1708" t="str">
        <f>IFERROR(VLOOKUP(F2910,#REF!,14,FALSE),"")</f>
        <v/>
      </c>
      <c r="S2910" s="1191" t="str">
        <f t="shared" si="743"/>
        <v/>
      </c>
      <c r="T2910" s="1829">
        <f t="shared" si="744"/>
        <v>2.0974364493747545E-5</v>
      </c>
      <c r="U2910" s="1829">
        <f t="shared" si="745"/>
        <v>2.3171873683633954</v>
      </c>
      <c r="V2910" s="683">
        <f t="shared" si="746"/>
        <v>2.3736796633535202</v>
      </c>
      <c r="W2910" s="1768">
        <f t="shared" si="747"/>
        <v>9.0516480368014059E-6</v>
      </c>
      <c r="X2910" s="683">
        <v>261</v>
      </c>
    </row>
    <row r="2911" spans="1:24" ht="16" thickBot="1" x14ac:dyDescent="0.25">
      <c r="A2911" s="1962">
        <f t="shared" ref="A2911" si="754">WEEKNUM(C2911,1)</f>
        <v>50</v>
      </c>
      <c r="B2911" s="1963"/>
      <c r="C2911" s="1368">
        <v>45999</v>
      </c>
      <c r="D2911" s="1369"/>
      <c r="E2911" s="1370"/>
      <c r="F2911" s="1547" t="s">
        <v>363</v>
      </c>
      <c r="G2911" s="1371"/>
      <c r="H2911" s="1372" t="str">
        <f>IFERROR(VLOOKUP(F2911,#REF!,10,FALSE),"")</f>
        <v/>
      </c>
      <c r="I2911" s="1373" t="str">
        <f t="shared" si="741"/>
        <v/>
      </c>
      <c r="J2911" s="1374"/>
      <c r="K2911" s="1745" t="str">
        <f>IFERROR(VLOOKUP(F2911,#REF!,15,FALSE),"0")</f>
        <v>0</v>
      </c>
      <c r="L2911" s="1577"/>
      <c r="M2911" s="1374"/>
      <c r="N2911" s="1375" t="str">
        <f t="shared" si="742"/>
        <v/>
      </c>
      <c r="O2911" s="1376"/>
      <c r="P2911" s="795" t="str">
        <f>IFERROR(VLOOKUP(F2911,#REF!,12,FALSE),"")</f>
        <v/>
      </c>
      <c r="Q2911" s="1254" t="s">
        <v>8</v>
      </c>
      <c r="R2911" s="1694" t="str">
        <f>IFERROR(VLOOKUP(F2911,#REF!,14,FALSE),"")</f>
        <v/>
      </c>
      <c r="S2911" s="1377" t="str">
        <f t="shared" si="743"/>
        <v/>
      </c>
      <c r="T2911" s="70">
        <f t="shared" si="744"/>
        <v>1.7978026708926466E-5</v>
      </c>
      <c r="U2911" s="70">
        <f t="shared" si="745"/>
        <v>2.2620162405452193</v>
      </c>
      <c r="V2911" s="1369">
        <f t="shared" si="746"/>
        <v>2.3171663939989018</v>
      </c>
      <c r="W2911" s="1766">
        <f t="shared" si="747"/>
        <v>7.947788520118307E-6</v>
      </c>
      <c r="X2911" s="1369">
        <v>261</v>
      </c>
    </row>
    <row r="2912" spans="1:24" x14ac:dyDescent="0.2">
      <c r="A2912" s="1648" t="s">
        <v>142</v>
      </c>
      <c r="B2912" s="1679">
        <f t="shared" ref="B2912" si="755">SUM(H2911:H2917)</f>
        <v>0</v>
      </c>
      <c r="C2912" s="1651">
        <v>46000</v>
      </c>
      <c r="D2912" s="1695"/>
      <c r="E2912" s="1696"/>
      <c r="F2912" s="1547" t="s">
        <v>343</v>
      </c>
      <c r="G2912" s="1697"/>
      <c r="H2912" s="1698" t="str">
        <f>IFERROR(VLOOKUP(F2912,#REF!,10,FALSE),"")</f>
        <v/>
      </c>
      <c r="I2912" s="1699" t="str">
        <f t="shared" si="741"/>
        <v/>
      </c>
      <c r="J2912" s="1700"/>
      <c r="K2912" s="1755" t="str">
        <f>IFERROR(VLOOKUP(F2912,#REF!,15,FALSE),"0")</f>
        <v>0</v>
      </c>
      <c r="L2912" s="1578"/>
      <c r="M2912" s="1700"/>
      <c r="N2912" s="1701" t="str">
        <f t="shared" si="742"/>
        <v/>
      </c>
      <c r="O2912" s="1702"/>
      <c r="P2912" s="1635" t="str">
        <f>IFERROR(VLOOKUP(F2912,#REF!,12,FALSE),"")</f>
        <v/>
      </c>
      <c r="Q2912" s="1636" t="s">
        <v>8</v>
      </c>
      <c r="R2912" s="1703" t="str">
        <f>IFERROR(VLOOKUP(F2912,#REF!,14,FALSE),"")</f>
        <v/>
      </c>
      <c r="S2912" s="1704" t="str">
        <f t="shared" si="743"/>
        <v/>
      </c>
      <c r="T2912" s="1379">
        <f t="shared" si="744"/>
        <v>1.5409737179079828E-5</v>
      </c>
      <c r="U2912" s="1379">
        <f t="shared" si="745"/>
        <v>2.2081587110084282</v>
      </c>
      <c r="V2912" s="1695">
        <f t="shared" si="746"/>
        <v>2.2619982625185102</v>
      </c>
      <c r="W2912" s="1767">
        <f t="shared" si="747"/>
        <v>6.9785460176648562E-6</v>
      </c>
      <c r="X2912" s="1695">
        <v>261</v>
      </c>
    </row>
    <row r="2913" spans="1:24" x14ac:dyDescent="0.2">
      <c r="A2913" s="1649" t="s">
        <v>347</v>
      </c>
      <c r="B2913" s="1680">
        <f t="shared" ref="B2913" si="756">SUM(K2911:K2917)</f>
        <v>0</v>
      </c>
      <c r="C2913" s="1651">
        <v>46001</v>
      </c>
      <c r="D2913" s="1695"/>
      <c r="E2913" s="1696"/>
      <c r="F2913" s="1547" t="s">
        <v>363</v>
      </c>
      <c r="G2913" s="1697"/>
      <c r="H2913" s="1698" t="str">
        <f>IFERROR(VLOOKUP(F2913,#REF!,10,FALSE),"")</f>
        <v/>
      </c>
      <c r="I2913" s="1699" t="str">
        <f t="shared" si="741"/>
        <v/>
      </c>
      <c r="J2913" s="1700"/>
      <c r="K2913" s="1755" t="str">
        <f>IFERROR(VLOOKUP(F2913,#REF!,15,FALSE),"0")</f>
        <v>0</v>
      </c>
      <c r="L2913" s="1578"/>
      <c r="M2913" s="1700"/>
      <c r="N2913" s="1701" t="str">
        <f t="shared" si="742"/>
        <v/>
      </c>
      <c r="O2913" s="1702"/>
      <c r="P2913" s="1635" t="str">
        <f>IFERROR(VLOOKUP(F2913,#REF!,12,FALSE),"")</f>
        <v/>
      </c>
      <c r="Q2913" s="1636" t="s">
        <v>8</v>
      </c>
      <c r="R2913" s="1703" t="str">
        <f>IFERROR(VLOOKUP(F2913,#REF!,14,FALSE),"")</f>
        <v/>
      </c>
      <c r="S2913" s="1704" t="str">
        <f t="shared" si="743"/>
        <v/>
      </c>
      <c r="T2913" s="1379">
        <f t="shared" si="744"/>
        <v>1.3208346153496996E-5</v>
      </c>
      <c r="U2913" s="1379">
        <f t="shared" si="745"/>
        <v>2.1555835036034656</v>
      </c>
      <c r="V2913" s="1695">
        <f t="shared" si="746"/>
        <v>2.208143301271249</v>
      </c>
      <c r="W2913" s="1767">
        <f t="shared" si="747"/>
        <v>6.1275038203886544E-6</v>
      </c>
      <c r="X2913" s="1695">
        <v>261</v>
      </c>
    </row>
    <row r="2914" spans="1:24" x14ac:dyDescent="0.2">
      <c r="A2914" s="1649" t="s">
        <v>256</v>
      </c>
      <c r="B2914" s="1677">
        <f t="shared" ref="B2914" si="757">AVERAGE(W2911:W2917)</f>
        <v>5.5640522004315354E-6</v>
      </c>
      <c r="C2914" s="1651">
        <v>46002</v>
      </c>
      <c r="D2914" s="1695"/>
      <c r="E2914" s="1696"/>
      <c r="F2914" s="1547" t="s">
        <v>343</v>
      </c>
      <c r="G2914" s="1697"/>
      <c r="H2914" s="1698" t="str">
        <f>IFERROR(VLOOKUP(F2914,#REF!,10,FALSE),"")</f>
        <v/>
      </c>
      <c r="I2914" s="1699" t="str">
        <f t="shared" si="741"/>
        <v/>
      </c>
      <c r="J2914" s="1700"/>
      <c r="K2914" s="1755" t="str">
        <f>IFERROR(VLOOKUP(F2914,#REF!,15,FALSE),"0")</f>
        <v>0</v>
      </c>
      <c r="L2914" s="1578"/>
      <c r="M2914" s="1700"/>
      <c r="N2914" s="1701" t="str">
        <f t="shared" si="742"/>
        <v/>
      </c>
      <c r="O2914" s="1702"/>
      <c r="P2914" s="1635" t="str">
        <f>IFERROR(VLOOKUP(F2914,#REF!,12,FALSE),"")</f>
        <v/>
      </c>
      <c r="Q2914" s="1636" t="s">
        <v>8</v>
      </c>
      <c r="R2914" s="1703" t="str">
        <f>IFERROR(VLOOKUP(F2914,#REF!,14,FALSE),"")</f>
        <v/>
      </c>
      <c r="S2914" s="1704" t="str">
        <f t="shared" si="743"/>
        <v/>
      </c>
      <c r="T2914" s="1379">
        <f t="shared" si="744"/>
        <v>1.1321439560140282E-5</v>
      </c>
      <c r="U2914" s="1379">
        <f t="shared" si="745"/>
        <v>2.104260086851002</v>
      </c>
      <c r="V2914" s="1695">
        <f t="shared" si="746"/>
        <v>2.1555702952573119</v>
      </c>
      <c r="W2914" s="1767">
        <f t="shared" si="747"/>
        <v>5.3802472569266236E-6</v>
      </c>
      <c r="X2914" s="1695">
        <v>261</v>
      </c>
    </row>
    <row r="2915" spans="1:24" x14ac:dyDescent="0.2">
      <c r="A2915" s="1649" t="s">
        <v>336</v>
      </c>
      <c r="B2915" s="1713" t="str">
        <f t="shared" ref="B2915" si="758">IFERROR(AVERAGE(N2911:N2917),"")</f>
        <v/>
      </c>
      <c r="C2915" s="1651">
        <v>46003</v>
      </c>
      <c r="D2915" s="1695"/>
      <c r="E2915" s="1696"/>
      <c r="F2915" s="1947"/>
      <c r="G2915" s="1697"/>
      <c r="H2915" s="1698" t="str">
        <f>IFERROR(VLOOKUP(F2915,#REF!,10,FALSE),"")</f>
        <v/>
      </c>
      <c r="I2915" s="1699" t="str">
        <f t="shared" si="741"/>
        <v/>
      </c>
      <c r="J2915" s="1700"/>
      <c r="K2915" s="1755" t="str">
        <f>IFERROR(VLOOKUP(F2915,#REF!,15,FALSE),"0")</f>
        <v>0</v>
      </c>
      <c r="L2915" s="1578"/>
      <c r="M2915" s="1700"/>
      <c r="N2915" s="1701" t="str">
        <f t="shared" si="742"/>
        <v/>
      </c>
      <c r="O2915" s="1702"/>
      <c r="P2915" s="1635" t="str">
        <f>IFERROR(VLOOKUP(F2915,#REF!,12,FALSE),"")</f>
        <v/>
      </c>
      <c r="Q2915" s="1636" t="s">
        <v>8</v>
      </c>
      <c r="R2915" s="1703" t="str">
        <f>IFERROR(VLOOKUP(F2915,#REF!,14,FALSE),"")</f>
        <v/>
      </c>
      <c r="S2915" s="1704" t="str">
        <f t="shared" si="743"/>
        <v/>
      </c>
      <c r="T2915" s="1379">
        <f t="shared" si="744"/>
        <v>9.7040910515488136E-6</v>
      </c>
      <c r="U2915" s="1379">
        <f t="shared" si="745"/>
        <v>2.0541586562116922</v>
      </c>
      <c r="V2915" s="1695">
        <f t="shared" si="746"/>
        <v>2.1042487654114419</v>
      </c>
      <c r="W2915" s="1767">
        <f t="shared" si="747"/>
        <v>4.72411954266728E-6</v>
      </c>
      <c r="X2915" s="1695">
        <v>261</v>
      </c>
    </row>
    <row r="2916" spans="1:24" x14ac:dyDescent="0.2">
      <c r="A2916" s="1649" t="s">
        <v>337</v>
      </c>
      <c r="B2916" s="1681" t="str">
        <f t="shared" ref="B2916" si="759">IFERROR(AVERAGE(S2911:S2917),"")</f>
        <v/>
      </c>
      <c r="C2916" s="1651">
        <v>46004</v>
      </c>
      <c r="D2916" s="1695"/>
      <c r="E2916" s="1696"/>
      <c r="F2916" s="1547"/>
      <c r="G2916" s="1697"/>
      <c r="H2916" s="1698" t="str">
        <f>IFERROR(VLOOKUP(F2916,#REF!,10,FALSE),"")</f>
        <v/>
      </c>
      <c r="I2916" s="1699" t="str">
        <f t="shared" si="741"/>
        <v/>
      </c>
      <c r="J2916" s="1700"/>
      <c r="K2916" s="1755" t="str">
        <f>IFERROR(VLOOKUP(F2916,#REF!,15,FALSE),"0")</f>
        <v>0</v>
      </c>
      <c r="L2916" s="1578"/>
      <c r="M2916" s="1700"/>
      <c r="N2916" s="1701" t="str">
        <f t="shared" si="742"/>
        <v/>
      </c>
      <c r="O2916" s="1702"/>
      <c r="P2916" s="1635" t="str">
        <f>IFERROR(VLOOKUP(F2916,#REF!,12,FALSE),"")</f>
        <v/>
      </c>
      <c r="Q2916" s="1636" t="s">
        <v>8</v>
      </c>
      <c r="R2916" s="1703" t="str">
        <f>IFERROR(VLOOKUP(F2916,#REF!,14,FALSE),"")</f>
        <v/>
      </c>
      <c r="S2916" s="1704" t="str">
        <f t="shared" si="743"/>
        <v/>
      </c>
      <c r="T2916" s="1379">
        <f t="shared" si="744"/>
        <v>8.3177923298989838E-6</v>
      </c>
      <c r="U2916" s="1379">
        <f t="shared" si="745"/>
        <v>2.0052501167780807</v>
      </c>
      <c r="V2916" s="1695">
        <f t="shared" si="746"/>
        <v>2.0541489521206406</v>
      </c>
      <c r="W2916" s="1767">
        <f t="shared" si="747"/>
        <v>4.1480074033176117E-6</v>
      </c>
      <c r="X2916" s="1695">
        <v>261</v>
      </c>
    </row>
    <row r="2917" spans="1:24" ht="16" thickBot="1" x14ac:dyDescent="0.25">
      <c r="A2917" s="1650" t="s">
        <v>5</v>
      </c>
      <c r="B2917" s="1678">
        <f t="shared" ref="B2917" si="760">IFERROR(SUM(M2911:M2917),"")</f>
        <v>0</v>
      </c>
      <c r="C2917" s="1360">
        <v>46005</v>
      </c>
      <c r="D2917" s="683"/>
      <c r="E2917" s="684"/>
      <c r="F2917" s="1429" t="s">
        <v>279</v>
      </c>
      <c r="G2917" s="1361"/>
      <c r="H2917" s="1362" t="str">
        <f>IFERROR(VLOOKUP(F2917,#REF!,10,FALSE),"")</f>
        <v/>
      </c>
      <c r="I2917" s="1363" t="str">
        <f t="shared" si="741"/>
        <v/>
      </c>
      <c r="J2917" s="1364"/>
      <c r="K2917" s="1747" t="str">
        <f>IFERROR(VLOOKUP(F2917,#REF!,15,FALSE),"0")</f>
        <v>0</v>
      </c>
      <c r="L2917" s="1705"/>
      <c r="M2917" s="1364"/>
      <c r="N2917" s="1365" t="str">
        <f t="shared" si="742"/>
        <v/>
      </c>
      <c r="O2917" s="1366"/>
      <c r="P2917" s="1706" t="str">
        <f>IFERROR(VLOOKUP(F2917,#REF!,12,FALSE),"")</f>
        <v/>
      </c>
      <c r="Q2917" s="1707" t="s">
        <v>8</v>
      </c>
      <c r="R2917" s="1708" t="str">
        <f>IFERROR(VLOOKUP(F2917,#REF!,14,FALSE),"")</f>
        <v/>
      </c>
      <c r="S2917" s="1191" t="str">
        <f t="shared" si="743"/>
        <v/>
      </c>
      <c r="T2917" s="1897">
        <f t="shared" si="744"/>
        <v>7.1295362827705571E-6</v>
      </c>
      <c r="U2917" s="1897">
        <f t="shared" si="745"/>
        <v>1.9575060663786026</v>
      </c>
      <c r="V2917" s="683">
        <f t="shared" si="746"/>
        <v>2.0052417989857507</v>
      </c>
      <c r="W2917" s="1768">
        <f t="shared" si="747"/>
        <v>3.6421528419374147E-6</v>
      </c>
      <c r="X2917" s="683">
        <v>261</v>
      </c>
    </row>
    <row r="2918" spans="1:24" ht="16" thickBot="1" x14ac:dyDescent="0.25">
      <c r="A2918" s="1962">
        <f t="shared" ref="A2918" si="761">WEEKNUM(C2918,1)</f>
        <v>51</v>
      </c>
      <c r="B2918" s="1963"/>
      <c r="C2918" s="1368">
        <v>46006</v>
      </c>
      <c r="D2918" s="1369"/>
      <c r="E2918" s="1370"/>
      <c r="F2918" s="1547" t="s">
        <v>363</v>
      </c>
      <c r="G2918" s="1371"/>
      <c r="H2918" s="1372" t="str">
        <f>IFERROR(VLOOKUP(F2918,#REF!,10,FALSE),"")</f>
        <v/>
      </c>
      <c r="I2918" s="1373" t="str">
        <f t="shared" si="741"/>
        <v/>
      </c>
      <c r="J2918" s="1374"/>
      <c r="K2918" s="1745" t="str">
        <f>IFERROR(VLOOKUP(F2918,#REF!,15,FALSE),"0")</f>
        <v>0</v>
      </c>
      <c r="L2918" s="1577"/>
      <c r="M2918" s="1374"/>
      <c r="N2918" s="1375" t="str">
        <f t="shared" si="742"/>
        <v/>
      </c>
      <c r="O2918" s="1376"/>
      <c r="P2918" s="795" t="str">
        <f>IFERROR(VLOOKUP(F2918,#REF!,12,FALSE),"")</f>
        <v/>
      </c>
      <c r="Q2918" s="1254" t="s">
        <v>8</v>
      </c>
      <c r="R2918" s="1694" t="str">
        <f>IFERROR(VLOOKUP(F2918,#REF!,14,FALSE),"")</f>
        <v/>
      </c>
      <c r="S2918" s="1377" t="str">
        <f t="shared" si="743"/>
        <v/>
      </c>
      <c r="T2918" s="1369">
        <f t="shared" si="744"/>
        <v>6.1110310995176208E-6</v>
      </c>
      <c r="U2918" s="1369">
        <f t="shared" si="745"/>
        <v>1.9108987790838738</v>
      </c>
      <c r="V2918" s="1369">
        <f t="shared" si="746"/>
        <v>1.9574989368423199</v>
      </c>
      <c r="W2918" s="1766">
        <f t="shared" si="747"/>
        <v>3.1979878612133401E-6</v>
      </c>
      <c r="X2918" s="1369">
        <v>261</v>
      </c>
    </row>
    <row r="2919" spans="1:24" x14ac:dyDescent="0.2">
      <c r="A2919" s="1648" t="s">
        <v>142</v>
      </c>
      <c r="B2919" s="1679">
        <f t="shared" ref="B2919" si="762">SUM(H2918:H2924)</f>
        <v>0</v>
      </c>
      <c r="C2919" s="1651">
        <v>46007</v>
      </c>
      <c r="D2919" s="1695"/>
      <c r="E2919" s="1696"/>
      <c r="F2919" s="1547" t="s">
        <v>343</v>
      </c>
      <c r="G2919" s="1697"/>
      <c r="H2919" s="1698" t="str">
        <f>IFERROR(VLOOKUP(F2919,#REF!,10,FALSE),"")</f>
        <v/>
      </c>
      <c r="I2919" s="1699" t="str">
        <f t="shared" si="741"/>
        <v/>
      </c>
      <c r="J2919" s="1700"/>
      <c r="K2919" s="1755" t="str">
        <f>IFERROR(VLOOKUP(F2919,#REF!,15,FALSE),"0")</f>
        <v>0</v>
      </c>
      <c r="L2919" s="1578"/>
      <c r="M2919" s="1700"/>
      <c r="N2919" s="1701" t="str">
        <f t="shared" si="742"/>
        <v/>
      </c>
      <c r="O2919" s="1702"/>
      <c r="P2919" s="1635" t="str">
        <f>IFERROR(VLOOKUP(F2919,#REF!,12,FALSE),"")</f>
        <v/>
      </c>
      <c r="Q2919" s="1636" t="s">
        <v>8</v>
      </c>
      <c r="R2919" s="1703" t="str">
        <f>IFERROR(VLOOKUP(F2919,#REF!,14,FALSE),"")</f>
        <v/>
      </c>
      <c r="S2919" s="1704" t="str">
        <f t="shared" si="743"/>
        <v/>
      </c>
      <c r="T2919" s="1828">
        <f t="shared" si="744"/>
        <v>5.2380266567293892E-6</v>
      </c>
      <c r="U2919" s="1828">
        <f t="shared" si="745"/>
        <v>1.8654011891056863</v>
      </c>
      <c r="V2919" s="1695">
        <f t="shared" si="746"/>
        <v>1.9108926680527742</v>
      </c>
      <c r="W2919" s="1767">
        <f t="shared" si="747"/>
        <v>2.8079893415531767E-6</v>
      </c>
      <c r="X2919" s="1695">
        <v>261</v>
      </c>
    </row>
    <row r="2920" spans="1:24" x14ac:dyDescent="0.2">
      <c r="A2920" s="1649" t="s">
        <v>347</v>
      </c>
      <c r="B2920" s="1680">
        <f t="shared" ref="B2920" si="763">SUM(K2918:K2924)</f>
        <v>0</v>
      </c>
      <c r="C2920" s="1651">
        <v>46008</v>
      </c>
      <c r="D2920" s="1695"/>
      <c r="E2920" s="1696"/>
      <c r="F2920" s="1547" t="s">
        <v>363</v>
      </c>
      <c r="G2920" s="1697"/>
      <c r="H2920" s="1698" t="str">
        <f>IFERROR(VLOOKUP(F2920,#REF!,10,FALSE),"")</f>
        <v/>
      </c>
      <c r="I2920" s="1699" t="str">
        <f t="shared" si="741"/>
        <v/>
      </c>
      <c r="J2920" s="1700"/>
      <c r="K2920" s="1755" t="str">
        <f>IFERROR(VLOOKUP(F2920,#REF!,15,FALSE),"0")</f>
        <v>0</v>
      </c>
      <c r="L2920" s="1578"/>
      <c r="M2920" s="1700"/>
      <c r="N2920" s="1701" t="str">
        <f t="shared" si="742"/>
        <v/>
      </c>
      <c r="O2920" s="1702"/>
      <c r="P2920" s="1635" t="str">
        <f>IFERROR(VLOOKUP(F2920,#REF!,12,FALSE),"")</f>
        <v/>
      </c>
      <c r="Q2920" s="1636" t="s">
        <v>8</v>
      </c>
      <c r="R2920" s="1703" t="str">
        <f>IFERROR(VLOOKUP(F2920,#REF!,14,FALSE),"")</f>
        <v/>
      </c>
      <c r="S2920" s="1704" t="str">
        <f t="shared" si="743"/>
        <v/>
      </c>
      <c r="T2920" s="1828">
        <f t="shared" si="744"/>
        <v>4.4897371343394762E-6</v>
      </c>
      <c r="U2920" s="1828">
        <f t="shared" si="745"/>
        <v>1.8209868750793605</v>
      </c>
      <c r="V2920" s="1695">
        <f t="shared" si="746"/>
        <v>1.8653959510790297</v>
      </c>
      <c r="W2920" s="1767">
        <f t="shared" si="747"/>
        <v>2.4655516169735208E-6</v>
      </c>
      <c r="X2920" s="1695">
        <v>261</v>
      </c>
    </row>
    <row r="2921" spans="1:24" x14ac:dyDescent="0.2">
      <c r="A2921" s="1649" t="s">
        <v>256</v>
      </c>
      <c r="B2921" s="1677">
        <f t="shared" ref="B2921" si="764">AVERAGE(W2918:W2924)</f>
        <v>2.2388330226824589E-6</v>
      </c>
      <c r="C2921" s="1651">
        <v>46009</v>
      </c>
      <c r="D2921" s="1695"/>
      <c r="E2921" s="1696"/>
      <c r="F2921" s="1547" t="s">
        <v>343</v>
      </c>
      <c r="G2921" s="1697"/>
      <c r="H2921" s="1698" t="str">
        <f>IFERROR(VLOOKUP(F2921,#REF!,10,FALSE),"")</f>
        <v/>
      </c>
      <c r="I2921" s="1699" t="str">
        <f t="shared" si="741"/>
        <v/>
      </c>
      <c r="J2921" s="1700"/>
      <c r="K2921" s="1755" t="str">
        <f>IFERROR(VLOOKUP(F2921,#REF!,15,FALSE),"0")</f>
        <v>0</v>
      </c>
      <c r="L2921" s="1578"/>
      <c r="M2921" s="1700"/>
      <c r="N2921" s="1701" t="str">
        <f t="shared" si="742"/>
        <v/>
      </c>
      <c r="O2921" s="1702"/>
      <c r="P2921" s="1635" t="str">
        <f>IFERROR(VLOOKUP(F2921,#REF!,12,FALSE),"")</f>
        <v/>
      </c>
      <c r="Q2921" s="1636" t="s">
        <v>8</v>
      </c>
      <c r="R2921" s="1703" t="str">
        <f>IFERROR(VLOOKUP(F2921,#REF!,14,FALSE),"")</f>
        <v/>
      </c>
      <c r="S2921" s="1704" t="str">
        <f t="shared" si="743"/>
        <v/>
      </c>
      <c r="T2921" s="1828">
        <f t="shared" si="744"/>
        <v>3.8483461151481221E-6</v>
      </c>
      <c r="U2921" s="1828">
        <f t="shared" si="745"/>
        <v>1.7776300447203282</v>
      </c>
      <c r="V2921" s="1695">
        <f t="shared" si="746"/>
        <v>1.8209823853422262</v>
      </c>
      <c r="W2921" s="1767">
        <f t="shared" si="747"/>
        <v>2.1648745905133352E-6</v>
      </c>
      <c r="X2921" s="1695">
        <v>261</v>
      </c>
    </row>
    <row r="2922" spans="1:24" x14ac:dyDescent="0.2">
      <c r="A2922" s="1649" t="s">
        <v>336</v>
      </c>
      <c r="B2922" s="1713" t="str">
        <f t="shared" ref="B2922" si="765">IFERROR(AVERAGE(N2918:N2924),"")</f>
        <v/>
      </c>
      <c r="C2922" s="1651">
        <v>46010</v>
      </c>
      <c r="D2922" s="1695"/>
      <c r="E2922" s="1696"/>
      <c r="F2922" s="1947"/>
      <c r="G2922" s="1697"/>
      <c r="H2922" s="1698" t="str">
        <f>IFERROR(VLOOKUP(F2922,#REF!,10,FALSE),"")</f>
        <v/>
      </c>
      <c r="I2922" s="1699" t="str">
        <f t="shared" si="741"/>
        <v/>
      </c>
      <c r="J2922" s="1700"/>
      <c r="K2922" s="1755" t="str">
        <f>IFERROR(VLOOKUP(F2922,#REF!,15,FALSE),"0")</f>
        <v>0</v>
      </c>
      <c r="L2922" s="1578"/>
      <c r="M2922" s="1700"/>
      <c r="N2922" s="1701" t="str">
        <f t="shared" si="742"/>
        <v/>
      </c>
      <c r="O2922" s="1702"/>
      <c r="P2922" s="1635" t="str">
        <f>IFERROR(VLOOKUP(F2922,#REF!,12,FALSE),"")</f>
        <v/>
      </c>
      <c r="Q2922" s="1636" t="s">
        <v>8</v>
      </c>
      <c r="R2922" s="1703" t="str">
        <f>IFERROR(VLOOKUP(F2922,#REF!,14,FALSE),"")</f>
        <v/>
      </c>
      <c r="S2922" s="1704" t="str">
        <f t="shared" si="743"/>
        <v/>
      </c>
      <c r="T2922" s="1828">
        <f t="shared" si="744"/>
        <v>3.2985823844126758E-6</v>
      </c>
      <c r="U2922" s="1828">
        <f t="shared" si="745"/>
        <v>1.7353055198460345</v>
      </c>
      <c r="V2922" s="1695">
        <f t="shared" si="746"/>
        <v>1.777626196374213</v>
      </c>
      <c r="W2922" s="1767">
        <f t="shared" si="747"/>
        <v>1.9008654941092699E-6</v>
      </c>
      <c r="X2922" s="1695">
        <v>261</v>
      </c>
    </row>
    <row r="2923" spans="1:24" x14ac:dyDescent="0.2">
      <c r="A2923" s="1649" t="s">
        <v>337</v>
      </c>
      <c r="B2923" s="1681" t="str">
        <f t="shared" ref="B2923" si="766">IFERROR(AVERAGE(S2918:S2924),"")</f>
        <v/>
      </c>
      <c r="C2923" s="1651">
        <v>46011</v>
      </c>
      <c r="D2923" s="1695"/>
      <c r="E2923" s="1696"/>
      <c r="F2923" s="1547"/>
      <c r="G2923" s="1697"/>
      <c r="H2923" s="1698" t="str">
        <f>IFERROR(VLOOKUP(F2923,#REF!,10,FALSE),"")</f>
        <v/>
      </c>
      <c r="I2923" s="1699" t="str">
        <f t="shared" si="741"/>
        <v/>
      </c>
      <c r="J2923" s="1700"/>
      <c r="K2923" s="1755" t="str">
        <f>IFERROR(VLOOKUP(F2923,#REF!,15,FALSE),"0")</f>
        <v>0</v>
      </c>
      <c r="L2923" s="1578"/>
      <c r="M2923" s="1700"/>
      <c r="N2923" s="1701" t="str">
        <f t="shared" si="742"/>
        <v/>
      </c>
      <c r="O2923" s="1702"/>
      <c r="P2923" s="1635" t="str">
        <f>IFERROR(VLOOKUP(F2923,#REF!,12,FALSE),"")</f>
        <v/>
      </c>
      <c r="Q2923" s="1636" t="s">
        <v>8</v>
      </c>
      <c r="R2923" s="1703" t="str">
        <f>IFERROR(VLOOKUP(F2923,#REF!,14,FALSE),"")</f>
        <v/>
      </c>
      <c r="S2923" s="1704" t="str">
        <f t="shared" si="743"/>
        <v/>
      </c>
      <c r="T2923" s="1828">
        <f t="shared" si="744"/>
        <v>2.8273563294965791E-6</v>
      </c>
      <c r="U2923" s="1828">
        <f t="shared" si="745"/>
        <v>1.6939887217544622</v>
      </c>
      <c r="V2923" s="1695">
        <f t="shared" si="746"/>
        <v>1.7353022212636502</v>
      </c>
      <c r="W2923" s="1767">
        <f t="shared" si="747"/>
        <v>1.669052628973993E-6</v>
      </c>
      <c r="X2923" s="1695">
        <v>261</v>
      </c>
    </row>
    <row r="2924" spans="1:24" ht="16" thickBot="1" x14ac:dyDescent="0.25">
      <c r="A2924" s="1650" t="s">
        <v>5</v>
      </c>
      <c r="B2924" s="1678">
        <f t="shared" ref="B2924" si="767">IFERROR(SUM(M2918:M2924),"")</f>
        <v>0</v>
      </c>
      <c r="C2924" s="1360">
        <v>46012</v>
      </c>
      <c r="D2924" s="683"/>
      <c r="E2924" s="684"/>
      <c r="F2924" s="1429" t="s">
        <v>279</v>
      </c>
      <c r="G2924" s="1361"/>
      <c r="H2924" s="1362" t="str">
        <f>IFERROR(VLOOKUP(F2924,#REF!,10,FALSE),"")</f>
        <v/>
      </c>
      <c r="I2924" s="1363" t="str">
        <f t="shared" si="741"/>
        <v/>
      </c>
      <c r="J2924" s="1364"/>
      <c r="K2924" s="1747" t="str">
        <f>IFERROR(VLOOKUP(F2924,#REF!,15,FALSE),"0")</f>
        <v>0</v>
      </c>
      <c r="L2924" s="1705"/>
      <c r="M2924" s="1364"/>
      <c r="N2924" s="1365" t="str">
        <f t="shared" si="742"/>
        <v/>
      </c>
      <c r="O2924" s="1366"/>
      <c r="P2924" s="1706" t="str">
        <f>IFERROR(VLOOKUP(F2924,#REF!,12,FALSE),"")</f>
        <v/>
      </c>
      <c r="Q2924" s="1707" t="s">
        <v>8</v>
      </c>
      <c r="R2924" s="1708" t="str">
        <f>IFERROR(VLOOKUP(F2924,#REF!,14,FALSE),"")</f>
        <v/>
      </c>
      <c r="S2924" s="1191" t="str">
        <f t="shared" si="743"/>
        <v/>
      </c>
      <c r="T2924" s="1829">
        <f t="shared" si="744"/>
        <v>2.4234482824256391E-6</v>
      </c>
      <c r="U2924" s="1829">
        <f t="shared" si="745"/>
        <v>1.6536556569507845</v>
      </c>
      <c r="V2924" s="683">
        <f t="shared" si="746"/>
        <v>1.6939858943981327</v>
      </c>
      <c r="W2924" s="1768">
        <f t="shared" si="747"/>
        <v>1.4655096254405792E-6</v>
      </c>
      <c r="X2924" s="683">
        <v>261</v>
      </c>
    </row>
    <row r="2925" spans="1:24" ht="16" thickBot="1" x14ac:dyDescent="0.25">
      <c r="A2925" s="1962">
        <f t="shared" ref="A2925" si="768">WEEKNUM(C2925,1)</f>
        <v>52</v>
      </c>
      <c r="B2925" s="1963"/>
      <c r="C2925" s="1368">
        <v>46013</v>
      </c>
      <c r="D2925" s="1369"/>
      <c r="E2925" s="1370"/>
      <c r="F2925" s="1547" t="s">
        <v>363</v>
      </c>
      <c r="G2925" s="1371"/>
      <c r="H2925" s="1372" t="str">
        <f>IFERROR(VLOOKUP(F2925,#REF!,10,FALSE),"")</f>
        <v/>
      </c>
      <c r="I2925" s="1373" t="str">
        <f t="shared" si="741"/>
        <v/>
      </c>
      <c r="J2925" s="1374"/>
      <c r="K2925" s="1745" t="str">
        <f>IFERROR(VLOOKUP(F2925,#REF!,15,FALSE),"0")</f>
        <v>0</v>
      </c>
      <c r="L2925" s="1577"/>
      <c r="M2925" s="1374"/>
      <c r="N2925" s="1375" t="str">
        <f t="shared" si="742"/>
        <v/>
      </c>
      <c r="O2925" s="1376"/>
      <c r="P2925" s="795" t="str">
        <f>IFERROR(VLOOKUP(F2925,#REF!,12,FALSE),"")</f>
        <v/>
      </c>
      <c r="Q2925" s="1254" t="s">
        <v>8</v>
      </c>
      <c r="R2925" s="1694" t="str">
        <f>IFERROR(VLOOKUP(F2925,#REF!,14,FALSE),"")</f>
        <v/>
      </c>
      <c r="S2925" s="1377" t="str">
        <f t="shared" si="743"/>
        <v/>
      </c>
      <c r="T2925" s="70">
        <f t="shared" si="744"/>
        <v>2.0772413849362619E-6</v>
      </c>
      <c r="U2925" s="70">
        <f t="shared" si="745"/>
        <v>1.614282903213861</v>
      </c>
      <c r="V2925" s="1369">
        <f t="shared" si="746"/>
        <v>1.653653233502502</v>
      </c>
      <c r="W2925" s="1766">
        <f t="shared" si="747"/>
        <v>1.2867889394112401E-6</v>
      </c>
      <c r="X2925" s="1369">
        <v>261</v>
      </c>
    </row>
    <row r="2926" spans="1:24" x14ac:dyDescent="0.2">
      <c r="A2926" s="1648" t="s">
        <v>142</v>
      </c>
      <c r="B2926" s="1679">
        <f t="shared" ref="B2926" si="769">SUM(H2925:H2931)</f>
        <v>0</v>
      </c>
      <c r="C2926" s="1651">
        <v>46014</v>
      </c>
      <c r="D2926" s="1695"/>
      <c r="E2926" s="1696"/>
      <c r="F2926" s="1547" t="s">
        <v>343</v>
      </c>
      <c r="G2926" s="1697"/>
      <c r="H2926" s="1698" t="str">
        <f>IFERROR(VLOOKUP(F2926,#REF!,10,FALSE),"")</f>
        <v/>
      </c>
      <c r="I2926" s="1699" t="str">
        <f t="shared" si="741"/>
        <v/>
      </c>
      <c r="J2926" s="1700"/>
      <c r="K2926" s="1755" t="str">
        <f>IFERROR(VLOOKUP(F2926,#REF!,15,FALSE),"0")</f>
        <v>0</v>
      </c>
      <c r="L2926" s="1578"/>
      <c r="M2926" s="1700"/>
      <c r="N2926" s="1701" t="str">
        <f t="shared" si="742"/>
        <v/>
      </c>
      <c r="O2926" s="1702"/>
      <c r="P2926" s="1635" t="str">
        <f>IFERROR(VLOOKUP(F2926,#REF!,12,FALSE),"")</f>
        <v/>
      </c>
      <c r="Q2926" s="1636" t="s">
        <v>8</v>
      </c>
      <c r="R2926" s="1703" t="str">
        <f>IFERROR(VLOOKUP(F2926,#REF!,14,FALSE),"")</f>
        <v/>
      </c>
      <c r="S2926" s="1704" t="str">
        <f t="shared" si="743"/>
        <v/>
      </c>
      <c r="T2926" s="1379">
        <f t="shared" si="744"/>
        <v>1.7804926156596531E-6</v>
      </c>
      <c r="U2926" s="1379">
        <f t="shared" si="745"/>
        <v>1.5758475959944833</v>
      </c>
      <c r="V2926" s="1695">
        <f t="shared" si="746"/>
        <v>1.6142808259724761</v>
      </c>
      <c r="W2926" s="1767">
        <f t="shared" si="747"/>
        <v>1.1298634589952353E-6</v>
      </c>
      <c r="X2926" s="1695">
        <v>261</v>
      </c>
    </row>
    <row r="2927" spans="1:24" x14ac:dyDescent="0.2">
      <c r="A2927" s="1649" t="s">
        <v>347</v>
      </c>
      <c r="B2927" s="1680">
        <f t="shared" ref="B2927" si="770">SUM(K2925:K2931)</f>
        <v>0</v>
      </c>
      <c r="C2927" s="1651">
        <v>46015</v>
      </c>
      <c r="D2927" s="1695"/>
      <c r="E2927" s="1696"/>
      <c r="F2927" s="1547" t="s">
        <v>363</v>
      </c>
      <c r="G2927" s="1697"/>
      <c r="H2927" s="1698" t="str">
        <f>IFERROR(VLOOKUP(F2927,#REF!,10,FALSE),"")</f>
        <v/>
      </c>
      <c r="I2927" s="1699" t="str">
        <f t="shared" si="741"/>
        <v/>
      </c>
      <c r="J2927" s="1700"/>
      <c r="K2927" s="1755" t="str">
        <f>IFERROR(VLOOKUP(F2927,#REF!,15,FALSE),"0")</f>
        <v>0</v>
      </c>
      <c r="L2927" s="1578"/>
      <c r="M2927" s="1700"/>
      <c r="N2927" s="1701" t="str">
        <f t="shared" si="742"/>
        <v/>
      </c>
      <c r="O2927" s="1702"/>
      <c r="P2927" s="1635" t="str">
        <f>IFERROR(VLOOKUP(F2927,#REF!,12,FALSE),"")</f>
        <v/>
      </c>
      <c r="Q2927" s="1636" t="s">
        <v>8</v>
      </c>
      <c r="R2927" s="1703" t="str">
        <f>IFERROR(VLOOKUP(F2927,#REF!,14,FALSE),"")</f>
        <v/>
      </c>
      <c r="S2927" s="1704" t="str">
        <f t="shared" si="743"/>
        <v/>
      </c>
      <c r="T2927" s="1379">
        <f t="shared" si="744"/>
        <v>1.5261365277082741E-6</v>
      </c>
      <c r="U2927" s="1379">
        <f t="shared" si="745"/>
        <v>1.5383274151374717</v>
      </c>
      <c r="V2927" s="1695">
        <f t="shared" si="746"/>
        <v>1.5758458155018678</v>
      </c>
      <c r="W2927" s="1767">
        <f t="shared" si="747"/>
        <v>9.9207523228849936E-7</v>
      </c>
      <c r="X2927" s="1695">
        <v>261</v>
      </c>
    </row>
    <row r="2928" spans="1:24" x14ac:dyDescent="0.2">
      <c r="A2928" s="1649" t="s">
        <v>256</v>
      </c>
      <c r="B2928" s="1677">
        <f t="shared" ref="B2928" si="771">AVERAGE(W2925:W2931)</f>
        <v>9.0084943902300711E-7</v>
      </c>
      <c r="C2928" s="1651">
        <v>46016</v>
      </c>
      <c r="D2928" s="1695"/>
      <c r="E2928" s="1696"/>
      <c r="F2928" s="1547" t="s">
        <v>343</v>
      </c>
      <c r="G2928" s="1697"/>
      <c r="H2928" s="1698" t="str">
        <f>IFERROR(VLOOKUP(F2928,#REF!,10,FALSE),"")</f>
        <v/>
      </c>
      <c r="I2928" s="1699" t="str">
        <f t="shared" si="741"/>
        <v/>
      </c>
      <c r="J2928" s="1700"/>
      <c r="K2928" s="1755" t="str">
        <f>IFERROR(VLOOKUP(F2928,#REF!,15,FALSE),"0")</f>
        <v>0</v>
      </c>
      <c r="L2928" s="1578"/>
      <c r="M2928" s="1700"/>
      <c r="N2928" s="1701" t="str">
        <f t="shared" si="742"/>
        <v/>
      </c>
      <c r="O2928" s="1702"/>
      <c r="P2928" s="1635" t="str">
        <f>IFERROR(VLOOKUP(F2928,#REF!,12,FALSE),"")</f>
        <v/>
      </c>
      <c r="Q2928" s="1636" t="s">
        <v>8</v>
      </c>
      <c r="R2928" s="1703" t="str">
        <f>IFERROR(VLOOKUP(F2928,#REF!,14,FALSE),"")</f>
        <v/>
      </c>
      <c r="S2928" s="1704" t="str">
        <f t="shared" si="743"/>
        <v/>
      </c>
      <c r="T2928" s="1379">
        <f t="shared" si="744"/>
        <v>1.3081170237499493E-6</v>
      </c>
      <c r="U2928" s="1379">
        <f t="shared" si="745"/>
        <v>1.5017005719199128</v>
      </c>
      <c r="V2928" s="1695">
        <f t="shared" si="746"/>
        <v>1.5383258890009439</v>
      </c>
      <c r="W2928" s="1767">
        <f t="shared" si="747"/>
        <v>8.7109044786307266E-7</v>
      </c>
      <c r="X2928" s="1695">
        <v>261</v>
      </c>
    </row>
    <row r="2929" spans="1:24" x14ac:dyDescent="0.2">
      <c r="A2929" s="1649" t="s">
        <v>336</v>
      </c>
      <c r="B2929" s="1713" t="str">
        <f t="shared" ref="B2929" si="772">IFERROR(AVERAGE(N2925:N2931),"")</f>
        <v/>
      </c>
      <c r="C2929" s="1651">
        <v>46017</v>
      </c>
      <c r="D2929" s="1695"/>
      <c r="E2929" s="1696"/>
      <c r="F2929" s="1947"/>
      <c r="G2929" s="1697"/>
      <c r="H2929" s="1698" t="str">
        <f>IFERROR(VLOOKUP(F2929,#REF!,10,FALSE),"")</f>
        <v/>
      </c>
      <c r="I2929" s="1699" t="str">
        <f t="shared" si="741"/>
        <v/>
      </c>
      <c r="J2929" s="1700"/>
      <c r="K2929" s="1755" t="str">
        <f>IFERROR(VLOOKUP(F2929,#REF!,15,FALSE),"0")</f>
        <v>0</v>
      </c>
      <c r="L2929" s="1578"/>
      <c r="M2929" s="1700"/>
      <c r="N2929" s="1701" t="str">
        <f t="shared" si="742"/>
        <v/>
      </c>
      <c r="O2929" s="1702"/>
      <c r="P2929" s="1635" t="str">
        <f>IFERROR(VLOOKUP(F2929,#REF!,12,FALSE),"")</f>
        <v/>
      </c>
      <c r="Q2929" s="1636" t="s">
        <v>8</v>
      </c>
      <c r="R2929" s="1703" t="str">
        <f>IFERROR(VLOOKUP(F2929,#REF!,14,FALSE),"")</f>
        <v/>
      </c>
      <c r="S2929" s="1704" t="str">
        <f t="shared" si="743"/>
        <v/>
      </c>
      <c r="T2929" s="1379">
        <f t="shared" si="744"/>
        <v>1.1212431632142423E-6</v>
      </c>
      <c r="U2929" s="1379">
        <f t="shared" si="745"/>
        <v>1.46594579639801</v>
      </c>
      <c r="V2929" s="1695">
        <f t="shared" si="746"/>
        <v>1.501699263802889</v>
      </c>
      <c r="W2929" s="1767">
        <f t="shared" si="747"/>
        <v>7.6485990544074683E-7</v>
      </c>
      <c r="X2929" s="1695">
        <v>261</v>
      </c>
    </row>
    <row r="2930" spans="1:24" x14ac:dyDescent="0.2">
      <c r="A2930" s="1649" t="s">
        <v>337</v>
      </c>
      <c r="B2930" s="1681" t="str">
        <f t="shared" ref="B2930" si="773">IFERROR(AVERAGE(S2925:S2931),"")</f>
        <v/>
      </c>
      <c r="C2930" s="1651">
        <v>46018</v>
      </c>
      <c r="D2930" s="1695"/>
      <c r="E2930" s="1696"/>
      <c r="F2930" s="1547"/>
      <c r="G2930" s="1697"/>
      <c r="H2930" s="1698" t="str">
        <f>IFERROR(VLOOKUP(F2930,#REF!,10,FALSE),"")</f>
        <v/>
      </c>
      <c r="I2930" s="1699" t="str">
        <f t="shared" si="741"/>
        <v/>
      </c>
      <c r="J2930" s="1700"/>
      <c r="K2930" s="1755" t="str">
        <f>IFERROR(VLOOKUP(F2930,#REF!,15,FALSE),"0")</f>
        <v>0</v>
      </c>
      <c r="L2930" s="1578"/>
      <c r="M2930" s="1700"/>
      <c r="N2930" s="1701" t="str">
        <f t="shared" si="742"/>
        <v/>
      </c>
      <c r="O2930" s="1702"/>
      <c r="P2930" s="1635" t="str">
        <f>IFERROR(VLOOKUP(F2930,#REF!,12,FALSE),"")</f>
        <v/>
      </c>
      <c r="Q2930" s="1636" t="s">
        <v>8</v>
      </c>
      <c r="R2930" s="1703" t="str">
        <f>IFERROR(VLOOKUP(F2930,#REF!,14,FALSE),"")</f>
        <v/>
      </c>
      <c r="S2930" s="1704" t="str">
        <f t="shared" si="743"/>
        <v/>
      </c>
      <c r="T2930" s="1379">
        <f t="shared" si="744"/>
        <v>9.6106556846935052E-7</v>
      </c>
      <c r="U2930" s="1379">
        <f t="shared" si="745"/>
        <v>1.4310423250552002</v>
      </c>
      <c r="V2930" s="1695">
        <f t="shared" si="746"/>
        <v>1.4659446751548468</v>
      </c>
      <c r="W2930" s="1767">
        <f t="shared" si="747"/>
        <v>6.715843072162655E-7</v>
      </c>
      <c r="X2930" s="1695">
        <v>261</v>
      </c>
    </row>
    <row r="2931" spans="1:24" ht="16" thickBot="1" x14ac:dyDescent="0.25">
      <c r="A2931" s="1650" t="s">
        <v>5</v>
      </c>
      <c r="B2931" s="1678">
        <f t="shared" ref="B2931" si="774">IFERROR(SUM(M2925:M2931),"")</f>
        <v>0</v>
      </c>
      <c r="C2931" s="1360">
        <v>46019</v>
      </c>
      <c r="D2931" s="683"/>
      <c r="E2931" s="684"/>
      <c r="F2931" s="1429" t="s">
        <v>279</v>
      </c>
      <c r="G2931" s="1361"/>
      <c r="H2931" s="1362" t="str">
        <f>IFERROR(VLOOKUP(F2931,#REF!,10,FALSE),"")</f>
        <v/>
      </c>
      <c r="I2931" s="1363" t="str">
        <f t="shared" si="741"/>
        <v/>
      </c>
      <c r="J2931" s="1364"/>
      <c r="K2931" s="1747" t="str">
        <f>IFERROR(VLOOKUP(F2931,#REF!,15,FALSE),"0")</f>
        <v>0</v>
      </c>
      <c r="L2931" s="1705"/>
      <c r="M2931" s="1364"/>
      <c r="N2931" s="1365" t="str">
        <f t="shared" si="742"/>
        <v/>
      </c>
      <c r="O2931" s="1366"/>
      <c r="P2931" s="1706" t="str">
        <f>IFERROR(VLOOKUP(F2931,#REF!,12,FALSE),"")</f>
        <v/>
      </c>
      <c r="Q2931" s="1707" t="s">
        <v>8</v>
      </c>
      <c r="R2931" s="1708" t="str">
        <f>IFERROR(VLOOKUP(F2931,#REF!,14,FALSE),"")</f>
        <v/>
      </c>
      <c r="S2931" s="1191" t="str">
        <f t="shared" si="743"/>
        <v/>
      </c>
      <c r="T2931" s="1897">
        <f t="shared" si="744"/>
        <v>8.2377048725944327E-7</v>
      </c>
      <c r="U2931" s="1897">
        <f t="shared" si="745"/>
        <v>1.3969698887443622</v>
      </c>
      <c r="V2931" s="683">
        <f t="shared" si="746"/>
        <v>1.4310413639896318</v>
      </c>
      <c r="W2931" s="1768">
        <f t="shared" si="747"/>
        <v>5.8968378194598913E-7</v>
      </c>
      <c r="X2931" s="683">
        <v>261</v>
      </c>
    </row>
    <row r="2932" spans="1:24" ht="16" thickBot="1" x14ac:dyDescent="0.25">
      <c r="A2932" s="1964">
        <f t="shared" ref="A2932" si="775">WEEKNUM(C2932,1)</f>
        <v>53</v>
      </c>
      <c r="B2932" s="1965"/>
      <c r="C2932" s="1368">
        <v>46020</v>
      </c>
      <c r="D2932" s="1369"/>
      <c r="E2932" s="1370"/>
      <c r="F2932" s="1547" t="s">
        <v>361</v>
      </c>
      <c r="G2932" s="1371"/>
      <c r="H2932" s="1372" t="str">
        <f>IFERROR(VLOOKUP(F2932,#REF!,10,FALSE),"")</f>
        <v/>
      </c>
      <c r="I2932" s="1373" t="str">
        <f t="shared" si="741"/>
        <v/>
      </c>
      <c r="J2932" s="1374"/>
      <c r="K2932" s="1745" t="str">
        <f>IFERROR(VLOOKUP(F2932,#REF!,15,FALSE),"0")</f>
        <v>0</v>
      </c>
      <c r="L2932" s="1910"/>
      <c r="M2932" s="1374"/>
      <c r="N2932" s="1375" t="str">
        <f t="shared" si="742"/>
        <v/>
      </c>
      <c r="O2932" s="1376"/>
      <c r="P2932" s="1911" t="str">
        <f>IFERROR(VLOOKUP(F2932,#REF!,12,FALSE),"")</f>
        <v/>
      </c>
      <c r="Q2932" s="1254" t="s">
        <v>8</v>
      </c>
      <c r="R2932" s="1694" t="str">
        <f>IFERROR(VLOOKUP(F2932,#REF!,14,FALSE),"")</f>
        <v/>
      </c>
      <c r="S2932" s="1377" t="str">
        <f t="shared" si="743"/>
        <v/>
      </c>
      <c r="T2932" s="1369">
        <f t="shared" si="744"/>
        <v>7.0608898907952282E-7</v>
      </c>
      <c r="U2932" s="1369">
        <f t="shared" si="745"/>
        <v>1.3637087009171156</v>
      </c>
      <c r="V2932" s="1369">
        <f t="shared" si="746"/>
        <v>1.3969690649738751</v>
      </c>
      <c r="W2932" s="1766">
        <f t="shared" si="747"/>
        <v>5.1777112561111248E-7</v>
      </c>
      <c r="X2932" s="1369">
        <v>261</v>
      </c>
    </row>
    <row r="2933" spans="1:24" x14ac:dyDescent="0.2">
      <c r="A2933" s="1912" t="s">
        <v>142</v>
      </c>
      <c r="B2933" s="1913">
        <f t="shared" ref="B2933" si="776">SUM(H2932:H2938)</f>
        <v>0</v>
      </c>
      <c r="C2933" s="1914">
        <v>46021</v>
      </c>
      <c r="D2933" s="1828"/>
      <c r="E2933" s="1915"/>
      <c r="F2933" s="1547"/>
      <c r="G2933" s="1916"/>
      <c r="H2933" s="1917" t="str">
        <f>IFERROR(VLOOKUP(F2933,#REF!,10,FALSE),"")</f>
        <v/>
      </c>
      <c r="I2933" s="1918" t="str">
        <f t="shared" si="741"/>
        <v/>
      </c>
      <c r="J2933" s="1919"/>
      <c r="K2933" s="1920" t="str">
        <f>IFERROR(VLOOKUP(F2933,#REF!,15,FALSE),"0")</f>
        <v>0</v>
      </c>
      <c r="L2933" s="1921"/>
      <c r="M2933" s="1919"/>
      <c r="N2933" s="1922" t="str">
        <f t="shared" si="742"/>
        <v/>
      </c>
      <c r="O2933" s="1886"/>
      <c r="P2933" s="1887" t="str">
        <f>IFERROR(VLOOKUP(F2933,#REF!,12,FALSE),"")</f>
        <v/>
      </c>
      <c r="Q2933" s="1888" t="s">
        <v>8</v>
      </c>
      <c r="R2933" s="1923" t="str">
        <f>IFERROR(VLOOKUP(F2933,#REF!,14,FALSE),"")</f>
        <v/>
      </c>
      <c r="S2933" s="1890" t="str">
        <f t="shared" si="743"/>
        <v/>
      </c>
      <c r="T2933" s="1828">
        <f t="shared" si="744"/>
        <v>6.0521913349673389E-7</v>
      </c>
      <c r="U2933" s="1828">
        <f t="shared" si="745"/>
        <v>1.3312394461333747</v>
      </c>
      <c r="V2933" s="1828">
        <f t="shared" si="746"/>
        <v>1.3637079948281265</v>
      </c>
      <c r="W2933" s="1891">
        <f t="shared" si="747"/>
        <v>4.5462830541463537E-7</v>
      </c>
      <c r="X2933" s="1828">
        <v>261</v>
      </c>
    </row>
    <row r="2934" spans="1:24" x14ac:dyDescent="0.2">
      <c r="A2934" s="1899" t="s">
        <v>347</v>
      </c>
      <c r="B2934" s="1680">
        <f t="shared" ref="B2934" si="777">SUM(K2932:K2938)</f>
        <v>0</v>
      </c>
      <c r="C2934" s="1914">
        <v>46022</v>
      </c>
      <c r="D2934" s="1828"/>
      <c r="E2934" s="1915"/>
      <c r="F2934" s="1547" t="s">
        <v>279</v>
      </c>
      <c r="G2934" s="1916"/>
      <c r="H2934" s="1917" t="str">
        <f>IFERROR(VLOOKUP(F2934,#REF!,10,FALSE),"")</f>
        <v/>
      </c>
      <c r="I2934" s="1918" t="str">
        <f t="shared" si="741"/>
        <v/>
      </c>
      <c r="J2934" s="1919"/>
      <c r="K2934" s="1920" t="str">
        <f>IFERROR(VLOOKUP(F2934,#REF!,15,FALSE),"0")</f>
        <v>0</v>
      </c>
      <c r="L2934" s="1921"/>
      <c r="M2934" s="1919"/>
      <c r="N2934" s="1922" t="str">
        <f t="shared" si="742"/>
        <v/>
      </c>
      <c r="O2934" s="1886"/>
      <c r="P2934" s="1887" t="str">
        <f>IFERROR(VLOOKUP(F2934,#REF!,12,FALSE),"")</f>
        <v/>
      </c>
      <c r="Q2934" s="1888" t="s">
        <v>8</v>
      </c>
      <c r="R2934" s="1923" t="str">
        <f>IFERROR(VLOOKUP(F2934,#REF!,14,FALSE),"")</f>
        <v/>
      </c>
      <c r="S2934" s="1890" t="str">
        <f t="shared" si="743"/>
        <v/>
      </c>
      <c r="T2934" s="1828">
        <f t="shared" si="744"/>
        <v>5.1875925728291475E-7</v>
      </c>
      <c r="U2934" s="1828">
        <f t="shared" si="745"/>
        <v>1.2995432688444848</v>
      </c>
      <c r="V2934" s="1828">
        <f t="shared" si="746"/>
        <v>1.3312388409142413</v>
      </c>
      <c r="W2934" s="1891">
        <f t="shared" si="747"/>
        <v>3.991858291445579E-7</v>
      </c>
      <c r="X2934" s="1828">
        <v>261</v>
      </c>
    </row>
    <row r="2935" spans="1:24" x14ac:dyDescent="0.2">
      <c r="A2935" s="1899" t="s">
        <v>256</v>
      </c>
      <c r="B2935" s="1924">
        <f t="shared" ref="B2935" si="778">AVERAGE(W2932:W2938)</f>
        <v>4.5719508672343523E-7</v>
      </c>
      <c r="C2935" s="1914"/>
      <c r="D2935" s="1828"/>
      <c r="E2935" s="1915"/>
      <c r="F2935" s="1547"/>
      <c r="G2935" s="1916"/>
      <c r="H2935" s="1917"/>
      <c r="I2935" s="1918"/>
      <c r="J2935" s="1919"/>
      <c r="K2935" s="1920"/>
      <c r="L2935" s="1921"/>
      <c r="M2935" s="1919"/>
      <c r="N2935" s="1922"/>
      <c r="O2935" s="1886"/>
      <c r="P2935" s="1887"/>
      <c r="Q2935" s="1888"/>
      <c r="R2935" s="1923"/>
      <c r="S2935" s="1890"/>
      <c r="T2935" s="1828"/>
      <c r="U2935" s="1828"/>
      <c r="V2935" s="1828"/>
      <c r="W2935" s="1891"/>
      <c r="X2935" s="1828"/>
    </row>
    <row r="2936" spans="1:24" x14ac:dyDescent="0.2">
      <c r="A2936" s="1899" t="s">
        <v>336</v>
      </c>
      <c r="B2936" s="1713" t="str">
        <f t="shared" ref="B2936" si="779">IFERROR(AVERAGE(N2932:N2938),"")</f>
        <v/>
      </c>
      <c r="C2936" s="1914"/>
      <c r="D2936" s="1828"/>
      <c r="E2936" s="1915"/>
      <c r="F2936" s="1547"/>
      <c r="G2936" s="1916"/>
      <c r="H2936" s="1917"/>
      <c r="I2936" s="1918"/>
      <c r="J2936" s="1919"/>
      <c r="K2936" s="1920"/>
      <c r="L2936" s="1921"/>
      <c r="M2936" s="1919"/>
      <c r="N2936" s="1922"/>
      <c r="O2936" s="1886"/>
      <c r="P2936" s="1887"/>
      <c r="Q2936" s="1888"/>
      <c r="R2936" s="1923"/>
      <c r="S2936" s="1890"/>
      <c r="T2936" s="1828"/>
      <c r="U2936" s="1828"/>
      <c r="V2936" s="1828"/>
      <c r="W2936" s="1891"/>
      <c r="X2936" s="1828"/>
    </row>
    <row r="2937" spans="1:24" x14ac:dyDescent="0.2">
      <c r="A2937" s="1899" t="s">
        <v>337</v>
      </c>
      <c r="B2937" s="1681" t="str">
        <f t="shared" ref="B2937" si="780">IFERROR(AVERAGE(S2932:S2938),"")</f>
        <v/>
      </c>
      <c r="C2937" s="1914"/>
      <c r="D2937" s="1828"/>
      <c r="E2937" s="1915"/>
      <c r="F2937" s="1547"/>
      <c r="G2937" s="1916"/>
      <c r="H2937" s="1917"/>
      <c r="I2937" s="1918"/>
      <c r="J2937" s="1919"/>
      <c r="K2937" s="1920"/>
      <c r="L2937" s="1921"/>
      <c r="M2937" s="1919"/>
      <c r="N2937" s="1922"/>
      <c r="O2937" s="1886"/>
      <c r="P2937" s="1887"/>
      <c r="Q2937" s="1888"/>
      <c r="R2937" s="1923"/>
      <c r="S2937" s="1890"/>
      <c r="T2937" s="1828"/>
      <c r="U2937" s="1828"/>
      <c r="V2937" s="1828"/>
      <c r="W2937" s="1891"/>
      <c r="X2937" s="1828"/>
    </row>
    <row r="2938" spans="1:24" ht="16" thickBot="1" x14ac:dyDescent="0.25">
      <c r="A2938" s="1925" t="s">
        <v>5</v>
      </c>
      <c r="B2938" s="1926">
        <f t="shared" ref="B2938" si="781">IFERROR(SUM(M2932:M2938),"")</f>
        <v>0</v>
      </c>
      <c r="C2938" s="1360"/>
      <c r="D2938" s="683"/>
      <c r="E2938" s="684"/>
      <c r="F2938" s="1927"/>
      <c r="G2938" s="1361"/>
      <c r="H2938" s="1362"/>
      <c r="I2938" s="1363"/>
      <c r="J2938" s="1364"/>
      <c r="K2938" s="1803"/>
      <c r="L2938" s="1928"/>
      <c r="M2938" s="1364"/>
      <c r="N2938" s="1365"/>
      <c r="O2938" s="1366"/>
      <c r="P2938" s="1892"/>
      <c r="Q2938" s="1893"/>
      <c r="R2938" s="1894"/>
      <c r="S2938" s="1191"/>
      <c r="T2938" s="1829"/>
      <c r="U2938" s="1829"/>
      <c r="V2938" s="683"/>
      <c r="W2938" s="1768"/>
      <c r="X2938" s="683"/>
    </row>
    <row r="2939" spans="1:24" x14ac:dyDescent="0.2">
      <c r="A2939" s="1961"/>
      <c r="B2939" s="1961"/>
      <c r="C2939" s="1900"/>
      <c r="D2939" s="1901"/>
      <c r="E2939" s="1902"/>
      <c r="F2939" s="18"/>
      <c r="G2939" s="1903"/>
      <c r="H2939" s="22"/>
      <c r="I2939" s="1904"/>
      <c r="J2939" s="16"/>
      <c r="L2939" s="16"/>
      <c r="M2939" s="16"/>
      <c r="N2939" s="1905"/>
      <c r="O2939" s="21"/>
      <c r="P2939" s="17"/>
      <c r="Q2939" s="17"/>
      <c r="R2939" s="17"/>
      <c r="S2939" s="1906"/>
      <c r="T2939" s="1901"/>
      <c r="U2939" s="1901"/>
      <c r="V2939" s="1901"/>
      <c r="W2939" s="1681"/>
      <c r="X2939" s="1901"/>
    </row>
    <row r="2940" spans="1:24" x14ac:dyDescent="0.2">
      <c r="A2940" s="1907"/>
      <c r="B2940" s="1908"/>
      <c r="C2940" s="1900"/>
      <c r="D2940" s="1901"/>
      <c r="E2940" s="1902"/>
      <c r="F2940" s="18"/>
      <c r="G2940" s="1903"/>
      <c r="H2940" s="22"/>
      <c r="I2940" s="1904"/>
      <c r="J2940" s="16"/>
      <c r="L2940" s="16"/>
      <c r="M2940" s="16"/>
      <c r="N2940" s="1905"/>
      <c r="O2940" s="21"/>
      <c r="P2940" s="17"/>
      <c r="Q2940" s="17"/>
      <c r="R2940" s="17"/>
      <c r="S2940" s="1906"/>
      <c r="T2940" s="1901"/>
      <c r="U2940" s="1901"/>
      <c r="V2940" s="1901"/>
      <c r="W2940" s="1681"/>
      <c r="X2940" s="1901"/>
    </row>
    <row r="2941" spans="1:24" x14ac:dyDescent="0.2">
      <c r="A2941" s="1907"/>
      <c r="B2941" s="1680"/>
      <c r="C2941" s="1900"/>
      <c r="D2941" s="1901"/>
      <c r="E2941" s="1902"/>
      <c r="F2941" s="18"/>
      <c r="G2941" s="1903"/>
      <c r="H2941" s="22"/>
      <c r="I2941" s="1904"/>
      <c r="J2941" s="16"/>
      <c r="L2941" s="16"/>
      <c r="M2941" s="16"/>
      <c r="N2941" s="1905"/>
      <c r="O2941" s="21"/>
      <c r="P2941" s="17"/>
      <c r="Q2941" s="17"/>
      <c r="R2941" s="17"/>
      <c r="S2941" s="1906"/>
      <c r="T2941" s="1901"/>
      <c r="U2941" s="1901"/>
      <c r="V2941" s="1901"/>
      <c r="W2941" s="1681"/>
      <c r="X2941" s="1901"/>
    </row>
    <row r="2942" spans="1:24" x14ac:dyDescent="0.2">
      <c r="A2942" s="1907"/>
      <c r="B2942" s="1681"/>
      <c r="C2942" s="1900"/>
      <c r="D2942" s="1901"/>
      <c r="E2942" s="1902"/>
      <c r="F2942" s="18"/>
      <c r="G2942" s="1903"/>
      <c r="H2942" s="22"/>
      <c r="I2942" s="1904"/>
      <c r="J2942" s="16"/>
      <c r="L2942" s="16"/>
      <c r="M2942" s="16"/>
      <c r="N2942" s="1905"/>
      <c r="O2942" s="21"/>
      <c r="P2942" s="17"/>
      <c r="Q2942" s="17"/>
      <c r="R2942" s="17"/>
      <c r="S2942" s="1906"/>
      <c r="T2942" s="1901"/>
      <c r="U2942" s="1901"/>
      <c r="V2942" s="1901"/>
      <c r="W2942" s="1681"/>
      <c r="X2942" s="1901"/>
    </row>
    <row r="2943" spans="1:24" x14ac:dyDescent="0.2">
      <c r="A2943" s="1907"/>
      <c r="B2943" s="1713"/>
      <c r="C2943" s="1900"/>
      <c r="D2943" s="1901"/>
      <c r="E2943" s="1902"/>
      <c r="F2943" s="18"/>
      <c r="G2943" s="1903"/>
      <c r="H2943" s="22"/>
      <c r="I2943" s="1904"/>
      <c r="J2943" s="16"/>
      <c r="L2943" s="16"/>
      <c r="M2943" s="16"/>
      <c r="N2943" s="1905"/>
      <c r="O2943" s="21"/>
      <c r="P2943" s="17"/>
      <c r="Q2943" s="17"/>
      <c r="R2943" s="17"/>
      <c r="S2943" s="1906"/>
      <c r="T2943" s="1901"/>
      <c r="U2943" s="1901"/>
      <c r="V2943" s="1901"/>
      <c r="W2943" s="1681"/>
      <c r="X2943" s="1901"/>
    </row>
    <row r="2944" spans="1:24" x14ac:dyDescent="0.2">
      <c r="A2944" s="1907"/>
      <c r="B2944" s="1681"/>
      <c r="C2944" s="1900"/>
      <c r="D2944" s="1901"/>
      <c r="E2944" s="1902"/>
      <c r="F2944" s="18"/>
      <c r="G2944" s="1903"/>
      <c r="H2944" s="22"/>
      <c r="I2944" s="1904"/>
      <c r="J2944" s="16"/>
      <c r="L2944" s="16"/>
      <c r="M2944" s="16"/>
      <c r="N2944" s="1905"/>
      <c r="O2944" s="21"/>
      <c r="P2944" s="17"/>
      <c r="Q2944" s="17"/>
      <c r="R2944" s="17"/>
      <c r="S2944" s="1906"/>
      <c r="T2944" s="1901"/>
      <c r="U2944" s="1901"/>
      <c r="V2944" s="1901"/>
      <c r="W2944" s="1681"/>
      <c r="X2944" s="1901"/>
    </row>
    <row r="2945" spans="1:24" x14ac:dyDescent="0.2">
      <c r="A2945" s="1907"/>
      <c r="B2945" s="1909"/>
      <c r="C2945" s="1900"/>
      <c r="D2945" s="1901"/>
      <c r="E2945" s="1902"/>
      <c r="F2945" s="1842"/>
      <c r="G2945" s="1903"/>
      <c r="H2945" s="22"/>
      <c r="I2945" s="1904"/>
      <c r="J2945" s="16"/>
      <c r="L2945" s="16"/>
      <c r="M2945" s="16"/>
      <c r="N2945" s="1905"/>
      <c r="O2945" s="21"/>
      <c r="P2945" s="17"/>
      <c r="Q2945" s="17"/>
      <c r="R2945" s="17"/>
      <c r="S2945" s="1906"/>
      <c r="T2945" s="1901"/>
      <c r="U2945" s="1901"/>
      <c r="V2945" s="1901"/>
      <c r="W2945" s="1681"/>
      <c r="X2945" s="1901"/>
    </row>
    <row r="2946" spans="1:24" x14ac:dyDescent="0.2">
      <c r="A2946" s="1961"/>
      <c r="B2946" s="1961"/>
      <c r="C2946" s="1900"/>
      <c r="D2946" s="1901"/>
      <c r="E2946" s="1902"/>
      <c r="F2946" s="18"/>
      <c r="G2946" s="1903"/>
      <c r="H2946" s="22"/>
      <c r="I2946" s="1904"/>
      <c r="J2946" s="16"/>
      <c r="L2946" s="16"/>
      <c r="M2946" s="16"/>
      <c r="N2946" s="1905"/>
      <c r="O2946" s="21"/>
      <c r="P2946" s="17"/>
      <c r="Q2946" s="17"/>
      <c r="R2946" s="17"/>
      <c r="S2946" s="1906"/>
      <c r="T2946" s="1901"/>
      <c r="U2946" s="1901"/>
      <c r="V2946" s="1901"/>
      <c r="W2946" s="1681"/>
      <c r="X2946" s="1901"/>
    </row>
    <row r="2947" spans="1:24" x14ac:dyDescent="0.2">
      <c r="A2947" s="1907"/>
      <c r="B2947" s="1908"/>
      <c r="C2947" s="1900"/>
      <c r="D2947" s="1901"/>
      <c r="E2947" s="1902"/>
      <c r="F2947" s="18"/>
      <c r="G2947" s="1903"/>
      <c r="H2947" s="22"/>
      <c r="I2947" s="1904"/>
      <c r="J2947" s="16"/>
      <c r="L2947" s="16"/>
      <c r="M2947" s="16"/>
      <c r="N2947" s="1905"/>
      <c r="O2947" s="21"/>
      <c r="P2947" s="17"/>
      <c r="Q2947" s="17"/>
      <c r="R2947" s="17"/>
      <c r="S2947" s="1906"/>
      <c r="T2947" s="1901"/>
      <c r="U2947" s="1901"/>
      <c r="V2947" s="1901"/>
      <c r="W2947" s="1681"/>
      <c r="X2947" s="1901"/>
    </row>
    <row r="2948" spans="1:24" x14ac:dyDescent="0.2">
      <c r="A2948" s="1907"/>
      <c r="B2948" s="1680"/>
      <c r="C2948" s="1900"/>
      <c r="D2948" s="1901"/>
      <c r="E2948" s="1902"/>
      <c r="F2948" s="18"/>
      <c r="G2948" s="1903"/>
      <c r="H2948" s="22"/>
      <c r="I2948" s="1904"/>
      <c r="J2948" s="16"/>
      <c r="L2948" s="16"/>
      <c r="M2948" s="16"/>
      <c r="N2948" s="1905"/>
      <c r="O2948" s="21"/>
      <c r="P2948" s="17"/>
      <c r="Q2948" s="17"/>
      <c r="R2948" s="17"/>
      <c r="S2948" s="1906"/>
      <c r="T2948" s="1901"/>
      <c r="U2948" s="1901"/>
      <c r="V2948" s="1901"/>
      <c r="W2948" s="1681"/>
      <c r="X2948" s="1901"/>
    </row>
    <row r="2949" spans="1:24" x14ac:dyDescent="0.2">
      <c r="A2949" s="1907"/>
      <c r="B2949" s="1681"/>
      <c r="C2949" s="1900"/>
      <c r="D2949" s="1901"/>
      <c r="E2949" s="1902"/>
      <c r="F2949" s="18"/>
      <c r="G2949" s="1903"/>
      <c r="H2949" s="22"/>
      <c r="I2949" s="1904"/>
      <c r="J2949" s="16"/>
      <c r="L2949" s="16"/>
      <c r="M2949" s="16"/>
      <c r="N2949" s="1905"/>
      <c r="O2949" s="21"/>
      <c r="P2949" s="17"/>
      <c r="Q2949" s="17"/>
      <c r="R2949" s="17"/>
      <c r="S2949" s="1906"/>
      <c r="T2949" s="1901"/>
      <c r="U2949" s="1901"/>
      <c r="V2949" s="1901"/>
      <c r="W2949" s="1681"/>
      <c r="X2949" s="1901"/>
    </row>
    <row r="2950" spans="1:24" x14ac:dyDescent="0.2">
      <c r="A2950" s="1907"/>
      <c r="B2950" s="1713"/>
      <c r="C2950" s="1900"/>
      <c r="D2950" s="1901"/>
      <c r="E2950" s="1902"/>
      <c r="F2950" s="18"/>
      <c r="G2950" s="1903"/>
      <c r="H2950" s="22"/>
      <c r="I2950" s="1904"/>
      <c r="J2950" s="16"/>
      <c r="L2950" s="16"/>
      <c r="M2950" s="16"/>
      <c r="N2950" s="1905"/>
      <c r="O2950" s="21"/>
      <c r="P2950" s="17"/>
      <c r="Q2950" s="17"/>
      <c r="R2950" s="17"/>
      <c r="S2950" s="1906"/>
      <c r="T2950" s="1901"/>
      <c r="U2950" s="1901"/>
      <c r="V2950" s="1901"/>
      <c r="W2950" s="1681"/>
      <c r="X2950" s="1901"/>
    </row>
    <row r="2951" spans="1:24" x14ac:dyDescent="0.2">
      <c r="A2951" s="1907"/>
      <c r="B2951" s="1681"/>
      <c r="C2951" s="1900"/>
      <c r="D2951" s="1901"/>
      <c r="E2951" s="1902"/>
      <c r="F2951" s="18"/>
      <c r="G2951" s="1903"/>
      <c r="H2951" s="22"/>
      <c r="I2951" s="1904"/>
      <c r="J2951" s="16"/>
      <c r="L2951" s="16"/>
      <c r="M2951" s="16"/>
      <c r="N2951" s="1905"/>
      <c r="O2951" s="21"/>
      <c r="P2951" s="17"/>
      <c r="Q2951" s="17"/>
      <c r="R2951" s="17"/>
      <c r="S2951" s="1906"/>
      <c r="T2951" s="1901"/>
      <c r="U2951" s="1901"/>
      <c r="V2951" s="1901"/>
      <c r="W2951" s="1681"/>
      <c r="X2951" s="1901"/>
    </row>
    <row r="2952" spans="1:24" x14ac:dyDescent="0.2">
      <c r="A2952" s="1907"/>
      <c r="B2952" s="1909"/>
      <c r="C2952" s="1900"/>
      <c r="D2952" s="1901"/>
      <c r="E2952" s="1902"/>
      <c r="F2952" s="1842"/>
      <c r="G2952" s="1903"/>
      <c r="H2952" s="22"/>
      <c r="I2952" s="1904"/>
      <c r="J2952" s="16"/>
      <c r="L2952" s="16"/>
      <c r="M2952" s="16"/>
      <c r="N2952" s="1905"/>
      <c r="O2952" s="21"/>
      <c r="P2952" s="17"/>
      <c r="Q2952" s="17"/>
      <c r="R2952" s="17"/>
      <c r="S2952" s="1906"/>
      <c r="T2952" s="1901"/>
      <c r="U2952" s="1901"/>
      <c r="V2952" s="1901"/>
      <c r="W2952" s="1681"/>
      <c r="X2952" s="1901"/>
    </row>
    <row r="2953" spans="1:24" x14ac:dyDescent="0.2">
      <c r="A2953" s="1961"/>
      <c r="B2953" s="1961"/>
      <c r="C2953" s="1900"/>
      <c r="D2953" s="1901"/>
      <c r="E2953" s="1902"/>
      <c r="F2953" s="18"/>
      <c r="G2953" s="1903"/>
      <c r="H2953" s="22"/>
      <c r="I2953" s="1904"/>
      <c r="J2953" s="16"/>
      <c r="L2953" s="16"/>
      <c r="M2953" s="16"/>
      <c r="N2953" s="1905"/>
      <c r="O2953" s="21"/>
      <c r="P2953" s="17"/>
      <c r="Q2953" s="17"/>
      <c r="R2953" s="17"/>
      <c r="S2953" s="1906"/>
      <c r="T2953" s="1901"/>
      <c r="U2953" s="1901"/>
      <c r="V2953" s="1901"/>
      <c r="W2953" s="1681"/>
      <c r="X2953" s="1901"/>
    </row>
    <row r="2954" spans="1:24" x14ac:dyDescent="0.2">
      <c r="A2954" s="1907"/>
      <c r="B2954" s="1908"/>
      <c r="C2954" s="1900"/>
      <c r="D2954" s="1901"/>
      <c r="E2954" s="1902"/>
      <c r="F2954" s="18"/>
      <c r="G2954" s="1903"/>
      <c r="H2954" s="22"/>
      <c r="I2954" s="1904"/>
      <c r="J2954" s="16"/>
      <c r="L2954" s="16"/>
      <c r="M2954" s="16"/>
      <c r="N2954" s="1905"/>
      <c r="O2954" s="21"/>
      <c r="P2954" s="17"/>
      <c r="Q2954" s="17"/>
      <c r="R2954" s="17"/>
      <c r="S2954" s="1906"/>
      <c r="T2954" s="1901"/>
      <c r="U2954" s="1901"/>
      <c r="V2954" s="1901"/>
      <c r="W2954" s="1681"/>
      <c r="X2954" s="1901"/>
    </row>
    <row r="2955" spans="1:24" x14ac:dyDescent="0.2">
      <c r="A2955" s="1907"/>
      <c r="B2955" s="1680"/>
      <c r="C2955" s="1900"/>
      <c r="D2955" s="1901"/>
      <c r="E2955" s="1902"/>
      <c r="F2955" s="18"/>
      <c r="G2955" s="1903"/>
      <c r="H2955" s="22"/>
      <c r="I2955" s="1904"/>
      <c r="J2955" s="16"/>
      <c r="L2955" s="16"/>
      <c r="M2955" s="16"/>
      <c r="N2955" s="1905"/>
      <c r="O2955" s="21"/>
      <c r="P2955" s="17"/>
      <c r="Q2955" s="17"/>
      <c r="R2955" s="17"/>
      <c r="S2955" s="1906"/>
      <c r="T2955" s="1901"/>
      <c r="U2955" s="1901"/>
      <c r="V2955" s="1901"/>
      <c r="W2955" s="1681"/>
      <c r="X2955" s="1901"/>
    </row>
    <row r="2956" spans="1:24" x14ac:dyDescent="0.2">
      <c r="A2956" s="1907"/>
      <c r="B2956" s="1681"/>
      <c r="C2956" s="1900"/>
      <c r="D2956" s="1901"/>
      <c r="E2956" s="1902"/>
      <c r="F2956" s="18"/>
      <c r="G2956" s="1903"/>
      <c r="H2956" s="22"/>
      <c r="I2956" s="1904"/>
      <c r="J2956" s="16"/>
      <c r="L2956" s="16"/>
      <c r="M2956" s="16"/>
      <c r="N2956" s="1905"/>
      <c r="O2956" s="21"/>
      <c r="P2956" s="17"/>
      <c r="Q2956" s="17"/>
      <c r="R2956" s="17"/>
      <c r="S2956" s="1906"/>
      <c r="T2956" s="1901"/>
      <c r="U2956" s="1901"/>
      <c r="V2956" s="1901"/>
      <c r="W2956" s="1681"/>
      <c r="X2956" s="1901"/>
    </row>
    <row r="2957" spans="1:24" x14ac:dyDescent="0.2">
      <c r="A2957" s="1907"/>
      <c r="B2957" s="1713"/>
      <c r="C2957" s="1900"/>
      <c r="D2957" s="1901"/>
      <c r="E2957" s="1902"/>
      <c r="F2957" s="18"/>
      <c r="G2957" s="1903"/>
      <c r="H2957" s="22"/>
      <c r="I2957" s="1904"/>
      <c r="J2957" s="16"/>
      <c r="L2957" s="16"/>
      <c r="M2957" s="16"/>
      <c r="N2957" s="1905"/>
      <c r="O2957" s="21"/>
      <c r="P2957" s="17"/>
      <c r="Q2957" s="17"/>
      <c r="R2957" s="17"/>
      <c r="S2957" s="1906"/>
      <c r="T2957" s="1901"/>
      <c r="U2957" s="1901"/>
      <c r="V2957" s="1901"/>
      <c r="W2957" s="1681"/>
      <c r="X2957" s="1901"/>
    </row>
    <row r="2958" spans="1:24" x14ac:dyDescent="0.2">
      <c r="A2958" s="1907"/>
      <c r="B2958" s="1681"/>
      <c r="C2958" s="1900"/>
      <c r="D2958" s="1901"/>
      <c r="E2958" s="1902"/>
      <c r="F2958" s="18"/>
      <c r="G2958" s="1903"/>
      <c r="H2958" s="22"/>
      <c r="I2958" s="1904"/>
      <c r="J2958" s="16"/>
      <c r="L2958" s="16"/>
      <c r="M2958" s="16"/>
      <c r="N2958" s="1905"/>
      <c r="O2958" s="21"/>
      <c r="P2958" s="17"/>
      <c r="Q2958" s="17"/>
      <c r="R2958" s="17"/>
      <c r="S2958" s="1906"/>
      <c r="T2958" s="1901"/>
      <c r="U2958" s="1901"/>
      <c r="V2958" s="1901"/>
      <c r="W2958" s="1681"/>
      <c r="X2958" s="1901"/>
    </row>
    <row r="2959" spans="1:24" x14ac:dyDescent="0.2">
      <c r="A2959" s="1907"/>
      <c r="B2959" s="1909"/>
      <c r="C2959" s="1900"/>
      <c r="D2959" s="1901"/>
      <c r="E2959" s="1902"/>
      <c r="F2959" s="1842"/>
      <c r="G2959" s="1903"/>
      <c r="H2959" s="22"/>
      <c r="I2959" s="1904"/>
      <c r="J2959" s="16"/>
      <c r="L2959" s="16"/>
      <c r="M2959" s="16"/>
      <c r="N2959" s="1905"/>
      <c r="O2959" s="21"/>
      <c r="P2959" s="17"/>
      <c r="Q2959" s="17"/>
      <c r="R2959" s="17"/>
      <c r="S2959" s="1906"/>
      <c r="T2959" s="1901"/>
      <c r="U2959" s="1901"/>
      <c r="V2959" s="1901"/>
      <c r="W2959" s="1681"/>
      <c r="X2959" s="1901"/>
    </row>
    <row r="2960" spans="1:24" x14ac:dyDescent="0.2">
      <c r="A2960" s="1961"/>
      <c r="B2960" s="1961"/>
      <c r="C2960" s="1900"/>
      <c r="D2960" s="1901"/>
      <c r="E2960" s="1902"/>
      <c r="F2960" s="18"/>
      <c r="G2960" s="1903"/>
      <c r="H2960" s="22"/>
      <c r="I2960" s="1904"/>
      <c r="J2960" s="16"/>
      <c r="L2960" s="16"/>
      <c r="M2960" s="16"/>
      <c r="N2960" s="1905"/>
      <c r="O2960" s="21"/>
      <c r="P2960" s="17"/>
      <c r="Q2960" s="17"/>
      <c r="R2960" s="17"/>
      <c r="S2960" s="1906"/>
      <c r="T2960" s="1901"/>
      <c r="U2960" s="1901"/>
      <c r="V2960" s="1901"/>
      <c r="W2960" s="1681"/>
      <c r="X2960" s="1901"/>
    </row>
    <row r="2961" spans="1:24" x14ac:dyDescent="0.2">
      <c r="A2961" s="1907"/>
      <c r="B2961" s="1908"/>
      <c r="C2961" s="1900"/>
      <c r="D2961" s="1901"/>
      <c r="E2961" s="1902"/>
      <c r="F2961" s="18"/>
      <c r="G2961" s="1903"/>
      <c r="H2961" s="22"/>
      <c r="I2961" s="1904"/>
      <c r="J2961" s="16"/>
      <c r="L2961" s="16"/>
      <c r="M2961" s="16"/>
      <c r="N2961" s="1905"/>
      <c r="O2961" s="21"/>
      <c r="P2961" s="17"/>
      <c r="Q2961" s="17"/>
      <c r="R2961" s="17"/>
      <c r="S2961" s="1906"/>
      <c r="T2961" s="1901"/>
      <c r="U2961" s="1901"/>
      <c r="V2961" s="1901"/>
      <c r="W2961" s="1681"/>
      <c r="X2961" s="1901"/>
    </row>
    <row r="2962" spans="1:24" x14ac:dyDescent="0.2">
      <c r="A2962" s="1907"/>
      <c r="B2962" s="1680"/>
      <c r="C2962" s="1900"/>
      <c r="D2962" s="1901"/>
      <c r="E2962" s="1902"/>
      <c r="F2962" s="18"/>
      <c r="G2962" s="1903"/>
      <c r="H2962" s="22"/>
      <c r="I2962" s="1904"/>
      <c r="J2962" s="16"/>
      <c r="L2962" s="16"/>
      <c r="M2962" s="16"/>
      <c r="N2962" s="1905"/>
      <c r="O2962" s="21"/>
      <c r="P2962" s="17"/>
      <c r="Q2962" s="17"/>
      <c r="R2962" s="17"/>
      <c r="S2962" s="1906"/>
      <c r="T2962" s="1901"/>
      <c r="U2962" s="1901"/>
      <c r="V2962" s="1901"/>
      <c r="W2962" s="1681"/>
      <c r="X2962" s="1901"/>
    </row>
    <row r="2963" spans="1:24" x14ac:dyDescent="0.2">
      <c r="A2963" s="1907"/>
      <c r="B2963" s="1681"/>
      <c r="C2963" s="1900"/>
      <c r="D2963" s="1901"/>
      <c r="E2963" s="1902"/>
      <c r="F2963" s="18"/>
      <c r="G2963" s="1903"/>
      <c r="H2963" s="22"/>
      <c r="I2963" s="1904"/>
      <c r="J2963" s="16"/>
      <c r="L2963" s="16"/>
      <c r="M2963" s="16"/>
      <c r="N2963" s="1905"/>
      <c r="O2963" s="21"/>
      <c r="P2963" s="17"/>
      <c r="Q2963" s="17"/>
      <c r="R2963" s="17"/>
      <c r="S2963" s="1906"/>
      <c r="T2963" s="1901"/>
      <c r="U2963" s="1901"/>
      <c r="V2963" s="1901"/>
      <c r="W2963" s="1681"/>
      <c r="X2963" s="1901"/>
    </row>
    <row r="2964" spans="1:24" x14ac:dyDescent="0.2">
      <c r="A2964" s="1907"/>
      <c r="B2964" s="1713"/>
      <c r="C2964" s="1900"/>
      <c r="D2964" s="1901"/>
      <c r="E2964" s="1902"/>
      <c r="F2964" s="18"/>
      <c r="G2964" s="1903"/>
      <c r="H2964" s="22"/>
      <c r="I2964" s="1904"/>
      <c r="J2964" s="16"/>
      <c r="L2964" s="16"/>
      <c r="M2964" s="16"/>
      <c r="N2964" s="1905"/>
      <c r="O2964" s="21"/>
      <c r="P2964" s="17"/>
      <c r="Q2964" s="17"/>
      <c r="R2964" s="17"/>
      <c r="S2964" s="1906"/>
      <c r="T2964" s="1901"/>
      <c r="U2964" s="1901"/>
      <c r="V2964" s="1901"/>
      <c r="W2964" s="1681"/>
      <c r="X2964" s="1901"/>
    </row>
    <row r="2965" spans="1:24" x14ac:dyDescent="0.2">
      <c r="A2965" s="1907"/>
      <c r="B2965" s="1681"/>
      <c r="C2965" s="1900"/>
      <c r="D2965" s="1901"/>
      <c r="E2965" s="1902"/>
      <c r="F2965" s="18"/>
      <c r="G2965" s="1903"/>
      <c r="H2965" s="22"/>
      <c r="I2965" s="1904"/>
      <c r="J2965" s="16"/>
      <c r="L2965" s="16"/>
      <c r="M2965" s="16"/>
      <c r="N2965" s="1905"/>
      <c r="O2965" s="21"/>
      <c r="P2965" s="17"/>
      <c r="Q2965" s="17"/>
      <c r="R2965" s="17"/>
      <c r="S2965" s="1906"/>
      <c r="T2965" s="1901"/>
      <c r="U2965" s="1901"/>
      <c r="V2965" s="1901"/>
      <c r="W2965" s="1681"/>
      <c r="X2965" s="1901"/>
    </row>
    <row r="2966" spans="1:24" x14ac:dyDescent="0.2">
      <c r="A2966" s="1907"/>
      <c r="B2966" s="1909"/>
      <c r="C2966" s="1900"/>
      <c r="D2966" s="1901"/>
      <c r="E2966" s="1902"/>
      <c r="F2966" s="1842"/>
      <c r="G2966" s="1903"/>
      <c r="H2966" s="22"/>
      <c r="I2966" s="1904"/>
      <c r="J2966" s="16"/>
      <c r="L2966" s="16"/>
      <c r="M2966" s="16"/>
      <c r="N2966" s="1905"/>
      <c r="O2966" s="21"/>
      <c r="P2966" s="17"/>
      <c r="Q2966" s="17"/>
      <c r="R2966" s="17"/>
      <c r="S2966" s="1906"/>
      <c r="T2966" s="1901"/>
      <c r="U2966" s="1901"/>
      <c r="V2966" s="1901"/>
      <c r="W2966" s="1681"/>
      <c r="X2966" s="1901"/>
    </row>
    <row r="2967" spans="1:24" x14ac:dyDescent="0.2">
      <c r="A2967" s="1961"/>
      <c r="B2967" s="1961"/>
      <c r="C2967" s="1900"/>
      <c r="D2967" s="1901"/>
      <c r="E2967" s="1902"/>
      <c r="F2967" s="18"/>
      <c r="G2967" s="1903"/>
      <c r="H2967" s="22"/>
      <c r="I2967" s="1904"/>
      <c r="J2967" s="16"/>
      <c r="L2967" s="16"/>
      <c r="M2967" s="16"/>
      <c r="N2967" s="1905"/>
      <c r="O2967" s="21"/>
      <c r="P2967" s="17"/>
      <c r="Q2967" s="17"/>
      <c r="R2967" s="17"/>
      <c r="S2967" s="1906"/>
      <c r="T2967" s="1901"/>
      <c r="U2967" s="1901"/>
      <c r="V2967" s="1901"/>
      <c r="W2967" s="1681"/>
      <c r="X2967" s="1901"/>
    </row>
    <row r="2968" spans="1:24" x14ac:dyDescent="0.2">
      <c r="A2968" s="1907"/>
      <c r="B2968" s="1908"/>
      <c r="C2968" s="1900"/>
      <c r="D2968" s="1901"/>
      <c r="E2968" s="1902"/>
      <c r="F2968" s="18"/>
      <c r="G2968" s="1903"/>
      <c r="H2968" s="22"/>
      <c r="I2968" s="1904"/>
      <c r="J2968" s="16"/>
      <c r="L2968" s="16"/>
      <c r="M2968" s="16"/>
      <c r="N2968" s="1905"/>
      <c r="O2968" s="21"/>
      <c r="P2968" s="17"/>
      <c r="Q2968" s="17"/>
      <c r="R2968" s="17"/>
      <c r="S2968" s="1906"/>
      <c r="T2968" s="1901"/>
      <c r="U2968" s="1901"/>
      <c r="V2968" s="1901"/>
      <c r="W2968" s="1681"/>
      <c r="X2968" s="1901"/>
    </row>
    <row r="2969" spans="1:24" x14ac:dyDescent="0.2">
      <c r="A2969" s="1907"/>
      <c r="B2969" s="1680"/>
      <c r="C2969" s="1900"/>
      <c r="D2969" s="1901"/>
      <c r="E2969" s="1902"/>
      <c r="F2969" s="18"/>
      <c r="G2969" s="1903"/>
      <c r="H2969" s="22"/>
      <c r="I2969" s="1904"/>
      <c r="J2969" s="16"/>
      <c r="L2969" s="16"/>
      <c r="M2969" s="16"/>
      <c r="N2969" s="1905"/>
      <c r="O2969" s="21"/>
      <c r="P2969" s="17"/>
      <c r="Q2969" s="17"/>
      <c r="R2969" s="17"/>
      <c r="S2969" s="1906"/>
      <c r="T2969" s="1901"/>
      <c r="U2969" s="1901"/>
      <c r="V2969" s="1901"/>
      <c r="W2969" s="1681"/>
      <c r="X2969" s="1901"/>
    </row>
    <row r="2970" spans="1:24" x14ac:dyDescent="0.2">
      <c r="A2970" s="1907"/>
      <c r="B2970" s="1681"/>
      <c r="C2970" s="1900"/>
      <c r="D2970" s="1901"/>
      <c r="E2970" s="1902"/>
      <c r="F2970" s="18"/>
      <c r="G2970" s="1903"/>
      <c r="H2970" s="22"/>
      <c r="I2970" s="1904"/>
      <c r="J2970" s="16"/>
      <c r="L2970" s="16"/>
      <c r="M2970" s="16"/>
      <c r="N2970" s="1905"/>
      <c r="O2970" s="21"/>
      <c r="P2970" s="17"/>
      <c r="Q2970" s="17"/>
      <c r="R2970" s="17"/>
      <c r="S2970" s="1906"/>
      <c r="T2970" s="1901"/>
      <c r="U2970" s="1901"/>
      <c r="V2970" s="1901"/>
      <c r="W2970" s="1681"/>
      <c r="X2970" s="1901"/>
    </row>
    <row r="2971" spans="1:24" x14ac:dyDescent="0.2">
      <c r="A2971" s="1907"/>
      <c r="B2971" s="1713"/>
      <c r="C2971" s="1900"/>
      <c r="D2971" s="1901"/>
      <c r="E2971" s="1902"/>
      <c r="F2971" s="18"/>
      <c r="G2971" s="1903"/>
      <c r="H2971" s="22"/>
      <c r="I2971" s="1904"/>
      <c r="J2971" s="16"/>
      <c r="L2971" s="16"/>
      <c r="M2971" s="16"/>
      <c r="N2971" s="1905"/>
      <c r="O2971" s="21"/>
      <c r="P2971" s="17"/>
      <c r="Q2971" s="17"/>
      <c r="R2971" s="17"/>
      <c r="S2971" s="1906"/>
      <c r="T2971" s="1901"/>
      <c r="U2971" s="1901"/>
      <c r="V2971" s="1901"/>
      <c r="W2971" s="1681"/>
      <c r="X2971" s="1901"/>
    </row>
    <row r="2972" spans="1:24" x14ac:dyDescent="0.2">
      <c r="A2972" s="1907"/>
      <c r="B2972" s="1681"/>
      <c r="C2972" s="1900"/>
      <c r="D2972" s="1901"/>
      <c r="E2972" s="1902"/>
      <c r="F2972" s="18"/>
      <c r="G2972" s="1903"/>
      <c r="H2972" s="22"/>
      <c r="I2972" s="1904"/>
      <c r="J2972" s="16"/>
      <c r="L2972" s="16"/>
      <c r="M2972" s="16"/>
      <c r="N2972" s="1905"/>
      <c r="O2972" s="21"/>
      <c r="P2972" s="17"/>
      <c r="Q2972" s="17"/>
      <c r="R2972" s="17"/>
      <c r="S2972" s="1906"/>
      <c r="T2972" s="1901"/>
      <c r="U2972" s="1901"/>
      <c r="V2972" s="1901"/>
      <c r="W2972" s="1681"/>
      <c r="X2972" s="1901"/>
    </row>
    <row r="2973" spans="1:24" x14ac:dyDescent="0.2">
      <c r="A2973" s="1907"/>
      <c r="B2973" s="1909"/>
      <c r="C2973" s="1900"/>
      <c r="D2973" s="1901"/>
      <c r="E2973" s="1902"/>
      <c r="F2973" s="1842"/>
      <c r="G2973" s="1903"/>
      <c r="H2973" s="22"/>
      <c r="I2973" s="1904"/>
      <c r="J2973" s="16"/>
      <c r="L2973" s="16"/>
      <c r="M2973" s="16"/>
      <c r="N2973" s="1905"/>
      <c r="O2973" s="21"/>
      <c r="P2973" s="17"/>
      <c r="Q2973" s="17"/>
      <c r="R2973" s="17"/>
      <c r="S2973" s="1906"/>
      <c r="T2973" s="1901"/>
      <c r="U2973" s="1901"/>
      <c r="V2973" s="1901"/>
      <c r="W2973" s="1681"/>
      <c r="X2973" s="1901"/>
    </row>
    <row r="2974" spans="1:24" x14ac:dyDescent="0.2">
      <c r="A2974" s="1961"/>
      <c r="B2974" s="1961"/>
      <c r="C2974" s="1900"/>
      <c r="D2974" s="1901"/>
      <c r="E2974" s="1902"/>
      <c r="F2974" s="18"/>
      <c r="G2974" s="1903"/>
      <c r="H2974" s="22"/>
      <c r="I2974" s="1904"/>
      <c r="J2974" s="16"/>
      <c r="L2974" s="16"/>
      <c r="M2974" s="16"/>
      <c r="N2974" s="1905"/>
      <c r="O2974" s="21"/>
      <c r="P2974" s="17"/>
      <c r="Q2974" s="17"/>
      <c r="R2974" s="17"/>
      <c r="S2974" s="1906"/>
      <c r="T2974" s="1901"/>
      <c r="U2974" s="1901"/>
      <c r="V2974" s="1901"/>
      <c r="W2974" s="1681"/>
      <c r="X2974" s="1901"/>
    </row>
    <row r="2975" spans="1:24" x14ac:dyDescent="0.2">
      <c r="A2975" s="1907"/>
      <c r="B2975" s="1908"/>
      <c r="C2975" s="1900"/>
      <c r="D2975" s="1901"/>
      <c r="E2975" s="1902"/>
      <c r="F2975" s="18"/>
      <c r="G2975" s="1903"/>
      <c r="H2975" s="22"/>
      <c r="I2975" s="1904"/>
      <c r="J2975" s="16"/>
      <c r="L2975" s="16"/>
      <c r="M2975" s="16"/>
      <c r="N2975" s="1905"/>
      <c r="O2975" s="21"/>
      <c r="P2975" s="17"/>
      <c r="Q2975" s="17"/>
      <c r="R2975" s="17"/>
      <c r="S2975" s="1906"/>
      <c r="T2975" s="1901"/>
      <c r="U2975" s="1901"/>
      <c r="V2975" s="1901"/>
      <c r="W2975" s="1681"/>
      <c r="X2975" s="1901"/>
    </row>
    <row r="2976" spans="1:24" x14ac:dyDescent="0.2">
      <c r="A2976" s="1907"/>
      <c r="B2976" s="1680"/>
      <c r="C2976" s="1900"/>
      <c r="D2976" s="1901"/>
      <c r="E2976" s="1902"/>
      <c r="F2976" s="18"/>
      <c r="G2976" s="1903"/>
      <c r="H2976" s="22"/>
      <c r="I2976" s="1904"/>
      <c r="J2976" s="16"/>
      <c r="L2976" s="16"/>
      <c r="M2976" s="16"/>
      <c r="N2976" s="1905"/>
      <c r="O2976" s="21"/>
      <c r="P2976" s="17"/>
      <c r="Q2976" s="17"/>
      <c r="R2976" s="17"/>
      <c r="S2976" s="1906"/>
      <c r="T2976" s="1901"/>
      <c r="U2976" s="1901"/>
      <c r="V2976" s="1901"/>
      <c r="W2976" s="1681"/>
      <c r="X2976" s="1901"/>
    </row>
    <row r="2977" spans="1:24" x14ac:dyDescent="0.2">
      <c r="A2977" s="1907"/>
      <c r="B2977" s="1681"/>
      <c r="C2977" s="1900"/>
      <c r="D2977" s="1901"/>
      <c r="E2977" s="1902"/>
      <c r="F2977" s="18"/>
      <c r="G2977" s="1903"/>
      <c r="H2977" s="22"/>
      <c r="I2977" s="1904"/>
      <c r="J2977" s="16"/>
      <c r="L2977" s="16"/>
      <c r="M2977" s="16"/>
      <c r="N2977" s="1905"/>
      <c r="O2977" s="21"/>
      <c r="P2977" s="17"/>
      <c r="Q2977" s="17"/>
      <c r="R2977" s="17"/>
      <c r="S2977" s="1906"/>
      <c r="T2977" s="1901"/>
      <c r="U2977" s="1901"/>
      <c r="V2977" s="1901"/>
      <c r="W2977" s="1681"/>
      <c r="X2977" s="1901"/>
    </row>
    <row r="2978" spans="1:24" x14ac:dyDescent="0.2">
      <c r="A2978" s="1907"/>
      <c r="B2978" s="1713"/>
      <c r="C2978" s="1900"/>
      <c r="D2978" s="1901"/>
      <c r="E2978" s="1902"/>
      <c r="F2978" s="18"/>
      <c r="G2978" s="1903"/>
      <c r="H2978" s="22"/>
      <c r="I2978" s="1904"/>
      <c r="J2978" s="16"/>
      <c r="L2978" s="16"/>
      <c r="M2978" s="16"/>
      <c r="N2978" s="1905"/>
      <c r="O2978" s="21"/>
      <c r="P2978" s="17"/>
      <c r="Q2978" s="17"/>
      <c r="R2978" s="17"/>
      <c r="S2978" s="1906"/>
      <c r="T2978" s="1901"/>
      <c r="U2978" s="1901"/>
      <c r="V2978" s="1901"/>
      <c r="W2978" s="1681"/>
      <c r="X2978" s="1901"/>
    </row>
    <row r="2979" spans="1:24" x14ac:dyDescent="0.2">
      <c r="A2979" s="1907"/>
      <c r="B2979" s="1681"/>
      <c r="C2979" s="1900"/>
      <c r="D2979" s="1901"/>
      <c r="E2979" s="1902"/>
      <c r="F2979" s="18"/>
      <c r="G2979" s="1903"/>
      <c r="H2979" s="22"/>
      <c r="I2979" s="1904"/>
      <c r="J2979" s="16"/>
      <c r="L2979" s="16"/>
      <c r="M2979" s="16"/>
      <c r="N2979" s="1905"/>
      <c r="O2979" s="21"/>
      <c r="P2979" s="17"/>
      <c r="Q2979" s="17"/>
      <c r="R2979" s="17"/>
      <c r="S2979" s="1906"/>
      <c r="T2979" s="1901"/>
      <c r="U2979" s="1901"/>
      <c r="V2979" s="1901"/>
      <c r="W2979" s="1681"/>
      <c r="X2979" s="1901"/>
    </row>
    <row r="2980" spans="1:24" x14ac:dyDescent="0.2">
      <c r="A2980" s="1907"/>
      <c r="B2980" s="1909"/>
      <c r="C2980" s="1900"/>
      <c r="D2980" s="1901"/>
      <c r="E2980" s="1902"/>
      <c r="F2980" s="1842"/>
      <c r="G2980" s="1903"/>
      <c r="H2980" s="22"/>
      <c r="I2980" s="1904"/>
      <c r="J2980" s="16"/>
      <c r="L2980" s="16"/>
      <c r="M2980" s="16"/>
      <c r="N2980" s="1905"/>
      <c r="O2980" s="21"/>
      <c r="P2980" s="17"/>
      <c r="Q2980" s="17"/>
      <c r="R2980" s="17"/>
      <c r="S2980" s="1906"/>
      <c r="T2980" s="1901"/>
      <c r="U2980" s="1901"/>
      <c r="V2980" s="1901"/>
      <c r="W2980" s="1681"/>
      <c r="X2980" s="1901"/>
    </row>
    <row r="2981" spans="1:24" x14ac:dyDescent="0.2">
      <c r="A2981" s="1961"/>
      <c r="B2981" s="1961"/>
      <c r="C2981" s="1900"/>
      <c r="D2981" s="1901"/>
      <c r="E2981" s="1902"/>
      <c r="F2981" s="18"/>
      <c r="G2981" s="1903"/>
      <c r="H2981" s="22"/>
      <c r="I2981" s="1904"/>
      <c r="J2981" s="16"/>
      <c r="L2981" s="16"/>
      <c r="M2981" s="16"/>
      <c r="N2981" s="1905"/>
      <c r="O2981" s="21"/>
      <c r="P2981" s="17"/>
      <c r="Q2981" s="17"/>
      <c r="R2981" s="17"/>
      <c r="S2981" s="1906"/>
      <c r="T2981" s="1901"/>
      <c r="U2981" s="1901"/>
      <c r="V2981" s="1901"/>
      <c r="W2981" s="1681"/>
      <c r="X2981" s="1901"/>
    </row>
    <row r="2982" spans="1:24" x14ac:dyDescent="0.2">
      <c r="A2982" s="1907"/>
      <c r="B2982" s="1908"/>
      <c r="C2982" s="1900"/>
      <c r="D2982" s="1901"/>
      <c r="E2982" s="1902"/>
      <c r="F2982" s="18"/>
      <c r="G2982" s="1903"/>
      <c r="H2982" s="22"/>
      <c r="I2982" s="1904"/>
      <c r="J2982" s="16"/>
      <c r="L2982" s="16"/>
      <c r="M2982" s="16"/>
      <c r="N2982" s="1905"/>
      <c r="O2982" s="21"/>
      <c r="P2982" s="17"/>
      <c r="Q2982" s="17"/>
      <c r="R2982" s="17"/>
      <c r="S2982" s="1906"/>
      <c r="T2982" s="1901"/>
      <c r="U2982" s="1901"/>
      <c r="V2982" s="1901"/>
      <c r="W2982" s="1681"/>
      <c r="X2982" s="1901"/>
    </row>
    <row r="2983" spans="1:24" x14ac:dyDescent="0.2">
      <c r="A2983" s="1907"/>
      <c r="B2983" s="1680"/>
      <c r="C2983" s="1900"/>
      <c r="D2983" s="1901"/>
      <c r="E2983" s="1902"/>
      <c r="F2983" s="18"/>
      <c r="G2983" s="1903"/>
      <c r="H2983" s="22"/>
      <c r="I2983" s="1904"/>
      <c r="J2983" s="16"/>
      <c r="L2983" s="16"/>
      <c r="M2983" s="16"/>
      <c r="N2983" s="1905"/>
      <c r="O2983" s="21"/>
      <c r="P2983" s="17"/>
      <c r="Q2983" s="17"/>
      <c r="R2983" s="17"/>
      <c r="S2983" s="1906"/>
      <c r="T2983" s="1901"/>
      <c r="U2983" s="1901"/>
      <c r="V2983" s="1901"/>
      <c r="W2983" s="1681"/>
      <c r="X2983" s="1901"/>
    </row>
    <row r="2984" spans="1:24" x14ac:dyDescent="0.2">
      <c r="A2984" s="1907"/>
      <c r="B2984" s="1681"/>
      <c r="C2984" s="1900"/>
      <c r="D2984" s="1901"/>
      <c r="E2984" s="1902"/>
      <c r="F2984" s="18"/>
      <c r="G2984" s="1903"/>
      <c r="H2984" s="22"/>
      <c r="I2984" s="1904"/>
      <c r="J2984" s="16"/>
      <c r="L2984" s="16"/>
      <c r="M2984" s="16"/>
      <c r="N2984" s="1905"/>
      <c r="O2984" s="21"/>
      <c r="P2984" s="17"/>
      <c r="Q2984" s="17"/>
      <c r="R2984" s="17"/>
      <c r="S2984" s="1906"/>
      <c r="T2984" s="1901"/>
      <c r="U2984" s="1901"/>
      <c r="V2984" s="1901"/>
      <c r="W2984" s="1681"/>
      <c r="X2984" s="1901"/>
    </row>
    <row r="2985" spans="1:24" x14ac:dyDescent="0.2">
      <c r="A2985" s="1907"/>
      <c r="B2985" s="1713"/>
      <c r="C2985" s="1900"/>
      <c r="D2985" s="1901"/>
      <c r="E2985" s="1902"/>
      <c r="F2985" s="18"/>
      <c r="G2985" s="1903"/>
      <c r="H2985" s="22"/>
      <c r="I2985" s="1904"/>
      <c r="J2985" s="16"/>
      <c r="L2985" s="16"/>
      <c r="M2985" s="16"/>
      <c r="N2985" s="1905"/>
      <c r="O2985" s="21"/>
      <c r="P2985" s="17"/>
      <c r="Q2985" s="17"/>
      <c r="R2985" s="17"/>
      <c r="S2985" s="1906"/>
      <c r="T2985" s="1901"/>
      <c r="U2985" s="1901"/>
      <c r="V2985" s="1901"/>
      <c r="W2985" s="1681"/>
      <c r="X2985" s="1901"/>
    </row>
    <row r="2986" spans="1:24" x14ac:dyDescent="0.2">
      <c r="A2986" s="1907"/>
      <c r="B2986" s="1681"/>
      <c r="C2986" s="1900"/>
      <c r="D2986" s="1901"/>
      <c r="E2986" s="1902"/>
      <c r="F2986" s="18"/>
      <c r="G2986" s="1903"/>
      <c r="H2986" s="22"/>
      <c r="I2986" s="1904"/>
      <c r="J2986" s="16"/>
      <c r="L2986" s="16"/>
      <c r="M2986" s="16"/>
      <c r="N2986" s="1905"/>
      <c r="O2986" s="21"/>
      <c r="P2986" s="17"/>
      <c r="Q2986" s="17"/>
      <c r="R2986" s="17"/>
      <c r="S2986" s="1906"/>
      <c r="T2986" s="1901"/>
      <c r="U2986" s="1901"/>
      <c r="V2986" s="1901"/>
      <c r="W2986" s="1681"/>
      <c r="X2986" s="1901"/>
    </row>
    <row r="2987" spans="1:24" x14ac:dyDescent="0.2">
      <c r="A2987" s="1907"/>
      <c r="B2987" s="1909"/>
      <c r="C2987" s="1900"/>
      <c r="D2987" s="1901"/>
      <c r="E2987" s="1902"/>
      <c r="F2987" s="1842"/>
      <c r="G2987" s="1903"/>
      <c r="H2987" s="22"/>
      <c r="I2987" s="1904"/>
      <c r="J2987" s="16"/>
      <c r="L2987" s="16"/>
      <c r="M2987" s="16"/>
      <c r="N2987" s="1905"/>
      <c r="O2987" s="21"/>
      <c r="P2987" s="17"/>
      <c r="Q2987" s="17"/>
      <c r="R2987" s="17"/>
      <c r="S2987" s="1906"/>
      <c r="T2987" s="1901"/>
      <c r="U2987" s="1901"/>
      <c r="V2987" s="1901"/>
      <c r="W2987" s="1681"/>
      <c r="X2987" s="1901"/>
    </row>
    <row r="2988" spans="1:24" x14ac:dyDescent="0.2">
      <c r="A2988" s="1961"/>
      <c r="B2988" s="1961"/>
      <c r="C2988" s="1900"/>
      <c r="D2988" s="1901"/>
      <c r="E2988" s="1902"/>
      <c r="F2988" s="18"/>
      <c r="G2988" s="1903"/>
      <c r="H2988" s="22"/>
      <c r="I2988" s="1904"/>
      <c r="J2988" s="16"/>
      <c r="L2988" s="16"/>
      <c r="M2988" s="16"/>
      <c r="N2988" s="1905"/>
      <c r="O2988" s="21"/>
      <c r="P2988" s="17"/>
      <c r="Q2988" s="17"/>
      <c r="R2988" s="17"/>
      <c r="S2988" s="1906"/>
      <c r="T2988" s="1901"/>
      <c r="U2988" s="1901"/>
      <c r="V2988" s="1901"/>
      <c r="W2988" s="1681"/>
      <c r="X2988" s="1901"/>
    </row>
    <row r="2989" spans="1:24" x14ac:dyDescent="0.2">
      <c r="A2989" s="1907"/>
      <c r="B2989" s="1908"/>
      <c r="C2989" s="1900"/>
      <c r="D2989" s="1901"/>
      <c r="E2989" s="1902"/>
      <c r="F2989" s="18"/>
      <c r="G2989" s="1903"/>
      <c r="H2989" s="22"/>
      <c r="I2989" s="1904"/>
      <c r="J2989" s="16"/>
      <c r="L2989" s="16"/>
      <c r="M2989" s="16"/>
      <c r="N2989" s="1905"/>
      <c r="O2989" s="21"/>
      <c r="P2989" s="17"/>
      <c r="Q2989" s="17"/>
      <c r="R2989" s="17"/>
      <c r="S2989" s="1906"/>
      <c r="T2989" s="1901"/>
      <c r="U2989" s="1901"/>
      <c r="V2989" s="1901"/>
      <c r="W2989" s="1681"/>
      <c r="X2989" s="1901"/>
    </row>
    <row r="2990" spans="1:24" x14ac:dyDescent="0.2">
      <c r="A2990" s="1907"/>
      <c r="B2990" s="1680"/>
      <c r="C2990" s="1900"/>
      <c r="D2990" s="1901"/>
      <c r="E2990" s="1902"/>
      <c r="F2990" s="18"/>
      <c r="G2990" s="1903"/>
      <c r="H2990" s="22"/>
      <c r="I2990" s="1904"/>
      <c r="J2990" s="16"/>
      <c r="L2990" s="16"/>
      <c r="M2990" s="16"/>
      <c r="N2990" s="1905"/>
      <c r="O2990" s="21"/>
      <c r="P2990" s="17"/>
      <c r="Q2990" s="17"/>
      <c r="R2990" s="17"/>
      <c r="S2990" s="1906"/>
      <c r="T2990" s="1901"/>
      <c r="U2990" s="1901"/>
      <c r="V2990" s="1901"/>
      <c r="W2990" s="1681"/>
      <c r="X2990" s="1901"/>
    </row>
    <row r="2991" spans="1:24" x14ac:dyDescent="0.2">
      <c r="A2991" s="1907"/>
      <c r="B2991" s="1681"/>
      <c r="C2991" s="1900"/>
      <c r="D2991" s="1901"/>
      <c r="E2991" s="1902"/>
      <c r="F2991" s="18"/>
      <c r="G2991" s="1903"/>
      <c r="H2991" s="22"/>
      <c r="I2991" s="1904"/>
      <c r="J2991" s="16"/>
      <c r="L2991" s="16"/>
      <c r="M2991" s="16"/>
      <c r="N2991" s="1905"/>
      <c r="O2991" s="21"/>
      <c r="P2991" s="17"/>
      <c r="Q2991" s="17"/>
      <c r="R2991" s="17"/>
      <c r="S2991" s="1906"/>
      <c r="T2991" s="1901"/>
      <c r="U2991" s="1901"/>
      <c r="V2991" s="1901"/>
      <c r="W2991" s="1681"/>
      <c r="X2991" s="1901"/>
    </row>
    <row r="2992" spans="1:24" x14ac:dyDescent="0.2">
      <c r="A2992" s="1907"/>
      <c r="B2992" s="1713"/>
      <c r="C2992" s="1900"/>
      <c r="D2992" s="1901"/>
      <c r="E2992" s="1902"/>
      <c r="F2992" s="18"/>
      <c r="G2992" s="1903"/>
      <c r="H2992" s="22"/>
      <c r="I2992" s="1904"/>
      <c r="J2992" s="16"/>
      <c r="L2992" s="16"/>
      <c r="M2992" s="16"/>
      <c r="N2992" s="1905"/>
      <c r="O2992" s="21"/>
      <c r="P2992" s="17"/>
      <c r="Q2992" s="17"/>
      <c r="R2992" s="17"/>
      <c r="S2992" s="1906"/>
      <c r="T2992" s="1901"/>
      <c r="U2992" s="1901"/>
      <c r="V2992" s="1901"/>
      <c r="W2992" s="1681"/>
      <c r="X2992" s="1901"/>
    </row>
    <row r="2993" spans="1:24" x14ac:dyDescent="0.2">
      <c r="A2993" s="1907"/>
      <c r="B2993" s="1681"/>
      <c r="C2993" s="1900"/>
      <c r="D2993" s="1901"/>
      <c r="E2993" s="1902"/>
      <c r="F2993" s="18"/>
      <c r="G2993" s="1903"/>
      <c r="H2993" s="22"/>
      <c r="I2993" s="1904"/>
      <c r="J2993" s="16"/>
      <c r="L2993" s="16"/>
      <c r="M2993" s="16"/>
      <c r="N2993" s="1905"/>
      <c r="O2993" s="21"/>
      <c r="P2993" s="17"/>
      <c r="Q2993" s="17"/>
      <c r="R2993" s="17"/>
      <c r="S2993" s="1906"/>
      <c r="T2993" s="1901"/>
      <c r="U2993" s="1901"/>
      <c r="V2993" s="1901"/>
      <c r="W2993" s="1681"/>
      <c r="X2993" s="1901"/>
    </row>
    <row r="2994" spans="1:24" x14ac:dyDescent="0.2">
      <c r="A2994" s="1907"/>
      <c r="B2994" s="1909"/>
      <c r="C2994" s="1900"/>
      <c r="D2994" s="1901"/>
      <c r="E2994" s="1902"/>
      <c r="F2994" s="1842"/>
      <c r="G2994" s="1903"/>
      <c r="H2994" s="22"/>
      <c r="I2994" s="1904"/>
      <c r="J2994" s="16"/>
      <c r="L2994" s="16"/>
      <c r="M2994" s="16"/>
      <c r="N2994" s="1905"/>
      <c r="O2994" s="21"/>
      <c r="P2994" s="17"/>
      <c r="Q2994" s="17"/>
      <c r="R2994" s="17"/>
      <c r="S2994" s="1906"/>
      <c r="T2994" s="1901"/>
      <c r="U2994" s="1901"/>
      <c r="V2994" s="1901"/>
      <c r="W2994" s="1681"/>
      <c r="X2994" s="1901"/>
    </row>
    <row r="2995" spans="1:24" x14ac:dyDescent="0.2">
      <c r="A2995" s="1961"/>
      <c r="B2995" s="1961"/>
      <c r="C2995" s="1900"/>
      <c r="D2995" s="1901"/>
      <c r="E2995" s="1902"/>
      <c r="F2995" s="18"/>
      <c r="G2995" s="1903"/>
      <c r="H2995" s="22"/>
      <c r="I2995" s="1904"/>
      <c r="J2995" s="16"/>
      <c r="L2995" s="16"/>
      <c r="M2995" s="16"/>
      <c r="N2995" s="1905"/>
      <c r="O2995" s="21"/>
      <c r="P2995" s="17"/>
      <c r="Q2995" s="17"/>
      <c r="R2995" s="17"/>
      <c r="S2995" s="1906"/>
      <c r="T2995" s="1901"/>
      <c r="U2995" s="1901"/>
      <c r="V2995" s="1901"/>
      <c r="W2995" s="1681"/>
      <c r="X2995" s="1901"/>
    </row>
    <row r="2996" spans="1:24" x14ac:dyDescent="0.2">
      <c r="A2996" s="1907"/>
      <c r="B2996" s="1908"/>
      <c r="C2996" s="1900"/>
      <c r="D2996" s="1901"/>
      <c r="E2996" s="1902"/>
      <c r="F2996" s="18"/>
      <c r="G2996" s="1903"/>
      <c r="H2996" s="22"/>
      <c r="I2996" s="1904"/>
      <c r="J2996" s="16"/>
      <c r="L2996" s="16"/>
      <c r="M2996" s="16"/>
      <c r="N2996" s="1905"/>
      <c r="O2996" s="21"/>
      <c r="P2996" s="17"/>
      <c r="Q2996" s="17"/>
      <c r="R2996" s="17"/>
      <c r="S2996" s="1906"/>
      <c r="T2996" s="1901"/>
      <c r="U2996" s="1901"/>
      <c r="V2996" s="1901"/>
      <c r="W2996" s="1681"/>
      <c r="X2996" s="1901"/>
    </row>
    <row r="2997" spans="1:24" x14ac:dyDescent="0.2">
      <c r="A2997" s="1907"/>
      <c r="B2997" s="1680"/>
      <c r="C2997" s="1900"/>
      <c r="D2997" s="1901"/>
      <c r="E2997" s="1902"/>
      <c r="F2997" s="18"/>
      <c r="G2997" s="1903"/>
      <c r="H2997" s="22"/>
      <c r="I2997" s="1904"/>
      <c r="J2997" s="16"/>
      <c r="L2997" s="16"/>
      <c r="M2997" s="16"/>
      <c r="N2997" s="1905"/>
      <c r="O2997" s="21"/>
      <c r="P2997" s="17"/>
      <c r="Q2997" s="17"/>
      <c r="R2997" s="17"/>
      <c r="S2997" s="1906"/>
      <c r="T2997" s="1901"/>
      <c r="U2997" s="1901"/>
      <c r="V2997" s="1901"/>
      <c r="W2997" s="1681"/>
      <c r="X2997" s="1901"/>
    </row>
    <row r="2998" spans="1:24" x14ac:dyDescent="0.2">
      <c r="A2998" s="1907"/>
      <c r="B2998" s="1681"/>
      <c r="C2998" s="1900"/>
      <c r="D2998" s="1901"/>
      <c r="E2998" s="1902"/>
      <c r="F2998" s="18"/>
      <c r="G2998" s="1903"/>
      <c r="H2998" s="22"/>
      <c r="I2998" s="1904"/>
      <c r="J2998" s="16"/>
      <c r="L2998" s="16"/>
      <c r="M2998" s="16"/>
      <c r="N2998" s="1905"/>
      <c r="O2998" s="21"/>
      <c r="P2998" s="17"/>
      <c r="Q2998" s="17"/>
      <c r="R2998" s="17"/>
      <c r="S2998" s="1906"/>
      <c r="T2998" s="1901"/>
      <c r="U2998" s="1901"/>
      <c r="V2998" s="1901"/>
      <c r="W2998" s="1681"/>
      <c r="X2998" s="1901"/>
    </row>
    <row r="2999" spans="1:24" x14ac:dyDescent="0.2">
      <c r="A2999" s="1907"/>
      <c r="B2999" s="1713"/>
      <c r="C2999" s="1900"/>
      <c r="D2999" s="1901"/>
      <c r="E2999" s="1902"/>
      <c r="F2999" s="18"/>
      <c r="G2999" s="1903"/>
      <c r="H2999" s="22"/>
      <c r="I2999" s="1904"/>
      <c r="J2999" s="16"/>
      <c r="L2999" s="16"/>
      <c r="M2999" s="16"/>
      <c r="N2999" s="1905"/>
      <c r="O2999" s="21"/>
      <c r="P2999" s="17"/>
      <c r="Q2999" s="17"/>
      <c r="R2999" s="17"/>
      <c r="S2999" s="1906"/>
      <c r="T2999" s="1901"/>
      <c r="U2999" s="1901"/>
      <c r="V2999" s="1901"/>
      <c r="W2999" s="1681"/>
      <c r="X2999" s="1901"/>
    </row>
    <row r="3000" spans="1:24" x14ac:dyDescent="0.2">
      <c r="A3000" s="1907"/>
      <c r="B3000" s="1681"/>
      <c r="C3000" s="1900"/>
      <c r="D3000" s="1901"/>
      <c r="E3000" s="1902"/>
      <c r="F3000" s="18"/>
      <c r="G3000" s="1903"/>
      <c r="H3000" s="22"/>
      <c r="I3000" s="1904"/>
      <c r="J3000" s="16"/>
      <c r="L3000" s="16"/>
      <c r="M3000" s="16"/>
      <c r="N3000" s="1905"/>
      <c r="O3000" s="21"/>
      <c r="P3000" s="17"/>
      <c r="Q3000" s="17"/>
      <c r="R3000" s="17"/>
      <c r="S3000" s="1906"/>
      <c r="T3000" s="1901"/>
      <c r="U3000" s="1901"/>
      <c r="V3000" s="1901"/>
      <c r="W3000" s="1681"/>
      <c r="X3000" s="1901"/>
    </row>
    <row r="3001" spans="1:24" x14ac:dyDescent="0.2">
      <c r="A3001" s="1907"/>
      <c r="B3001" s="1909"/>
      <c r="C3001" s="1900"/>
      <c r="D3001" s="1901"/>
      <c r="E3001" s="1902"/>
      <c r="F3001" s="1842"/>
      <c r="G3001" s="1903"/>
      <c r="H3001" s="22"/>
      <c r="I3001" s="1904"/>
      <c r="J3001" s="16"/>
      <c r="L3001" s="16"/>
      <c r="M3001" s="16"/>
      <c r="N3001" s="1905"/>
      <c r="O3001" s="21"/>
      <c r="P3001" s="17"/>
      <c r="Q3001" s="17"/>
      <c r="R3001" s="17"/>
      <c r="S3001" s="1906"/>
      <c r="T3001" s="1901"/>
      <c r="U3001" s="1901"/>
      <c r="V3001" s="1901"/>
      <c r="W3001" s="1681"/>
      <c r="X3001" s="1901"/>
    </row>
    <row r="3002" spans="1:24" x14ac:dyDescent="0.2">
      <c r="A3002" s="1961"/>
      <c r="B3002" s="1961"/>
      <c r="C3002" s="1900"/>
      <c r="D3002" s="1901"/>
      <c r="E3002" s="1902"/>
      <c r="F3002" s="18"/>
      <c r="G3002" s="1903"/>
      <c r="H3002" s="22"/>
      <c r="I3002" s="1904"/>
      <c r="J3002" s="16"/>
      <c r="L3002" s="16"/>
      <c r="M3002" s="16"/>
      <c r="N3002" s="1905"/>
      <c r="O3002" s="21"/>
      <c r="P3002" s="17"/>
      <c r="Q3002" s="17"/>
      <c r="R3002" s="17"/>
      <c r="S3002" s="1906"/>
      <c r="T3002" s="1901"/>
      <c r="U3002" s="1901"/>
      <c r="V3002" s="1901"/>
      <c r="W3002" s="1681"/>
      <c r="X3002" s="1901"/>
    </row>
    <row r="3003" spans="1:24" x14ac:dyDescent="0.2">
      <c r="A3003" s="1907"/>
      <c r="B3003" s="1908"/>
      <c r="C3003" s="1900"/>
      <c r="D3003" s="1901"/>
      <c r="E3003" s="1902"/>
      <c r="F3003" s="18"/>
      <c r="G3003" s="1903"/>
      <c r="H3003" s="22"/>
      <c r="I3003" s="1904"/>
      <c r="J3003" s="16"/>
      <c r="L3003" s="16"/>
      <c r="M3003" s="16"/>
      <c r="N3003" s="1905"/>
      <c r="O3003" s="21"/>
      <c r="P3003" s="17"/>
      <c r="Q3003" s="17"/>
      <c r="R3003" s="17"/>
      <c r="S3003" s="1906"/>
      <c r="T3003" s="1901"/>
      <c r="U3003" s="1901"/>
      <c r="V3003" s="1901"/>
      <c r="W3003" s="1681"/>
      <c r="X3003" s="1901"/>
    </row>
    <row r="3004" spans="1:24" x14ac:dyDescent="0.2">
      <c r="A3004" s="1907"/>
      <c r="B3004" s="1680"/>
      <c r="C3004" s="1900"/>
      <c r="D3004" s="1901"/>
      <c r="E3004" s="1902"/>
      <c r="F3004" s="18"/>
      <c r="G3004" s="1903"/>
      <c r="H3004" s="22"/>
      <c r="I3004" s="1904"/>
      <c r="J3004" s="16"/>
      <c r="L3004" s="16"/>
      <c r="M3004" s="16"/>
      <c r="N3004" s="1905"/>
      <c r="O3004" s="21"/>
      <c r="P3004" s="17"/>
      <c r="Q3004" s="17"/>
      <c r="R3004" s="17"/>
      <c r="S3004" s="1906"/>
      <c r="T3004" s="1901"/>
      <c r="U3004" s="1901"/>
      <c r="V3004" s="1901"/>
      <c r="W3004" s="1681"/>
      <c r="X3004" s="1901"/>
    </row>
    <row r="3005" spans="1:24" x14ac:dyDescent="0.2">
      <c r="A3005" s="1907"/>
      <c r="B3005" s="1681"/>
      <c r="C3005" s="1900"/>
      <c r="D3005" s="1901"/>
      <c r="E3005" s="1902"/>
      <c r="F3005" s="18"/>
      <c r="G3005" s="1903"/>
      <c r="H3005" s="22"/>
      <c r="I3005" s="1904"/>
      <c r="J3005" s="16"/>
      <c r="L3005" s="16"/>
      <c r="M3005" s="16"/>
      <c r="N3005" s="1905"/>
      <c r="O3005" s="21"/>
      <c r="P3005" s="17"/>
      <c r="Q3005" s="17"/>
      <c r="R3005" s="17"/>
      <c r="S3005" s="1906"/>
      <c r="T3005" s="1901"/>
      <c r="U3005" s="1901"/>
      <c r="V3005" s="1901"/>
      <c r="W3005" s="1681"/>
      <c r="X3005" s="1901"/>
    </row>
    <row r="3006" spans="1:24" x14ac:dyDescent="0.2">
      <c r="A3006" s="1907"/>
      <c r="B3006" s="1713"/>
      <c r="C3006" s="1900"/>
      <c r="D3006" s="1901"/>
      <c r="E3006" s="1902"/>
      <c r="F3006" s="18"/>
      <c r="G3006" s="1903"/>
      <c r="H3006" s="22"/>
      <c r="I3006" s="1904"/>
      <c r="J3006" s="16"/>
      <c r="L3006" s="16"/>
      <c r="M3006" s="16"/>
      <c r="N3006" s="1905"/>
      <c r="O3006" s="21"/>
      <c r="P3006" s="17"/>
      <c r="Q3006" s="17"/>
      <c r="R3006" s="17"/>
      <c r="S3006" s="1906"/>
      <c r="T3006" s="1901"/>
      <c r="U3006" s="1901"/>
      <c r="V3006" s="1901"/>
      <c r="W3006" s="1681"/>
      <c r="X3006" s="1901"/>
    </row>
    <row r="3007" spans="1:24" x14ac:dyDescent="0.2">
      <c r="A3007" s="1907"/>
      <c r="B3007" s="1681"/>
      <c r="C3007" s="1900"/>
      <c r="D3007" s="1901"/>
      <c r="E3007" s="1902"/>
      <c r="F3007" s="18"/>
      <c r="G3007" s="1903"/>
      <c r="H3007" s="22"/>
      <c r="I3007" s="1904"/>
      <c r="J3007" s="16"/>
      <c r="L3007" s="16"/>
      <c r="M3007" s="16"/>
      <c r="N3007" s="1905"/>
      <c r="O3007" s="21"/>
      <c r="P3007" s="17"/>
      <c r="Q3007" s="17"/>
      <c r="R3007" s="17"/>
      <c r="S3007" s="1906"/>
      <c r="T3007" s="1901"/>
      <c r="U3007" s="1901"/>
      <c r="V3007" s="1901"/>
      <c r="W3007" s="1681"/>
      <c r="X3007" s="1901"/>
    </row>
    <row r="3008" spans="1:24" x14ac:dyDescent="0.2">
      <c r="A3008" s="1907"/>
      <c r="B3008" s="1909"/>
      <c r="C3008" s="1900"/>
      <c r="D3008" s="1901"/>
      <c r="E3008" s="1902"/>
      <c r="F3008" s="1842"/>
      <c r="G3008" s="1903"/>
      <c r="H3008" s="22"/>
      <c r="I3008" s="1904"/>
      <c r="J3008" s="16"/>
      <c r="L3008" s="16"/>
      <c r="M3008" s="16"/>
      <c r="N3008" s="1905"/>
      <c r="O3008" s="21"/>
      <c r="P3008" s="17"/>
      <c r="Q3008" s="17"/>
      <c r="R3008" s="17"/>
      <c r="S3008" s="1906"/>
      <c r="T3008" s="1901"/>
      <c r="U3008" s="1901"/>
      <c r="V3008" s="1901"/>
      <c r="W3008" s="1681"/>
      <c r="X3008" s="1901"/>
    </row>
    <row r="3009" spans="1:24" x14ac:dyDescent="0.2">
      <c r="A3009" s="1961"/>
      <c r="B3009" s="1961"/>
      <c r="C3009" s="1900"/>
      <c r="D3009" s="1901"/>
      <c r="E3009" s="1902"/>
      <c r="F3009" s="18"/>
      <c r="G3009" s="1903"/>
      <c r="H3009" s="22"/>
      <c r="I3009" s="1904"/>
      <c r="J3009" s="16"/>
      <c r="L3009" s="16"/>
      <c r="M3009" s="16"/>
      <c r="N3009" s="1905"/>
      <c r="O3009" s="21"/>
      <c r="P3009" s="17"/>
      <c r="Q3009" s="17"/>
      <c r="R3009" s="17"/>
      <c r="S3009" s="1906"/>
      <c r="T3009" s="1901"/>
      <c r="U3009" s="1901"/>
      <c r="V3009" s="1901"/>
      <c r="W3009" s="1681"/>
      <c r="X3009" s="1901"/>
    </row>
    <row r="3010" spans="1:24" x14ac:dyDescent="0.2">
      <c r="A3010" s="1907"/>
      <c r="B3010" s="1908"/>
      <c r="C3010" s="1900"/>
      <c r="D3010" s="1901"/>
      <c r="E3010" s="1902"/>
      <c r="F3010" s="18"/>
      <c r="G3010" s="1903"/>
      <c r="H3010" s="22"/>
      <c r="I3010" s="1904"/>
      <c r="J3010" s="16"/>
      <c r="L3010" s="16"/>
      <c r="M3010" s="16"/>
      <c r="N3010" s="1905"/>
      <c r="O3010" s="21"/>
      <c r="P3010" s="17"/>
      <c r="Q3010" s="17"/>
      <c r="R3010" s="17"/>
      <c r="S3010" s="1906"/>
      <c r="T3010" s="1901"/>
      <c r="U3010" s="1901"/>
      <c r="V3010" s="1901"/>
      <c r="W3010" s="1681"/>
      <c r="X3010" s="1901"/>
    </row>
    <row r="3011" spans="1:24" x14ac:dyDescent="0.2">
      <c r="A3011" s="1907"/>
      <c r="B3011" s="1680"/>
      <c r="C3011" s="1900"/>
      <c r="D3011" s="1901"/>
      <c r="E3011" s="1902"/>
      <c r="F3011" s="18"/>
      <c r="G3011" s="1903"/>
      <c r="H3011" s="22"/>
      <c r="I3011" s="1904"/>
      <c r="J3011" s="16"/>
      <c r="L3011" s="16"/>
      <c r="M3011" s="16"/>
      <c r="N3011" s="1905"/>
      <c r="O3011" s="21"/>
      <c r="P3011" s="17"/>
      <c r="Q3011" s="17"/>
      <c r="R3011" s="17"/>
      <c r="S3011" s="1906"/>
      <c r="T3011" s="1901"/>
      <c r="U3011" s="1901"/>
      <c r="V3011" s="1901"/>
      <c r="W3011" s="1681"/>
      <c r="X3011" s="1901"/>
    </row>
    <row r="3012" spans="1:24" x14ac:dyDescent="0.2">
      <c r="A3012" s="1907"/>
      <c r="B3012" s="1681"/>
      <c r="C3012" s="1900"/>
      <c r="D3012" s="1901"/>
      <c r="E3012" s="1902"/>
      <c r="F3012" s="18"/>
      <c r="G3012" s="1903"/>
      <c r="H3012" s="22"/>
      <c r="I3012" s="1904"/>
      <c r="J3012" s="16"/>
      <c r="L3012" s="16"/>
      <c r="M3012" s="16"/>
      <c r="N3012" s="1905"/>
      <c r="O3012" s="21"/>
      <c r="P3012" s="17"/>
      <c r="Q3012" s="17"/>
      <c r="R3012" s="17"/>
      <c r="S3012" s="1906"/>
      <c r="T3012" s="1901"/>
      <c r="U3012" s="1901"/>
      <c r="V3012" s="1901"/>
      <c r="W3012" s="1681"/>
      <c r="X3012" s="1901"/>
    </row>
    <row r="3013" spans="1:24" x14ac:dyDescent="0.2">
      <c r="A3013" s="1907"/>
      <c r="B3013" s="1713"/>
      <c r="C3013" s="1900"/>
      <c r="D3013" s="1901"/>
      <c r="E3013" s="1902"/>
      <c r="F3013" s="18"/>
      <c r="G3013" s="1903"/>
      <c r="H3013" s="22"/>
      <c r="I3013" s="1904"/>
      <c r="J3013" s="16"/>
      <c r="L3013" s="16"/>
      <c r="M3013" s="16"/>
      <c r="N3013" s="1905"/>
      <c r="O3013" s="21"/>
      <c r="P3013" s="17"/>
      <c r="Q3013" s="17"/>
      <c r="R3013" s="17"/>
      <c r="S3013" s="1906"/>
      <c r="T3013" s="1901"/>
      <c r="U3013" s="1901"/>
      <c r="V3013" s="1901"/>
      <c r="W3013" s="1681"/>
      <c r="X3013" s="1901"/>
    </row>
    <row r="3014" spans="1:24" x14ac:dyDescent="0.2">
      <c r="A3014" s="1907"/>
      <c r="B3014" s="1681"/>
      <c r="C3014" s="1900"/>
      <c r="D3014" s="1901"/>
      <c r="E3014" s="1902"/>
      <c r="F3014" s="18"/>
      <c r="G3014" s="1903"/>
      <c r="H3014" s="22"/>
      <c r="I3014" s="1904"/>
      <c r="J3014" s="16"/>
      <c r="L3014" s="16"/>
      <c r="M3014" s="16"/>
      <c r="N3014" s="1905"/>
      <c r="O3014" s="21"/>
      <c r="P3014" s="17"/>
      <c r="Q3014" s="17"/>
      <c r="R3014" s="17"/>
      <c r="S3014" s="1906"/>
      <c r="T3014" s="1901"/>
      <c r="U3014" s="1901"/>
      <c r="V3014" s="1901"/>
      <c r="W3014" s="1681"/>
      <c r="X3014" s="1901"/>
    </row>
    <row r="3015" spans="1:24" x14ac:dyDescent="0.2">
      <c r="A3015" s="1907"/>
      <c r="B3015" s="1909"/>
      <c r="C3015" s="1900"/>
      <c r="D3015" s="1901"/>
      <c r="E3015" s="1902"/>
      <c r="F3015" s="1842"/>
      <c r="G3015" s="1903"/>
      <c r="H3015" s="22"/>
      <c r="I3015" s="1904"/>
      <c r="J3015" s="16"/>
      <c r="L3015" s="16"/>
      <c r="M3015" s="16"/>
      <c r="N3015" s="1905"/>
      <c r="O3015" s="21"/>
      <c r="P3015" s="17"/>
      <c r="Q3015" s="17"/>
      <c r="R3015" s="17"/>
      <c r="S3015" s="1906"/>
      <c r="T3015" s="1901"/>
      <c r="U3015" s="1901"/>
      <c r="V3015" s="1901"/>
      <c r="W3015" s="1681"/>
      <c r="X3015" s="1901"/>
    </row>
    <row r="3016" spans="1:24" x14ac:dyDescent="0.2">
      <c r="A3016" s="1961"/>
      <c r="B3016" s="1961"/>
      <c r="C3016" s="1900"/>
      <c r="D3016" s="1901"/>
      <c r="E3016" s="1902"/>
      <c r="F3016" s="18"/>
      <c r="G3016" s="1903"/>
      <c r="H3016" s="22"/>
      <c r="I3016" s="1904"/>
      <c r="J3016" s="16"/>
      <c r="L3016" s="16"/>
      <c r="M3016" s="16"/>
      <c r="N3016" s="1905"/>
      <c r="O3016" s="21"/>
      <c r="P3016" s="17"/>
      <c r="Q3016" s="17"/>
      <c r="R3016" s="17"/>
      <c r="S3016" s="1906"/>
      <c r="T3016" s="1901"/>
      <c r="U3016" s="1901"/>
      <c r="V3016" s="1901"/>
      <c r="W3016" s="1681"/>
      <c r="X3016" s="1901"/>
    </row>
    <row r="3017" spans="1:24" x14ac:dyDescent="0.2">
      <c r="A3017" s="1907"/>
      <c r="B3017" s="1908"/>
      <c r="C3017" s="1900"/>
      <c r="D3017" s="1901"/>
      <c r="E3017" s="1902"/>
      <c r="F3017" s="18"/>
      <c r="G3017" s="1903"/>
      <c r="H3017" s="22"/>
      <c r="I3017" s="1904"/>
      <c r="J3017" s="16"/>
      <c r="L3017" s="16"/>
      <c r="M3017" s="16"/>
      <c r="N3017" s="1905"/>
      <c r="O3017" s="21"/>
      <c r="P3017" s="17"/>
      <c r="Q3017" s="17"/>
      <c r="R3017" s="17"/>
      <c r="S3017" s="1906"/>
      <c r="T3017" s="1901"/>
      <c r="U3017" s="1901"/>
      <c r="V3017" s="1901"/>
      <c r="W3017" s="1681"/>
      <c r="X3017" s="1901"/>
    </row>
    <row r="3018" spans="1:24" x14ac:dyDescent="0.2">
      <c r="A3018" s="1907"/>
      <c r="B3018" s="1680"/>
      <c r="C3018" s="1900"/>
      <c r="D3018" s="1901"/>
      <c r="E3018" s="1902"/>
      <c r="F3018" s="18"/>
      <c r="G3018" s="1903"/>
      <c r="H3018" s="22"/>
      <c r="I3018" s="1904"/>
      <c r="J3018" s="16"/>
      <c r="L3018" s="16"/>
      <c r="M3018" s="16"/>
      <c r="N3018" s="1905"/>
      <c r="O3018" s="21"/>
      <c r="P3018" s="17"/>
      <c r="Q3018" s="17"/>
      <c r="R3018" s="17"/>
      <c r="S3018" s="1906"/>
      <c r="T3018" s="1901"/>
      <c r="U3018" s="1901"/>
      <c r="V3018" s="1901"/>
      <c r="W3018" s="1681"/>
      <c r="X3018" s="1901"/>
    </row>
    <row r="3019" spans="1:24" x14ac:dyDescent="0.2">
      <c r="A3019" s="1907"/>
      <c r="B3019" s="1681"/>
      <c r="C3019" s="1900"/>
      <c r="D3019" s="1901"/>
      <c r="E3019" s="1902"/>
      <c r="F3019" s="18"/>
      <c r="G3019" s="1903"/>
      <c r="H3019" s="22"/>
      <c r="I3019" s="1904"/>
      <c r="J3019" s="16"/>
      <c r="L3019" s="16"/>
      <c r="M3019" s="16"/>
      <c r="N3019" s="1905"/>
      <c r="O3019" s="21"/>
      <c r="P3019" s="17"/>
      <c r="Q3019" s="17"/>
      <c r="R3019" s="17"/>
      <c r="S3019" s="1906"/>
      <c r="T3019" s="1901"/>
      <c r="U3019" s="1901"/>
      <c r="V3019" s="1901"/>
      <c r="W3019" s="1681"/>
      <c r="X3019" s="1901"/>
    </row>
    <row r="3020" spans="1:24" x14ac:dyDescent="0.2">
      <c r="A3020" s="1907"/>
      <c r="B3020" s="1713"/>
      <c r="C3020" s="1900"/>
      <c r="D3020" s="1901"/>
      <c r="E3020" s="1902"/>
      <c r="F3020" s="18"/>
      <c r="G3020" s="1903"/>
      <c r="H3020" s="22"/>
      <c r="I3020" s="1904"/>
      <c r="J3020" s="16"/>
      <c r="L3020" s="16"/>
      <c r="M3020" s="16"/>
      <c r="N3020" s="1905"/>
      <c r="O3020" s="21"/>
      <c r="P3020" s="17"/>
      <c r="Q3020" s="17"/>
      <c r="R3020" s="17"/>
      <c r="S3020" s="1906"/>
      <c r="T3020" s="1901"/>
      <c r="U3020" s="1901"/>
      <c r="V3020" s="1901"/>
      <c r="W3020" s="1681"/>
      <c r="X3020" s="1901"/>
    </row>
    <row r="3021" spans="1:24" x14ac:dyDescent="0.2">
      <c r="A3021" s="1907"/>
      <c r="B3021" s="1681"/>
      <c r="C3021" s="1900"/>
      <c r="D3021" s="1901"/>
      <c r="E3021" s="1902"/>
      <c r="F3021" s="18"/>
      <c r="G3021" s="1903"/>
      <c r="H3021" s="22"/>
      <c r="I3021" s="1904"/>
      <c r="J3021" s="16"/>
      <c r="L3021" s="16"/>
      <c r="M3021" s="16"/>
      <c r="N3021" s="1905"/>
      <c r="O3021" s="21"/>
      <c r="P3021" s="17"/>
      <c r="Q3021" s="17"/>
      <c r="R3021" s="17"/>
      <c r="S3021" s="1906"/>
      <c r="T3021" s="1901"/>
      <c r="U3021" s="1901"/>
      <c r="V3021" s="1901"/>
      <c r="W3021" s="1681"/>
      <c r="X3021" s="1901"/>
    </row>
    <row r="3022" spans="1:24" x14ac:dyDescent="0.2">
      <c r="A3022" s="1907"/>
      <c r="B3022" s="1909"/>
      <c r="C3022" s="1900"/>
      <c r="D3022" s="1901"/>
      <c r="E3022" s="1902"/>
      <c r="F3022" s="1842"/>
      <c r="G3022" s="1903"/>
      <c r="H3022" s="22"/>
      <c r="I3022" s="1904"/>
      <c r="J3022" s="16"/>
      <c r="L3022" s="16"/>
      <c r="M3022" s="16"/>
      <c r="N3022" s="1905"/>
      <c r="O3022" s="21"/>
      <c r="P3022" s="17"/>
      <c r="Q3022" s="17"/>
      <c r="R3022" s="17"/>
      <c r="S3022" s="1906"/>
      <c r="T3022" s="1901"/>
      <c r="U3022" s="1901"/>
      <c r="V3022" s="1901"/>
      <c r="W3022" s="1681"/>
      <c r="X3022" s="1901"/>
    </row>
    <row r="3023" spans="1:24" x14ac:dyDescent="0.2">
      <c r="A3023" s="1961"/>
      <c r="B3023" s="1961"/>
      <c r="C3023" s="1900"/>
      <c r="D3023" s="1901"/>
      <c r="E3023" s="1902"/>
      <c r="F3023" s="18"/>
      <c r="G3023" s="1903"/>
      <c r="H3023" s="22"/>
      <c r="I3023" s="1904"/>
      <c r="J3023" s="16"/>
      <c r="L3023" s="16"/>
      <c r="M3023" s="16"/>
      <c r="N3023" s="1905"/>
      <c r="O3023" s="21"/>
      <c r="P3023" s="17"/>
      <c r="Q3023" s="17"/>
      <c r="R3023" s="17"/>
      <c r="S3023" s="1906"/>
      <c r="T3023" s="1901"/>
      <c r="U3023" s="1901"/>
      <c r="V3023" s="1901"/>
      <c r="W3023" s="1681"/>
      <c r="X3023" s="1901"/>
    </row>
    <row r="3024" spans="1:24" x14ac:dyDescent="0.2">
      <c r="A3024" s="1907"/>
      <c r="B3024" s="1908"/>
      <c r="C3024" s="1900"/>
      <c r="D3024" s="1901"/>
      <c r="E3024" s="1902"/>
      <c r="F3024" s="18"/>
      <c r="G3024" s="1903"/>
      <c r="H3024" s="22"/>
      <c r="I3024" s="1904"/>
      <c r="J3024" s="16"/>
      <c r="L3024" s="16"/>
      <c r="M3024" s="16"/>
      <c r="N3024" s="1905"/>
      <c r="O3024" s="21"/>
      <c r="P3024" s="17"/>
      <c r="Q3024" s="17"/>
      <c r="R3024" s="17"/>
      <c r="S3024" s="1906"/>
      <c r="T3024" s="1901"/>
      <c r="U3024" s="1901"/>
      <c r="V3024" s="1901"/>
      <c r="W3024" s="1681"/>
      <c r="X3024" s="1901"/>
    </row>
    <row r="3025" spans="1:24" x14ac:dyDescent="0.2">
      <c r="A3025" s="1907"/>
      <c r="B3025" s="1680"/>
      <c r="C3025" s="1900"/>
      <c r="D3025" s="1901"/>
      <c r="E3025" s="1902"/>
      <c r="F3025" s="18"/>
      <c r="G3025" s="1903"/>
      <c r="H3025" s="22"/>
      <c r="I3025" s="1904"/>
      <c r="J3025" s="16"/>
      <c r="L3025" s="16"/>
      <c r="M3025" s="16"/>
      <c r="N3025" s="1905"/>
      <c r="O3025" s="21"/>
      <c r="P3025" s="17"/>
      <c r="Q3025" s="17"/>
      <c r="R3025" s="17"/>
      <c r="S3025" s="1906"/>
      <c r="T3025" s="1901"/>
      <c r="U3025" s="1901"/>
      <c r="V3025" s="1901"/>
      <c r="W3025" s="1681"/>
      <c r="X3025" s="1901"/>
    </row>
    <row r="3026" spans="1:24" x14ac:dyDescent="0.2">
      <c r="A3026" s="1907"/>
      <c r="B3026" s="1681"/>
      <c r="C3026" s="1900"/>
      <c r="D3026" s="1901"/>
      <c r="E3026" s="1902"/>
      <c r="F3026" s="18"/>
      <c r="G3026" s="1903"/>
      <c r="H3026" s="22"/>
      <c r="I3026" s="1904"/>
      <c r="J3026" s="16"/>
      <c r="L3026" s="16"/>
      <c r="M3026" s="16"/>
      <c r="N3026" s="1905"/>
      <c r="O3026" s="21"/>
      <c r="P3026" s="17"/>
      <c r="Q3026" s="17"/>
      <c r="R3026" s="17"/>
      <c r="S3026" s="1906"/>
      <c r="T3026" s="1901"/>
      <c r="U3026" s="1901"/>
      <c r="V3026" s="1901"/>
      <c r="W3026" s="1681"/>
      <c r="X3026" s="1901"/>
    </row>
    <row r="3027" spans="1:24" x14ac:dyDescent="0.2">
      <c r="A3027" s="1907"/>
      <c r="B3027" s="1713"/>
      <c r="C3027" s="1900"/>
      <c r="D3027" s="1901"/>
      <c r="E3027" s="1902"/>
      <c r="F3027" s="18"/>
      <c r="G3027" s="1903"/>
      <c r="H3027" s="22"/>
      <c r="I3027" s="1904"/>
      <c r="J3027" s="16"/>
      <c r="L3027" s="16"/>
      <c r="M3027" s="16"/>
      <c r="N3027" s="1905"/>
      <c r="O3027" s="21"/>
      <c r="P3027" s="17"/>
      <c r="Q3027" s="17"/>
      <c r="R3027" s="17"/>
      <c r="S3027" s="1906"/>
      <c r="T3027" s="1901"/>
      <c r="U3027" s="1901"/>
      <c r="V3027" s="1901"/>
      <c r="W3027" s="1681"/>
      <c r="X3027" s="1901"/>
    </row>
    <row r="3028" spans="1:24" x14ac:dyDescent="0.2">
      <c r="A3028" s="1907"/>
      <c r="B3028" s="1681"/>
      <c r="C3028" s="1900"/>
      <c r="D3028" s="1901"/>
      <c r="E3028" s="1902"/>
      <c r="F3028" s="18"/>
      <c r="G3028" s="1903"/>
      <c r="H3028" s="22"/>
      <c r="I3028" s="1904"/>
      <c r="J3028" s="16"/>
      <c r="L3028" s="16"/>
      <c r="M3028" s="16"/>
      <c r="N3028" s="1905"/>
      <c r="O3028" s="21"/>
      <c r="P3028" s="17"/>
      <c r="Q3028" s="17"/>
      <c r="R3028" s="17"/>
      <c r="S3028" s="1906"/>
      <c r="T3028" s="1901"/>
      <c r="U3028" s="1901"/>
      <c r="V3028" s="1901"/>
      <c r="W3028" s="1681"/>
      <c r="X3028" s="1901"/>
    </row>
    <row r="3029" spans="1:24" x14ac:dyDescent="0.2">
      <c r="A3029" s="1907"/>
      <c r="B3029" s="1909"/>
      <c r="C3029" s="1900"/>
      <c r="D3029" s="1901"/>
      <c r="E3029" s="1902"/>
      <c r="F3029" s="1842"/>
      <c r="G3029" s="1903"/>
      <c r="H3029" s="22"/>
      <c r="I3029" s="1904"/>
      <c r="J3029" s="16"/>
      <c r="L3029" s="16"/>
      <c r="M3029" s="16"/>
      <c r="N3029" s="1905"/>
      <c r="O3029" s="21"/>
      <c r="P3029" s="17"/>
      <c r="Q3029" s="17"/>
      <c r="R3029" s="17"/>
      <c r="S3029" s="1906"/>
      <c r="T3029" s="1901"/>
      <c r="U3029" s="1901"/>
      <c r="V3029" s="1901"/>
      <c r="W3029" s="1681"/>
      <c r="X3029" s="1901"/>
    </row>
    <row r="3030" spans="1:24" x14ac:dyDescent="0.2">
      <c r="A3030" s="1961"/>
      <c r="B3030" s="1961"/>
      <c r="C3030" s="1900"/>
      <c r="D3030" s="1901"/>
      <c r="E3030" s="1902"/>
      <c r="F3030" s="18"/>
      <c r="G3030" s="1903"/>
      <c r="H3030" s="22"/>
      <c r="I3030" s="1904"/>
      <c r="J3030" s="16"/>
      <c r="L3030" s="16"/>
      <c r="M3030" s="16"/>
      <c r="N3030" s="1905"/>
      <c r="O3030" s="21"/>
      <c r="P3030" s="17"/>
      <c r="Q3030" s="17"/>
      <c r="R3030" s="17"/>
      <c r="S3030" s="1906"/>
      <c r="T3030" s="1901"/>
      <c r="U3030" s="1901"/>
      <c r="V3030" s="1901"/>
      <c r="W3030" s="1681"/>
      <c r="X3030" s="1901"/>
    </row>
    <row r="3031" spans="1:24" x14ac:dyDescent="0.2">
      <c r="A3031" s="1907"/>
      <c r="B3031" s="1908"/>
      <c r="C3031" s="1900"/>
      <c r="D3031" s="1901"/>
      <c r="E3031" s="1902"/>
      <c r="F3031" s="18"/>
      <c r="G3031" s="1903"/>
      <c r="H3031" s="22"/>
      <c r="I3031" s="1904"/>
      <c r="J3031" s="16"/>
      <c r="L3031" s="16"/>
      <c r="M3031" s="16"/>
      <c r="N3031" s="1905"/>
      <c r="O3031" s="21"/>
      <c r="P3031" s="17"/>
      <c r="Q3031" s="17"/>
      <c r="R3031" s="17"/>
      <c r="S3031" s="1906"/>
      <c r="T3031" s="1901"/>
      <c r="U3031" s="1901"/>
      <c r="V3031" s="1901"/>
      <c r="W3031" s="1681"/>
      <c r="X3031" s="1901"/>
    </row>
    <row r="3032" spans="1:24" x14ac:dyDescent="0.2">
      <c r="A3032" s="1907"/>
      <c r="B3032" s="1680"/>
      <c r="C3032" s="1900"/>
      <c r="D3032" s="1901"/>
      <c r="E3032" s="1902"/>
      <c r="F3032" s="18"/>
      <c r="G3032" s="1903"/>
      <c r="H3032" s="22"/>
      <c r="I3032" s="1904"/>
      <c r="J3032" s="16"/>
      <c r="L3032" s="16"/>
      <c r="M3032" s="16"/>
      <c r="N3032" s="1905"/>
      <c r="O3032" s="21"/>
      <c r="P3032" s="17"/>
      <c r="Q3032" s="17"/>
      <c r="R3032" s="17"/>
      <c r="S3032" s="1906"/>
      <c r="T3032" s="1901"/>
      <c r="U3032" s="1901"/>
      <c r="V3032" s="1901"/>
      <c r="W3032" s="1681"/>
      <c r="X3032" s="1901"/>
    </row>
    <row r="3033" spans="1:24" x14ac:dyDescent="0.2">
      <c r="A3033" s="1907"/>
      <c r="B3033" s="1681"/>
      <c r="C3033" s="1900"/>
      <c r="D3033" s="1901"/>
      <c r="E3033" s="1902"/>
      <c r="F3033" s="18"/>
      <c r="G3033" s="1903"/>
      <c r="H3033" s="22"/>
      <c r="I3033" s="1904"/>
      <c r="J3033" s="16"/>
      <c r="L3033" s="16"/>
      <c r="M3033" s="16"/>
      <c r="N3033" s="1905"/>
      <c r="O3033" s="21"/>
      <c r="P3033" s="17"/>
      <c r="Q3033" s="17"/>
      <c r="R3033" s="17"/>
      <c r="S3033" s="1906"/>
      <c r="T3033" s="1901"/>
      <c r="U3033" s="1901"/>
      <c r="V3033" s="1901"/>
      <c r="W3033" s="1681"/>
      <c r="X3033" s="1901"/>
    </row>
    <row r="3034" spans="1:24" x14ac:dyDescent="0.2">
      <c r="A3034" s="1907"/>
      <c r="B3034" s="1713"/>
      <c r="C3034" s="1900"/>
      <c r="D3034" s="1901"/>
      <c r="E3034" s="1902"/>
      <c r="F3034" s="18"/>
      <c r="G3034" s="1903"/>
      <c r="H3034" s="22"/>
      <c r="I3034" s="1904"/>
      <c r="J3034" s="16"/>
      <c r="L3034" s="16"/>
      <c r="M3034" s="16"/>
      <c r="N3034" s="1905"/>
      <c r="O3034" s="21"/>
      <c r="P3034" s="17"/>
      <c r="Q3034" s="17"/>
      <c r="R3034" s="17"/>
      <c r="S3034" s="1906"/>
      <c r="T3034" s="1901"/>
      <c r="U3034" s="1901"/>
      <c r="V3034" s="1901"/>
      <c r="W3034" s="1681"/>
      <c r="X3034" s="1901"/>
    </row>
    <row r="3035" spans="1:24" x14ac:dyDescent="0.2">
      <c r="A3035" s="1907"/>
      <c r="B3035" s="1681"/>
      <c r="C3035" s="1900"/>
      <c r="D3035" s="1901"/>
      <c r="E3035" s="1902"/>
      <c r="F3035" s="18"/>
      <c r="G3035" s="1903"/>
      <c r="H3035" s="22"/>
      <c r="I3035" s="1904"/>
      <c r="J3035" s="16"/>
      <c r="L3035" s="16"/>
      <c r="M3035" s="16"/>
      <c r="N3035" s="1905"/>
      <c r="O3035" s="21"/>
      <c r="P3035" s="17"/>
      <c r="Q3035" s="17"/>
      <c r="R3035" s="17"/>
      <c r="S3035" s="1906"/>
      <c r="T3035" s="1901"/>
      <c r="U3035" s="1901"/>
      <c r="V3035" s="1901"/>
      <c r="W3035" s="1681"/>
      <c r="X3035" s="1901"/>
    </row>
    <row r="3036" spans="1:24" x14ac:dyDescent="0.2">
      <c r="A3036" s="1907"/>
      <c r="B3036" s="1909"/>
      <c r="C3036" s="1900"/>
      <c r="D3036" s="1901"/>
      <c r="E3036" s="1902"/>
      <c r="F3036" s="1842"/>
      <c r="G3036" s="1903"/>
      <c r="H3036" s="22"/>
      <c r="I3036" s="1904"/>
      <c r="J3036" s="16"/>
      <c r="L3036" s="16"/>
      <c r="M3036" s="16"/>
      <c r="N3036" s="1905"/>
      <c r="O3036" s="21"/>
      <c r="P3036" s="17"/>
      <c r="Q3036" s="17"/>
      <c r="R3036" s="17"/>
      <c r="S3036" s="1906"/>
      <c r="T3036" s="1901"/>
      <c r="U3036" s="1901"/>
      <c r="V3036" s="1901"/>
      <c r="W3036" s="1681"/>
      <c r="X3036" s="1901"/>
    </row>
    <row r="3037" spans="1:24" x14ac:dyDescent="0.2">
      <c r="A3037" s="1961"/>
      <c r="B3037" s="1961"/>
      <c r="C3037" s="1900"/>
      <c r="D3037" s="1901"/>
      <c r="E3037" s="1902"/>
      <c r="F3037" s="18"/>
      <c r="G3037" s="1903"/>
      <c r="H3037" s="22"/>
      <c r="I3037" s="1904"/>
      <c r="J3037" s="16"/>
      <c r="L3037" s="16"/>
      <c r="M3037" s="16"/>
      <c r="N3037" s="1905"/>
      <c r="O3037" s="21"/>
      <c r="P3037" s="17"/>
      <c r="Q3037" s="17"/>
      <c r="R3037" s="17"/>
      <c r="S3037" s="1906"/>
      <c r="T3037" s="1901"/>
      <c r="U3037" s="1901"/>
      <c r="V3037" s="1901"/>
      <c r="W3037" s="1681"/>
      <c r="X3037" s="1901"/>
    </row>
    <row r="3038" spans="1:24" x14ac:dyDescent="0.2">
      <c r="A3038" s="1907"/>
      <c r="B3038" s="1908"/>
      <c r="C3038" s="1900"/>
      <c r="D3038" s="1901"/>
      <c r="E3038" s="1902"/>
      <c r="F3038" s="18"/>
      <c r="G3038" s="1903"/>
      <c r="H3038" s="22"/>
      <c r="I3038" s="1904"/>
      <c r="J3038" s="16"/>
      <c r="L3038" s="16"/>
      <c r="M3038" s="16"/>
      <c r="N3038" s="1905"/>
      <c r="O3038" s="21"/>
      <c r="P3038" s="17"/>
      <c r="Q3038" s="17"/>
      <c r="R3038" s="17"/>
      <c r="S3038" s="1906"/>
      <c r="T3038" s="1901"/>
      <c r="U3038" s="1901"/>
      <c r="V3038" s="1901"/>
      <c r="W3038" s="1681"/>
      <c r="X3038" s="1901"/>
    </row>
    <row r="3039" spans="1:24" x14ac:dyDescent="0.2">
      <c r="A3039" s="1907"/>
      <c r="B3039" s="1680"/>
      <c r="C3039" s="1900"/>
      <c r="D3039" s="1901"/>
      <c r="E3039" s="1902"/>
      <c r="F3039" s="18"/>
      <c r="G3039" s="1903"/>
      <c r="H3039" s="22"/>
      <c r="I3039" s="1904"/>
      <c r="J3039" s="16"/>
      <c r="L3039" s="16"/>
      <c r="M3039" s="16"/>
      <c r="N3039" s="1905"/>
      <c r="O3039" s="21"/>
      <c r="P3039" s="17"/>
      <c r="Q3039" s="17"/>
      <c r="R3039" s="17"/>
      <c r="S3039" s="1906"/>
      <c r="T3039" s="1901"/>
      <c r="U3039" s="1901"/>
      <c r="V3039" s="1901"/>
      <c r="W3039" s="1681"/>
      <c r="X3039" s="1901"/>
    </row>
    <row r="3040" spans="1:24" x14ac:dyDescent="0.2">
      <c r="A3040" s="1907"/>
      <c r="B3040" s="1681"/>
      <c r="C3040" s="1900"/>
      <c r="D3040" s="1901"/>
      <c r="E3040" s="1902"/>
      <c r="F3040" s="18"/>
      <c r="G3040" s="1903"/>
      <c r="H3040" s="22"/>
      <c r="I3040" s="1904"/>
      <c r="J3040" s="16"/>
      <c r="L3040" s="16"/>
      <c r="M3040" s="16"/>
      <c r="N3040" s="1905"/>
      <c r="O3040" s="21"/>
      <c r="P3040" s="17"/>
      <c r="Q3040" s="17"/>
      <c r="R3040" s="17"/>
      <c r="S3040" s="1906"/>
      <c r="T3040" s="1901"/>
      <c r="U3040" s="1901"/>
      <c r="V3040" s="1901"/>
      <c r="W3040" s="1681"/>
      <c r="X3040" s="1901"/>
    </row>
    <row r="3041" spans="1:24" x14ac:dyDescent="0.2">
      <c r="A3041" s="1907"/>
      <c r="B3041" s="1713"/>
      <c r="C3041" s="1900"/>
      <c r="D3041" s="1901"/>
      <c r="E3041" s="1902"/>
      <c r="F3041" s="18"/>
      <c r="G3041" s="1903"/>
      <c r="H3041" s="22"/>
      <c r="I3041" s="1904"/>
      <c r="J3041" s="16"/>
      <c r="L3041" s="16"/>
      <c r="M3041" s="16"/>
      <c r="N3041" s="1905"/>
      <c r="O3041" s="21"/>
      <c r="P3041" s="17"/>
      <c r="Q3041" s="17"/>
      <c r="R3041" s="17"/>
      <c r="S3041" s="1906"/>
      <c r="T3041" s="1901"/>
      <c r="U3041" s="1901"/>
      <c r="V3041" s="1901"/>
      <c r="W3041" s="1681"/>
      <c r="X3041" s="1901"/>
    </row>
    <row r="3042" spans="1:24" x14ac:dyDescent="0.2">
      <c r="A3042" s="1907"/>
      <c r="B3042" s="1681"/>
      <c r="C3042" s="1900"/>
      <c r="D3042" s="1901"/>
      <c r="E3042" s="1902"/>
      <c r="F3042" s="18"/>
      <c r="G3042" s="1903"/>
      <c r="H3042" s="22"/>
      <c r="I3042" s="1904"/>
      <c r="J3042" s="16"/>
      <c r="L3042" s="16"/>
      <c r="M3042" s="16"/>
      <c r="N3042" s="1905"/>
      <c r="O3042" s="21"/>
      <c r="P3042" s="17"/>
      <c r="Q3042" s="17"/>
      <c r="R3042" s="17"/>
      <c r="S3042" s="1906"/>
      <c r="T3042" s="1901"/>
      <c r="U3042" s="1901"/>
      <c r="V3042" s="1901"/>
      <c r="W3042" s="1681"/>
      <c r="X3042" s="1901"/>
    </row>
    <row r="3043" spans="1:24" x14ac:dyDescent="0.2">
      <c r="A3043" s="1907"/>
      <c r="B3043" s="1909"/>
      <c r="C3043" s="1900"/>
      <c r="D3043" s="1901"/>
      <c r="E3043" s="1902"/>
      <c r="F3043" s="1842"/>
      <c r="G3043" s="1903"/>
      <c r="H3043" s="22"/>
      <c r="I3043" s="1904"/>
      <c r="J3043" s="16"/>
      <c r="L3043" s="16"/>
      <c r="M3043" s="16"/>
      <c r="N3043" s="1905"/>
      <c r="O3043" s="21"/>
      <c r="P3043" s="17"/>
      <c r="Q3043" s="17"/>
      <c r="R3043" s="17"/>
      <c r="S3043" s="1906"/>
      <c r="T3043" s="1901"/>
      <c r="U3043" s="1901"/>
      <c r="V3043" s="1901"/>
      <c r="W3043" s="1681"/>
      <c r="X3043" s="1901"/>
    </row>
    <row r="3044" spans="1:24" x14ac:dyDescent="0.2">
      <c r="A3044" s="1961"/>
      <c r="B3044" s="1961"/>
      <c r="C3044" s="1900"/>
      <c r="D3044" s="1901"/>
      <c r="E3044" s="1902"/>
      <c r="F3044" s="18"/>
      <c r="G3044" s="1903"/>
      <c r="H3044" s="22"/>
      <c r="I3044" s="1904"/>
      <c r="J3044" s="16"/>
      <c r="L3044" s="16"/>
      <c r="M3044" s="16"/>
      <c r="N3044" s="1905"/>
      <c r="O3044" s="21"/>
      <c r="P3044" s="17"/>
      <c r="Q3044" s="17"/>
      <c r="R3044" s="17"/>
      <c r="S3044" s="1906"/>
      <c r="T3044" s="1901"/>
      <c r="U3044" s="1901"/>
      <c r="V3044" s="1901"/>
      <c r="W3044" s="1681"/>
      <c r="X3044" s="1901"/>
    </row>
    <row r="3045" spans="1:24" x14ac:dyDescent="0.2">
      <c r="A3045" s="1907"/>
      <c r="B3045" s="1908"/>
      <c r="C3045" s="1900"/>
      <c r="D3045" s="1901"/>
      <c r="E3045" s="1902"/>
      <c r="F3045" s="18"/>
      <c r="G3045" s="1903"/>
      <c r="H3045" s="22"/>
      <c r="I3045" s="1904"/>
      <c r="J3045" s="16"/>
      <c r="L3045" s="16"/>
      <c r="M3045" s="16"/>
      <c r="N3045" s="1905"/>
      <c r="O3045" s="21"/>
      <c r="P3045" s="17"/>
      <c r="Q3045" s="17"/>
      <c r="R3045" s="17"/>
      <c r="S3045" s="1906"/>
      <c r="T3045" s="1901"/>
      <c r="U3045" s="1901"/>
      <c r="V3045" s="1901"/>
      <c r="W3045" s="1681"/>
      <c r="X3045" s="1901"/>
    </row>
    <row r="3046" spans="1:24" x14ac:dyDescent="0.2">
      <c r="A3046" s="1907"/>
      <c r="B3046" s="1680"/>
      <c r="C3046" s="1900"/>
      <c r="D3046" s="1901"/>
      <c r="E3046" s="1902"/>
      <c r="F3046" s="18"/>
      <c r="G3046" s="1903"/>
      <c r="H3046" s="22"/>
      <c r="I3046" s="1904"/>
      <c r="J3046" s="16"/>
      <c r="L3046" s="16"/>
      <c r="M3046" s="16"/>
      <c r="N3046" s="1905"/>
      <c r="O3046" s="21"/>
      <c r="P3046" s="17"/>
      <c r="Q3046" s="17"/>
      <c r="R3046" s="17"/>
      <c r="S3046" s="1906"/>
      <c r="T3046" s="1901"/>
      <c r="U3046" s="1901"/>
      <c r="V3046" s="1901"/>
      <c r="W3046" s="1681"/>
      <c r="X3046" s="1901"/>
    </row>
    <row r="3047" spans="1:24" x14ac:dyDescent="0.2">
      <c r="A3047" s="1907"/>
      <c r="B3047" s="1681"/>
      <c r="C3047" s="1900"/>
      <c r="D3047" s="1901"/>
      <c r="E3047" s="1902"/>
      <c r="F3047" s="18"/>
      <c r="G3047" s="1903"/>
      <c r="H3047" s="22"/>
      <c r="I3047" s="1904"/>
      <c r="J3047" s="16"/>
      <c r="L3047" s="16"/>
      <c r="M3047" s="16"/>
      <c r="N3047" s="1905"/>
      <c r="O3047" s="21"/>
      <c r="P3047" s="17"/>
      <c r="Q3047" s="17"/>
      <c r="R3047" s="17"/>
      <c r="S3047" s="1906"/>
      <c r="T3047" s="1901"/>
      <c r="U3047" s="1901"/>
      <c r="V3047" s="1901"/>
      <c r="W3047" s="1681"/>
      <c r="X3047" s="1901"/>
    </row>
    <row r="3048" spans="1:24" x14ac:dyDescent="0.2">
      <c r="A3048" s="1907"/>
      <c r="B3048" s="1713"/>
      <c r="C3048" s="1900"/>
      <c r="D3048" s="1901"/>
      <c r="E3048" s="1902"/>
      <c r="F3048" s="18"/>
      <c r="G3048" s="1903"/>
      <c r="H3048" s="22"/>
      <c r="I3048" s="1904"/>
      <c r="J3048" s="16"/>
      <c r="L3048" s="16"/>
      <c r="M3048" s="16"/>
      <c r="N3048" s="1905"/>
      <c r="O3048" s="21"/>
      <c r="P3048" s="17"/>
      <c r="Q3048" s="17"/>
      <c r="R3048" s="17"/>
      <c r="S3048" s="1906"/>
      <c r="T3048" s="1901"/>
      <c r="U3048" s="1901"/>
      <c r="V3048" s="1901"/>
      <c r="W3048" s="1681"/>
      <c r="X3048" s="1901"/>
    </row>
    <row r="3049" spans="1:24" x14ac:dyDescent="0.2">
      <c r="A3049" s="1907"/>
      <c r="B3049" s="1681"/>
      <c r="C3049" s="1900"/>
      <c r="D3049" s="1901"/>
      <c r="E3049" s="1902"/>
      <c r="F3049" s="18"/>
      <c r="G3049" s="1903"/>
      <c r="H3049" s="22"/>
      <c r="I3049" s="1904"/>
      <c r="J3049" s="16"/>
      <c r="L3049" s="16"/>
      <c r="M3049" s="16"/>
      <c r="N3049" s="1905"/>
      <c r="O3049" s="21"/>
      <c r="P3049" s="17"/>
      <c r="Q3049" s="17"/>
      <c r="R3049" s="17"/>
      <c r="S3049" s="1906"/>
      <c r="T3049" s="1901"/>
      <c r="U3049" s="1901"/>
      <c r="V3049" s="1901"/>
      <c r="W3049" s="1681"/>
      <c r="X3049" s="1901"/>
    </row>
    <row r="3050" spans="1:24" x14ac:dyDescent="0.2">
      <c r="A3050" s="1907"/>
      <c r="B3050" s="1909"/>
      <c r="C3050" s="1900"/>
      <c r="D3050" s="1901"/>
      <c r="E3050" s="1902"/>
      <c r="F3050" s="1842"/>
      <c r="G3050" s="1903"/>
      <c r="H3050" s="22"/>
      <c r="I3050" s="1904"/>
      <c r="J3050" s="16"/>
      <c r="L3050" s="16"/>
      <c r="M3050" s="16"/>
      <c r="N3050" s="1905"/>
      <c r="O3050" s="21"/>
      <c r="P3050" s="17"/>
      <c r="Q3050" s="17"/>
      <c r="R3050" s="17"/>
      <c r="S3050" s="1906"/>
      <c r="T3050" s="1901"/>
      <c r="U3050" s="1901"/>
      <c r="V3050" s="1901"/>
      <c r="W3050" s="1681"/>
      <c r="X3050" s="1901"/>
    </row>
    <row r="3051" spans="1:24" x14ac:dyDescent="0.2">
      <c r="M3051" s="12"/>
      <c r="T3051" s="1901"/>
      <c r="W3051" s="1681"/>
    </row>
  </sheetData>
  <sheetProtection selectLockedCells="1" selectUnlockedCells="1"/>
  <mergeCells count="174">
    <mergeCell ref="A1924:B1924"/>
    <mergeCell ref="A1931:B1931"/>
    <mergeCell ref="A1938:B1938"/>
    <mergeCell ref="A1945:B1945"/>
    <mergeCell ref="A1952:B1952"/>
    <mergeCell ref="A1959:B1959"/>
    <mergeCell ref="A2316:B2316"/>
    <mergeCell ref="A2323:B2323"/>
    <mergeCell ref="A2330:B2330"/>
    <mergeCell ref="A2281:B2281"/>
    <mergeCell ref="A2211:B2211"/>
    <mergeCell ref="A2218:B2218"/>
    <mergeCell ref="A2225:B2225"/>
    <mergeCell ref="A2232:B2232"/>
    <mergeCell ref="A2239:B2239"/>
    <mergeCell ref="A2288:B2288"/>
    <mergeCell ref="A2295:B2295"/>
    <mergeCell ref="A2302:B2302"/>
    <mergeCell ref="A2309:B2309"/>
    <mergeCell ref="A2246:B2246"/>
    <mergeCell ref="A2253:B2253"/>
    <mergeCell ref="A2260:B2260"/>
    <mergeCell ref="A2267:B2267"/>
    <mergeCell ref="A2274:B2274"/>
    <mergeCell ref="A1:B1"/>
    <mergeCell ref="A1917:B1917"/>
    <mergeCell ref="A1910:B1910"/>
    <mergeCell ref="A1903:B1903"/>
    <mergeCell ref="A1896:B1896"/>
    <mergeCell ref="A1889:B1889"/>
    <mergeCell ref="A1882:B1882"/>
    <mergeCell ref="A1875:B1875"/>
    <mergeCell ref="A1868:B1868"/>
    <mergeCell ref="A1861:B1861"/>
    <mergeCell ref="A1854:B1854"/>
    <mergeCell ref="A1847:B1847"/>
    <mergeCell ref="A1840:B1840"/>
    <mergeCell ref="A2141:B2141"/>
    <mergeCell ref="A2134:B2134"/>
    <mergeCell ref="A1966:B1966"/>
    <mergeCell ref="A1973:B1973"/>
    <mergeCell ref="A1987:B1987"/>
    <mergeCell ref="A1994:B1994"/>
    <mergeCell ref="A2001:B2001"/>
    <mergeCell ref="A2008:B2008"/>
    <mergeCell ref="A2015:B2015"/>
    <mergeCell ref="A2022:B2022"/>
    <mergeCell ref="A2029:B2029"/>
    <mergeCell ref="A1980:B1980"/>
    <mergeCell ref="A2036:B2036"/>
    <mergeCell ref="A2043:B2043"/>
    <mergeCell ref="A2050:B2050"/>
    <mergeCell ref="A2057:B2057"/>
    <mergeCell ref="A2071:B2071"/>
    <mergeCell ref="A2078:B2078"/>
    <mergeCell ref="A2085:B2085"/>
    <mergeCell ref="A2092:B2092"/>
    <mergeCell ref="A2099:B2099"/>
    <mergeCell ref="A2106:B2106"/>
    <mergeCell ref="A2113:B2113"/>
    <mergeCell ref="A2064:B2064"/>
    <mergeCell ref="A2372:B2372"/>
    <mergeCell ref="A2379:B2379"/>
    <mergeCell ref="A2386:B2386"/>
    <mergeCell ref="A2393:B2393"/>
    <mergeCell ref="A2400:B2400"/>
    <mergeCell ref="A2337:B2337"/>
    <mergeCell ref="A2344:B2344"/>
    <mergeCell ref="A2351:B2351"/>
    <mergeCell ref="A2358:B2358"/>
    <mergeCell ref="A2365:B2365"/>
    <mergeCell ref="A2120:B2120"/>
    <mergeCell ref="A2127:B2127"/>
    <mergeCell ref="A2421:B2421"/>
    <mergeCell ref="A2428:B2428"/>
    <mergeCell ref="A2435:B2435"/>
    <mergeCell ref="A2442:B2442"/>
    <mergeCell ref="A2449:B2449"/>
    <mergeCell ref="A2561:B2561"/>
    <mergeCell ref="A2456:B2456"/>
    <mergeCell ref="A2463:B2463"/>
    <mergeCell ref="A2470:B2470"/>
    <mergeCell ref="A2477:B2477"/>
    <mergeCell ref="A2484:B2484"/>
    <mergeCell ref="A2197:B2197"/>
    <mergeCell ref="A2204:B2204"/>
    <mergeCell ref="A2155:B2155"/>
    <mergeCell ref="A2162:B2162"/>
    <mergeCell ref="A2169:B2169"/>
    <mergeCell ref="A2176:B2176"/>
    <mergeCell ref="A2183:B2183"/>
    <mergeCell ref="A2190:B2190"/>
    <mergeCell ref="A2148:B2148"/>
    <mergeCell ref="A2407:B2407"/>
    <mergeCell ref="A2414:B2414"/>
    <mergeCell ref="A2568:B2568"/>
    <mergeCell ref="A2526:B2526"/>
    <mergeCell ref="A2533:B2533"/>
    <mergeCell ref="A2540:B2540"/>
    <mergeCell ref="A2547:B2547"/>
    <mergeCell ref="A2554:B2554"/>
    <mergeCell ref="A2491:B2491"/>
    <mergeCell ref="A2498:B2498"/>
    <mergeCell ref="A2505:B2505"/>
    <mergeCell ref="A2512:B2512"/>
    <mergeCell ref="A2519:B2519"/>
    <mergeCell ref="A2575:B2575"/>
    <mergeCell ref="A2582:B2582"/>
    <mergeCell ref="A2589:B2589"/>
    <mergeCell ref="A2596:B2596"/>
    <mergeCell ref="A2603:B2603"/>
    <mergeCell ref="A2610:B2610"/>
    <mergeCell ref="A2617:B2617"/>
    <mergeCell ref="A2624:B2624"/>
    <mergeCell ref="A2631:B2631"/>
    <mergeCell ref="A2638:B2638"/>
    <mergeCell ref="A2645:B2645"/>
    <mergeCell ref="A2652:B2652"/>
    <mergeCell ref="A2659:B2659"/>
    <mergeCell ref="A2666:B2666"/>
    <mergeCell ref="A2673:B2673"/>
    <mergeCell ref="A2680:B2680"/>
    <mergeCell ref="A2687:B2687"/>
    <mergeCell ref="A2694:B2694"/>
    <mergeCell ref="A2701:B2701"/>
    <mergeCell ref="A2708:B2708"/>
    <mergeCell ref="A2715:B2715"/>
    <mergeCell ref="A2722:B2722"/>
    <mergeCell ref="A2729:B2729"/>
    <mergeCell ref="A2736:B2736"/>
    <mergeCell ref="A2743:B2743"/>
    <mergeCell ref="A2750:B2750"/>
    <mergeCell ref="A2757:B2757"/>
    <mergeCell ref="A2764:B2764"/>
    <mergeCell ref="A2771:B2771"/>
    <mergeCell ref="A2778:B2778"/>
    <mergeCell ref="A2785:B2785"/>
    <mergeCell ref="A2792:B2792"/>
    <mergeCell ref="A2799:B2799"/>
    <mergeCell ref="A2806:B2806"/>
    <mergeCell ref="A2813:B2813"/>
    <mergeCell ref="A2820:B2820"/>
    <mergeCell ref="A2827:B2827"/>
    <mergeCell ref="A2834:B2834"/>
    <mergeCell ref="A2841:B2841"/>
    <mergeCell ref="A2848:B2848"/>
    <mergeCell ref="A2855:B2855"/>
    <mergeCell ref="A2862:B2862"/>
    <mergeCell ref="A2869:B2869"/>
    <mergeCell ref="A2876:B2876"/>
    <mergeCell ref="A2883:B2883"/>
    <mergeCell ref="A2890:B2890"/>
    <mergeCell ref="A2897:B2897"/>
    <mergeCell ref="A2904:B2904"/>
    <mergeCell ref="A2911:B2911"/>
    <mergeCell ref="A2918:B2918"/>
    <mergeCell ref="A2925:B2925"/>
    <mergeCell ref="A2932:B2932"/>
    <mergeCell ref="A2939:B2939"/>
    <mergeCell ref="A2946:B2946"/>
    <mergeCell ref="A3016:B3016"/>
    <mergeCell ref="A3023:B3023"/>
    <mergeCell ref="A3030:B3030"/>
    <mergeCell ref="A3037:B3037"/>
    <mergeCell ref="A3044:B3044"/>
    <mergeCell ref="A2953:B2953"/>
    <mergeCell ref="A2960:B2960"/>
    <mergeCell ref="A2967:B2967"/>
    <mergeCell ref="A2974:B2974"/>
    <mergeCell ref="A2981:B2981"/>
    <mergeCell ref="A2988:B2988"/>
    <mergeCell ref="A2995:B2995"/>
    <mergeCell ref="A3002:B3002"/>
    <mergeCell ref="A3009:B3009"/>
  </mergeCells>
  <phoneticPr fontId="7" type="noConversion"/>
  <conditionalFormatting sqref="B15">
    <cfRule type="cellIs" dxfId="4248" priority="5476" operator="greaterThan">
      <formula>50</formula>
    </cfRule>
    <cfRule type="cellIs" dxfId="4247" priority="5477" operator="between">
      <formula>35</formula>
      <formula>50</formula>
    </cfRule>
    <cfRule type="cellIs" dxfId="4246" priority="5478" operator="lessThan">
      <formula>35</formula>
    </cfRule>
  </conditionalFormatting>
  <conditionalFormatting sqref="B17">
    <cfRule type="cellIs" dxfId="4245" priority="5481" operator="lessThan">
      <formula>250</formula>
    </cfRule>
    <cfRule type="cellIs" dxfId="4244" priority="5479" operator="greaterThan">
      <formula>350</formula>
    </cfRule>
    <cfRule type="cellIs" dxfId="4243" priority="5480" operator="between">
      <formula>250</formula>
      <formula>350</formula>
    </cfRule>
  </conditionalFormatting>
  <conditionalFormatting sqref="B19">
    <cfRule type="cellIs" dxfId="4242" priority="5472" operator="between">
      <formula>0.8</formula>
      <formula>0.99999</formula>
    </cfRule>
    <cfRule type="cellIs" dxfId="4241" priority="5473" operator="between">
      <formula>1</formula>
      <formula>1.3</formula>
    </cfRule>
    <cfRule type="cellIs" dxfId="4240" priority="5474" operator="between">
      <formula>1.3</formula>
      <formula>1.5</formula>
    </cfRule>
    <cfRule type="cellIs" dxfId="4239" priority="5475" operator="greaterThan">
      <formula>1.5</formula>
    </cfRule>
    <cfRule type="cellIs" dxfId="4238" priority="5471" operator="lessThan">
      <formula>0.8</formula>
    </cfRule>
  </conditionalFormatting>
  <conditionalFormatting sqref="B22">
    <cfRule type="cellIs" dxfId="4237" priority="5489" operator="lessThan">
      <formula>35</formula>
    </cfRule>
    <cfRule type="cellIs" dxfId="4236" priority="5487" operator="greaterThan">
      <formula>50</formula>
    </cfRule>
    <cfRule type="cellIs" dxfId="4235" priority="5488" operator="between">
      <formula>35</formula>
      <formula>50</formula>
    </cfRule>
  </conditionalFormatting>
  <conditionalFormatting sqref="B24">
    <cfRule type="cellIs" dxfId="4234" priority="5490" operator="greaterThan">
      <formula>350</formula>
    </cfRule>
    <cfRule type="cellIs" dxfId="4233" priority="5492" operator="lessThan">
      <formula>250</formula>
    </cfRule>
    <cfRule type="cellIs" dxfId="4232" priority="5491" operator="between">
      <formula>250</formula>
      <formula>350</formula>
    </cfRule>
  </conditionalFormatting>
  <conditionalFormatting sqref="B26">
    <cfRule type="cellIs" dxfId="4231" priority="5486" operator="greaterThan">
      <formula>1.5</formula>
    </cfRule>
    <cfRule type="cellIs" dxfId="4230" priority="5485" operator="between">
      <formula>1.3</formula>
      <formula>1.5</formula>
    </cfRule>
    <cfRule type="cellIs" dxfId="4229" priority="5484" operator="between">
      <formula>1</formula>
      <formula>1.3</formula>
    </cfRule>
    <cfRule type="cellIs" dxfId="4228" priority="5483" operator="between">
      <formula>0.8</formula>
      <formula>0.99999</formula>
    </cfRule>
    <cfRule type="cellIs" dxfId="4227" priority="5482" operator="lessThan">
      <formula>0.8</formula>
    </cfRule>
  </conditionalFormatting>
  <conditionalFormatting sqref="B29">
    <cfRule type="cellIs" dxfId="4226" priority="5498" operator="greaterThan">
      <formula>50</formula>
    </cfRule>
    <cfRule type="cellIs" dxfId="4225" priority="5499" operator="between">
      <formula>35</formula>
      <formula>50</formula>
    </cfRule>
    <cfRule type="cellIs" dxfId="4224" priority="5500" operator="lessThan">
      <formula>35</formula>
    </cfRule>
  </conditionalFormatting>
  <conditionalFormatting sqref="B31">
    <cfRule type="cellIs" dxfId="4223" priority="5503" operator="lessThan">
      <formula>250</formula>
    </cfRule>
    <cfRule type="cellIs" dxfId="4222" priority="5501" operator="greaterThan">
      <formula>350</formula>
    </cfRule>
    <cfRule type="cellIs" dxfId="4221" priority="5502" operator="between">
      <formula>250</formula>
      <formula>350</formula>
    </cfRule>
  </conditionalFormatting>
  <conditionalFormatting sqref="B33">
    <cfRule type="cellIs" dxfId="4220" priority="5493" operator="lessThan">
      <formula>0.8</formula>
    </cfRule>
    <cfRule type="cellIs" dxfId="4219" priority="5494" operator="between">
      <formula>0.8</formula>
      <formula>0.99999</formula>
    </cfRule>
    <cfRule type="cellIs" dxfId="4218" priority="5496" operator="between">
      <formula>1.3</formula>
      <formula>1.5</formula>
    </cfRule>
    <cfRule type="cellIs" dxfId="4217" priority="5497" operator="greaterThan">
      <formula>1.5</formula>
    </cfRule>
    <cfRule type="cellIs" dxfId="4216" priority="5495" operator="between">
      <formula>1</formula>
      <formula>1.3</formula>
    </cfRule>
  </conditionalFormatting>
  <conditionalFormatting sqref="B36">
    <cfRule type="cellIs" dxfId="4215" priority="5509" operator="greaterThan">
      <formula>50</formula>
    </cfRule>
    <cfRule type="cellIs" dxfId="4214" priority="5510" operator="between">
      <formula>35</formula>
      <formula>50</formula>
    </cfRule>
    <cfRule type="cellIs" dxfId="4213" priority="5511" operator="lessThan">
      <formula>35</formula>
    </cfRule>
  </conditionalFormatting>
  <conditionalFormatting sqref="B38">
    <cfRule type="cellIs" dxfId="4212" priority="5512" operator="greaterThan">
      <formula>350</formula>
    </cfRule>
    <cfRule type="cellIs" dxfId="4211" priority="5514" operator="lessThan">
      <formula>250</formula>
    </cfRule>
    <cfRule type="cellIs" dxfId="4210" priority="5513" operator="between">
      <formula>250</formula>
      <formula>350</formula>
    </cfRule>
  </conditionalFormatting>
  <conditionalFormatting sqref="B40">
    <cfRule type="cellIs" dxfId="4209" priority="4075" operator="lessThan">
      <formula>0.8</formula>
    </cfRule>
    <cfRule type="cellIs" dxfId="4208" priority="4076" operator="between">
      <formula>0.8</formula>
      <formula>0.99999</formula>
    </cfRule>
    <cfRule type="cellIs" dxfId="4207" priority="4077" operator="between">
      <formula>1</formula>
      <formula>1.3</formula>
    </cfRule>
    <cfRule type="cellIs" dxfId="4206" priority="4078" operator="between">
      <formula>1.3</formula>
      <formula>1.5</formula>
    </cfRule>
    <cfRule type="cellIs" dxfId="4205" priority="4079" operator="greaterThan">
      <formula>1.5</formula>
    </cfRule>
  </conditionalFormatting>
  <conditionalFormatting sqref="B43">
    <cfRule type="cellIs" dxfId="4204" priority="5521" operator="between">
      <formula>35</formula>
      <formula>50</formula>
    </cfRule>
    <cfRule type="cellIs" dxfId="4203" priority="5520" operator="greaterThan">
      <formula>50</formula>
    </cfRule>
    <cfRule type="cellIs" dxfId="4202" priority="5522" operator="lessThan">
      <formula>35</formula>
    </cfRule>
  </conditionalFormatting>
  <conditionalFormatting sqref="B45">
    <cfRule type="cellIs" dxfId="4201" priority="5525" operator="lessThan">
      <formula>250</formula>
    </cfRule>
    <cfRule type="cellIs" dxfId="4200" priority="5524" operator="between">
      <formula>250</formula>
      <formula>350</formula>
    </cfRule>
    <cfRule type="cellIs" dxfId="4199" priority="5523" operator="greaterThan">
      <formula>350</formula>
    </cfRule>
  </conditionalFormatting>
  <conditionalFormatting sqref="B47">
    <cfRule type="cellIs" dxfId="4198" priority="4080" operator="lessThan">
      <formula>0.8</formula>
    </cfRule>
    <cfRule type="cellIs" dxfId="4197" priority="4081" operator="between">
      <formula>0.8</formula>
      <formula>0.99999</formula>
    </cfRule>
    <cfRule type="cellIs" dxfId="4196" priority="4082" operator="between">
      <formula>1</formula>
      <formula>1.3</formula>
    </cfRule>
    <cfRule type="cellIs" dxfId="4195" priority="4083" operator="between">
      <formula>1.3</formula>
      <formula>1.5</formula>
    </cfRule>
    <cfRule type="cellIs" dxfId="4194" priority="4084" operator="greaterThan">
      <formula>1.5</formula>
    </cfRule>
  </conditionalFormatting>
  <conditionalFormatting sqref="B50">
    <cfRule type="cellIs" dxfId="4193" priority="5533" operator="lessThan">
      <formula>35</formula>
    </cfRule>
    <cfRule type="cellIs" dxfId="4192" priority="5532" operator="between">
      <formula>35</formula>
      <formula>50</formula>
    </cfRule>
    <cfRule type="cellIs" dxfId="4191" priority="5531" operator="greaterThan">
      <formula>50</formula>
    </cfRule>
  </conditionalFormatting>
  <conditionalFormatting sqref="B52">
    <cfRule type="cellIs" dxfId="4190" priority="5536" operator="lessThan">
      <formula>250</formula>
    </cfRule>
    <cfRule type="cellIs" dxfId="4189" priority="5535" operator="between">
      <formula>250</formula>
      <formula>350</formula>
    </cfRule>
    <cfRule type="cellIs" dxfId="4188" priority="5534" operator="greaterThan">
      <formula>350</formula>
    </cfRule>
  </conditionalFormatting>
  <conditionalFormatting sqref="B54">
    <cfRule type="cellIs" dxfId="4187" priority="4088" operator="between">
      <formula>1.3</formula>
      <formula>1.5</formula>
    </cfRule>
    <cfRule type="cellIs" dxfId="4186" priority="4087" operator="between">
      <formula>1</formula>
      <formula>1.3</formula>
    </cfRule>
    <cfRule type="cellIs" dxfId="4185" priority="4086" operator="between">
      <formula>0.8</formula>
      <formula>0.99999</formula>
    </cfRule>
    <cfRule type="cellIs" dxfId="4184" priority="4085" operator="lessThan">
      <formula>0.8</formula>
    </cfRule>
    <cfRule type="cellIs" dxfId="4183" priority="4089" operator="greaterThan">
      <formula>1.5</formula>
    </cfRule>
  </conditionalFormatting>
  <conditionalFormatting sqref="B57">
    <cfRule type="cellIs" dxfId="4182" priority="5544" operator="lessThan">
      <formula>35</formula>
    </cfRule>
    <cfRule type="cellIs" dxfId="4181" priority="5543" operator="between">
      <formula>35</formula>
      <formula>50</formula>
    </cfRule>
    <cfRule type="cellIs" dxfId="4180" priority="5542" operator="greaterThan">
      <formula>50</formula>
    </cfRule>
  </conditionalFormatting>
  <conditionalFormatting sqref="B59">
    <cfRule type="cellIs" dxfId="4179" priority="5547" operator="lessThan">
      <formula>250</formula>
    </cfRule>
    <cfRule type="cellIs" dxfId="4178" priority="5546" operator="between">
      <formula>250</formula>
      <formula>350</formula>
    </cfRule>
    <cfRule type="cellIs" dxfId="4177" priority="5545" operator="greaterThan">
      <formula>350</formula>
    </cfRule>
  </conditionalFormatting>
  <conditionalFormatting sqref="B61">
    <cfRule type="cellIs" dxfId="4176" priority="4094" operator="greaterThan">
      <formula>1.5</formula>
    </cfRule>
    <cfRule type="cellIs" dxfId="4175" priority="4092" operator="between">
      <formula>1</formula>
      <formula>1.3</formula>
    </cfRule>
    <cfRule type="cellIs" dxfId="4174" priority="4091" operator="between">
      <formula>0.8</formula>
      <formula>0.99999</formula>
    </cfRule>
    <cfRule type="cellIs" dxfId="4173" priority="4090" operator="lessThan">
      <formula>0.8</formula>
    </cfRule>
    <cfRule type="cellIs" dxfId="4172" priority="4093" operator="between">
      <formula>1.3</formula>
      <formula>1.5</formula>
    </cfRule>
  </conditionalFormatting>
  <conditionalFormatting sqref="B64">
    <cfRule type="cellIs" dxfId="4171" priority="5553" operator="greaterThan">
      <formula>50</formula>
    </cfRule>
    <cfRule type="cellIs" dxfId="4170" priority="5554" operator="between">
      <formula>35</formula>
      <formula>50</formula>
    </cfRule>
    <cfRule type="cellIs" dxfId="4169" priority="5555" operator="lessThan">
      <formula>35</formula>
    </cfRule>
  </conditionalFormatting>
  <conditionalFormatting sqref="B66">
    <cfRule type="cellIs" dxfId="4168" priority="5556" operator="greaterThan">
      <formula>350</formula>
    </cfRule>
    <cfRule type="cellIs" dxfId="4167" priority="5557" operator="between">
      <formula>250</formula>
      <formula>350</formula>
    </cfRule>
    <cfRule type="cellIs" dxfId="4166" priority="5558" operator="lessThan">
      <formula>250</formula>
    </cfRule>
  </conditionalFormatting>
  <conditionalFormatting sqref="B68">
    <cfRule type="cellIs" dxfId="4165" priority="4099" operator="greaterThan">
      <formula>1.5</formula>
    </cfRule>
    <cfRule type="cellIs" dxfId="4164" priority="4098" operator="between">
      <formula>1.3</formula>
      <formula>1.5</formula>
    </cfRule>
    <cfRule type="cellIs" dxfId="4163" priority="4097" operator="between">
      <formula>1</formula>
      <formula>1.3</formula>
    </cfRule>
    <cfRule type="cellIs" dxfId="4162" priority="4096" operator="between">
      <formula>0.8</formula>
      <formula>0.99999</formula>
    </cfRule>
    <cfRule type="cellIs" dxfId="4161" priority="4095" operator="lessThan">
      <formula>0.8</formula>
    </cfRule>
  </conditionalFormatting>
  <conditionalFormatting sqref="B71">
    <cfRule type="cellIs" dxfId="4160" priority="5564" operator="greaterThan">
      <formula>50</formula>
    </cfRule>
    <cfRule type="cellIs" dxfId="4159" priority="5566" operator="lessThan">
      <formula>35</formula>
    </cfRule>
    <cfRule type="cellIs" dxfId="4158" priority="5565" operator="between">
      <formula>35</formula>
      <formula>50</formula>
    </cfRule>
  </conditionalFormatting>
  <conditionalFormatting sqref="B73">
    <cfRule type="cellIs" dxfId="4157" priority="5569" operator="lessThan">
      <formula>250</formula>
    </cfRule>
    <cfRule type="cellIs" dxfId="4156" priority="5568" operator="between">
      <formula>250</formula>
      <formula>350</formula>
    </cfRule>
    <cfRule type="cellIs" dxfId="4155" priority="5567" operator="greaterThan">
      <formula>350</formula>
    </cfRule>
  </conditionalFormatting>
  <conditionalFormatting sqref="B75">
    <cfRule type="cellIs" dxfId="4154" priority="4103" operator="between">
      <formula>1.3</formula>
      <formula>1.5</formula>
    </cfRule>
    <cfRule type="cellIs" dxfId="4153" priority="4104" operator="greaterThan">
      <formula>1.5</formula>
    </cfRule>
    <cfRule type="cellIs" dxfId="4152" priority="4100" operator="lessThan">
      <formula>0.8</formula>
    </cfRule>
    <cfRule type="cellIs" dxfId="4151" priority="4101" operator="between">
      <formula>0.8</formula>
      <formula>0.99999</formula>
    </cfRule>
    <cfRule type="cellIs" dxfId="4150" priority="4102" operator="between">
      <formula>1</formula>
      <formula>1.3</formula>
    </cfRule>
  </conditionalFormatting>
  <conditionalFormatting sqref="B78">
    <cfRule type="cellIs" dxfId="4149" priority="5575" operator="greaterThan">
      <formula>50</formula>
    </cfRule>
    <cfRule type="cellIs" dxfId="4148" priority="5576" operator="between">
      <formula>35</formula>
      <formula>50</formula>
    </cfRule>
    <cfRule type="cellIs" dxfId="4147" priority="5577" operator="lessThan">
      <formula>35</formula>
    </cfRule>
  </conditionalFormatting>
  <conditionalFormatting sqref="B80">
    <cfRule type="cellIs" dxfId="4146" priority="5578" operator="greaterThan">
      <formula>350</formula>
    </cfRule>
    <cfRule type="cellIs" dxfId="4145" priority="5579" operator="between">
      <formula>250</formula>
      <formula>350</formula>
    </cfRule>
    <cfRule type="cellIs" dxfId="4144" priority="5580" operator="lessThan">
      <formula>250</formula>
    </cfRule>
  </conditionalFormatting>
  <conditionalFormatting sqref="B82">
    <cfRule type="cellIs" dxfId="4143" priority="4105" operator="lessThan">
      <formula>0.8</formula>
    </cfRule>
    <cfRule type="cellIs" dxfId="4142" priority="4109" operator="greaterThan">
      <formula>1.5</formula>
    </cfRule>
    <cfRule type="cellIs" dxfId="4141" priority="4108" operator="between">
      <formula>1.3</formula>
      <formula>1.5</formula>
    </cfRule>
    <cfRule type="cellIs" dxfId="4140" priority="4107" operator="between">
      <formula>1</formula>
      <formula>1.3</formula>
    </cfRule>
    <cfRule type="cellIs" dxfId="4139" priority="4106" operator="between">
      <formula>0.8</formula>
      <formula>0.99999</formula>
    </cfRule>
  </conditionalFormatting>
  <conditionalFormatting sqref="B85">
    <cfRule type="cellIs" dxfId="4138" priority="5586" operator="greaterThan">
      <formula>50</formula>
    </cfRule>
    <cfRule type="cellIs" dxfId="4137" priority="5587" operator="between">
      <formula>35</formula>
      <formula>50</formula>
    </cfRule>
    <cfRule type="cellIs" dxfId="4136" priority="5588" operator="lessThan">
      <formula>35</formula>
    </cfRule>
  </conditionalFormatting>
  <conditionalFormatting sqref="B87">
    <cfRule type="cellIs" dxfId="4135" priority="5589" operator="greaterThan">
      <formula>350</formula>
    </cfRule>
    <cfRule type="cellIs" dxfId="4134" priority="5590" operator="between">
      <formula>250</formula>
      <formula>350</formula>
    </cfRule>
    <cfRule type="cellIs" dxfId="4133" priority="5591" operator="lessThan">
      <formula>250</formula>
    </cfRule>
  </conditionalFormatting>
  <conditionalFormatting sqref="B89">
    <cfRule type="cellIs" dxfId="4132" priority="4835" operator="between">
      <formula>1.3</formula>
      <formula>1.5</formula>
    </cfRule>
    <cfRule type="cellIs" dxfId="4131" priority="4832" operator="lessThan">
      <formula>0.8</formula>
    </cfRule>
    <cfRule type="cellIs" dxfId="4130" priority="4834" operator="between">
      <formula>1</formula>
      <formula>1.3</formula>
    </cfRule>
    <cfRule type="cellIs" dxfId="4129" priority="4833" operator="between">
      <formula>0.8</formula>
      <formula>0.99999</formula>
    </cfRule>
    <cfRule type="cellIs" dxfId="4128" priority="4836" operator="greaterThan">
      <formula>1.5</formula>
    </cfRule>
  </conditionalFormatting>
  <conditionalFormatting sqref="B92">
    <cfRule type="cellIs" dxfId="4127" priority="5597" operator="greaterThan">
      <formula>50</formula>
    </cfRule>
    <cfRule type="cellIs" dxfId="4126" priority="5599" operator="lessThan">
      <formula>35</formula>
    </cfRule>
    <cfRule type="cellIs" dxfId="4125" priority="5598" operator="between">
      <formula>35</formula>
      <formula>50</formula>
    </cfRule>
  </conditionalFormatting>
  <conditionalFormatting sqref="B94">
    <cfRule type="cellIs" dxfId="4124" priority="5600" operator="greaterThan">
      <formula>350</formula>
    </cfRule>
    <cfRule type="cellIs" dxfId="4123" priority="5602" operator="lessThan">
      <formula>250</formula>
    </cfRule>
    <cfRule type="cellIs" dxfId="4122" priority="5601" operator="between">
      <formula>250</formula>
      <formula>350</formula>
    </cfRule>
  </conditionalFormatting>
  <conditionalFormatting sqref="B96">
    <cfRule type="cellIs" dxfId="4121" priority="4827" operator="lessThan">
      <formula>0.8</formula>
    </cfRule>
    <cfRule type="cellIs" dxfId="4120" priority="4831" operator="greaterThan">
      <formula>1.5</formula>
    </cfRule>
    <cfRule type="cellIs" dxfId="4119" priority="4828" operator="between">
      <formula>0.8</formula>
      <formula>0.99999</formula>
    </cfRule>
    <cfRule type="cellIs" dxfId="4118" priority="4829" operator="between">
      <formula>1</formula>
      <formula>1.3</formula>
    </cfRule>
    <cfRule type="cellIs" dxfId="4117" priority="4830" operator="between">
      <formula>1.3</formula>
      <formula>1.5</formula>
    </cfRule>
  </conditionalFormatting>
  <conditionalFormatting sqref="B99">
    <cfRule type="cellIs" dxfId="4116" priority="5610" operator="lessThan">
      <formula>35</formula>
    </cfRule>
    <cfRule type="cellIs" dxfId="4115" priority="5609" operator="between">
      <formula>35</formula>
      <formula>50</formula>
    </cfRule>
    <cfRule type="cellIs" dxfId="4114" priority="5608" operator="greaterThan">
      <formula>50</formula>
    </cfRule>
  </conditionalFormatting>
  <conditionalFormatting sqref="B101">
    <cfRule type="cellIs" dxfId="4113" priority="5613" operator="lessThan">
      <formula>250</formula>
    </cfRule>
    <cfRule type="cellIs" dxfId="4112" priority="5612" operator="between">
      <formula>250</formula>
      <formula>350</formula>
    </cfRule>
    <cfRule type="cellIs" dxfId="4111" priority="5611" operator="greaterThan">
      <formula>350</formula>
    </cfRule>
  </conditionalFormatting>
  <conditionalFormatting sqref="B103">
    <cfRule type="cellIs" dxfId="4110" priority="4826" operator="greaterThan">
      <formula>1.5</formula>
    </cfRule>
    <cfRule type="cellIs" dxfId="4109" priority="4822" operator="lessThan">
      <formula>0.8</formula>
    </cfRule>
    <cfRule type="cellIs" dxfId="4108" priority="4823" operator="between">
      <formula>0.8</formula>
      <formula>0.99999</formula>
    </cfRule>
    <cfRule type="cellIs" dxfId="4107" priority="4824" operator="between">
      <formula>1</formula>
      <formula>1.3</formula>
    </cfRule>
    <cfRule type="cellIs" dxfId="4106" priority="4825" operator="between">
      <formula>1.3</formula>
      <formula>1.5</formula>
    </cfRule>
  </conditionalFormatting>
  <conditionalFormatting sqref="B106">
    <cfRule type="cellIs" dxfId="4105" priority="5619" operator="greaterThan">
      <formula>50</formula>
    </cfRule>
    <cfRule type="cellIs" dxfId="4104" priority="5620" operator="between">
      <formula>35</formula>
      <formula>50</formula>
    </cfRule>
    <cfRule type="cellIs" dxfId="4103" priority="5621" operator="lessThan">
      <formula>35</formula>
    </cfRule>
  </conditionalFormatting>
  <conditionalFormatting sqref="B108">
    <cfRule type="cellIs" dxfId="4102" priority="5624" operator="lessThan">
      <formula>250</formula>
    </cfRule>
    <cfRule type="cellIs" dxfId="4101" priority="5623" operator="between">
      <formula>250</formula>
      <formula>350</formula>
    </cfRule>
    <cfRule type="cellIs" dxfId="4100" priority="5622" operator="greaterThan">
      <formula>350</formula>
    </cfRule>
  </conditionalFormatting>
  <conditionalFormatting sqref="B110">
    <cfRule type="cellIs" dxfId="4099" priority="4817" operator="lessThan">
      <formula>0.8</formula>
    </cfRule>
    <cfRule type="cellIs" dxfId="4098" priority="4818" operator="between">
      <formula>0.8</formula>
      <formula>0.99999</formula>
    </cfRule>
    <cfRule type="cellIs" dxfId="4097" priority="4819" operator="between">
      <formula>1</formula>
      <formula>1.3</formula>
    </cfRule>
    <cfRule type="cellIs" dxfId="4096" priority="4820" operator="between">
      <formula>1.3</formula>
      <formula>1.5</formula>
    </cfRule>
    <cfRule type="cellIs" dxfId="4095" priority="4821" operator="greaterThan">
      <formula>1.5</formula>
    </cfRule>
  </conditionalFormatting>
  <conditionalFormatting sqref="B113">
    <cfRule type="cellIs" dxfId="4094" priority="5631" operator="between">
      <formula>35</formula>
      <formula>50</formula>
    </cfRule>
    <cfRule type="cellIs" dxfId="4093" priority="5630" operator="greaterThan">
      <formula>50</formula>
    </cfRule>
    <cfRule type="cellIs" dxfId="4092" priority="5632" operator="lessThan">
      <formula>35</formula>
    </cfRule>
  </conditionalFormatting>
  <conditionalFormatting sqref="B115">
    <cfRule type="cellIs" dxfId="4091" priority="5635" operator="lessThan">
      <formula>250</formula>
    </cfRule>
    <cfRule type="cellIs" dxfId="4090" priority="5633" operator="greaterThan">
      <formula>350</formula>
    </cfRule>
    <cfRule type="cellIs" dxfId="4089" priority="5634" operator="between">
      <formula>250</formula>
      <formula>350</formula>
    </cfRule>
  </conditionalFormatting>
  <conditionalFormatting sqref="B117">
    <cfRule type="cellIs" dxfId="4088" priority="4816" operator="greaterThan">
      <formula>1.5</formula>
    </cfRule>
    <cfRule type="cellIs" dxfId="4087" priority="4813" operator="between">
      <formula>0.8</formula>
      <formula>0.99999</formula>
    </cfRule>
    <cfRule type="cellIs" dxfId="4086" priority="4814" operator="between">
      <formula>1</formula>
      <formula>1.3</formula>
    </cfRule>
    <cfRule type="cellIs" dxfId="4085" priority="4812" operator="lessThan">
      <formula>0.8</formula>
    </cfRule>
    <cfRule type="cellIs" dxfId="4084" priority="4815" operator="between">
      <formula>1.3</formula>
      <formula>1.5</formula>
    </cfRule>
  </conditionalFormatting>
  <conditionalFormatting sqref="B120">
    <cfRule type="cellIs" dxfId="4083" priority="5641" operator="greaterThan">
      <formula>50</formula>
    </cfRule>
    <cfRule type="cellIs" dxfId="4082" priority="5642" operator="between">
      <formula>35</formula>
      <formula>50</formula>
    </cfRule>
    <cfRule type="cellIs" dxfId="4081" priority="5643" operator="lessThan">
      <formula>35</formula>
    </cfRule>
  </conditionalFormatting>
  <conditionalFormatting sqref="B122">
    <cfRule type="cellIs" dxfId="4080" priority="5644" operator="greaterThan">
      <formula>350</formula>
    </cfRule>
    <cfRule type="cellIs" dxfId="4079" priority="5645" operator="between">
      <formula>250</formula>
      <formula>350</formula>
    </cfRule>
    <cfRule type="cellIs" dxfId="4078" priority="5646" operator="lessThan">
      <formula>250</formula>
    </cfRule>
  </conditionalFormatting>
  <conditionalFormatting sqref="B124">
    <cfRule type="cellIs" dxfId="4077" priority="4811" operator="greaterThan">
      <formula>1.5</formula>
    </cfRule>
    <cfRule type="cellIs" dxfId="4076" priority="4810" operator="between">
      <formula>1.3</formula>
      <formula>1.5</formula>
    </cfRule>
    <cfRule type="cellIs" dxfId="4075" priority="4808" operator="between">
      <formula>0.8</formula>
      <formula>0.99999</formula>
    </cfRule>
    <cfRule type="cellIs" dxfId="4074" priority="4807" operator="lessThan">
      <formula>0.8</formula>
    </cfRule>
    <cfRule type="cellIs" dxfId="4073" priority="4809" operator="between">
      <formula>1</formula>
      <formula>1.3</formula>
    </cfRule>
  </conditionalFormatting>
  <conditionalFormatting sqref="B127">
    <cfRule type="cellIs" dxfId="4072" priority="5654" operator="lessThan">
      <formula>35</formula>
    </cfRule>
    <cfRule type="cellIs" dxfId="4071" priority="5652" operator="greaterThan">
      <formula>50</formula>
    </cfRule>
    <cfRule type="cellIs" dxfId="4070" priority="5653" operator="between">
      <formula>35</formula>
      <formula>50</formula>
    </cfRule>
  </conditionalFormatting>
  <conditionalFormatting sqref="B129">
    <cfRule type="cellIs" dxfId="4069" priority="5655" operator="greaterThan">
      <formula>350</formula>
    </cfRule>
    <cfRule type="cellIs" dxfId="4068" priority="5656" operator="between">
      <formula>250</formula>
      <formula>350</formula>
    </cfRule>
    <cfRule type="cellIs" dxfId="4067" priority="5657" operator="lessThan">
      <formula>250</formula>
    </cfRule>
  </conditionalFormatting>
  <conditionalFormatting sqref="B131">
    <cfRule type="cellIs" dxfId="4066" priority="4806" operator="greaterThan">
      <formula>1.5</formula>
    </cfRule>
    <cfRule type="cellIs" dxfId="4065" priority="4805" operator="between">
      <formula>1.3</formula>
      <formula>1.5</formula>
    </cfRule>
    <cfRule type="cellIs" dxfId="4064" priority="4804" operator="between">
      <formula>1</formula>
      <formula>1.3</formula>
    </cfRule>
    <cfRule type="cellIs" dxfId="4063" priority="4803" operator="between">
      <formula>0.8</formula>
      <formula>0.99999</formula>
    </cfRule>
    <cfRule type="cellIs" dxfId="4062" priority="4802" operator="lessThan">
      <formula>0.8</formula>
    </cfRule>
  </conditionalFormatting>
  <conditionalFormatting sqref="B134">
    <cfRule type="cellIs" dxfId="4061" priority="5663" operator="greaterThan">
      <formula>50</formula>
    </cfRule>
    <cfRule type="cellIs" dxfId="4060" priority="5664" operator="between">
      <formula>35</formula>
      <formula>50</formula>
    </cfRule>
    <cfRule type="cellIs" dxfId="4059" priority="5665" operator="lessThan">
      <formula>35</formula>
    </cfRule>
  </conditionalFormatting>
  <conditionalFormatting sqref="B136">
    <cfRule type="cellIs" dxfId="4058" priority="5666" operator="greaterThan">
      <formula>350</formula>
    </cfRule>
    <cfRule type="cellIs" dxfId="4057" priority="5667" operator="between">
      <formula>250</formula>
      <formula>350</formula>
    </cfRule>
    <cfRule type="cellIs" dxfId="4056" priority="5668" operator="lessThan">
      <formula>250</formula>
    </cfRule>
  </conditionalFormatting>
  <conditionalFormatting sqref="B138">
    <cfRule type="cellIs" dxfId="4055" priority="4798" operator="between">
      <formula>0.8</formula>
      <formula>0.99999</formula>
    </cfRule>
    <cfRule type="cellIs" dxfId="4054" priority="4797" operator="lessThan">
      <formula>0.8</formula>
    </cfRule>
    <cfRule type="cellIs" dxfId="4053" priority="4801" operator="greaterThan">
      <formula>1.5</formula>
    </cfRule>
    <cfRule type="cellIs" dxfId="4052" priority="4800" operator="between">
      <formula>1.3</formula>
      <formula>1.5</formula>
    </cfRule>
    <cfRule type="cellIs" dxfId="4051" priority="4799" operator="between">
      <formula>1</formula>
      <formula>1.3</formula>
    </cfRule>
  </conditionalFormatting>
  <conditionalFormatting sqref="B141">
    <cfRule type="cellIs" dxfId="4050" priority="5674" operator="greaterThan">
      <formula>50</formula>
    </cfRule>
    <cfRule type="cellIs" dxfId="4049" priority="5675" operator="between">
      <formula>35</formula>
      <formula>50</formula>
    </cfRule>
    <cfRule type="cellIs" dxfId="4048" priority="5676" operator="lessThan">
      <formula>35</formula>
    </cfRule>
  </conditionalFormatting>
  <conditionalFormatting sqref="B143">
    <cfRule type="cellIs" dxfId="4047" priority="5677" operator="greaterThan">
      <formula>350</formula>
    </cfRule>
    <cfRule type="cellIs" dxfId="4046" priority="5678" operator="between">
      <formula>250</formula>
      <formula>350</formula>
    </cfRule>
    <cfRule type="cellIs" dxfId="4045" priority="5679" operator="lessThan">
      <formula>250</formula>
    </cfRule>
  </conditionalFormatting>
  <conditionalFormatting sqref="B145">
    <cfRule type="cellIs" dxfId="4044" priority="4792" operator="lessThan">
      <formula>0.8</formula>
    </cfRule>
    <cfRule type="cellIs" dxfId="4043" priority="4795" operator="between">
      <formula>1.3</formula>
      <formula>1.5</formula>
    </cfRule>
    <cfRule type="cellIs" dxfId="4042" priority="4796" operator="greaterThan">
      <formula>1.5</formula>
    </cfRule>
    <cfRule type="cellIs" dxfId="4041" priority="4793" operator="between">
      <formula>0.8</formula>
      <formula>0.99999</formula>
    </cfRule>
    <cfRule type="cellIs" dxfId="4040" priority="4794" operator="between">
      <formula>1</formula>
      <formula>1.3</formula>
    </cfRule>
  </conditionalFormatting>
  <conditionalFormatting sqref="B148">
    <cfRule type="cellIs" dxfId="4039" priority="5686" operator="between">
      <formula>35</formula>
      <formula>50</formula>
    </cfRule>
    <cfRule type="cellIs" dxfId="4038" priority="5687" operator="lessThan">
      <formula>35</formula>
    </cfRule>
    <cfRule type="cellIs" dxfId="4037" priority="5685" operator="greaterThan">
      <formula>50</formula>
    </cfRule>
  </conditionalFormatting>
  <conditionalFormatting sqref="B150">
    <cfRule type="cellIs" dxfId="4036" priority="5690" operator="lessThan">
      <formula>250</formula>
    </cfRule>
    <cfRule type="cellIs" dxfId="4035" priority="5689" operator="between">
      <formula>250</formula>
      <formula>350</formula>
    </cfRule>
    <cfRule type="cellIs" dxfId="4034" priority="5688" operator="greaterThan">
      <formula>350</formula>
    </cfRule>
  </conditionalFormatting>
  <conditionalFormatting sqref="B152">
    <cfRule type="cellIs" dxfId="4033" priority="4787" operator="lessThan">
      <formula>0.8</formula>
    </cfRule>
    <cfRule type="cellIs" dxfId="4032" priority="4791" operator="greaterThan">
      <formula>1.5</formula>
    </cfRule>
    <cfRule type="cellIs" dxfId="4031" priority="4790" operator="between">
      <formula>1.3</formula>
      <formula>1.5</formula>
    </cfRule>
    <cfRule type="cellIs" dxfId="4030" priority="4789" operator="between">
      <formula>1</formula>
      <formula>1.3</formula>
    </cfRule>
    <cfRule type="cellIs" dxfId="4029" priority="4788" operator="between">
      <formula>0.8</formula>
      <formula>0.99999</formula>
    </cfRule>
  </conditionalFormatting>
  <conditionalFormatting sqref="B155">
    <cfRule type="cellIs" dxfId="4028" priority="5696" operator="greaterThan">
      <formula>50</formula>
    </cfRule>
    <cfRule type="cellIs" dxfId="4027" priority="5698" operator="lessThan">
      <formula>35</formula>
    </cfRule>
    <cfRule type="cellIs" dxfId="4026" priority="5697" operator="between">
      <formula>35</formula>
      <formula>50</formula>
    </cfRule>
  </conditionalFormatting>
  <conditionalFormatting sqref="B157">
    <cfRule type="cellIs" dxfId="4025" priority="5700" operator="between">
      <formula>250</formula>
      <formula>350</formula>
    </cfRule>
    <cfRule type="cellIs" dxfId="4024" priority="5699" operator="greaterThan">
      <formula>350</formula>
    </cfRule>
    <cfRule type="cellIs" dxfId="4023" priority="5701" operator="lessThan">
      <formula>250</formula>
    </cfRule>
  </conditionalFormatting>
  <conditionalFormatting sqref="B159">
    <cfRule type="cellIs" dxfId="4022" priority="4782" operator="lessThan">
      <formula>0.8</formula>
    </cfRule>
    <cfRule type="cellIs" dxfId="4021" priority="4784" operator="between">
      <formula>1</formula>
      <formula>1.3</formula>
    </cfRule>
    <cfRule type="cellIs" dxfId="4020" priority="4785" operator="between">
      <formula>1.3</formula>
      <formula>1.5</formula>
    </cfRule>
    <cfRule type="cellIs" dxfId="4019" priority="4786" operator="greaterThan">
      <formula>1.5</formula>
    </cfRule>
    <cfRule type="cellIs" dxfId="4018" priority="4783" operator="between">
      <formula>0.8</formula>
      <formula>0.99999</formula>
    </cfRule>
  </conditionalFormatting>
  <conditionalFormatting sqref="B162">
    <cfRule type="cellIs" dxfId="4017" priority="5707" operator="greaterThan">
      <formula>50</formula>
    </cfRule>
    <cfRule type="cellIs" dxfId="4016" priority="5708" operator="between">
      <formula>35</formula>
      <formula>50</formula>
    </cfRule>
    <cfRule type="cellIs" dxfId="4015" priority="5709" operator="lessThan">
      <formula>35</formula>
    </cfRule>
  </conditionalFormatting>
  <conditionalFormatting sqref="B164">
    <cfRule type="cellIs" dxfId="4014" priority="5710" operator="greaterThan">
      <formula>350</formula>
    </cfRule>
    <cfRule type="cellIs" dxfId="4013" priority="5711" operator="between">
      <formula>250</formula>
      <formula>350</formula>
    </cfRule>
    <cfRule type="cellIs" dxfId="4012" priority="5712" operator="lessThan">
      <formula>250</formula>
    </cfRule>
  </conditionalFormatting>
  <conditionalFormatting sqref="B166">
    <cfRule type="cellIs" dxfId="4011" priority="4777" operator="lessThan">
      <formula>0.8</formula>
    </cfRule>
    <cfRule type="cellIs" dxfId="4010" priority="4778" operator="between">
      <formula>0.8</formula>
      <formula>0.99999</formula>
    </cfRule>
    <cfRule type="cellIs" dxfId="4009" priority="4780" operator="between">
      <formula>1.3</formula>
      <formula>1.5</formula>
    </cfRule>
    <cfRule type="cellIs" dxfId="4008" priority="4781" operator="greaterThan">
      <formula>1.5</formula>
    </cfRule>
    <cfRule type="cellIs" dxfId="4007" priority="4779" operator="between">
      <formula>1</formula>
      <formula>1.3</formula>
    </cfRule>
  </conditionalFormatting>
  <conditionalFormatting sqref="B169">
    <cfRule type="cellIs" dxfId="4006" priority="5720" operator="lessThan">
      <formula>35</formula>
    </cfRule>
    <cfRule type="cellIs" dxfId="4005" priority="5718" operator="greaterThan">
      <formula>50</formula>
    </cfRule>
    <cfRule type="cellIs" dxfId="4004" priority="5719" operator="between">
      <formula>35</formula>
      <formula>50</formula>
    </cfRule>
  </conditionalFormatting>
  <conditionalFormatting sqref="B171">
    <cfRule type="cellIs" dxfId="4003" priority="5722" operator="between">
      <formula>250</formula>
      <formula>350</formula>
    </cfRule>
    <cfRule type="cellIs" dxfId="4002" priority="5723" operator="lessThan">
      <formula>250</formula>
    </cfRule>
    <cfRule type="cellIs" dxfId="4001" priority="5721" operator="greaterThan">
      <formula>350</formula>
    </cfRule>
  </conditionalFormatting>
  <conditionalFormatting sqref="B173">
    <cfRule type="cellIs" dxfId="4000" priority="4776" operator="greaterThan">
      <formula>1.5</formula>
    </cfRule>
    <cfRule type="cellIs" dxfId="3999" priority="4775" operator="between">
      <formula>1.3</formula>
      <formula>1.5</formula>
    </cfRule>
    <cfRule type="cellIs" dxfId="3998" priority="4774" operator="between">
      <formula>1</formula>
      <formula>1.3</formula>
    </cfRule>
    <cfRule type="cellIs" dxfId="3997" priority="4773" operator="between">
      <formula>0.8</formula>
      <formula>0.99999</formula>
    </cfRule>
    <cfRule type="cellIs" dxfId="3996" priority="4772" operator="lessThan">
      <formula>0.8</formula>
    </cfRule>
  </conditionalFormatting>
  <conditionalFormatting sqref="B176">
    <cfRule type="cellIs" dxfId="3995" priority="5729" operator="greaterThan">
      <formula>50</formula>
    </cfRule>
    <cfRule type="cellIs" dxfId="3994" priority="5730" operator="between">
      <formula>35</formula>
      <formula>50</formula>
    </cfRule>
    <cfRule type="cellIs" dxfId="3993" priority="5731" operator="lessThan">
      <formula>35</formula>
    </cfRule>
  </conditionalFormatting>
  <conditionalFormatting sqref="B178">
    <cfRule type="cellIs" dxfId="3992" priority="5733" operator="between">
      <formula>250</formula>
      <formula>350</formula>
    </cfRule>
    <cfRule type="cellIs" dxfId="3991" priority="5732" operator="greaterThan">
      <formula>350</formula>
    </cfRule>
    <cfRule type="cellIs" dxfId="3990" priority="5734" operator="lessThan">
      <formula>250</formula>
    </cfRule>
  </conditionalFormatting>
  <conditionalFormatting sqref="B180">
    <cfRule type="cellIs" dxfId="3989" priority="4771" operator="greaterThan">
      <formula>1.5</formula>
    </cfRule>
    <cfRule type="cellIs" dxfId="3988" priority="4770" operator="between">
      <formula>1.3</formula>
      <formula>1.5</formula>
    </cfRule>
    <cfRule type="cellIs" dxfId="3987" priority="4769" operator="between">
      <formula>1</formula>
      <formula>1.3</formula>
    </cfRule>
    <cfRule type="cellIs" dxfId="3986" priority="4768" operator="between">
      <formula>0.8</formula>
      <formula>0.99999</formula>
    </cfRule>
    <cfRule type="cellIs" dxfId="3985" priority="4767" operator="lessThan">
      <formula>0.8</formula>
    </cfRule>
  </conditionalFormatting>
  <conditionalFormatting sqref="B183">
    <cfRule type="cellIs" dxfId="3984" priority="5740" operator="greaterThan">
      <formula>50</formula>
    </cfRule>
    <cfRule type="cellIs" dxfId="3983" priority="5741" operator="between">
      <formula>35</formula>
      <formula>50</formula>
    </cfRule>
    <cfRule type="cellIs" dxfId="3982" priority="5742" operator="lessThan">
      <formula>35</formula>
    </cfRule>
  </conditionalFormatting>
  <conditionalFormatting sqref="B185">
    <cfRule type="cellIs" dxfId="3981" priority="5745" operator="lessThan">
      <formula>250</formula>
    </cfRule>
    <cfRule type="cellIs" dxfId="3980" priority="5744" operator="between">
      <formula>250</formula>
      <formula>350</formula>
    </cfRule>
    <cfRule type="cellIs" dxfId="3979" priority="5743" operator="greaterThan">
      <formula>350</formula>
    </cfRule>
  </conditionalFormatting>
  <conditionalFormatting sqref="B187">
    <cfRule type="cellIs" dxfId="3978" priority="4110" operator="lessThan">
      <formula>0.8</formula>
    </cfRule>
    <cfRule type="cellIs" dxfId="3977" priority="4111" operator="between">
      <formula>0.8</formula>
      <formula>0.99999</formula>
    </cfRule>
    <cfRule type="cellIs" dxfId="3976" priority="4112" operator="between">
      <formula>1</formula>
      <formula>1.3</formula>
    </cfRule>
    <cfRule type="cellIs" dxfId="3975" priority="4113" operator="between">
      <formula>1.3</formula>
      <formula>1.5</formula>
    </cfRule>
    <cfRule type="cellIs" dxfId="3974" priority="4114" operator="greaterThan">
      <formula>1.5</formula>
    </cfRule>
  </conditionalFormatting>
  <conditionalFormatting sqref="B190">
    <cfRule type="cellIs" dxfId="3973" priority="5751" operator="greaterThan">
      <formula>50</formula>
    </cfRule>
    <cfRule type="cellIs" dxfId="3972" priority="5752" operator="between">
      <formula>35</formula>
      <formula>50</formula>
    </cfRule>
    <cfRule type="cellIs" dxfId="3971" priority="5753" operator="lessThan">
      <formula>35</formula>
    </cfRule>
  </conditionalFormatting>
  <conditionalFormatting sqref="B192">
    <cfRule type="cellIs" dxfId="3970" priority="5754" operator="greaterThan">
      <formula>350</formula>
    </cfRule>
    <cfRule type="cellIs" dxfId="3969" priority="5755" operator="between">
      <formula>250</formula>
      <formula>350</formula>
    </cfRule>
    <cfRule type="cellIs" dxfId="3968" priority="5756" operator="lessThan">
      <formula>250</formula>
    </cfRule>
  </conditionalFormatting>
  <conditionalFormatting sqref="B194">
    <cfRule type="cellIs" dxfId="3967" priority="4760" operator="between">
      <formula>1.3</formula>
      <formula>1.5</formula>
    </cfRule>
    <cfRule type="cellIs" dxfId="3966" priority="4759" operator="between">
      <formula>1</formula>
      <formula>1.3</formula>
    </cfRule>
    <cfRule type="cellIs" dxfId="3965" priority="4758" operator="between">
      <formula>0.8</formula>
      <formula>0.99999</formula>
    </cfRule>
    <cfRule type="cellIs" dxfId="3964" priority="4757" operator="lessThan">
      <formula>0.8</formula>
    </cfRule>
    <cfRule type="cellIs" dxfId="3963" priority="4761" operator="greaterThan">
      <formula>1.5</formula>
    </cfRule>
  </conditionalFormatting>
  <conditionalFormatting sqref="B197">
    <cfRule type="cellIs" dxfId="3962" priority="5764" operator="lessThan">
      <formula>35</formula>
    </cfRule>
    <cfRule type="cellIs" dxfId="3961" priority="5762" operator="greaterThan">
      <formula>50</formula>
    </cfRule>
    <cfRule type="cellIs" dxfId="3960" priority="5763" operator="between">
      <formula>35</formula>
      <formula>50</formula>
    </cfRule>
  </conditionalFormatting>
  <conditionalFormatting sqref="B199">
    <cfRule type="cellIs" dxfId="3959" priority="5767" operator="lessThan">
      <formula>250</formula>
    </cfRule>
    <cfRule type="cellIs" dxfId="3958" priority="5765" operator="greaterThan">
      <formula>350</formula>
    </cfRule>
    <cfRule type="cellIs" dxfId="3957" priority="5766" operator="between">
      <formula>250</formula>
      <formula>350</formula>
    </cfRule>
  </conditionalFormatting>
  <conditionalFormatting sqref="B201">
    <cfRule type="cellIs" dxfId="3956" priority="4118" operator="between">
      <formula>1.3</formula>
      <formula>1.5</formula>
    </cfRule>
    <cfRule type="cellIs" dxfId="3955" priority="4119" operator="greaterThan">
      <formula>1.5</formula>
    </cfRule>
    <cfRule type="cellIs" dxfId="3954" priority="4115" operator="lessThan">
      <formula>0.8</formula>
    </cfRule>
    <cfRule type="cellIs" dxfId="3953" priority="4116" operator="between">
      <formula>0.8</formula>
      <formula>0.99999</formula>
    </cfRule>
    <cfRule type="cellIs" dxfId="3952" priority="4117" operator="between">
      <formula>1</formula>
      <formula>1.3</formula>
    </cfRule>
  </conditionalFormatting>
  <conditionalFormatting sqref="B204">
    <cfRule type="cellIs" dxfId="3951" priority="5774" operator="between">
      <formula>35</formula>
      <formula>50</formula>
    </cfRule>
    <cfRule type="cellIs" dxfId="3950" priority="5773" operator="greaterThan">
      <formula>50</formula>
    </cfRule>
    <cfRule type="cellIs" dxfId="3949" priority="5775" operator="lessThan">
      <formula>35</formula>
    </cfRule>
  </conditionalFormatting>
  <conditionalFormatting sqref="B206">
    <cfRule type="cellIs" dxfId="3948" priority="5776" operator="greaterThan">
      <formula>350</formula>
    </cfRule>
    <cfRule type="cellIs" dxfId="3947" priority="5778" operator="lessThan">
      <formula>250</formula>
    </cfRule>
    <cfRule type="cellIs" dxfId="3946" priority="5777" operator="between">
      <formula>250</formula>
      <formula>350</formula>
    </cfRule>
  </conditionalFormatting>
  <conditionalFormatting sqref="B208">
    <cfRule type="cellIs" dxfId="3945" priority="4751" operator="greaterThan">
      <formula>1.5</formula>
    </cfRule>
    <cfRule type="cellIs" dxfId="3944" priority="4750" operator="between">
      <formula>1.3</formula>
      <formula>1.5</formula>
    </cfRule>
    <cfRule type="cellIs" dxfId="3943" priority="4749" operator="between">
      <formula>1</formula>
      <formula>1.3</formula>
    </cfRule>
    <cfRule type="cellIs" dxfId="3942" priority="4748" operator="between">
      <formula>0.8</formula>
      <formula>0.99999</formula>
    </cfRule>
    <cfRule type="cellIs" dxfId="3941" priority="4747" operator="lessThan">
      <formula>0.8</formula>
    </cfRule>
  </conditionalFormatting>
  <conditionalFormatting sqref="B211">
    <cfRule type="cellIs" dxfId="3940" priority="5785" operator="between">
      <formula>35</formula>
      <formula>50</formula>
    </cfRule>
    <cfRule type="cellIs" dxfId="3939" priority="5784" operator="greaterThan">
      <formula>50</formula>
    </cfRule>
    <cfRule type="cellIs" dxfId="3938" priority="5786" operator="lessThan">
      <formula>35</formula>
    </cfRule>
  </conditionalFormatting>
  <conditionalFormatting sqref="B213">
    <cfRule type="cellIs" dxfId="3937" priority="5787" operator="greaterThan">
      <formula>350</formula>
    </cfRule>
    <cfRule type="cellIs" dxfId="3936" priority="5788" operator="between">
      <formula>250</formula>
      <formula>350</formula>
    </cfRule>
    <cfRule type="cellIs" dxfId="3935" priority="5789" operator="lessThan">
      <formula>250</formula>
    </cfRule>
  </conditionalFormatting>
  <conditionalFormatting sqref="B215">
    <cfRule type="cellIs" dxfId="3934" priority="4742" operator="lessThan">
      <formula>0.8</formula>
    </cfRule>
    <cfRule type="cellIs" dxfId="3933" priority="4743" operator="between">
      <formula>0.8</formula>
      <formula>0.99999</formula>
    </cfRule>
    <cfRule type="cellIs" dxfId="3932" priority="4744" operator="between">
      <formula>1</formula>
      <formula>1.3</formula>
    </cfRule>
    <cfRule type="cellIs" dxfId="3931" priority="4745" operator="between">
      <formula>1.3</formula>
      <formula>1.5</formula>
    </cfRule>
    <cfRule type="cellIs" dxfId="3930" priority="4746" operator="greaterThan">
      <formula>1.5</formula>
    </cfRule>
  </conditionalFormatting>
  <conditionalFormatting sqref="B218">
    <cfRule type="cellIs" dxfId="3929" priority="5795" operator="greaterThan">
      <formula>50</formula>
    </cfRule>
    <cfRule type="cellIs" dxfId="3928" priority="5796" operator="between">
      <formula>35</formula>
      <formula>50</formula>
    </cfRule>
    <cfRule type="cellIs" dxfId="3927" priority="5797" operator="lessThan">
      <formula>35</formula>
    </cfRule>
  </conditionalFormatting>
  <conditionalFormatting sqref="B220">
    <cfRule type="cellIs" dxfId="3926" priority="5800" operator="lessThan">
      <formula>250</formula>
    </cfRule>
    <cfRule type="cellIs" dxfId="3925" priority="5798" operator="greaterThan">
      <formula>350</formula>
    </cfRule>
    <cfRule type="cellIs" dxfId="3924" priority="5799" operator="between">
      <formula>250</formula>
      <formula>350</formula>
    </cfRule>
  </conditionalFormatting>
  <conditionalFormatting sqref="B222">
    <cfRule type="cellIs" dxfId="3923" priority="4123" operator="between">
      <formula>1.3</formula>
      <formula>1.5</formula>
    </cfRule>
    <cfRule type="cellIs" dxfId="3922" priority="4121" operator="between">
      <formula>0.8</formula>
      <formula>0.99999</formula>
    </cfRule>
    <cfRule type="cellIs" dxfId="3921" priority="4124" operator="greaterThan">
      <formula>1.5</formula>
    </cfRule>
    <cfRule type="cellIs" dxfId="3920" priority="4120" operator="lessThan">
      <formula>0.8</formula>
    </cfRule>
    <cfRule type="cellIs" dxfId="3919" priority="4122" operator="between">
      <formula>1</formula>
      <formula>1.3</formula>
    </cfRule>
  </conditionalFormatting>
  <conditionalFormatting sqref="B225">
    <cfRule type="cellIs" dxfId="3918" priority="5808" operator="lessThan">
      <formula>35</formula>
    </cfRule>
    <cfRule type="cellIs" dxfId="3917" priority="5806" operator="greaterThan">
      <formula>50</formula>
    </cfRule>
    <cfRule type="cellIs" dxfId="3916" priority="5807" operator="between">
      <formula>35</formula>
      <formula>50</formula>
    </cfRule>
  </conditionalFormatting>
  <conditionalFormatting sqref="B227">
    <cfRule type="cellIs" dxfId="3915" priority="5810" operator="between">
      <formula>250</formula>
      <formula>350</formula>
    </cfRule>
    <cfRule type="cellIs" dxfId="3914" priority="5811" operator="lessThan">
      <formula>250</formula>
    </cfRule>
    <cfRule type="cellIs" dxfId="3913" priority="5809" operator="greaterThan">
      <formula>350</formula>
    </cfRule>
  </conditionalFormatting>
  <conditionalFormatting sqref="B229">
    <cfRule type="cellIs" dxfId="3912" priority="4736" operator="greaterThan">
      <formula>1.5</formula>
    </cfRule>
    <cfRule type="cellIs" dxfId="3911" priority="4735" operator="between">
      <formula>1.3</formula>
      <formula>1.5</formula>
    </cfRule>
    <cfRule type="cellIs" dxfId="3910" priority="4734" operator="between">
      <formula>1</formula>
      <formula>1.3</formula>
    </cfRule>
    <cfRule type="cellIs" dxfId="3909" priority="4733" operator="between">
      <formula>0.8</formula>
      <formula>0.99999</formula>
    </cfRule>
    <cfRule type="cellIs" dxfId="3908" priority="4732" operator="lessThan">
      <formula>0.8</formula>
    </cfRule>
  </conditionalFormatting>
  <conditionalFormatting sqref="B232">
    <cfRule type="cellIs" dxfId="3907" priority="5818" operator="between">
      <formula>35</formula>
      <formula>50</formula>
    </cfRule>
    <cfRule type="cellIs" dxfId="3906" priority="5817" operator="greaterThan">
      <formula>50</formula>
    </cfRule>
    <cfRule type="cellIs" dxfId="3905" priority="5819" operator="lessThan">
      <formula>35</formula>
    </cfRule>
  </conditionalFormatting>
  <conditionalFormatting sqref="B234">
    <cfRule type="cellIs" dxfId="3904" priority="5820" operator="greaterThan">
      <formula>350</formula>
    </cfRule>
    <cfRule type="cellIs" dxfId="3903" priority="5821" operator="between">
      <formula>250</formula>
      <formula>350</formula>
    </cfRule>
    <cfRule type="cellIs" dxfId="3902" priority="5822" operator="lessThan">
      <formula>250</formula>
    </cfRule>
  </conditionalFormatting>
  <conditionalFormatting sqref="B236">
    <cfRule type="cellIs" dxfId="3901" priority="4731" operator="greaterThan">
      <formula>1.5</formula>
    </cfRule>
    <cfRule type="cellIs" dxfId="3900" priority="4727" operator="lessThan">
      <formula>0.8</formula>
    </cfRule>
    <cfRule type="cellIs" dxfId="3899" priority="4728" operator="between">
      <formula>0.8</formula>
      <formula>0.99999</formula>
    </cfRule>
    <cfRule type="cellIs" dxfId="3898" priority="4729" operator="between">
      <formula>1</formula>
      <formula>1.3</formula>
    </cfRule>
    <cfRule type="cellIs" dxfId="3897" priority="4730" operator="between">
      <formula>1.3</formula>
      <formula>1.5</formula>
    </cfRule>
  </conditionalFormatting>
  <conditionalFormatting sqref="B239">
    <cfRule type="cellIs" dxfId="3896" priority="5829" operator="between">
      <formula>35</formula>
      <formula>50</formula>
    </cfRule>
    <cfRule type="cellIs" dxfId="3895" priority="5830" operator="lessThan">
      <formula>35</formula>
    </cfRule>
    <cfRule type="cellIs" dxfId="3894" priority="5828" operator="greaterThan">
      <formula>50</formula>
    </cfRule>
  </conditionalFormatting>
  <conditionalFormatting sqref="B241">
    <cfRule type="cellIs" dxfId="3893" priority="5832" operator="between">
      <formula>250</formula>
      <formula>350</formula>
    </cfRule>
    <cfRule type="cellIs" dxfId="3892" priority="5831" operator="greaterThan">
      <formula>350</formula>
    </cfRule>
    <cfRule type="cellIs" dxfId="3891" priority="5833" operator="lessThan">
      <formula>250</formula>
    </cfRule>
  </conditionalFormatting>
  <conditionalFormatting sqref="B243">
    <cfRule type="cellIs" dxfId="3890" priority="4723" operator="between">
      <formula>0.8</formula>
      <formula>0.99999</formula>
    </cfRule>
    <cfRule type="cellIs" dxfId="3889" priority="4726" operator="greaterThan">
      <formula>1.5</formula>
    </cfRule>
    <cfRule type="cellIs" dxfId="3888" priority="4725" operator="between">
      <formula>1.3</formula>
      <formula>1.5</formula>
    </cfRule>
    <cfRule type="cellIs" dxfId="3887" priority="4724" operator="between">
      <formula>1</formula>
      <formula>1.3</formula>
    </cfRule>
    <cfRule type="cellIs" dxfId="3886" priority="4722" operator="lessThan">
      <formula>0.8</formula>
    </cfRule>
  </conditionalFormatting>
  <conditionalFormatting sqref="B246">
    <cfRule type="cellIs" dxfId="3885" priority="5841" operator="lessThan">
      <formula>35</formula>
    </cfRule>
    <cfRule type="cellIs" dxfId="3884" priority="5840" operator="between">
      <formula>35</formula>
      <formula>50</formula>
    </cfRule>
    <cfRule type="cellIs" dxfId="3883" priority="5839" operator="greaterThan">
      <formula>50</formula>
    </cfRule>
  </conditionalFormatting>
  <conditionalFormatting sqref="B248">
    <cfRule type="cellIs" dxfId="3882" priority="5843" operator="between">
      <formula>250</formula>
      <formula>350</formula>
    </cfRule>
    <cfRule type="cellIs" dxfId="3881" priority="5844" operator="lessThan">
      <formula>250</formula>
    </cfRule>
    <cfRule type="cellIs" dxfId="3880" priority="5842" operator="greaterThan">
      <formula>350</formula>
    </cfRule>
  </conditionalFormatting>
  <conditionalFormatting sqref="B250">
    <cfRule type="cellIs" dxfId="3879" priority="4719" operator="between">
      <formula>1</formula>
      <formula>1.3</formula>
    </cfRule>
    <cfRule type="cellIs" dxfId="3878" priority="4718" operator="between">
      <formula>0.8</formula>
      <formula>0.99999</formula>
    </cfRule>
    <cfRule type="cellIs" dxfId="3877" priority="4717" operator="lessThan">
      <formula>0.8</formula>
    </cfRule>
    <cfRule type="cellIs" dxfId="3876" priority="4720" operator="between">
      <formula>1.3</formula>
      <formula>1.5</formula>
    </cfRule>
    <cfRule type="cellIs" dxfId="3875" priority="4721" operator="greaterThan">
      <formula>1.5</formula>
    </cfRule>
  </conditionalFormatting>
  <conditionalFormatting sqref="B253">
    <cfRule type="cellIs" dxfId="3874" priority="5850" operator="greaterThan">
      <formula>50</formula>
    </cfRule>
    <cfRule type="cellIs" dxfId="3873" priority="5852" operator="lessThan">
      <formula>35</formula>
    </cfRule>
    <cfRule type="cellIs" dxfId="3872" priority="5851" operator="between">
      <formula>35</formula>
      <formula>50</formula>
    </cfRule>
  </conditionalFormatting>
  <conditionalFormatting sqref="B255">
    <cfRule type="cellIs" dxfId="3871" priority="5855" operator="lessThan">
      <formula>250</formula>
    </cfRule>
    <cfRule type="cellIs" dxfId="3870" priority="5854" operator="between">
      <formula>250</formula>
      <formula>350</formula>
    </cfRule>
    <cfRule type="cellIs" dxfId="3869" priority="5853" operator="greaterThan">
      <formula>350</formula>
    </cfRule>
  </conditionalFormatting>
  <conditionalFormatting sqref="B257">
    <cfRule type="cellIs" dxfId="3868" priority="4716" operator="greaterThan">
      <formula>1.5</formula>
    </cfRule>
    <cfRule type="cellIs" dxfId="3867" priority="4715" operator="between">
      <formula>1.3</formula>
      <formula>1.5</formula>
    </cfRule>
    <cfRule type="cellIs" dxfId="3866" priority="4714" operator="between">
      <formula>1</formula>
      <formula>1.3</formula>
    </cfRule>
    <cfRule type="cellIs" dxfId="3865" priority="4713" operator="between">
      <formula>0.8</formula>
      <formula>0.99999</formula>
    </cfRule>
    <cfRule type="cellIs" dxfId="3864" priority="4712" operator="lessThan">
      <formula>0.8</formula>
    </cfRule>
  </conditionalFormatting>
  <conditionalFormatting sqref="B260">
    <cfRule type="cellIs" dxfId="3863" priority="5863" operator="lessThan">
      <formula>35</formula>
    </cfRule>
    <cfRule type="cellIs" dxfId="3862" priority="5862" operator="between">
      <formula>35</formula>
      <formula>50</formula>
    </cfRule>
    <cfRule type="cellIs" dxfId="3861" priority="5861" operator="greaterThan">
      <formula>50</formula>
    </cfRule>
  </conditionalFormatting>
  <conditionalFormatting sqref="B262">
    <cfRule type="cellIs" dxfId="3860" priority="5864" operator="greaterThan">
      <formula>350</formula>
    </cfRule>
    <cfRule type="cellIs" dxfId="3859" priority="5865" operator="between">
      <formula>250</formula>
      <formula>350</formula>
    </cfRule>
    <cfRule type="cellIs" dxfId="3858" priority="5866" operator="lessThan">
      <formula>250</formula>
    </cfRule>
  </conditionalFormatting>
  <conditionalFormatting sqref="B264">
    <cfRule type="cellIs" dxfId="3857" priority="4711" operator="greaterThan">
      <formula>1.5</formula>
    </cfRule>
    <cfRule type="cellIs" dxfId="3856" priority="4707" operator="lessThan">
      <formula>0.8</formula>
    </cfRule>
    <cfRule type="cellIs" dxfId="3855" priority="4708" operator="between">
      <formula>0.8</formula>
      <formula>0.99999</formula>
    </cfRule>
    <cfRule type="cellIs" dxfId="3854" priority="4709" operator="between">
      <formula>1</formula>
      <formula>1.3</formula>
    </cfRule>
    <cfRule type="cellIs" dxfId="3853" priority="4710" operator="between">
      <formula>1.3</formula>
      <formula>1.5</formula>
    </cfRule>
  </conditionalFormatting>
  <conditionalFormatting sqref="B267">
    <cfRule type="cellIs" dxfId="3852" priority="5872" operator="greaterThan">
      <formula>50</formula>
    </cfRule>
    <cfRule type="cellIs" dxfId="3851" priority="5873" operator="between">
      <formula>35</formula>
      <formula>50</formula>
    </cfRule>
    <cfRule type="cellIs" dxfId="3850" priority="5874" operator="lessThan">
      <formula>35</formula>
    </cfRule>
  </conditionalFormatting>
  <conditionalFormatting sqref="B269">
    <cfRule type="cellIs" dxfId="3849" priority="5876" operator="between">
      <formula>250</formula>
      <formula>350</formula>
    </cfRule>
    <cfRule type="cellIs" dxfId="3848" priority="5875" operator="greaterThan">
      <formula>350</formula>
    </cfRule>
    <cfRule type="cellIs" dxfId="3847" priority="5877" operator="lessThan">
      <formula>250</formula>
    </cfRule>
  </conditionalFormatting>
  <conditionalFormatting sqref="B271">
    <cfRule type="cellIs" dxfId="3846" priority="4702" operator="lessThan">
      <formula>0.8</formula>
    </cfRule>
    <cfRule type="cellIs" dxfId="3845" priority="4704" operator="between">
      <formula>1</formula>
      <formula>1.3</formula>
    </cfRule>
    <cfRule type="cellIs" dxfId="3844" priority="4705" operator="between">
      <formula>1.3</formula>
      <formula>1.5</formula>
    </cfRule>
    <cfRule type="cellIs" dxfId="3843" priority="4706" operator="greaterThan">
      <formula>1.5</formula>
    </cfRule>
    <cfRule type="cellIs" dxfId="3842" priority="4703" operator="between">
      <formula>0.8</formula>
      <formula>0.99999</formula>
    </cfRule>
  </conditionalFormatting>
  <conditionalFormatting sqref="B274">
    <cfRule type="cellIs" dxfId="3841" priority="5883" operator="greaterThan">
      <formula>50</formula>
    </cfRule>
    <cfRule type="cellIs" dxfId="3840" priority="5884" operator="between">
      <formula>35</formula>
      <formula>50</formula>
    </cfRule>
    <cfRule type="cellIs" dxfId="3839" priority="5885" operator="lessThan">
      <formula>35</formula>
    </cfRule>
  </conditionalFormatting>
  <conditionalFormatting sqref="B276">
    <cfRule type="cellIs" dxfId="3838" priority="5886" operator="greaterThan">
      <formula>350</formula>
    </cfRule>
    <cfRule type="cellIs" dxfId="3837" priority="5887" operator="between">
      <formula>250</formula>
      <formula>350</formula>
    </cfRule>
    <cfRule type="cellIs" dxfId="3836" priority="5888" operator="lessThan">
      <formula>250</formula>
    </cfRule>
  </conditionalFormatting>
  <conditionalFormatting sqref="B278">
    <cfRule type="cellIs" dxfId="3835" priority="4697" operator="lessThan">
      <formula>0.8</formula>
    </cfRule>
    <cfRule type="cellIs" dxfId="3834" priority="4698" operator="between">
      <formula>0.8</formula>
      <formula>0.99999</formula>
    </cfRule>
    <cfRule type="cellIs" dxfId="3833" priority="4699" operator="between">
      <formula>1</formula>
      <formula>1.3</formula>
    </cfRule>
    <cfRule type="cellIs" dxfId="3832" priority="4700" operator="between">
      <formula>1.3</formula>
      <formula>1.5</formula>
    </cfRule>
    <cfRule type="cellIs" dxfId="3831" priority="4701" operator="greaterThan">
      <formula>1.5</formula>
    </cfRule>
  </conditionalFormatting>
  <conditionalFormatting sqref="B281">
    <cfRule type="cellIs" dxfId="3830" priority="5896" operator="lessThan">
      <formula>35</formula>
    </cfRule>
    <cfRule type="cellIs" dxfId="3829" priority="5894" operator="greaterThan">
      <formula>50</formula>
    </cfRule>
    <cfRule type="cellIs" dxfId="3828" priority="5895" operator="between">
      <formula>35</formula>
      <formula>50</formula>
    </cfRule>
  </conditionalFormatting>
  <conditionalFormatting sqref="B283">
    <cfRule type="cellIs" dxfId="3827" priority="5898" operator="between">
      <formula>250</formula>
      <formula>350</formula>
    </cfRule>
    <cfRule type="cellIs" dxfId="3826" priority="5899" operator="lessThan">
      <formula>250</formula>
    </cfRule>
    <cfRule type="cellIs" dxfId="3825" priority="5897" operator="greaterThan">
      <formula>350</formula>
    </cfRule>
  </conditionalFormatting>
  <conditionalFormatting sqref="B285">
    <cfRule type="cellIs" dxfId="3824" priority="4692" operator="lessThan">
      <formula>0.8</formula>
    </cfRule>
    <cfRule type="cellIs" dxfId="3823" priority="4693" operator="between">
      <formula>0.8</formula>
      <formula>0.99999</formula>
    </cfRule>
    <cfRule type="cellIs" dxfId="3822" priority="4694" operator="between">
      <formula>1</formula>
      <formula>1.3</formula>
    </cfRule>
    <cfRule type="cellIs" dxfId="3821" priority="4695" operator="between">
      <formula>1.3</formula>
      <formula>1.5</formula>
    </cfRule>
    <cfRule type="cellIs" dxfId="3820" priority="4696" operator="greaterThan">
      <formula>1.5</formula>
    </cfRule>
  </conditionalFormatting>
  <conditionalFormatting sqref="B288">
    <cfRule type="cellIs" dxfId="3819" priority="5906" operator="between">
      <formula>35</formula>
      <formula>50</formula>
    </cfRule>
    <cfRule type="cellIs" dxfId="3818" priority="5905" operator="greaterThan">
      <formula>50</formula>
    </cfRule>
    <cfRule type="cellIs" dxfId="3817" priority="5907" operator="lessThan">
      <formula>35</formula>
    </cfRule>
  </conditionalFormatting>
  <conditionalFormatting sqref="B290">
    <cfRule type="cellIs" dxfId="3816" priority="5908" operator="greaterThan">
      <formula>350</formula>
    </cfRule>
    <cfRule type="cellIs" dxfId="3815" priority="5909" operator="between">
      <formula>250</formula>
      <formula>350</formula>
    </cfRule>
    <cfRule type="cellIs" dxfId="3814" priority="5910" operator="lessThan">
      <formula>250</formula>
    </cfRule>
  </conditionalFormatting>
  <conditionalFormatting sqref="B292">
    <cfRule type="cellIs" dxfId="3813" priority="4691" operator="greaterThan">
      <formula>1.5</formula>
    </cfRule>
    <cfRule type="cellIs" dxfId="3812" priority="4687" operator="lessThan">
      <formula>0.8</formula>
    </cfRule>
    <cfRule type="cellIs" dxfId="3811" priority="4688" operator="between">
      <formula>0.8</formula>
      <formula>0.99999</formula>
    </cfRule>
    <cfRule type="cellIs" dxfId="3810" priority="4689" operator="between">
      <formula>1</formula>
      <formula>1.3</formula>
    </cfRule>
    <cfRule type="cellIs" dxfId="3809" priority="4690" operator="between">
      <formula>1.3</formula>
      <formula>1.5</formula>
    </cfRule>
  </conditionalFormatting>
  <conditionalFormatting sqref="B295">
    <cfRule type="cellIs" dxfId="3808" priority="5917" operator="between">
      <formula>35</formula>
      <formula>50</formula>
    </cfRule>
    <cfRule type="cellIs" dxfId="3807" priority="5918" operator="lessThan">
      <formula>35</formula>
    </cfRule>
    <cfRule type="cellIs" dxfId="3806" priority="5916" operator="greaterThan">
      <formula>50</formula>
    </cfRule>
  </conditionalFormatting>
  <conditionalFormatting sqref="B297">
    <cfRule type="cellIs" dxfId="3805" priority="5919" operator="greaterThan">
      <formula>350</formula>
    </cfRule>
    <cfRule type="cellIs" dxfId="3804" priority="5920" operator="between">
      <formula>250</formula>
      <formula>350</formula>
    </cfRule>
    <cfRule type="cellIs" dxfId="3803" priority="5921" operator="lessThan">
      <formula>250</formula>
    </cfRule>
  </conditionalFormatting>
  <conditionalFormatting sqref="B299">
    <cfRule type="cellIs" dxfId="3802" priority="4682" operator="lessThan">
      <formula>0.8</formula>
    </cfRule>
    <cfRule type="cellIs" dxfId="3801" priority="4683" operator="between">
      <formula>0.8</formula>
      <formula>0.99999</formula>
    </cfRule>
    <cfRule type="cellIs" dxfId="3800" priority="4684" operator="between">
      <formula>1</formula>
      <formula>1.3</formula>
    </cfRule>
    <cfRule type="cellIs" dxfId="3799" priority="4685" operator="between">
      <formula>1.3</formula>
      <formula>1.5</formula>
    </cfRule>
    <cfRule type="cellIs" dxfId="3798" priority="4686" operator="greaterThan">
      <formula>1.5</formula>
    </cfRule>
  </conditionalFormatting>
  <conditionalFormatting sqref="B302">
    <cfRule type="cellIs" dxfId="3797" priority="5927" operator="greaterThan">
      <formula>50</formula>
    </cfRule>
    <cfRule type="cellIs" dxfId="3796" priority="5928" operator="between">
      <formula>35</formula>
      <formula>50</formula>
    </cfRule>
    <cfRule type="cellIs" dxfId="3795" priority="5929" operator="lessThan">
      <formula>35</formula>
    </cfRule>
  </conditionalFormatting>
  <conditionalFormatting sqref="B304">
    <cfRule type="cellIs" dxfId="3794" priority="5930" operator="greaterThan">
      <formula>350</formula>
    </cfRule>
    <cfRule type="cellIs" dxfId="3793" priority="5931" operator="between">
      <formula>250</formula>
      <formula>350</formula>
    </cfRule>
    <cfRule type="cellIs" dxfId="3792" priority="5932" operator="lessThan">
      <formula>250</formula>
    </cfRule>
  </conditionalFormatting>
  <conditionalFormatting sqref="B306">
    <cfRule type="cellIs" dxfId="3791" priority="4677" operator="lessThan">
      <formula>0.8</formula>
    </cfRule>
    <cfRule type="cellIs" dxfId="3790" priority="4678" operator="between">
      <formula>0.8</formula>
      <formula>0.99999</formula>
    </cfRule>
    <cfRule type="cellIs" dxfId="3789" priority="4679" operator="between">
      <formula>1</formula>
      <formula>1.3</formula>
    </cfRule>
    <cfRule type="cellIs" dxfId="3788" priority="4680" operator="between">
      <formula>1.3</formula>
      <formula>1.5</formula>
    </cfRule>
    <cfRule type="cellIs" dxfId="3787" priority="4681" operator="greaterThan">
      <formula>1.5</formula>
    </cfRule>
  </conditionalFormatting>
  <conditionalFormatting sqref="B309">
    <cfRule type="cellIs" dxfId="3786" priority="5938" operator="greaterThan">
      <formula>50</formula>
    </cfRule>
    <cfRule type="cellIs" dxfId="3785" priority="5939" operator="between">
      <formula>35</formula>
      <formula>50</formula>
    </cfRule>
    <cfRule type="cellIs" dxfId="3784" priority="5940" operator="lessThan">
      <formula>35</formula>
    </cfRule>
  </conditionalFormatting>
  <conditionalFormatting sqref="B311">
    <cfRule type="cellIs" dxfId="3783" priority="5941" operator="greaterThan">
      <formula>350</formula>
    </cfRule>
    <cfRule type="cellIs" dxfId="3782" priority="5942" operator="between">
      <formula>250</formula>
      <formula>350</formula>
    </cfRule>
    <cfRule type="cellIs" dxfId="3781" priority="5943" operator="lessThan">
      <formula>250</formula>
    </cfRule>
  </conditionalFormatting>
  <conditionalFormatting sqref="B313">
    <cfRule type="cellIs" dxfId="3780" priority="4676" operator="greaterThan">
      <formula>1.5</formula>
    </cfRule>
    <cfRule type="cellIs" dxfId="3779" priority="4675" operator="between">
      <formula>1.3</formula>
      <formula>1.5</formula>
    </cfRule>
    <cfRule type="cellIs" dxfId="3778" priority="4674" operator="between">
      <formula>1</formula>
      <formula>1.3</formula>
    </cfRule>
    <cfRule type="cellIs" dxfId="3777" priority="4673" operator="between">
      <formula>0.8</formula>
      <formula>0.99999</formula>
    </cfRule>
    <cfRule type="cellIs" dxfId="3776" priority="4672" operator="lessThan">
      <formula>0.8</formula>
    </cfRule>
  </conditionalFormatting>
  <conditionalFormatting sqref="B316">
    <cfRule type="cellIs" dxfId="3775" priority="5949" operator="greaterThan">
      <formula>50</formula>
    </cfRule>
    <cfRule type="cellIs" dxfId="3774" priority="5950" operator="between">
      <formula>35</formula>
      <formula>50</formula>
    </cfRule>
    <cfRule type="cellIs" dxfId="3773" priority="5951" operator="lessThan">
      <formula>35</formula>
    </cfRule>
  </conditionalFormatting>
  <conditionalFormatting sqref="B318">
    <cfRule type="cellIs" dxfId="3772" priority="5954" operator="lessThan">
      <formula>250</formula>
    </cfRule>
    <cfRule type="cellIs" dxfId="3771" priority="5953" operator="between">
      <formula>250</formula>
      <formula>350</formula>
    </cfRule>
    <cfRule type="cellIs" dxfId="3770" priority="5952" operator="greaterThan">
      <formula>350</formula>
    </cfRule>
  </conditionalFormatting>
  <conditionalFormatting sqref="B320">
    <cfRule type="cellIs" dxfId="3769" priority="4668" operator="between">
      <formula>0.8</formula>
      <formula>0.99999</formula>
    </cfRule>
    <cfRule type="cellIs" dxfId="3768" priority="4667" operator="lessThan">
      <formula>0.8</formula>
    </cfRule>
    <cfRule type="cellIs" dxfId="3767" priority="4671" operator="greaterThan">
      <formula>1.5</formula>
    </cfRule>
    <cfRule type="cellIs" dxfId="3766" priority="4670" operator="between">
      <formula>1.3</formula>
      <formula>1.5</formula>
    </cfRule>
    <cfRule type="cellIs" dxfId="3765" priority="4669" operator="between">
      <formula>1</formula>
      <formula>1.3</formula>
    </cfRule>
  </conditionalFormatting>
  <conditionalFormatting sqref="B323">
    <cfRule type="cellIs" dxfId="3764" priority="5960" operator="greaterThan">
      <formula>50</formula>
    </cfRule>
    <cfRule type="cellIs" dxfId="3763" priority="5961" operator="between">
      <formula>35</formula>
      <formula>50</formula>
    </cfRule>
    <cfRule type="cellIs" dxfId="3762" priority="5962" operator="lessThan">
      <formula>35</formula>
    </cfRule>
  </conditionalFormatting>
  <conditionalFormatting sqref="B325">
    <cfRule type="cellIs" dxfId="3761" priority="5963" operator="greaterThan">
      <formula>350</formula>
    </cfRule>
    <cfRule type="cellIs" dxfId="3760" priority="5964" operator="between">
      <formula>250</formula>
      <formula>350</formula>
    </cfRule>
    <cfRule type="cellIs" dxfId="3759" priority="5965" operator="lessThan">
      <formula>250</formula>
    </cfRule>
  </conditionalFormatting>
  <conditionalFormatting sqref="B327">
    <cfRule type="cellIs" dxfId="3758" priority="4664" operator="between">
      <formula>1</formula>
      <formula>1.3</formula>
    </cfRule>
    <cfRule type="cellIs" dxfId="3757" priority="4663" operator="between">
      <formula>0.8</formula>
      <formula>0.99999</formula>
    </cfRule>
    <cfRule type="cellIs" dxfId="3756" priority="4662" operator="lessThan">
      <formula>0.8</formula>
    </cfRule>
    <cfRule type="cellIs" dxfId="3755" priority="4666" operator="greaterThan">
      <formula>1.5</formula>
    </cfRule>
    <cfRule type="cellIs" dxfId="3754" priority="4665" operator="between">
      <formula>1.3</formula>
      <formula>1.5</formula>
    </cfRule>
  </conditionalFormatting>
  <conditionalFormatting sqref="B330">
    <cfRule type="cellIs" dxfId="3753" priority="5971" operator="greaterThan">
      <formula>50</formula>
    </cfRule>
    <cfRule type="cellIs" dxfId="3752" priority="5972" operator="between">
      <formula>35</formula>
      <formula>50</formula>
    </cfRule>
    <cfRule type="cellIs" dxfId="3751" priority="5973" operator="lessThan">
      <formula>35</formula>
    </cfRule>
  </conditionalFormatting>
  <conditionalFormatting sqref="B332">
    <cfRule type="cellIs" dxfId="3750" priority="5974" operator="greaterThan">
      <formula>350</formula>
    </cfRule>
    <cfRule type="cellIs" dxfId="3749" priority="5975" operator="between">
      <formula>250</formula>
      <formula>350</formula>
    </cfRule>
    <cfRule type="cellIs" dxfId="3748" priority="5976" operator="lessThan">
      <formula>250</formula>
    </cfRule>
  </conditionalFormatting>
  <conditionalFormatting sqref="B334">
    <cfRule type="cellIs" dxfId="3747" priority="4658" operator="between">
      <formula>0.8</formula>
      <formula>0.99999</formula>
    </cfRule>
    <cfRule type="cellIs" dxfId="3746" priority="4661" operator="greaterThan">
      <formula>1.5</formula>
    </cfRule>
    <cfRule type="cellIs" dxfId="3745" priority="4660" operator="between">
      <formula>1.3</formula>
      <formula>1.5</formula>
    </cfRule>
    <cfRule type="cellIs" dxfId="3744" priority="4657" operator="lessThan">
      <formula>0.8</formula>
    </cfRule>
    <cfRule type="cellIs" dxfId="3743" priority="4659" operator="between">
      <formula>1</formula>
      <formula>1.3</formula>
    </cfRule>
  </conditionalFormatting>
  <conditionalFormatting sqref="B337">
    <cfRule type="cellIs" dxfId="3742" priority="5984" operator="lessThan">
      <formula>35</formula>
    </cfRule>
    <cfRule type="cellIs" dxfId="3741" priority="5982" operator="greaterThan">
      <formula>50</formula>
    </cfRule>
    <cfRule type="cellIs" dxfId="3740" priority="5983" operator="between">
      <formula>35</formula>
      <formula>50</formula>
    </cfRule>
  </conditionalFormatting>
  <conditionalFormatting sqref="B339">
    <cfRule type="cellIs" dxfId="3739" priority="5987" operator="lessThan">
      <formula>250</formula>
    </cfRule>
    <cfRule type="cellIs" dxfId="3738" priority="5986" operator="between">
      <formula>250</formula>
      <formula>350</formula>
    </cfRule>
    <cfRule type="cellIs" dxfId="3737" priority="5985" operator="greaterThan">
      <formula>350</formula>
    </cfRule>
  </conditionalFormatting>
  <conditionalFormatting sqref="B341">
    <cfRule type="cellIs" dxfId="3736" priority="4656" operator="greaterThan">
      <formula>1.5</formula>
    </cfRule>
    <cfRule type="cellIs" dxfId="3735" priority="4655" operator="between">
      <formula>1.3</formula>
      <formula>1.5</formula>
    </cfRule>
    <cfRule type="cellIs" dxfId="3734" priority="4654" operator="between">
      <formula>1</formula>
      <formula>1.3</formula>
    </cfRule>
    <cfRule type="cellIs" dxfId="3733" priority="4653" operator="between">
      <formula>0.8</formula>
      <formula>0.99999</formula>
    </cfRule>
    <cfRule type="cellIs" dxfId="3732" priority="4652" operator="lessThan">
      <formula>0.8</formula>
    </cfRule>
  </conditionalFormatting>
  <conditionalFormatting sqref="B344">
    <cfRule type="cellIs" dxfId="3731" priority="5995" operator="lessThan">
      <formula>35</formula>
    </cfRule>
    <cfRule type="cellIs" dxfId="3730" priority="5994" operator="between">
      <formula>35</formula>
      <formula>50</formula>
    </cfRule>
    <cfRule type="cellIs" dxfId="3729" priority="5993" operator="greaterThan">
      <formula>50</formula>
    </cfRule>
  </conditionalFormatting>
  <conditionalFormatting sqref="B346">
    <cfRule type="cellIs" dxfId="3728" priority="5998" operator="lessThan">
      <formula>250</formula>
    </cfRule>
    <cfRule type="cellIs" dxfId="3727" priority="5997" operator="between">
      <formula>250</formula>
      <formula>350</formula>
    </cfRule>
    <cfRule type="cellIs" dxfId="3726" priority="5996" operator="greaterThan">
      <formula>350</formula>
    </cfRule>
  </conditionalFormatting>
  <conditionalFormatting sqref="B348">
    <cfRule type="cellIs" dxfId="3725" priority="4647" operator="lessThan">
      <formula>0.8</formula>
    </cfRule>
    <cfRule type="cellIs" dxfId="3724" priority="4648" operator="between">
      <formula>0.8</formula>
      <formula>0.99999</formula>
    </cfRule>
    <cfRule type="cellIs" dxfId="3723" priority="4650" operator="between">
      <formula>1.3</formula>
      <formula>1.5</formula>
    </cfRule>
    <cfRule type="cellIs" dxfId="3722" priority="4651" operator="greaterThan">
      <formula>1.5</formula>
    </cfRule>
    <cfRule type="cellIs" dxfId="3721" priority="4649" operator="between">
      <formula>1</formula>
      <formula>1.3</formula>
    </cfRule>
  </conditionalFormatting>
  <conditionalFormatting sqref="B351">
    <cfRule type="cellIs" dxfId="3720" priority="6006" operator="lessThan">
      <formula>35</formula>
    </cfRule>
    <cfRule type="cellIs" dxfId="3719" priority="6005" operator="between">
      <formula>35</formula>
      <formula>50</formula>
    </cfRule>
    <cfRule type="cellIs" dxfId="3718" priority="6004" operator="greaterThan">
      <formula>50</formula>
    </cfRule>
  </conditionalFormatting>
  <conditionalFormatting sqref="B353">
    <cfRule type="cellIs" dxfId="3717" priority="6009" operator="lessThan">
      <formula>250</formula>
    </cfRule>
    <cfRule type="cellIs" dxfId="3716" priority="6008" operator="between">
      <formula>250</formula>
      <formula>350</formula>
    </cfRule>
    <cfRule type="cellIs" dxfId="3715" priority="6007" operator="greaterThan">
      <formula>350</formula>
    </cfRule>
  </conditionalFormatting>
  <conditionalFormatting sqref="B355">
    <cfRule type="cellIs" dxfId="3714" priority="4642" operator="lessThan">
      <formula>0.8</formula>
    </cfRule>
    <cfRule type="cellIs" dxfId="3713" priority="4645" operator="between">
      <formula>1.3</formula>
      <formula>1.5</formula>
    </cfRule>
    <cfRule type="cellIs" dxfId="3712" priority="4646" operator="greaterThan">
      <formula>1.5</formula>
    </cfRule>
    <cfRule type="cellIs" dxfId="3711" priority="4644" operator="between">
      <formula>1</formula>
      <formula>1.3</formula>
    </cfRule>
    <cfRule type="cellIs" dxfId="3710" priority="4643" operator="between">
      <formula>0.8</formula>
      <formula>0.99999</formula>
    </cfRule>
  </conditionalFormatting>
  <conditionalFormatting sqref="B358">
    <cfRule type="cellIs" dxfId="3709" priority="6017" operator="lessThan">
      <formula>35</formula>
    </cfRule>
    <cfRule type="cellIs" dxfId="3708" priority="6016" operator="between">
      <formula>35</formula>
      <formula>50</formula>
    </cfRule>
    <cfRule type="cellIs" dxfId="3707" priority="6015" operator="greaterThan">
      <formula>50</formula>
    </cfRule>
  </conditionalFormatting>
  <conditionalFormatting sqref="B360">
    <cfRule type="cellIs" dxfId="3706" priority="6019" operator="between">
      <formula>250</formula>
      <formula>350</formula>
    </cfRule>
    <cfRule type="cellIs" dxfId="3705" priority="6018" operator="greaterThan">
      <formula>350</formula>
    </cfRule>
    <cfRule type="cellIs" dxfId="3704" priority="6020" operator="lessThan">
      <formula>250</formula>
    </cfRule>
  </conditionalFormatting>
  <conditionalFormatting sqref="B362">
    <cfRule type="cellIs" dxfId="3703" priority="4638" operator="between">
      <formula>0.8</formula>
      <formula>0.99999</formula>
    </cfRule>
    <cfRule type="cellIs" dxfId="3702" priority="4641" operator="greaterThan">
      <formula>1.5</formula>
    </cfRule>
    <cfRule type="cellIs" dxfId="3701" priority="4640" operator="between">
      <formula>1.3</formula>
      <formula>1.5</formula>
    </cfRule>
    <cfRule type="cellIs" dxfId="3700" priority="4639" operator="between">
      <formula>1</formula>
      <formula>1.3</formula>
    </cfRule>
    <cfRule type="cellIs" dxfId="3699" priority="4637" operator="lessThan">
      <formula>0.8</formula>
    </cfRule>
  </conditionalFormatting>
  <conditionalFormatting sqref="B365">
    <cfRule type="cellIs" dxfId="3698" priority="6026" operator="greaterThan">
      <formula>50</formula>
    </cfRule>
    <cfRule type="cellIs" dxfId="3697" priority="6028" operator="lessThan">
      <formula>35</formula>
    </cfRule>
    <cfRule type="cellIs" dxfId="3696" priority="6027" operator="between">
      <formula>35</formula>
      <formula>50</formula>
    </cfRule>
  </conditionalFormatting>
  <conditionalFormatting sqref="B367">
    <cfRule type="cellIs" dxfId="3695" priority="6031" operator="lessThan">
      <formula>250</formula>
    </cfRule>
    <cfRule type="cellIs" dxfId="3694" priority="6030" operator="between">
      <formula>250</formula>
      <formula>350</formula>
    </cfRule>
    <cfRule type="cellIs" dxfId="3693" priority="6029" operator="greaterThan">
      <formula>350</formula>
    </cfRule>
  </conditionalFormatting>
  <conditionalFormatting sqref="B369">
    <cfRule type="cellIs" dxfId="3692" priority="4636" operator="greaterThan">
      <formula>1.5</formula>
    </cfRule>
    <cfRule type="cellIs" dxfId="3691" priority="4635" operator="between">
      <formula>1.3</formula>
      <formula>1.5</formula>
    </cfRule>
    <cfRule type="cellIs" dxfId="3690" priority="4634" operator="between">
      <formula>1</formula>
      <formula>1.3</formula>
    </cfRule>
    <cfRule type="cellIs" dxfId="3689" priority="4633" operator="between">
      <formula>0.8</formula>
      <formula>0.99999</formula>
    </cfRule>
    <cfRule type="cellIs" dxfId="3688" priority="4632" operator="lessThan">
      <formula>0.8</formula>
    </cfRule>
  </conditionalFormatting>
  <conditionalFormatting sqref="B372">
    <cfRule type="cellIs" dxfId="3687" priority="6039" operator="lessThan">
      <formula>35</formula>
    </cfRule>
    <cfRule type="cellIs" dxfId="3686" priority="6038" operator="between">
      <formula>35</formula>
      <formula>50</formula>
    </cfRule>
    <cfRule type="cellIs" dxfId="3685" priority="6037" operator="greaterThan">
      <formula>50</formula>
    </cfRule>
  </conditionalFormatting>
  <conditionalFormatting sqref="B374">
    <cfRule type="cellIs" dxfId="3684" priority="6041" operator="between">
      <formula>250</formula>
      <formula>350</formula>
    </cfRule>
    <cfRule type="cellIs" dxfId="3683" priority="6040" operator="greaterThan">
      <formula>350</formula>
    </cfRule>
    <cfRule type="cellIs" dxfId="3682" priority="6042" operator="lessThan">
      <formula>250</formula>
    </cfRule>
  </conditionalFormatting>
  <conditionalFormatting sqref="B376">
    <cfRule type="cellIs" dxfId="3681" priority="4631" operator="greaterThan">
      <formula>1.5</formula>
    </cfRule>
    <cfRule type="cellIs" dxfId="3680" priority="4627" operator="lessThan">
      <formula>0.8</formula>
    </cfRule>
    <cfRule type="cellIs" dxfId="3679" priority="4630" operator="between">
      <formula>1.3</formula>
      <formula>1.5</formula>
    </cfRule>
    <cfRule type="cellIs" dxfId="3678" priority="4628" operator="between">
      <formula>0.8</formula>
      <formula>0.99999</formula>
    </cfRule>
    <cfRule type="cellIs" dxfId="3677" priority="4629" operator="between">
      <formula>1</formula>
      <formula>1.3</formula>
    </cfRule>
  </conditionalFormatting>
  <conditionalFormatting sqref="B379">
    <cfRule type="cellIs" dxfId="3676" priority="6048" operator="greaterThan">
      <formula>50</formula>
    </cfRule>
    <cfRule type="cellIs" dxfId="3675" priority="6049" operator="between">
      <formula>35</formula>
      <formula>50</formula>
    </cfRule>
    <cfRule type="cellIs" dxfId="3674" priority="6050" operator="lessThan">
      <formula>35</formula>
    </cfRule>
  </conditionalFormatting>
  <conditionalFormatting sqref="B381">
    <cfRule type="cellIs" dxfId="3673" priority="6053" operator="lessThan">
      <formula>250</formula>
    </cfRule>
    <cfRule type="cellIs" dxfId="3672" priority="6051" operator="greaterThan">
      <formula>350</formula>
    </cfRule>
    <cfRule type="cellIs" dxfId="3671" priority="6052" operator="between">
      <formula>250</formula>
      <formula>350</formula>
    </cfRule>
  </conditionalFormatting>
  <conditionalFormatting sqref="B383">
    <cfRule type="cellIs" dxfId="3670" priority="4625" operator="between">
      <formula>1.3</formula>
      <formula>1.5</formula>
    </cfRule>
    <cfRule type="cellIs" dxfId="3669" priority="4626" operator="greaterThan">
      <formula>1.5</formula>
    </cfRule>
    <cfRule type="cellIs" dxfId="3668" priority="4624" operator="between">
      <formula>1</formula>
      <formula>1.3</formula>
    </cfRule>
    <cfRule type="cellIs" dxfId="3667" priority="4623" operator="between">
      <formula>0.8</formula>
      <formula>0.99999</formula>
    </cfRule>
    <cfRule type="cellIs" dxfId="3666" priority="4622" operator="lessThan">
      <formula>0.8</formula>
    </cfRule>
  </conditionalFormatting>
  <conditionalFormatting sqref="B386">
    <cfRule type="cellIs" dxfId="3665" priority="6061" operator="lessThan">
      <formula>35</formula>
    </cfRule>
    <cfRule type="cellIs" dxfId="3664" priority="6060" operator="between">
      <formula>35</formula>
      <formula>50</formula>
    </cfRule>
    <cfRule type="cellIs" dxfId="3663" priority="6059" operator="greaterThan">
      <formula>50</formula>
    </cfRule>
  </conditionalFormatting>
  <conditionalFormatting sqref="B388">
    <cfRule type="cellIs" dxfId="3662" priority="6062" operator="greaterThan">
      <formula>350</formula>
    </cfRule>
    <cfRule type="cellIs" dxfId="3661" priority="6063" operator="between">
      <formula>250</formula>
      <formula>350</formula>
    </cfRule>
    <cfRule type="cellIs" dxfId="3660" priority="6064" operator="lessThan">
      <formula>250</formula>
    </cfRule>
  </conditionalFormatting>
  <conditionalFormatting sqref="B390">
    <cfRule type="cellIs" dxfId="3659" priority="4621" operator="greaterThan">
      <formula>1.5</formula>
    </cfRule>
    <cfRule type="cellIs" dxfId="3658" priority="4620" operator="between">
      <formula>1.3</formula>
      <formula>1.5</formula>
    </cfRule>
    <cfRule type="cellIs" dxfId="3657" priority="4619" operator="between">
      <formula>1</formula>
      <formula>1.3</formula>
    </cfRule>
    <cfRule type="cellIs" dxfId="3656" priority="4618" operator="between">
      <formula>0.8</formula>
      <formula>0.99999</formula>
    </cfRule>
    <cfRule type="cellIs" dxfId="3655" priority="4617" operator="lessThan">
      <formula>0.8</formula>
    </cfRule>
  </conditionalFormatting>
  <conditionalFormatting sqref="B393">
    <cfRule type="cellIs" dxfId="3654" priority="6070" operator="greaterThan">
      <formula>50</formula>
    </cfRule>
    <cfRule type="cellIs" dxfId="3653" priority="6071" operator="between">
      <formula>35</formula>
      <formula>50</formula>
    </cfRule>
    <cfRule type="cellIs" dxfId="3652" priority="6072" operator="lessThan">
      <formula>35</formula>
    </cfRule>
  </conditionalFormatting>
  <conditionalFormatting sqref="B395">
    <cfRule type="cellIs" dxfId="3651" priority="6074" operator="between">
      <formula>250</formula>
      <formula>350</formula>
    </cfRule>
    <cfRule type="cellIs" dxfId="3650" priority="6075" operator="lessThan">
      <formula>250</formula>
    </cfRule>
    <cfRule type="cellIs" dxfId="3649" priority="6073" operator="greaterThan">
      <formula>350</formula>
    </cfRule>
  </conditionalFormatting>
  <conditionalFormatting sqref="B397">
    <cfRule type="cellIs" dxfId="3648" priority="4616" operator="greaterThan">
      <formula>1.5</formula>
    </cfRule>
    <cfRule type="cellIs" dxfId="3647" priority="4612" operator="lessThan">
      <formula>0.8</formula>
    </cfRule>
    <cfRule type="cellIs" dxfId="3646" priority="4615" operator="between">
      <formula>1.3</formula>
      <formula>1.5</formula>
    </cfRule>
    <cfRule type="cellIs" dxfId="3645" priority="4613" operator="between">
      <formula>0.8</formula>
      <formula>0.99999</formula>
    </cfRule>
    <cfRule type="cellIs" dxfId="3644" priority="4614" operator="between">
      <formula>1</formula>
      <formula>1.3</formula>
    </cfRule>
  </conditionalFormatting>
  <conditionalFormatting sqref="B400">
    <cfRule type="cellIs" dxfId="3643" priority="6083" operator="lessThan">
      <formula>35</formula>
    </cfRule>
    <cfRule type="cellIs" dxfId="3642" priority="6082" operator="between">
      <formula>35</formula>
      <formula>50</formula>
    </cfRule>
    <cfRule type="cellIs" dxfId="3641" priority="6081" operator="greaterThan">
      <formula>50</formula>
    </cfRule>
  </conditionalFormatting>
  <conditionalFormatting sqref="B402">
    <cfRule type="cellIs" dxfId="3640" priority="6086" operator="lessThan">
      <formula>250</formula>
    </cfRule>
    <cfRule type="cellIs" dxfId="3639" priority="6085" operator="between">
      <formula>250</formula>
      <formula>350</formula>
    </cfRule>
    <cfRule type="cellIs" dxfId="3638" priority="6084" operator="greaterThan">
      <formula>350</formula>
    </cfRule>
  </conditionalFormatting>
  <conditionalFormatting sqref="B404">
    <cfRule type="cellIs" dxfId="3637" priority="4609" operator="between">
      <formula>1</formula>
      <formula>1.3</formula>
    </cfRule>
    <cfRule type="cellIs" dxfId="3636" priority="4610" operator="between">
      <formula>1.3</formula>
      <formula>1.5</formula>
    </cfRule>
    <cfRule type="cellIs" dxfId="3635" priority="4611" operator="greaterThan">
      <formula>1.5</formula>
    </cfRule>
    <cfRule type="cellIs" dxfId="3634" priority="4607" operator="lessThan">
      <formula>0.8</formula>
    </cfRule>
    <cfRule type="cellIs" dxfId="3633" priority="4608" operator="between">
      <formula>0.8</formula>
      <formula>0.99999</formula>
    </cfRule>
  </conditionalFormatting>
  <conditionalFormatting sqref="B407">
    <cfRule type="cellIs" dxfId="3632" priority="6092" operator="greaterThan">
      <formula>50</formula>
    </cfRule>
    <cfRule type="cellIs" dxfId="3631" priority="6093" operator="between">
      <formula>35</formula>
      <formula>50</formula>
    </cfRule>
    <cfRule type="cellIs" dxfId="3630" priority="6094" operator="lessThan">
      <formula>35</formula>
    </cfRule>
  </conditionalFormatting>
  <conditionalFormatting sqref="B409">
    <cfRule type="cellIs" dxfId="3629" priority="6097" operator="lessThan">
      <formula>250</formula>
    </cfRule>
    <cfRule type="cellIs" dxfId="3628" priority="6096" operator="between">
      <formula>250</formula>
      <formula>350</formula>
    </cfRule>
    <cfRule type="cellIs" dxfId="3627" priority="6095" operator="greaterThan">
      <formula>350</formula>
    </cfRule>
  </conditionalFormatting>
  <conditionalFormatting sqref="B411">
    <cfRule type="cellIs" dxfId="3626" priority="4606" operator="greaterThan">
      <formula>1.5</formula>
    </cfRule>
    <cfRule type="cellIs" dxfId="3625" priority="4605" operator="between">
      <formula>1.3</formula>
      <formula>1.5</formula>
    </cfRule>
    <cfRule type="cellIs" dxfId="3624" priority="4602" operator="lessThan">
      <formula>0.8</formula>
    </cfRule>
    <cfRule type="cellIs" dxfId="3623" priority="4603" operator="between">
      <formula>0.8</formula>
      <formula>0.99999</formula>
    </cfRule>
    <cfRule type="cellIs" dxfId="3622" priority="4604" operator="between">
      <formula>1</formula>
      <formula>1.3</formula>
    </cfRule>
  </conditionalFormatting>
  <conditionalFormatting sqref="B414">
    <cfRule type="cellIs" dxfId="3621" priority="6105" operator="lessThan">
      <formula>35</formula>
    </cfRule>
    <cfRule type="cellIs" dxfId="3620" priority="6104" operator="between">
      <formula>35</formula>
      <formula>50</formula>
    </cfRule>
    <cfRule type="cellIs" dxfId="3619" priority="6103" operator="greaterThan">
      <formula>50</formula>
    </cfRule>
  </conditionalFormatting>
  <conditionalFormatting sqref="B416">
    <cfRule type="cellIs" dxfId="3618" priority="6108" operator="lessThan">
      <formula>250</formula>
    </cfRule>
    <cfRule type="cellIs" dxfId="3617" priority="6107" operator="between">
      <formula>250</formula>
      <formula>350</formula>
    </cfRule>
    <cfRule type="cellIs" dxfId="3616" priority="6106" operator="greaterThan">
      <formula>350</formula>
    </cfRule>
  </conditionalFormatting>
  <conditionalFormatting sqref="B418">
    <cfRule type="cellIs" dxfId="3615" priority="4600" operator="between">
      <formula>1.3</formula>
      <formula>1.5</formula>
    </cfRule>
    <cfRule type="cellIs" dxfId="3614" priority="4599" operator="between">
      <formula>1</formula>
      <formula>1.3</formula>
    </cfRule>
    <cfRule type="cellIs" dxfId="3613" priority="4601" operator="greaterThan">
      <formula>1.5</formula>
    </cfRule>
    <cfRule type="cellIs" dxfId="3612" priority="4598" operator="between">
      <formula>0.8</formula>
      <formula>0.99999</formula>
    </cfRule>
    <cfRule type="cellIs" dxfId="3611" priority="4597" operator="lessThan">
      <formula>0.8</formula>
    </cfRule>
  </conditionalFormatting>
  <conditionalFormatting sqref="B421">
    <cfRule type="cellIs" dxfId="3610" priority="6114" operator="greaterThan">
      <formula>50</formula>
    </cfRule>
    <cfRule type="cellIs" dxfId="3609" priority="6116" operator="lessThan">
      <formula>35</formula>
    </cfRule>
    <cfRule type="cellIs" dxfId="3608" priority="6115" operator="between">
      <formula>35</formula>
      <formula>50</formula>
    </cfRule>
  </conditionalFormatting>
  <conditionalFormatting sqref="B423">
    <cfRule type="cellIs" dxfId="3607" priority="6118" operator="between">
      <formula>250</formula>
      <formula>350</formula>
    </cfRule>
    <cfRule type="cellIs" dxfId="3606" priority="6117" operator="greaterThan">
      <formula>350</formula>
    </cfRule>
    <cfRule type="cellIs" dxfId="3605" priority="6119" operator="lessThan">
      <formula>250</formula>
    </cfRule>
  </conditionalFormatting>
  <conditionalFormatting sqref="B425">
    <cfRule type="cellIs" dxfId="3604" priority="4594" operator="between">
      <formula>1</formula>
      <formula>1.3</formula>
    </cfRule>
    <cfRule type="cellIs" dxfId="3603" priority="4593" operator="between">
      <formula>0.8</formula>
      <formula>0.99999</formula>
    </cfRule>
    <cfRule type="cellIs" dxfId="3602" priority="4595" operator="between">
      <formula>1.3</formula>
      <formula>1.5</formula>
    </cfRule>
    <cfRule type="cellIs" dxfId="3601" priority="4596" operator="greaterThan">
      <formula>1.5</formula>
    </cfRule>
    <cfRule type="cellIs" dxfId="3600" priority="4592" operator="lessThan">
      <formula>0.8</formula>
    </cfRule>
  </conditionalFormatting>
  <conditionalFormatting sqref="B428">
    <cfRule type="cellIs" dxfId="3599" priority="6125" operator="greaterThan">
      <formula>50</formula>
    </cfRule>
    <cfRule type="cellIs" dxfId="3598" priority="6126" operator="between">
      <formula>35</formula>
      <formula>50</formula>
    </cfRule>
    <cfRule type="cellIs" dxfId="3597" priority="6127" operator="lessThan">
      <formula>35</formula>
    </cfRule>
  </conditionalFormatting>
  <conditionalFormatting sqref="B430">
    <cfRule type="cellIs" dxfId="3596" priority="6128" operator="greaterThan">
      <formula>350</formula>
    </cfRule>
    <cfRule type="cellIs" dxfId="3595" priority="6129" operator="between">
      <formula>250</formula>
      <formula>350</formula>
    </cfRule>
    <cfRule type="cellIs" dxfId="3594" priority="6130" operator="lessThan">
      <formula>250</formula>
    </cfRule>
  </conditionalFormatting>
  <conditionalFormatting sqref="B432">
    <cfRule type="cellIs" dxfId="3593" priority="4589" operator="between">
      <formula>1</formula>
      <formula>1.3</formula>
    </cfRule>
    <cfRule type="cellIs" dxfId="3592" priority="4588" operator="between">
      <formula>0.8</formula>
      <formula>0.99999</formula>
    </cfRule>
    <cfRule type="cellIs" dxfId="3591" priority="4587" operator="lessThan">
      <formula>0.8</formula>
    </cfRule>
    <cfRule type="cellIs" dxfId="3590" priority="4590" operator="between">
      <formula>1.3</formula>
      <formula>1.5</formula>
    </cfRule>
    <cfRule type="cellIs" dxfId="3589" priority="4591" operator="greaterThan">
      <formula>1.5</formula>
    </cfRule>
  </conditionalFormatting>
  <conditionalFormatting sqref="B435">
    <cfRule type="cellIs" dxfId="3588" priority="6136" operator="greaterThan">
      <formula>50</formula>
    </cfRule>
    <cfRule type="cellIs" dxfId="3587" priority="6137" operator="between">
      <formula>35</formula>
      <formula>50</formula>
    </cfRule>
    <cfRule type="cellIs" dxfId="3586" priority="6138" operator="lessThan">
      <formula>35</formula>
    </cfRule>
  </conditionalFormatting>
  <conditionalFormatting sqref="B437">
    <cfRule type="cellIs" dxfId="3585" priority="6140" operator="between">
      <formula>250</formula>
      <formula>350</formula>
    </cfRule>
    <cfRule type="cellIs" dxfId="3584" priority="6139" operator="greaterThan">
      <formula>350</formula>
    </cfRule>
    <cfRule type="cellIs" dxfId="3583" priority="6141" operator="lessThan">
      <formula>250</formula>
    </cfRule>
  </conditionalFormatting>
  <conditionalFormatting sqref="B439">
    <cfRule type="cellIs" dxfId="3582" priority="4582" operator="lessThan">
      <formula>0.8</formula>
    </cfRule>
    <cfRule type="cellIs" dxfId="3581" priority="4583" operator="between">
      <formula>0.8</formula>
      <formula>0.99999</formula>
    </cfRule>
    <cfRule type="cellIs" dxfId="3580" priority="4584" operator="between">
      <formula>1</formula>
      <formula>1.3</formula>
    </cfRule>
    <cfRule type="cellIs" dxfId="3579" priority="4585" operator="between">
      <formula>1.3</formula>
      <formula>1.5</formula>
    </cfRule>
    <cfRule type="cellIs" dxfId="3578" priority="4586" operator="greaterThan">
      <formula>1.5</formula>
    </cfRule>
  </conditionalFormatting>
  <conditionalFormatting sqref="B442">
    <cfRule type="cellIs" dxfId="3577" priority="6147" operator="greaterThan">
      <formula>50</formula>
    </cfRule>
    <cfRule type="cellIs" dxfId="3576" priority="6148" operator="between">
      <formula>35</formula>
      <formula>50</formula>
    </cfRule>
    <cfRule type="cellIs" dxfId="3575" priority="6149" operator="lessThan">
      <formula>35</formula>
    </cfRule>
  </conditionalFormatting>
  <conditionalFormatting sqref="B444">
    <cfRule type="cellIs" dxfId="3574" priority="6151" operator="between">
      <formula>250</formula>
      <formula>350</formula>
    </cfRule>
    <cfRule type="cellIs" dxfId="3573" priority="6152" operator="lessThan">
      <formula>250</formula>
    </cfRule>
    <cfRule type="cellIs" dxfId="3572" priority="6150" operator="greaterThan">
      <formula>350</formula>
    </cfRule>
  </conditionalFormatting>
  <conditionalFormatting sqref="B446">
    <cfRule type="cellIs" dxfId="3571" priority="4577" operator="lessThan">
      <formula>0.8</formula>
    </cfRule>
    <cfRule type="cellIs" dxfId="3570" priority="4578" operator="between">
      <formula>0.8</formula>
      <formula>0.99999</formula>
    </cfRule>
    <cfRule type="cellIs" dxfId="3569" priority="4579" operator="between">
      <formula>1</formula>
      <formula>1.3</formula>
    </cfRule>
    <cfRule type="cellIs" dxfId="3568" priority="4580" operator="between">
      <formula>1.3</formula>
      <formula>1.5</formula>
    </cfRule>
    <cfRule type="cellIs" dxfId="3567" priority="4581" operator="greaterThan">
      <formula>1.5</formula>
    </cfRule>
  </conditionalFormatting>
  <conditionalFormatting sqref="B449">
    <cfRule type="cellIs" dxfId="3566" priority="6160" operator="lessThan">
      <formula>35</formula>
    </cfRule>
    <cfRule type="cellIs" dxfId="3565" priority="6159" operator="between">
      <formula>35</formula>
      <formula>50</formula>
    </cfRule>
    <cfRule type="cellIs" dxfId="3564" priority="6158" operator="greaterThan">
      <formula>50</formula>
    </cfRule>
  </conditionalFormatting>
  <conditionalFormatting sqref="B451">
    <cfRule type="cellIs" dxfId="3563" priority="6162" operator="between">
      <formula>250</formula>
      <formula>350</formula>
    </cfRule>
    <cfRule type="cellIs" dxfId="3562" priority="6161" operator="greaterThan">
      <formula>350</formula>
    </cfRule>
    <cfRule type="cellIs" dxfId="3561" priority="6163" operator="lessThan">
      <formula>250</formula>
    </cfRule>
  </conditionalFormatting>
  <conditionalFormatting sqref="B453">
    <cfRule type="cellIs" dxfId="3560" priority="4576" operator="greaterThan">
      <formula>1.5</formula>
    </cfRule>
    <cfRule type="cellIs" dxfId="3559" priority="4574" operator="between">
      <formula>1</formula>
      <formula>1.3</formula>
    </cfRule>
    <cfRule type="cellIs" dxfId="3558" priority="4573" operator="between">
      <formula>0.8</formula>
      <formula>0.99999</formula>
    </cfRule>
    <cfRule type="cellIs" dxfId="3557" priority="4572" operator="lessThan">
      <formula>0.8</formula>
    </cfRule>
    <cfRule type="cellIs" dxfId="3556" priority="4575" operator="between">
      <formula>1.3</formula>
      <formula>1.5</formula>
    </cfRule>
  </conditionalFormatting>
  <conditionalFormatting sqref="B456">
    <cfRule type="cellIs" dxfId="3555" priority="6171" operator="lessThan">
      <formula>35</formula>
    </cfRule>
    <cfRule type="cellIs" dxfId="3554" priority="6170" operator="between">
      <formula>35</formula>
      <formula>50</formula>
    </cfRule>
    <cfRule type="cellIs" dxfId="3553" priority="6169" operator="greaterThan">
      <formula>50</formula>
    </cfRule>
  </conditionalFormatting>
  <conditionalFormatting sqref="B458">
    <cfRule type="cellIs" dxfId="3552" priority="6174" operator="lessThan">
      <formula>250</formula>
    </cfRule>
    <cfRule type="cellIs" dxfId="3551" priority="6173" operator="between">
      <formula>250</formula>
      <formula>350</formula>
    </cfRule>
    <cfRule type="cellIs" dxfId="3550" priority="6172" operator="greaterThan">
      <formula>350</formula>
    </cfRule>
  </conditionalFormatting>
  <conditionalFormatting sqref="B460">
    <cfRule type="cellIs" dxfId="3549" priority="4128" operator="between">
      <formula>1.3</formula>
      <formula>1.5</formula>
    </cfRule>
    <cfRule type="cellIs" dxfId="3548" priority="4127" operator="between">
      <formula>1</formula>
      <formula>1.3</formula>
    </cfRule>
    <cfRule type="cellIs" dxfId="3547" priority="4126" operator="between">
      <formula>0.8</formula>
      <formula>0.99999</formula>
    </cfRule>
    <cfRule type="cellIs" dxfId="3546" priority="4125" operator="lessThan">
      <formula>0.8</formula>
    </cfRule>
    <cfRule type="cellIs" dxfId="3545" priority="4129" operator="greaterThan">
      <formula>1.5</formula>
    </cfRule>
  </conditionalFormatting>
  <conditionalFormatting sqref="B463">
    <cfRule type="cellIs" dxfId="3544" priority="6182" operator="lessThan">
      <formula>35</formula>
    </cfRule>
    <cfRule type="cellIs" dxfId="3543" priority="6181" operator="between">
      <formula>35</formula>
      <formula>50</formula>
    </cfRule>
    <cfRule type="cellIs" dxfId="3542" priority="6180" operator="greaterThan">
      <formula>50</formula>
    </cfRule>
  </conditionalFormatting>
  <conditionalFormatting sqref="B465">
    <cfRule type="cellIs" dxfId="3541" priority="6185" operator="lessThan">
      <formula>250</formula>
    </cfRule>
    <cfRule type="cellIs" dxfId="3540" priority="6183" operator="greaterThan">
      <formula>350</formula>
    </cfRule>
    <cfRule type="cellIs" dxfId="3539" priority="6184" operator="between">
      <formula>250</formula>
      <formula>350</formula>
    </cfRule>
  </conditionalFormatting>
  <conditionalFormatting sqref="B467">
    <cfRule type="cellIs" dxfId="3538" priority="4562" operator="lessThan">
      <formula>0.8</formula>
    </cfRule>
    <cfRule type="cellIs" dxfId="3537" priority="4563" operator="between">
      <formula>0.8</formula>
      <formula>0.99999</formula>
    </cfRule>
    <cfRule type="cellIs" dxfId="3536" priority="4564" operator="between">
      <formula>1</formula>
      <formula>1.3</formula>
    </cfRule>
    <cfRule type="cellIs" dxfId="3535" priority="4565" operator="between">
      <formula>1.3</formula>
      <formula>1.5</formula>
    </cfRule>
    <cfRule type="cellIs" dxfId="3534" priority="4566" operator="greaterThan">
      <formula>1.5</formula>
    </cfRule>
  </conditionalFormatting>
  <conditionalFormatting sqref="B470">
    <cfRule type="cellIs" dxfId="3533" priority="6191" operator="greaterThan">
      <formula>50</formula>
    </cfRule>
    <cfRule type="cellIs" dxfId="3532" priority="6192" operator="between">
      <formula>35</formula>
      <formula>50</formula>
    </cfRule>
    <cfRule type="cellIs" dxfId="3531" priority="6193" operator="lessThan">
      <formula>35</formula>
    </cfRule>
  </conditionalFormatting>
  <conditionalFormatting sqref="B472">
    <cfRule type="cellIs" dxfId="3530" priority="6194" operator="greaterThan">
      <formula>350</formula>
    </cfRule>
    <cfRule type="cellIs" dxfId="3529" priority="6195" operator="between">
      <formula>250</formula>
      <formula>350</formula>
    </cfRule>
    <cfRule type="cellIs" dxfId="3528" priority="6196" operator="lessThan">
      <formula>250</formula>
    </cfRule>
  </conditionalFormatting>
  <conditionalFormatting sqref="B474">
    <cfRule type="cellIs" dxfId="3527" priority="4561" operator="greaterThan">
      <formula>1.5</formula>
    </cfRule>
    <cfRule type="cellIs" dxfId="3526" priority="4559" operator="between">
      <formula>1</formula>
      <formula>1.3</formula>
    </cfRule>
    <cfRule type="cellIs" dxfId="3525" priority="4558" operator="between">
      <formula>0.8</formula>
      <formula>0.99999</formula>
    </cfRule>
    <cfRule type="cellIs" dxfId="3524" priority="4557" operator="lessThan">
      <formula>0.8</formula>
    </cfRule>
    <cfRule type="cellIs" dxfId="3523" priority="4560" operator="between">
      <formula>1.3</formula>
      <formula>1.5</formula>
    </cfRule>
  </conditionalFormatting>
  <conditionalFormatting sqref="B477">
    <cfRule type="cellIs" dxfId="3522" priority="6204" operator="lessThan">
      <formula>35</formula>
    </cfRule>
    <cfRule type="cellIs" dxfId="3521" priority="6203" operator="between">
      <formula>35</formula>
      <formula>50</formula>
    </cfRule>
    <cfRule type="cellIs" dxfId="3520" priority="6202" operator="greaterThan">
      <formula>50</formula>
    </cfRule>
  </conditionalFormatting>
  <conditionalFormatting sqref="B479">
    <cfRule type="cellIs" dxfId="3519" priority="6206" operator="between">
      <formula>250</formula>
      <formula>350</formula>
    </cfRule>
    <cfRule type="cellIs" dxfId="3518" priority="6207" operator="lessThan">
      <formula>250</formula>
    </cfRule>
    <cfRule type="cellIs" dxfId="3517" priority="6205" operator="greaterThan">
      <formula>350</formula>
    </cfRule>
  </conditionalFormatting>
  <conditionalFormatting sqref="B481">
    <cfRule type="cellIs" dxfId="3516" priority="4556" operator="greaterThan">
      <formula>1.5</formula>
    </cfRule>
    <cfRule type="cellIs" dxfId="3515" priority="4555" operator="between">
      <formula>1.3</formula>
      <formula>1.5</formula>
    </cfRule>
    <cfRule type="cellIs" dxfId="3514" priority="4554" operator="between">
      <formula>1</formula>
      <formula>1.3</formula>
    </cfRule>
    <cfRule type="cellIs" dxfId="3513" priority="4553" operator="between">
      <formula>0.8</formula>
      <formula>0.99999</formula>
    </cfRule>
    <cfRule type="cellIs" dxfId="3512" priority="4552" operator="lessThan">
      <formula>0.8</formula>
    </cfRule>
  </conditionalFormatting>
  <conditionalFormatting sqref="B484">
    <cfRule type="cellIs" dxfId="3511" priority="6213" operator="greaterThan">
      <formula>50</formula>
    </cfRule>
    <cfRule type="cellIs" dxfId="3510" priority="6214" operator="between">
      <formula>35</formula>
      <formula>50</formula>
    </cfRule>
    <cfRule type="cellIs" dxfId="3509" priority="6215" operator="lessThan">
      <formula>35</formula>
    </cfRule>
  </conditionalFormatting>
  <conditionalFormatting sqref="B486">
    <cfRule type="cellIs" dxfId="3508" priority="6217" operator="between">
      <formula>250</formula>
      <formula>350</formula>
    </cfRule>
    <cfRule type="cellIs" dxfId="3507" priority="6218" operator="lessThan">
      <formula>250</formula>
    </cfRule>
    <cfRule type="cellIs" dxfId="3506" priority="6216" operator="greaterThan">
      <formula>350</formula>
    </cfRule>
  </conditionalFormatting>
  <conditionalFormatting sqref="B488">
    <cfRule type="cellIs" dxfId="3505" priority="4549" operator="between">
      <formula>1</formula>
      <formula>1.3</formula>
    </cfRule>
    <cfRule type="cellIs" dxfId="3504" priority="4550" operator="between">
      <formula>1.3</formula>
      <formula>1.5</formula>
    </cfRule>
    <cfRule type="cellIs" dxfId="3503" priority="4551" operator="greaterThan">
      <formula>1.5</formula>
    </cfRule>
    <cfRule type="cellIs" dxfId="3502" priority="4547" operator="lessThan">
      <formula>0.8</formula>
    </cfRule>
    <cfRule type="cellIs" dxfId="3501" priority="4548" operator="between">
      <formula>0.8</formula>
      <formula>0.99999</formula>
    </cfRule>
  </conditionalFormatting>
  <conditionalFormatting sqref="B491">
    <cfRule type="cellIs" dxfId="3500" priority="6224" operator="greaterThan">
      <formula>50</formula>
    </cfRule>
    <cfRule type="cellIs" dxfId="3499" priority="6225" operator="between">
      <formula>35</formula>
      <formula>50</formula>
    </cfRule>
    <cfRule type="cellIs" dxfId="3498" priority="6226" operator="lessThan">
      <formula>35</formula>
    </cfRule>
  </conditionalFormatting>
  <conditionalFormatting sqref="B493">
    <cfRule type="cellIs" dxfId="3497" priority="6227" operator="greaterThan">
      <formula>350</formula>
    </cfRule>
    <cfRule type="cellIs" dxfId="3496" priority="6228" operator="between">
      <formula>250</formula>
      <formula>350</formula>
    </cfRule>
    <cfRule type="cellIs" dxfId="3495" priority="6229" operator="lessThan">
      <formula>250</formula>
    </cfRule>
  </conditionalFormatting>
  <conditionalFormatting sqref="B495">
    <cfRule type="cellIs" dxfId="3494" priority="4542" operator="lessThan">
      <formula>0.8</formula>
    </cfRule>
    <cfRule type="cellIs" dxfId="3493" priority="4543" operator="between">
      <formula>0.8</formula>
      <formula>0.99999</formula>
    </cfRule>
    <cfRule type="cellIs" dxfId="3492" priority="4544" operator="between">
      <formula>1</formula>
      <formula>1.3</formula>
    </cfRule>
    <cfRule type="cellIs" dxfId="3491" priority="4545" operator="between">
      <formula>1.3</formula>
      <formula>1.5</formula>
    </cfRule>
    <cfRule type="cellIs" dxfId="3490" priority="4546" operator="greaterThan">
      <formula>1.5</formula>
    </cfRule>
  </conditionalFormatting>
  <conditionalFormatting sqref="B498">
    <cfRule type="cellIs" dxfId="3489" priority="6235" operator="greaterThan">
      <formula>50</formula>
    </cfRule>
    <cfRule type="cellIs" dxfId="3488" priority="6236" operator="between">
      <formula>35</formula>
      <formula>50</formula>
    </cfRule>
    <cfRule type="cellIs" dxfId="3487" priority="6237" operator="lessThan">
      <formula>35</formula>
    </cfRule>
  </conditionalFormatting>
  <conditionalFormatting sqref="B500">
    <cfRule type="cellIs" dxfId="3486" priority="6240" operator="lessThan">
      <formula>250</formula>
    </cfRule>
    <cfRule type="cellIs" dxfId="3485" priority="6239" operator="between">
      <formula>250</formula>
      <formula>350</formula>
    </cfRule>
    <cfRule type="cellIs" dxfId="3484" priority="6238" operator="greaterThan">
      <formula>350</formula>
    </cfRule>
  </conditionalFormatting>
  <conditionalFormatting sqref="B502">
    <cfRule type="cellIs" dxfId="3483" priority="4540" operator="between">
      <formula>1.3</formula>
      <formula>1.5</formula>
    </cfRule>
    <cfRule type="cellIs" dxfId="3482" priority="4539" operator="between">
      <formula>1</formula>
      <formula>1.3</formula>
    </cfRule>
    <cfRule type="cellIs" dxfId="3481" priority="4538" operator="between">
      <formula>0.8</formula>
      <formula>0.99999</formula>
    </cfRule>
    <cfRule type="cellIs" dxfId="3480" priority="4537" operator="lessThan">
      <formula>0.8</formula>
    </cfRule>
    <cfRule type="cellIs" dxfId="3479" priority="4541" operator="greaterThan">
      <formula>1.5</formula>
    </cfRule>
  </conditionalFormatting>
  <conditionalFormatting sqref="B505">
    <cfRule type="cellIs" dxfId="3478" priority="6246" operator="greaterThan">
      <formula>50</formula>
    </cfRule>
    <cfRule type="cellIs" dxfId="3477" priority="6247" operator="between">
      <formula>35</formula>
      <formula>50</formula>
    </cfRule>
    <cfRule type="cellIs" dxfId="3476" priority="6248" operator="lessThan">
      <formula>35</formula>
    </cfRule>
  </conditionalFormatting>
  <conditionalFormatting sqref="B507">
    <cfRule type="cellIs" dxfId="3475" priority="6249" operator="greaterThan">
      <formula>350</formula>
    </cfRule>
    <cfRule type="cellIs" dxfId="3474" priority="6250" operator="between">
      <formula>250</formula>
      <formula>350</formula>
    </cfRule>
    <cfRule type="cellIs" dxfId="3473" priority="6251" operator="lessThan">
      <formula>250</formula>
    </cfRule>
  </conditionalFormatting>
  <conditionalFormatting sqref="B509">
    <cfRule type="cellIs" dxfId="3472" priority="4533" operator="between">
      <formula>0.8</formula>
      <formula>0.99999</formula>
    </cfRule>
    <cfRule type="cellIs" dxfId="3471" priority="4532" operator="lessThan">
      <formula>0.8</formula>
    </cfRule>
    <cfRule type="cellIs" dxfId="3470" priority="4534" operator="between">
      <formula>1</formula>
      <formula>1.3</formula>
    </cfRule>
    <cfRule type="cellIs" dxfId="3469" priority="4535" operator="between">
      <formula>1.3</formula>
      <formula>1.5</formula>
    </cfRule>
    <cfRule type="cellIs" dxfId="3468" priority="4536" operator="greaterThan">
      <formula>1.5</formula>
    </cfRule>
  </conditionalFormatting>
  <conditionalFormatting sqref="B512">
    <cfRule type="cellIs" dxfId="3467" priority="6257" operator="greaterThan">
      <formula>50</formula>
    </cfRule>
    <cfRule type="cellIs" dxfId="3466" priority="6258" operator="between">
      <formula>35</formula>
      <formula>50</formula>
    </cfRule>
    <cfRule type="cellIs" dxfId="3465" priority="6259" operator="lessThan">
      <formula>35</formula>
    </cfRule>
  </conditionalFormatting>
  <conditionalFormatting sqref="B514">
    <cfRule type="cellIs" dxfId="3464" priority="6262" operator="lessThan">
      <formula>250</formula>
    </cfRule>
    <cfRule type="cellIs" dxfId="3463" priority="6260" operator="greaterThan">
      <formula>350</formula>
    </cfRule>
    <cfRule type="cellIs" dxfId="3462" priority="6261" operator="between">
      <formula>250</formula>
      <formula>350</formula>
    </cfRule>
  </conditionalFormatting>
  <conditionalFormatting sqref="B516">
    <cfRule type="cellIs" dxfId="3461" priority="4531" operator="greaterThan">
      <formula>1.5</formula>
    </cfRule>
    <cfRule type="cellIs" dxfId="3460" priority="4530" operator="between">
      <formula>1.3</formula>
      <formula>1.5</formula>
    </cfRule>
    <cfRule type="cellIs" dxfId="3459" priority="4529" operator="between">
      <formula>1</formula>
      <formula>1.3</formula>
    </cfRule>
    <cfRule type="cellIs" dxfId="3458" priority="4528" operator="between">
      <formula>0.8</formula>
      <formula>0.99999</formula>
    </cfRule>
    <cfRule type="cellIs" dxfId="3457" priority="4527" operator="lessThan">
      <formula>0.8</formula>
    </cfRule>
  </conditionalFormatting>
  <conditionalFormatting sqref="B519">
    <cfRule type="cellIs" dxfId="3456" priority="6269" operator="between">
      <formula>35</formula>
      <formula>50</formula>
    </cfRule>
    <cfRule type="cellIs" dxfId="3455" priority="6268" operator="greaterThan">
      <formula>50</formula>
    </cfRule>
    <cfRule type="cellIs" dxfId="3454" priority="6270" operator="lessThan">
      <formula>35</formula>
    </cfRule>
  </conditionalFormatting>
  <conditionalFormatting sqref="B521">
    <cfRule type="cellIs" dxfId="3453" priority="6271" operator="greaterThan">
      <formula>350</formula>
    </cfRule>
    <cfRule type="cellIs" dxfId="3452" priority="6273" operator="lessThan">
      <formula>250</formula>
    </cfRule>
    <cfRule type="cellIs" dxfId="3451" priority="6272" operator="between">
      <formula>250</formula>
      <formula>350</formula>
    </cfRule>
  </conditionalFormatting>
  <conditionalFormatting sqref="B523">
    <cfRule type="cellIs" dxfId="3450" priority="4522" operator="lessThan">
      <formula>0.8</formula>
    </cfRule>
    <cfRule type="cellIs" dxfId="3449" priority="4523" operator="between">
      <formula>0.8</formula>
      <formula>0.99999</formula>
    </cfRule>
    <cfRule type="cellIs" dxfId="3448" priority="4524" operator="between">
      <formula>1</formula>
      <formula>1.3</formula>
    </cfRule>
    <cfRule type="cellIs" dxfId="3447" priority="4525" operator="between">
      <formula>1.3</formula>
      <formula>1.5</formula>
    </cfRule>
    <cfRule type="cellIs" dxfId="3446" priority="4526" operator="greaterThan">
      <formula>1.5</formula>
    </cfRule>
  </conditionalFormatting>
  <conditionalFormatting sqref="B526">
    <cfRule type="cellIs" dxfId="3445" priority="6279" operator="greaterThan">
      <formula>50</formula>
    </cfRule>
    <cfRule type="cellIs" dxfId="3444" priority="6280" operator="between">
      <formula>35</formula>
      <formula>50</formula>
    </cfRule>
    <cfRule type="cellIs" dxfId="3443" priority="6281" operator="lessThan">
      <formula>35</formula>
    </cfRule>
  </conditionalFormatting>
  <conditionalFormatting sqref="B528">
    <cfRule type="cellIs" dxfId="3442" priority="6283" operator="between">
      <formula>250</formula>
      <formula>350</formula>
    </cfRule>
    <cfRule type="cellIs" dxfId="3441" priority="6284" operator="lessThan">
      <formula>250</formula>
    </cfRule>
    <cfRule type="cellIs" dxfId="3440" priority="6282" operator="greaterThan">
      <formula>350</formula>
    </cfRule>
  </conditionalFormatting>
  <conditionalFormatting sqref="B530">
    <cfRule type="cellIs" dxfId="3439" priority="4521" operator="greaterThan">
      <formula>1.5</formula>
    </cfRule>
    <cfRule type="cellIs" dxfId="3438" priority="4520" operator="between">
      <formula>1.3</formula>
      <formula>1.5</formula>
    </cfRule>
    <cfRule type="cellIs" dxfId="3437" priority="4519" operator="between">
      <formula>1</formula>
      <formula>1.3</formula>
    </cfRule>
    <cfRule type="cellIs" dxfId="3436" priority="4517" operator="lessThan">
      <formula>0.8</formula>
    </cfRule>
    <cfRule type="cellIs" dxfId="3435" priority="4518" operator="between">
      <formula>0.8</formula>
      <formula>0.99999</formula>
    </cfRule>
  </conditionalFormatting>
  <conditionalFormatting sqref="B533">
    <cfRule type="cellIs" dxfId="3434" priority="6292" operator="lessThan">
      <formula>35</formula>
    </cfRule>
    <cfRule type="cellIs" dxfId="3433" priority="6290" operator="greaterThan">
      <formula>50</formula>
    </cfRule>
    <cfRule type="cellIs" dxfId="3432" priority="6291" operator="between">
      <formula>35</formula>
      <formula>50</formula>
    </cfRule>
  </conditionalFormatting>
  <conditionalFormatting sqref="B535">
    <cfRule type="cellIs" dxfId="3431" priority="6294" operator="between">
      <formula>250</formula>
      <formula>350</formula>
    </cfRule>
    <cfRule type="cellIs" dxfId="3430" priority="6295" operator="lessThan">
      <formula>250</formula>
    </cfRule>
    <cfRule type="cellIs" dxfId="3429" priority="6293" operator="greaterThan">
      <formula>350</formula>
    </cfRule>
  </conditionalFormatting>
  <conditionalFormatting sqref="B537">
    <cfRule type="cellIs" dxfId="3428" priority="4516" operator="greaterThan">
      <formula>1.5</formula>
    </cfRule>
    <cfRule type="cellIs" dxfId="3427" priority="4515" operator="between">
      <formula>1.3</formula>
      <formula>1.5</formula>
    </cfRule>
    <cfRule type="cellIs" dxfId="3426" priority="4514" operator="between">
      <formula>1</formula>
      <formula>1.3</formula>
    </cfRule>
    <cfRule type="cellIs" dxfId="3425" priority="4513" operator="between">
      <formula>0.8</formula>
      <formula>0.99999</formula>
    </cfRule>
    <cfRule type="cellIs" dxfId="3424" priority="4512" operator="lessThan">
      <formula>0.8</formula>
    </cfRule>
  </conditionalFormatting>
  <conditionalFormatting sqref="B540">
    <cfRule type="cellIs" dxfId="3423" priority="6303" operator="lessThan">
      <formula>35</formula>
    </cfRule>
    <cfRule type="cellIs" dxfId="3422" priority="6302" operator="between">
      <formula>35</formula>
      <formula>50</formula>
    </cfRule>
    <cfRule type="cellIs" dxfId="3421" priority="6301" operator="greaterThan">
      <formula>50</formula>
    </cfRule>
  </conditionalFormatting>
  <conditionalFormatting sqref="B542">
    <cfRule type="cellIs" dxfId="3420" priority="6305" operator="between">
      <formula>250</formula>
      <formula>350</formula>
    </cfRule>
    <cfRule type="cellIs" dxfId="3419" priority="6304" operator="greaterThan">
      <formula>350</formula>
    </cfRule>
    <cfRule type="cellIs" dxfId="3418" priority="6306" operator="lessThan">
      <formula>250</formula>
    </cfRule>
  </conditionalFormatting>
  <conditionalFormatting sqref="B544">
    <cfRule type="cellIs" dxfId="3417" priority="4508" operator="between">
      <formula>0.8</formula>
      <formula>0.99999</formula>
    </cfRule>
    <cfRule type="cellIs" dxfId="3416" priority="4511" operator="greaterThan">
      <formula>1.5</formula>
    </cfRule>
    <cfRule type="cellIs" dxfId="3415" priority="4510" operator="between">
      <formula>1.3</formula>
      <formula>1.5</formula>
    </cfRule>
    <cfRule type="cellIs" dxfId="3414" priority="4509" operator="between">
      <formula>1</formula>
      <formula>1.3</formula>
    </cfRule>
    <cfRule type="cellIs" dxfId="3413" priority="4507" operator="lessThan">
      <formula>0.8</formula>
    </cfRule>
  </conditionalFormatting>
  <conditionalFormatting sqref="B547">
    <cfRule type="cellIs" dxfId="3412" priority="6312" operator="greaterThan">
      <formula>50</formula>
    </cfRule>
    <cfRule type="cellIs" dxfId="3411" priority="6313" operator="between">
      <formula>35</formula>
      <formula>50</formula>
    </cfRule>
    <cfRule type="cellIs" dxfId="3410" priority="6314" operator="lessThan">
      <formula>35</formula>
    </cfRule>
  </conditionalFormatting>
  <conditionalFormatting sqref="B549">
    <cfRule type="cellIs" dxfId="3409" priority="6315" operator="greaterThan">
      <formula>350</formula>
    </cfRule>
    <cfRule type="cellIs" dxfId="3408" priority="6316" operator="between">
      <formula>250</formula>
      <formula>350</formula>
    </cfRule>
    <cfRule type="cellIs" dxfId="3407" priority="6317" operator="lessThan">
      <formula>250</formula>
    </cfRule>
  </conditionalFormatting>
  <conditionalFormatting sqref="B551">
    <cfRule type="cellIs" dxfId="3406" priority="4502" operator="lessThan">
      <formula>0.8</formula>
    </cfRule>
    <cfRule type="cellIs" dxfId="3405" priority="4503" operator="between">
      <formula>0.8</formula>
      <formula>0.99999</formula>
    </cfRule>
    <cfRule type="cellIs" dxfId="3404" priority="4504" operator="between">
      <formula>1</formula>
      <formula>1.3</formula>
    </cfRule>
    <cfRule type="cellIs" dxfId="3403" priority="4505" operator="between">
      <formula>1.3</formula>
      <formula>1.5</formula>
    </cfRule>
    <cfRule type="cellIs" dxfId="3402" priority="4506" operator="greaterThan">
      <formula>1.5</formula>
    </cfRule>
  </conditionalFormatting>
  <conditionalFormatting sqref="B554">
    <cfRule type="cellIs" dxfId="3401" priority="6325" operator="lessThan">
      <formula>35</formula>
    </cfRule>
    <cfRule type="cellIs" dxfId="3400" priority="6323" operator="greaterThan">
      <formula>50</formula>
    </cfRule>
    <cfRule type="cellIs" dxfId="3399" priority="6324" operator="between">
      <formula>35</formula>
      <formula>50</formula>
    </cfRule>
  </conditionalFormatting>
  <conditionalFormatting sqref="B556">
    <cfRule type="cellIs" dxfId="3398" priority="6326" operator="greaterThan">
      <formula>350</formula>
    </cfRule>
    <cfRule type="cellIs" dxfId="3397" priority="6327" operator="between">
      <formula>250</formula>
      <formula>350</formula>
    </cfRule>
    <cfRule type="cellIs" dxfId="3396" priority="6328" operator="lessThan">
      <formula>250</formula>
    </cfRule>
  </conditionalFormatting>
  <conditionalFormatting sqref="B558">
    <cfRule type="cellIs" dxfId="3395" priority="4500" operator="between">
      <formula>1.3</formula>
      <formula>1.5</formula>
    </cfRule>
    <cfRule type="cellIs" dxfId="3394" priority="4498" operator="between">
      <formula>0.8</formula>
      <formula>0.99999</formula>
    </cfRule>
    <cfRule type="cellIs" dxfId="3393" priority="4501" operator="greaterThan">
      <formula>1.5</formula>
    </cfRule>
    <cfRule type="cellIs" dxfId="3392" priority="4497" operator="lessThan">
      <formula>0.8</formula>
    </cfRule>
    <cfRule type="cellIs" dxfId="3391" priority="4499" operator="between">
      <formula>1</formula>
      <formula>1.3</formula>
    </cfRule>
  </conditionalFormatting>
  <conditionalFormatting sqref="B561">
    <cfRule type="cellIs" dxfId="3390" priority="6336" operator="lessThan">
      <formula>35</formula>
    </cfRule>
    <cfRule type="cellIs" dxfId="3389" priority="6335" operator="between">
      <formula>35</formula>
      <formula>50</formula>
    </cfRule>
    <cfRule type="cellIs" dxfId="3388" priority="6334" operator="greaterThan">
      <formula>50</formula>
    </cfRule>
  </conditionalFormatting>
  <conditionalFormatting sqref="B563">
    <cfRule type="cellIs" dxfId="3387" priority="6339" operator="lessThan">
      <formula>250</formula>
    </cfRule>
    <cfRule type="cellIs" dxfId="3386" priority="6338" operator="between">
      <formula>250</formula>
      <formula>350</formula>
    </cfRule>
    <cfRule type="cellIs" dxfId="3385" priority="6337" operator="greaterThan">
      <formula>350</formula>
    </cfRule>
  </conditionalFormatting>
  <conditionalFormatting sqref="B565">
    <cfRule type="cellIs" dxfId="3384" priority="4496" operator="greaterThan">
      <formula>1.5</formula>
    </cfRule>
    <cfRule type="cellIs" dxfId="3383" priority="4495" operator="between">
      <formula>1.3</formula>
      <formula>1.5</formula>
    </cfRule>
    <cfRule type="cellIs" dxfId="3382" priority="4494" operator="between">
      <formula>1</formula>
      <formula>1.3</formula>
    </cfRule>
    <cfRule type="cellIs" dxfId="3381" priority="4493" operator="between">
      <formula>0.8</formula>
      <formula>0.99999</formula>
    </cfRule>
    <cfRule type="cellIs" dxfId="3380" priority="4492" operator="lessThan">
      <formula>0.8</formula>
    </cfRule>
  </conditionalFormatting>
  <conditionalFormatting sqref="B568">
    <cfRule type="cellIs" dxfId="3379" priority="6346" operator="between">
      <formula>35</formula>
      <formula>50</formula>
    </cfRule>
    <cfRule type="cellIs" dxfId="3378" priority="6347" operator="lessThan">
      <formula>35</formula>
    </cfRule>
    <cfRule type="cellIs" dxfId="3377" priority="6345" operator="greaterThan">
      <formula>50</formula>
    </cfRule>
  </conditionalFormatting>
  <conditionalFormatting sqref="B570">
    <cfRule type="cellIs" dxfId="3376" priority="6348" operator="greaterThan">
      <formula>350</formula>
    </cfRule>
    <cfRule type="cellIs" dxfId="3375" priority="6349" operator="between">
      <formula>250</formula>
      <formula>350</formula>
    </cfRule>
    <cfRule type="cellIs" dxfId="3374" priority="6350" operator="lessThan">
      <formula>250</formula>
    </cfRule>
  </conditionalFormatting>
  <conditionalFormatting sqref="B572">
    <cfRule type="cellIs" dxfId="3373" priority="4487" operator="lessThan">
      <formula>0.8</formula>
    </cfRule>
    <cfRule type="cellIs" dxfId="3372" priority="4491" operator="greaterThan">
      <formula>1.5</formula>
    </cfRule>
    <cfRule type="cellIs" dxfId="3371" priority="4490" operator="between">
      <formula>1.3</formula>
      <formula>1.5</formula>
    </cfRule>
    <cfRule type="cellIs" dxfId="3370" priority="4489" operator="between">
      <formula>1</formula>
      <formula>1.3</formula>
    </cfRule>
    <cfRule type="cellIs" dxfId="3369" priority="4488" operator="between">
      <formula>0.8</formula>
      <formula>0.99999</formula>
    </cfRule>
  </conditionalFormatting>
  <conditionalFormatting sqref="B575">
    <cfRule type="cellIs" dxfId="3368" priority="6358" operator="lessThan">
      <formula>35</formula>
    </cfRule>
    <cfRule type="cellIs" dxfId="3367" priority="6357" operator="between">
      <formula>35</formula>
      <formula>50</formula>
    </cfRule>
    <cfRule type="cellIs" dxfId="3366" priority="6356" operator="greaterThan">
      <formula>50</formula>
    </cfRule>
  </conditionalFormatting>
  <conditionalFormatting sqref="B577">
    <cfRule type="cellIs" dxfId="3365" priority="6360" operator="between">
      <formula>250</formula>
      <formula>350</formula>
    </cfRule>
    <cfRule type="cellIs" dxfId="3364" priority="6361" operator="lessThan">
      <formula>250</formula>
    </cfRule>
    <cfRule type="cellIs" dxfId="3363" priority="6359" operator="greaterThan">
      <formula>350</formula>
    </cfRule>
  </conditionalFormatting>
  <conditionalFormatting sqref="B579">
    <cfRule type="cellIs" dxfId="3362" priority="4483" operator="between">
      <formula>0.8</formula>
      <formula>0.99999</formula>
    </cfRule>
    <cfRule type="cellIs" dxfId="3361" priority="4484" operator="between">
      <formula>1</formula>
      <formula>1.3</formula>
    </cfRule>
    <cfRule type="cellIs" dxfId="3360" priority="4485" operator="between">
      <formula>1.3</formula>
      <formula>1.5</formula>
    </cfRule>
    <cfRule type="cellIs" dxfId="3359" priority="4486" operator="greaterThan">
      <formula>1.5</formula>
    </cfRule>
    <cfRule type="cellIs" dxfId="3358" priority="4482" operator="lessThan">
      <formula>0.8</formula>
    </cfRule>
  </conditionalFormatting>
  <conditionalFormatting sqref="B582">
    <cfRule type="cellIs" dxfId="3357" priority="6368" operator="between">
      <formula>35</formula>
      <formula>50</formula>
    </cfRule>
    <cfRule type="cellIs" dxfId="3356" priority="6367" operator="greaterThan">
      <formula>50</formula>
    </cfRule>
    <cfRule type="cellIs" dxfId="3355" priority="6369" operator="lessThan">
      <formula>35</formula>
    </cfRule>
  </conditionalFormatting>
  <conditionalFormatting sqref="B584">
    <cfRule type="cellIs" dxfId="3354" priority="6371" operator="between">
      <formula>250</formula>
      <formula>350</formula>
    </cfRule>
    <cfRule type="cellIs" dxfId="3353" priority="6370" operator="greaterThan">
      <formula>350</formula>
    </cfRule>
    <cfRule type="cellIs" dxfId="3352" priority="6372" operator="lessThan">
      <formula>250</formula>
    </cfRule>
  </conditionalFormatting>
  <conditionalFormatting sqref="B586">
    <cfRule type="cellIs" dxfId="3351" priority="4481" operator="greaterThan">
      <formula>1.5</formula>
    </cfRule>
    <cfRule type="cellIs" dxfId="3350" priority="4480" operator="between">
      <formula>1.3</formula>
      <formula>1.5</formula>
    </cfRule>
    <cfRule type="cellIs" dxfId="3349" priority="4479" operator="between">
      <formula>1</formula>
      <formula>1.3</formula>
    </cfRule>
    <cfRule type="cellIs" dxfId="3348" priority="4478" operator="between">
      <formula>0.8</formula>
      <formula>0.99999</formula>
    </cfRule>
    <cfRule type="cellIs" dxfId="3347" priority="4477" operator="lessThan">
      <formula>0.8</formula>
    </cfRule>
  </conditionalFormatting>
  <conditionalFormatting sqref="B589">
    <cfRule type="cellIs" dxfId="3346" priority="6378" operator="greaterThan">
      <formula>50</formula>
    </cfRule>
    <cfRule type="cellIs" dxfId="3345" priority="6379" operator="between">
      <formula>35</formula>
      <formula>50</formula>
    </cfRule>
    <cfRule type="cellIs" dxfId="3344" priority="6380" operator="lessThan">
      <formula>35</formula>
    </cfRule>
  </conditionalFormatting>
  <conditionalFormatting sqref="B591">
    <cfRule type="cellIs" dxfId="3343" priority="6383" operator="lessThan">
      <formula>250</formula>
    </cfRule>
    <cfRule type="cellIs" dxfId="3342" priority="6381" operator="greaterThan">
      <formula>350</formula>
    </cfRule>
    <cfRule type="cellIs" dxfId="3341" priority="6382" operator="between">
      <formula>250</formula>
      <formula>350</formula>
    </cfRule>
  </conditionalFormatting>
  <conditionalFormatting sqref="B593">
    <cfRule type="cellIs" dxfId="3340" priority="4474" operator="between">
      <formula>1</formula>
      <formula>1.3</formula>
    </cfRule>
    <cfRule type="cellIs" dxfId="3339" priority="4472" operator="lessThan">
      <formula>0.8</formula>
    </cfRule>
    <cfRule type="cellIs" dxfId="3338" priority="4476" operator="greaterThan">
      <formula>1.5</formula>
    </cfRule>
    <cfRule type="cellIs" dxfId="3337" priority="4473" operator="between">
      <formula>0.8</formula>
      <formula>0.99999</formula>
    </cfRule>
    <cfRule type="cellIs" dxfId="3336" priority="4475" operator="between">
      <formula>1.3</formula>
      <formula>1.5</formula>
    </cfRule>
  </conditionalFormatting>
  <conditionalFormatting sqref="B596">
    <cfRule type="cellIs" dxfId="3335" priority="6391" operator="lessThan">
      <formula>35</formula>
    </cfRule>
    <cfRule type="cellIs" dxfId="3334" priority="6390" operator="between">
      <formula>35</formula>
      <formula>50</formula>
    </cfRule>
    <cfRule type="cellIs" dxfId="3333" priority="6389" operator="greaterThan">
      <formula>50</formula>
    </cfRule>
  </conditionalFormatting>
  <conditionalFormatting sqref="B598">
    <cfRule type="cellIs" dxfId="3332" priority="6394" operator="lessThan">
      <formula>250</formula>
    </cfRule>
    <cfRule type="cellIs" dxfId="3331" priority="6393" operator="between">
      <formula>250</formula>
      <formula>350</formula>
    </cfRule>
    <cfRule type="cellIs" dxfId="3330" priority="6392" operator="greaterThan">
      <formula>350</formula>
    </cfRule>
  </conditionalFormatting>
  <conditionalFormatting sqref="B600">
    <cfRule type="cellIs" dxfId="3329" priority="4470" operator="between">
      <formula>1.3</formula>
      <formula>1.5</formula>
    </cfRule>
    <cfRule type="cellIs" dxfId="3328" priority="4471" operator="greaterThan">
      <formula>1.5</formula>
    </cfRule>
    <cfRule type="cellIs" dxfId="3327" priority="4469" operator="between">
      <formula>1</formula>
      <formula>1.3</formula>
    </cfRule>
    <cfRule type="cellIs" dxfId="3326" priority="4468" operator="between">
      <formula>0.8</formula>
      <formula>0.99999</formula>
    </cfRule>
    <cfRule type="cellIs" dxfId="3325" priority="4467" operator="lessThan">
      <formula>0.8</formula>
    </cfRule>
  </conditionalFormatting>
  <conditionalFormatting sqref="B603">
    <cfRule type="cellIs" dxfId="3324" priority="6402" operator="lessThan">
      <formula>35</formula>
    </cfRule>
    <cfRule type="cellIs" dxfId="3323" priority="6400" operator="greaterThan">
      <formula>50</formula>
    </cfRule>
    <cfRule type="cellIs" dxfId="3322" priority="6401" operator="between">
      <formula>35</formula>
      <formula>50</formula>
    </cfRule>
  </conditionalFormatting>
  <conditionalFormatting sqref="B605">
    <cfRule type="cellIs" dxfId="3321" priority="6405" operator="lessThan">
      <formula>250</formula>
    </cfRule>
    <cfRule type="cellIs" dxfId="3320" priority="6404" operator="between">
      <formula>250</formula>
      <formula>350</formula>
    </cfRule>
    <cfRule type="cellIs" dxfId="3319" priority="6403" operator="greaterThan">
      <formula>350</formula>
    </cfRule>
  </conditionalFormatting>
  <conditionalFormatting sqref="B607">
    <cfRule type="cellIs" dxfId="3318" priority="4465" operator="between">
      <formula>1.3</formula>
      <formula>1.5</formula>
    </cfRule>
    <cfRule type="cellIs" dxfId="3317" priority="4464" operator="between">
      <formula>1</formula>
      <formula>1.3</formula>
    </cfRule>
    <cfRule type="cellIs" dxfId="3316" priority="4466" operator="greaterThan">
      <formula>1.5</formula>
    </cfRule>
    <cfRule type="cellIs" dxfId="3315" priority="4463" operator="between">
      <formula>0.8</formula>
      <formula>0.99999</formula>
    </cfRule>
    <cfRule type="cellIs" dxfId="3314" priority="4462" operator="lessThan">
      <formula>0.8</formula>
    </cfRule>
  </conditionalFormatting>
  <conditionalFormatting sqref="B610">
    <cfRule type="cellIs" dxfId="3313" priority="6412" operator="between">
      <formula>35</formula>
      <formula>50</formula>
    </cfRule>
    <cfRule type="cellIs" dxfId="3312" priority="6413" operator="lessThan">
      <formula>35</formula>
    </cfRule>
    <cfRule type="cellIs" dxfId="3311" priority="6411" operator="greaterThan">
      <formula>50</formula>
    </cfRule>
  </conditionalFormatting>
  <conditionalFormatting sqref="B612">
    <cfRule type="cellIs" dxfId="3310" priority="6414" operator="greaterThan">
      <formula>350</formula>
    </cfRule>
    <cfRule type="cellIs" dxfId="3309" priority="6415" operator="between">
      <formula>250</formula>
      <formula>350</formula>
    </cfRule>
    <cfRule type="cellIs" dxfId="3308" priority="6416" operator="lessThan">
      <formula>250</formula>
    </cfRule>
  </conditionalFormatting>
  <conditionalFormatting sqref="B614">
    <cfRule type="cellIs" dxfId="3307" priority="4130" operator="lessThan">
      <formula>0.8</formula>
    </cfRule>
    <cfRule type="cellIs" dxfId="3306" priority="4131" operator="between">
      <formula>0.8</formula>
      <formula>0.99999</formula>
    </cfRule>
    <cfRule type="cellIs" dxfId="3305" priority="4132" operator="between">
      <formula>1</formula>
      <formula>1.3</formula>
    </cfRule>
    <cfRule type="cellIs" dxfId="3304" priority="4133" operator="between">
      <formula>1.3</formula>
      <formula>1.5</formula>
    </cfRule>
    <cfRule type="cellIs" dxfId="3303" priority="4134" operator="greaterThan">
      <formula>1.5</formula>
    </cfRule>
  </conditionalFormatting>
  <conditionalFormatting sqref="B617">
    <cfRule type="cellIs" dxfId="3302" priority="6422" operator="greaterThan">
      <formula>50</formula>
    </cfRule>
    <cfRule type="cellIs" dxfId="3301" priority="6424" operator="lessThan">
      <formula>35</formula>
    </cfRule>
    <cfRule type="cellIs" dxfId="3300" priority="6423" operator="between">
      <formula>35</formula>
      <formula>50</formula>
    </cfRule>
  </conditionalFormatting>
  <conditionalFormatting sqref="B619">
    <cfRule type="cellIs" dxfId="3299" priority="6425" operator="greaterThan">
      <formula>350</formula>
    </cfRule>
    <cfRule type="cellIs" dxfId="3298" priority="6426" operator="between">
      <formula>250</formula>
      <formula>350</formula>
    </cfRule>
    <cfRule type="cellIs" dxfId="3297" priority="6427" operator="lessThan">
      <formula>250</formula>
    </cfRule>
  </conditionalFormatting>
  <conditionalFormatting sqref="B621">
    <cfRule type="cellIs" dxfId="3296" priority="4139" operator="greaterThan">
      <formula>1.5</formula>
    </cfRule>
    <cfRule type="cellIs" dxfId="3295" priority="4138" operator="between">
      <formula>1.3</formula>
      <formula>1.5</formula>
    </cfRule>
    <cfRule type="cellIs" dxfId="3294" priority="4137" operator="between">
      <formula>1</formula>
      <formula>1.3</formula>
    </cfRule>
    <cfRule type="cellIs" dxfId="3293" priority="4136" operator="between">
      <formula>0.8</formula>
      <formula>0.99999</formula>
    </cfRule>
    <cfRule type="cellIs" dxfId="3292" priority="4135" operator="lessThan">
      <formula>0.8</formula>
    </cfRule>
  </conditionalFormatting>
  <conditionalFormatting sqref="B624">
    <cfRule type="cellIs" dxfId="3291" priority="6435" operator="lessThan">
      <formula>35</formula>
    </cfRule>
    <cfRule type="cellIs" dxfId="3290" priority="6433" operator="greaterThan">
      <formula>50</formula>
    </cfRule>
    <cfRule type="cellIs" dxfId="3289" priority="6434" operator="between">
      <formula>35</formula>
      <formula>50</formula>
    </cfRule>
  </conditionalFormatting>
  <conditionalFormatting sqref="B626">
    <cfRule type="cellIs" dxfId="3288" priority="6437" operator="between">
      <formula>250</formula>
      <formula>350</formula>
    </cfRule>
    <cfRule type="cellIs" dxfId="3287" priority="6438" operator="lessThan">
      <formula>250</formula>
    </cfRule>
    <cfRule type="cellIs" dxfId="3286" priority="6436" operator="greaterThan">
      <formula>350</formula>
    </cfRule>
  </conditionalFormatting>
  <conditionalFormatting sqref="B628">
    <cfRule type="cellIs" dxfId="3285" priority="4451" operator="greaterThan">
      <formula>1.5</formula>
    </cfRule>
    <cfRule type="cellIs" dxfId="3284" priority="4450" operator="between">
      <formula>1.3</formula>
      <formula>1.5</formula>
    </cfRule>
    <cfRule type="cellIs" dxfId="3283" priority="4449" operator="between">
      <formula>1</formula>
      <formula>1.3</formula>
    </cfRule>
    <cfRule type="cellIs" dxfId="3282" priority="4448" operator="between">
      <formula>0.8</formula>
      <formula>0.99999</formula>
    </cfRule>
    <cfRule type="cellIs" dxfId="3281" priority="4447" operator="lessThan">
      <formula>0.8</formula>
    </cfRule>
  </conditionalFormatting>
  <conditionalFormatting sqref="B631">
    <cfRule type="cellIs" dxfId="3280" priority="6444" operator="greaterThan">
      <formula>50</formula>
    </cfRule>
    <cfRule type="cellIs" dxfId="3279" priority="6446" operator="lessThan">
      <formula>35</formula>
    </cfRule>
    <cfRule type="cellIs" dxfId="3278" priority="6445" operator="between">
      <formula>35</formula>
      <formula>50</formula>
    </cfRule>
  </conditionalFormatting>
  <conditionalFormatting sqref="B633">
    <cfRule type="cellIs" dxfId="3277" priority="6449" operator="lessThan">
      <formula>250</formula>
    </cfRule>
    <cfRule type="cellIs" dxfId="3276" priority="6448" operator="between">
      <formula>250</formula>
      <formula>350</formula>
    </cfRule>
    <cfRule type="cellIs" dxfId="3275" priority="6447" operator="greaterThan">
      <formula>350</formula>
    </cfRule>
  </conditionalFormatting>
  <conditionalFormatting sqref="B635">
    <cfRule type="cellIs" dxfId="3274" priority="4442" operator="lessThan">
      <formula>0.8</formula>
    </cfRule>
    <cfRule type="cellIs" dxfId="3273" priority="4443" operator="between">
      <formula>0.8</formula>
      <formula>0.99999</formula>
    </cfRule>
    <cfRule type="cellIs" dxfId="3272" priority="4444" operator="between">
      <formula>1</formula>
      <formula>1.3</formula>
    </cfRule>
    <cfRule type="cellIs" dxfId="3271" priority="4445" operator="between">
      <formula>1.3</formula>
      <formula>1.5</formula>
    </cfRule>
    <cfRule type="cellIs" dxfId="3270" priority="4446" operator="greaterThan">
      <formula>1.5</formula>
    </cfRule>
  </conditionalFormatting>
  <conditionalFormatting sqref="B638">
    <cfRule type="cellIs" dxfId="3269" priority="6457" operator="lessThan">
      <formula>35</formula>
    </cfRule>
    <cfRule type="cellIs" dxfId="3268" priority="6456" operator="between">
      <formula>35</formula>
      <formula>50</formula>
    </cfRule>
    <cfRule type="cellIs" dxfId="3267" priority="6455" operator="greaterThan">
      <formula>50</formula>
    </cfRule>
  </conditionalFormatting>
  <conditionalFormatting sqref="B640">
    <cfRule type="cellIs" dxfId="3266" priority="6459" operator="between">
      <formula>250</formula>
      <formula>350</formula>
    </cfRule>
    <cfRule type="cellIs" dxfId="3265" priority="6460" operator="lessThan">
      <formula>250</formula>
    </cfRule>
    <cfRule type="cellIs" dxfId="3264" priority="6458" operator="greaterThan">
      <formula>350</formula>
    </cfRule>
  </conditionalFormatting>
  <conditionalFormatting sqref="B642">
    <cfRule type="cellIs" dxfId="3263" priority="4439" operator="between">
      <formula>1</formula>
      <formula>1.3</formula>
    </cfRule>
    <cfRule type="cellIs" dxfId="3262" priority="4441" operator="greaterThan">
      <formula>1.5</formula>
    </cfRule>
    <cfRule type="cellIs" dxfId="3261" priority="4440" operator="between">
      <formula>1.3</formula>
      <formula>1.5</formula>
    </cfRule>
    <cfRule type="cellIs" dxfId="3260" priority="4437" operator="lessThan">
      <formula>0.8</formula>
    </cfRule>
    <cfRule type="cellIs" dxfId="3259" priority="4438" operator="between">
      <formula>0.8</formula>
      <formula>0.99999</formula>
    </cfRule>
  </conditionalFormatting>
  <conditionalFormatting sqref="B645">
    <cfRule type="cellIs" dxfId="3258" priority="6468" operator="lessThan">
      <formula>35</formula>
    </cfRule>
    <cfRule type="cellIs" dxfId="3257" priority="6467" operator="between">
      <formula>35</formula>
      <formula>50</formula>
    </cfRule>
    <cfRule type="cellIs" dxfId="3256" priority="6466" operator="greaterThan">
      <formula>50</formula>
    </cfRule>
  </conditionalFormatting>
  <conditionalFormatting sqref="B647">
    <cfRule type="cellIs" dxfId="3255" priority="6471" operator="lessThan">
      <formula>250</formula>
    </cfRule>
    <cfRule type="cellIs" dxfId="3254" priority="6470" operator="between">
      <formula>250</formula>
      <formula>350</formula>
    </cfRule>
    <cfRule type="cellIs" dxfId="3253" priority="6469" operator="greaterThan">
      <formula>350</formula>
    </cfRule>
  </conditionalFormatting>
  <conditionalFormatting sqref="B649">
    <cfRule type="cellIs" dxfId="3252" priority="4432" operator="lessThan">
      <formula>0.8</formula>
    </cfRule>
    <cfRule type="cellIs" dxfId="3251" priority="4433" operator="between">
      <formula>0.8</formula>
      <formula>0.99999</formula>
    </cfRule>
    <cfRule type="cellIs" dxfId="3250" priority="4434" operator="between">
      <formula>1</formula>
      <formula>1.3</formula>
    </cfRule>
    <cfRule type="cellIs" dxfId="3249" priority="4435" operator="between">
      <formula>1.3</formula>
      <formula>1.5</formula>
    </cfRule>
    <cfRule type="cellIs" dxfId="3248" priority="4436" operator="greaterThan">
      <formula>1.5</formula>
    </cfRule>
  </conditionalFormatting>
  <conditionalFormatting sqref="B652">
    <cfRule type="cellIs" dxfId="3247" priority="6479" operator="lessThan">
      <formula>35</formula>
    </cfRule>
    <cfRule type="cellIs" dxfId="3246" priority="6478" operator="between">
      <formula>35</formula>
      <formula>50</formula>
    </cfRule>
    <cfRule type="cellIs" dxfId="3245" priority="6477" operator="greaterThan">
      <formula>50</formula>
    </cfRule>
  </conditionalFormatting>
  <conditionalFormatting sqref="B654">
    <cfRule type="cellIs" dxfId="3244" priority="6481" operator="between">
      <formula>250</formula>
      <formula>350</formula>
    </cfRule>
    <cfRule type="cellIs" dxfId="3243" priority="6482" operator="lessThan">
      <formula>250</formula>
    </cfRule>
    <cfRule type="cellIs" dxfId="3242" priority="6480" operator="greaterThan">
      <formula>350</formula>
    </cfRule>
  </conditionalFormatting>
  <conditionalFormatting sqref="B656">
    <cfRule type="cellIs" dxfId="3241" priority="4429" operator="between">
      <formula>1</formula>
      <formula>1.3</formula>
    </cfRule>
    <cfRule type="cellIs" dxfId="3240" priority="4431" operator="greaterThan">
      <formula>1.5</formula>
    </cfRule>
    <cfRule type="cellIs" dxfId="3239" priority="4430" operator="between">
      <formula>1.3</formula>
      <formula>1.5</formula>
    </cfRule>
    <cfRule type="cellIs" dxfId="3238" priority="4428" operator="between">
      <formula>0.8</formula>
      <formula>0.99999</formula>
    </cfRule>
    <cfRule type="cellIs" dxfId="3237" priority="4427" operator="lessThan">
      <formula>0.8</formula>
    </cfRule>
  </conditionalFormatting>
  <conditionalFormatting sqref="B659">
    <cfRule type="cellIs" dxfId="3236" priority="6501" operator="lessThan">
      <formula>35</formula>
    </cfRule>
    <cfRule type="cellIs" dxfId="3235" priority="6500" operator="between">
      <formula>35</formula>
      <formula>50</formula>
    </cfRule>
    <cfRule type="cellIs" dxfId="3234" priority="6499" operator="greaterThan">
      <formula>50</formula>
    </cfRule>
  </conditionalFormatting>
  <conditionalFormatting sqref="B661">
    <cfRule type="cellIs" dxfId="3233" priority="6504" operator="lessThan">
      <formula>250</formula>
    </cfRule>
    <cfRule type="cellIs" dxfId="3232" priority="6503" operator="between">
      <formula>250</formula>
      <formula>350</formula>
    </cfRule>
    <cfRule type="cellIs" dxfId="3231" priority="6502" operator="greaterThan">
      <formula>350</formula>
    </cfRule>
  </conditionalFormatting>
  <conditionalFormatting sqref="B663">
    <cfRule type="cellIs" dxfId="3230" priority="4426" operator="greaterThan">
      <formula>1.5</formula>
    </cfRule>
    <cfRule type="cellIs" dxfId="3229" priority="4425" operator="between">
      <formula>1.3</formula>
      <formula>1.5</formula>
    </cfRule>
    <cfRule type="cellIs" dxfId="3228" priority="4424" operator="between">
      <formula>1</formula>
      <formula>1.3</formula>
    </cfRule>
    <cfRule type="cellIs" dxfId="3227" priority="4423" operator="between">
      <formula>0.8</formula>
      <formula>0.99999</formula>
    </cfRule>
    <cfRule type="cellIs" dxfId="3226" priority="4422" operator="lessThan">
      <formula>0.8</formula>
    </cfRule>
  </conditionalFormatting>
  <conditionalFormatting sqref="B666">
    <cfRule type="cellIs" dxfId="3225" priority="6752" operator="greaterThan">
      <formula>50</formula>
    </cfRule>
    <cfRule type="cellIs" dxfId="3224" priority="6753" operator="between">
      <formula>35</formula>
      <formula>50</formula>
    </cfRule>
    <cfRule type="cellIs" dxfId="3223" priority="6754" operator="lessThan">
      <formula>35</formula>
    </cfRule>
  </conditionalFormatting>
  <conditionalFormatting sqref="B668">
    <cfRule type="cellIs" dxfId="3222" priority="6773" operator="greaterThan">
      <formula>350</formula>
    </cfRule>
    <cfRule type="cellIs" dxfId="3221" priority="6775" operator="lessThan">
      <formula>250</formula>
    </cfRule>
    <cfRule type="cellIs" dxfId="3220" priority="6774" operator="between">
      <formula>250</formula>
      <formula>350</formula>
    </cfRule>
  </conditionalFormatting>
  <conditionalFormatting sqref="B670">
    <cfRule type="cellIs" dxfId="3219" priority="4420" operator="between">
      <formula>1.3</formula>
      <formula>1.5</formula>
    </cfRule>
    <cfRule type="cellIs" dxfId="3218" priority="4417" operator="lessThan">
      <formula>0.8</formula>
    </cfRule>
    <cfRule type="cellIs" dxfId="3217" priority="4418" operator="between">
      <formula>0.8</formula>
      <formula>0.99999</formula>
    </cfRule>
    <cfRule type="cellIs" dxfId="3216" priority="4421" operator="greaterThan">
      <formula>1.5</formula>
    </cfRule>
    <cfRule type="cellIs" dxfId="3215" priority="4419" operator="between">
      <formula>1</formula>
      <formula>1.3</formula>
    </cfRule>
  </conditionalFormatting>
  <conditionalFormatting sqref="B673">
    <cfRule type="cellIs" dxfId="3214" priority="6609" operator="greaterThan">
      <formula>50</formula>
    </cfRule>
    <cfRule type="cellIs" dxfId="3213" priority="6610" operator="between">
      <formula>35</formula>
      <formula>50</formula>
    </cfRule>
    <cfRule type="cellIs" dxfId="3212" priority="6611" operator="lessThan">
      <formula>35</formula>
    </cfRule>
  </conditionalFormatting>
  <conditionalFormatting sqref="B675">
    <cfRule type="cellIs" dxfId="3211" priority="6612" operator="greaterThan">
      <formula>350</formula>
    </cfRule>
    <cfRule type="cellIs" dxfId="3210" priority="6613" operator="between">
      <formula>250</formula>
      <formula>350</formula>
    </cfRule>
    <cfRule type="cellIs" dxfId="3209" priority="6614" operator="lessThan">
      <formula>250</formula>
    </cfRule>
  </conditionalFormatting>
  <conditionalFormatting sqref="B677">
    <cfRule type="cellIs" dxfId="3208" priority="4413" operator="between">
      <formula>0.8</formula>
      <formula>0.99999</formula>
    </cfRule>
    <cfRule type="cellIs" dxfId="3207" priority="4414" operator="between">
      <formula>1</formula>
      <formula>1.3</formula>
    </cfRule>
    <cfRule type="cellIs" dxfId="3206" priority="4415" operator="between">
      <formula>1.3</formula>
      <formula>1.5</formula>
    </cfRule>
    <cfRule type="cellIs" dxfId="3205" priority="4416" operator="greaterThan">
      <formula>1.5</formula>
    </cfRule>
    <cfRule type="cellIs" dxfId="3204" priority="4412" operator="lessThan">
      <formula>0.8</formula>
    </cfRule>
  </conditionalFormatting>
  <conditionalFormatting sqref="B680">
    <cfRule type="cellIs" dxfId="3203" priority="6598" operator="greaterThan">
      <formula>50</formula>
    </cfRule>
    <cfRule type="cellIs" dxfId="3202" priority="6599" operator="between">
      <formula>35</formula>
      <formula>50</formula>
    </cfRule>
    <cfRule type="cellIs" dxfId="3201" priority="6600" operator="lessThan">
      <formula>35</formula>
    </cfRule>
  </conditionalFormatting>
  <conditionalFormatting sqref="B682">
    <cfRule type="cellIs" dxfId="3200" priority="6602" operator="between">
      <formula>250</formula>
      <formula>350</formula>
    </cfRule>
    <cfRule type="cellIs" dxfId="3199" priority="6603" operator="lessThan">
      <formula>250</formula>
    </cfRule>
    <cfRule type="cellIs" dxfId="3198" priority="6601" operator="greaterThan">
      <formula>350</formula>
    </cfRule>
  </conditionalFormatting>
  <conditionalFormatting sqref="B684">
    <cfRule type="cellIs" dxfId="3197" priority="4409" operator="between">
      <formula>1</formula>
      <formula>1.3</formula>
    </cfRule>
    <cfRule type="cellIs" dxfId="3196" priority="4407" operator="lessThan">
      <formula>0.8</formula>
    </cfRule>
    <cfRule type="cellIs" dxfId="3195" priority="4408" operator="between">
      <formula>0.8</formula>
      <formula>0.99999</formula>
    </cfRule>
    <cfRule type="cellIs" dxfId="3194" priority="4411" operator="greaterThan">
      <formula>1.5</formula>
    </cfRule>
    <cfRule type="cellIs" dxfId="3193" priority="4410" operator="between">
      <formula>1.3</formula>
      <formula>1.5</formula>
    </cfRule>
  </conditionalFormatting>
  <conditionalFormatting sqref="B687">
    <cfRule type="cellIs" dxfId="3192" priority="6589" operator="lessThan">
      <formula>35</formula>
    </cfRule>
    <cfRule type="cellIs" dxfId="3191" priority="6587" operator="greaterThan">
      <formula>50</formula>
    </cfRule>
    <cfRule type="cellIs" dxfId="3190" priority="6588" operator="between">
      <formula>35</formula>
      <formula>50</formula>
    </cfRule>
  </conditionalFormatting>
  <conditionalFormatting sqref="B689">
    <cfRule type="cellIs" dxfId="3189" priority="6592" operator="lessThan">
      <formula>250</formula>
    </cfRule>
    <cfRule type="cellIs" dxfId="3188" priority="6591" operator="between">
      <formula>250</formula>
      <formula>350</formula>
    </cfRule>
    <cfRule type="cellIs" dxfId="3187" priority="6590" operator="greaterThan">
      <formula>350</formula>
    </cfRule>
  </conditionalFormatting>
  <conditionalFormatting sqref="B691">
    <cfRule type="cellIs" dxfId="3186" priority="4405" operator="between">
      <formula>1.3</formula>
      <formula>1.5</formula>
    </cfRule>
    <cfRule type="cellIs" dxfId="3185" priority="4406" operator="greaterThan">
      <formula>1.5</formula>
    </cfRule>
    <cfRule type="cellIs" dxfId="3184" priority="4404" operator="between">
      <formula>1</formula>
      <formula>1.3</formula>
    </cfRule>
    <cfRule type="cellIs" dxfId="3183" priority="4403" operator="between">
      <formula>0.8</formula>
      <formula>0.99999</formula>
    </cfRule>
    <cfRule type="cellIs" dxfId="3182" priority="4402" operator="lessThan">
      <formula>0.8</formula>
    </cfRule>
  </conditionalFormatting>
  <conditionalFormatting sqref="B694">
    <cfRule type="cellIs" dxfId="3181" priority="6576" operator="greaterThan">
      <formula>50</formula>
    </cfRule>
    <cfRule type="cellIs" dxfId="3180" priority="6577" operator="between">
      <formula>35</formula>
      <formula>50</formula>
    </cfRule>
    <cfRule type="cellIs" dxfId="3179" priority="6578" operator="lessThan">
      <formula>35</formula>
    </cfRule>
  </conditionalFormatting>
  <conditionalFormatting sqref="B696">
    <cfRule type="cellIs" dxfId="3178" priority="6579" operator="greaterThan">
      <formula>350</formula>
    </cfRule>
    <cfRule type="cellIs" dxfId="3177" priority="6581" operator="lessThan">
      <formula>250</formula>
    </cfRule>
    <cfRule type="cellIs" dxfId="3176" priority="6580" operator="between">
      <formula>250</formula>
      <formula>350</formula>
    </cfRule>
  </conditionalFormatting>
  <conditionalFormatting sqref="B698">
    <cfRule type="cellIs" dxfId="3175" priority="4398" operator="between">
      <formula>0.8</formula>
      <formula>0.99999</formula>
    </cfRule>
    <cfRule type="cellIs" dxfId="3174" priority="4397" operator="lessThan">
      <formula>0.8</formula>
    </cfRule>
    <cfRule type="cellIs" dxfId="3173" priority="4401" operator="greaterThan">
      <formula>1.5</formula>
    </cfRule>
    <cfRule type="cellIs" dxfId="3172" priority="4400" operator="between">
      <formula>1.3</formula>
      <formula>1.5</formula>
    </cfRule>
    <cfRule type="cellIs" dxfId="3171" priority="4399" operator="between">
      <formula>1</formula>
      <formula>1.3</formula>
    </cfRule>
  </conditionalFormatting>
  <conditionalFormatting sqref="B701">
    <cfRule type="cellIs" dxfId="3170" priority="6567" operator="lessThan">
      <formula>35</formula>
    </cfRule>
    <cfRule type="cellIs" dxfId="3169" priority="6566" operator="between">
      <formula>35</formula>
      <formula>50</formula>
    </cfRule>
    <cfRule type="cellIs" dxfId="3168" priority="6565" operator="greaterThan">
      <formula>50</formula>
    </cfRule>
  </conditionalFormatting>
  <conditionalFormatting sqref="B703">
    <cfRule type="cellIs" dxfId="3167" priority="6570" operator="lessThan">
      <formula>250</formula>
    </cfRule>
    <cfRule type="cellIs" dxfId="3166" priority="6568" operator="greaterThan">
      <formula>350</formula>
    </cfRule>
    <cfRule type="cellIs" dxfId="3165" priority="6569" operator="between">
      <formula>250</formula>
      <formula>350</formula>
    </cfRule>
  </conditionalFormatting>
  <conditionalFormatting sqref="B705">
    <cfRule type="cellIs" dxfId="3164" priority="4396" operator="greaterThan">
      <formula>1.5</formula>
    </cfRule>
    <cfRule type="cellIs" dxfId="3163" priority="4395" operator="between">
      <formula>1.3</formula>
      <formula>1.5</formula>
    </cfRule>
    <cfRule type="cellIs" dxfId="3162" priority="4394" operator="between">
      <formula>1</formula>
      <formula>1.3</formula>
    </cfRule>
    <cfRule type="cellIs" dxfId="3161" priority="4393" operator="between">
      <formula>0.8</formula>
      <formula>0.99999</formula>
    </cfRule>
    <cfRule type="cellIs" dxfId="3160" priority="4392" operator="lessThan">
      <formula>0.8</formula>
    </cfRule>
  </conditionalFormatting>
  <conditionalFormatting sqref="B708">
    <cfRule type="cellIs" dxfId="3159" priority="6554" operator="greaterThan">
      <formula>50</formula>
    </cfRule>
    <cfRule type="cellIs" dxfId="3158" priority="6555" operator="between">
      <formula>35</formula>
      <formula>50</formula>
    </cfRule>
    <cfRule type="cellIs" dxfId="3157" priority="6556" operator="lessThan">
      <formula>35</formula>
    </cfRule>
  </conditionalFormatting>
  <conditionalFormatting sqref="B710">
    <cfRule type="cellIs" dxfId="3156" priority="6558" operator="between">
      <formula>250</formula>
      <formula>350</formula>
    </cfRule>
    <cfRule type="cellIs" dxfId="3155" priority="6559" operator="lessThan">
      <formula>250</formula>
    </cfRule>
    <cfRule type="cellIs" dxfId="3154" priority="6557" operator="greaterThan">
      <formula>350</formula>
    </cfRule>
  </conditionalFormatting>
  <conditionalFormatting sqref="B712">
    <cfRule type="cellIs" dxfId="3153" priority="4391" operator="greaterThan">
      <formula>1.5</formula>
    </cfRule>
    <cfRule type="cellIs" dxfId="3152" priority="4388" operator="between">
      <formula>0.8</formula>
      <formula>0.99999</formula>
    </cfRule>
    <cfRule type="cellIs" dxfId="3151" priority="4387" operator="lessThan">
      <formula>0.8</formula>
    </cfRule>
    <cfRule type="cellIs" dxfId="3150" priority="4389" operator="between">
      <formula>1</formula>
      <formula>1.3</formula>
    </cfRule>
    <cfRule type="cellIs" dxfId="3149" priority="4390" operator="between">
      <formula>1.3</formula>
      <formula>1.5</formula>
    </cfRule>
  </conditionalFormatting>
  <conditionalFormatting sqref="B715">
    <cfRule type="cellIs" dxfId="3148" priority="6544" operator="between">
      <formula>35</formula>
      <formula>50</formula>
    </cfRule>
    <cfRule type="cellIs" dxfId="3147" priority="6545" operator="lessThan">
      <formula>35</formula>
    </cfRule>
    <cfRule type="cellIs" dxfId="3146" priority="6543" operator="greaterThan">
      <formula>50</formula>
    </cfRule>
  </conditionalFormatting>
  <conditionalFormatting sqref="B717">
    <cfRule type="cellIs" dxfId="3145" priority="6548" operator="lessThan">
      <formula>250</formula>
    </cfRule>
    <cfRule type="cellIs" dxfId="3144" priority="6547" operator="between">
      <formula>250</formula>
      <formula>350</formula>
    </cfRule>
    <cfRule type="cellIs" dxfId="3143" priority="6546" operator="greaterThan">
      <formula>350</formula>
    </cfRule>
  </conditionalFormatting>
  <conditionalFormatting sqref="B719">
    <cfRule type="cellIs" dxfId="3142" priority="4384" operator="between">
      <formula>1</formula>
      <formula>1.3</formula>
    </cfRule>
    <cfRule type="cellIs" dxfId="3141" priority="4382" operator="lessThan">
      <formula>0.8</formula>
    </cfRule>
    <cfRule type="cellIs" dxfId="3140" priority="4383" operator="between">
      <formula>0.8</formula>
      <formula>0.99999</formula>
    </cfRule>
    <cfRule type="cellIs" dxfId="3139" priority="4385" operator="between">
      <formula>1.3</formula>
      <formula>1.5</formula>
    </cfRule>
    <cfRule type="cellIs" dxfId="3138" priority="4386" operator="greaterThan">
      <formula>1.5</formula>
    </cfRule>
  </conditionalFormatting>
  <conditionalFormatting sqref="B722">
    <cfRule type="cellIs" dxfId="3137" priority="6534" operator="lessThan">
      <formula>35</formula>
    </cfRule>
    <cfRule type="cellIs" dxfId="3136" priority="6533" operator="between">
      <formula>35</formula>
      <formula>50</formula>
    </cfRule>
    <cfRule type="cellIs" dxfId="3135" priority="6532" operator="greaterThan">
      <formula>50</formula>
    </cfRule>
  </conditionalFormatting>
  <conditionalFormatting sqref="B724">
    <cfRule type="cellIs" dxfId="3134" priority="6537" operator="lessThan">
      <formula>250</formula>
    </cfRule>
    <cfRule type="cellIs" dxfId="3133" priority="6536" operator="between">
      <formula>250</formula>
      <formula>350</formula>
    </cfRule>
    <cfRule type="cellIs" dxfId="3132" priority="6535" operator="greaterThan">
      <formula>350</formula>
    </cfRule>
  </conditionalFormatting>
  <conditionalFormatting sqref="B726">
    <cfRule type="cellIs" dxfId="3131" priority="4380" operator="between">
      <formula>1.3</formula>
      <formula>1.5</formula>
    </cfRule>
    <cfRule type="cellIs" dxfId="3130" priority="4379" operator="between">
      <formula>1</formula>
      <formula>1.3</formula>
    </cfRule>
    <cfRule type="cellIs" dxfId="3129" priority="4378" operator="between">
      <formula>0.8</formula>
      <formula>0.99999</formula>
    </cfRule>
    <cfRule type="cellIs" dxfId="3128" priority="4377" operator="lessThan">
      <formula>0.8</formula>
    </cfRule>
    <cfRule type="cellIs" dxfId="3127" priority="4381" operator="greaterThan">
      <formula>1.5</formula>
    </cfRule>
  </conditionalFormatting>
  <conditionalFormatting sqref="B729">
    <cfRule type="cellIs" dxfId="3126" priority="6521" operator="greaterThan">
      <formula>50</formula>
    </cfRule>
    <cfRule type="cellIs" dxfId="3125" priority="6523" operator="lessThan">
      <formula>35</formula>
    </cfRule>
    <cfRule type="cellIs" dxfId="3124" priority="6522" operator="between">
      <formula>35</formula>
      <formula>50</formula>
    </cfRule>
  </conditionalFormatting>
  <conditionalFormatting sqref="B731">
    <cfRule type="cellIs" dxfId="3123" priority="6525" operator="between">
      <formula>250</formula>
      <formula>350</formula>
    </cfRule>
    <cfRule type="cellIs" dxfId="3122" priority="6524" operator="greaterThan">
      <formula>350</formula>
    </cfRule>
    <cfRule type="cellIs" dxfId="3121" priority="6526" operator="lessThan">
      <formula>250</formula>
    </cfRule>
  </conditionalFormatting>
  <conditionalFormatting sqref="B733">
    <cfRule type="cellIs" dxfId="3120" priority="4376" operator="greaterThan">
      <formula>1.5</formula>
    </cfRule>
    <cfRule type="cellIs" dxfId="3119" priority="4375" operator="between">
      <formula>1.3</formula>
      <formula>1.5</formula>
    </cfRule>
    <cfRule type="cellIs" dxfId="3118" priority="4374" operator="between">
      <formula>1</formula>
      <formula>1.3</formula>
    </cfRule>
    <cfRule type="cellIs" dxfId="3117" priority="4373" operator="between">
      <formula>0.8</formula>
      <formula>0.99999</formula>
    </cfRule>
    <cfRule type="cellIs" dxfId="3116" priority="4372" operator="lessThan">
      <formula>0.8</formula>
    </cfRule>
  </conditionalFormatting>
  <conditionalFormatting sqref="B736">
    <cfRule type="cellIs" dxfId="3115" priority="6512" operator="lessThan">
      <formula>35</formula>
    </cfRule>
    <cfRule type="cellIs" dxfId="3114" priority="6511" operator="between">
      <formula>35</formula>
      <formula>50</formula>
    </cfRule>
    <cfRule type="cellIs" dxfId="3113" priority="6510" operator="greaterThan">
      <formula>50</formula>
    </cfRule>
  </conditionalFormatting>
  <conditionalFormatting sqref="B738">
    <cfRule type="cellIs" dxfId="3112" priority="6513" operator="greaterThan">
      <formula>350</formula>
    </cfRule>
    <cfRule type="cellIs" dxfId="3111" priority="6514" operator="between">
      <formula>250</formula>
      <formula>350</formula>
    </cfRule>
    <cfRule type="cellIs" dxfId="3110" priority="6515" operator="lessThan">
      <formula>250</formula>
    </cfRule>
  </conditionalFormatting>
  <conditionalFormatting sqref="B740">
    <cfRule type="cellIs" dxfId="3109" priority="4368" operator="between">
      <formula>0.8</formula>
      <formula>0.99999</formula>
    </cfRule>
    <cfRule type="cellIs" dxfId="3108" priority="4370" operator="between">
      <formula>1.3</formula>
      <formula>1.5</formula>
    </cfRule>
    <cfRule type="cellIs" dxfId="3107" priority="4369" operator="between">
      <formula>1</formula>
      <formula>1.3</formula>
    </cfRule>
    <cfRule type="cellIs" dxfId="3106" priority="4367" operator="lessThan">
      <formula>0.8</formula>
    </cfRule>
    <cfRule type="cellIs" dxfId="3105" priority="4371" operator="greaterThan">
      <formula>1.5</formula>
    </cfRule>
  </conditionalFormatting>
  <conditionalFormatting sqref="B743">
    <cfRule type="cellIs" dxfId="3104" priority="6488" operator="greaterThan">
      <formula>50</formula>
    </cfRule>
    <cfRule type="cellIs" dxfId="3103" priority="6490" operator="lessThan">
      <formula>35</formula>
    </cfRule>
    <cfRule type="cellIs" dxfId="3102" priority="6489" operator="between">
      <formula>35</formula>
      <formula>50</formula>
    </cfRule>
  </conditionalFormatting>
  <conditionalFormatting sqref="B745">
    <cfRule type="cellIs" dxfId="3101" priority="6493" operator="lessThan">
      <formula>250</formula>
    </cfRule>
    <cfRule type="cellIs" dxfId="3100" priority="6491" operator="greaterThan">
      <formula>350</formula>
    </cfRule>
    <cfRule type="cellIs" dxfId="3099" priority="6492" operator="between">
      <formula>250</formula>
      <formula>350</formula>
    </cfRule>
  </conditionalFormatting>
  <conditionalFormatting sqref="B747">
    <cfRule type="cellIs" dxfId="3098" priority="4362" operator="lessThan">
      <formula>0.8</formula>
    </cfRule>
    <cfRule type="cellIs" dxfId="3097" priority="4364" operator="between">
      <formula>1</formula>
      <formula>1.3</formula>
    </cfRule>
    <cfRule type="cellIs" dxfId="3096" priority="4365" operator="between">
      <formula>1.3</formula>
      <formula>1.5</formula>
    </cfRule>
    <cfRule type="cellIs" dxfId="3095" priority="4366" operator="greaterThan">
      <formula>1.5</formula>
    </cfRule>
    <cfRule type="cellIs" dxfId="3094" priority="4363" operator="between">
      <formula>0.8</formula>
      <formula>0.99999</formula>
    </cfRule>
  </conditionalFormatting>
  <conditionalFormatting sqref="B750">
    <cfRule type="cellIs" dxfId="3093" priority="5465" operator="greaterThan">
      <formula>50</formula>
    </cfRule>
    <cfRule type="cellIs" dxfId="3092" priority="5466" operator="between">
      <formula>35</formula>
      <formula>50</formula>
    </cfRule>
    <cfRule type="cellIs" dxfId="3091" priority="5467" operator="lessThan">
      <formula>35</formula>
    </cfRule>
  </conditionalFormatting>
  <conditionalFormatting sqref="B752">
    <cfRule type="cellIs" dxfId="3090" priority="5468" operator="greaterThan">
      <formula>350</formula>
    </cfRule>
    <cfRule type="cellIs" dxfId="3089" priority="5469" operator="between">
      <formula>250</formula>
      <formula>350</formula>
    </cfRule>
    <cfRule type="cellIs" dxfId="3088" priority="5470" operator="lessThan">
      <formula>250</formula>
    </cfRule>
  </conditionalFormatting>
  <conditionalFormatting sqref="B754">
    <cfRule type="cellIs" dxfId="3087" priority="4361" operator="greaterThan">
      <formula>1.5</formula>
    </cfRule>
    <cfRule type="cellIs" dxfId="3086" priority="4360" operator="between">
      <formula>1.3</formula>
      <formula>1.5</formula>
    </cfRule>
    <cfRule type="cellIs" dxfId="3085" priority="4359" operator="between">
      <formula>1</formula>
      <formula>1.3</formula>
    </cfRule>
    <cfRule type="cellIs" dxfId="3084" priority="4358" operator="between">
      <formula>0.8</formula>
      <formula>0.99999</formula>
    </cfRule>
    <cfRule type="cellIs" dxfId="3083" priority="4357" operator="lessThan">
      <formula>0.8</formula>
    </cfRule>
  </conditionalFormatting>
  <conditionalFormatting sqref="B757">
    <cfRule type="cellIs" dxfId="3082" priority="5454" operator="greaterThan">
      <formula>50</formula>
    </cfRule>
    <cfRule type="cellIs" dxfId="3081" priority="5455" operator="between">
      <formula>35</formula>
      <formula>50</formula>
    </cfRule>
    <cfRule type="cellIs" dxfId="3080" priority="5456" operator="lessThan">
      <formula>35</formula>
    </cfRule>
  </conditionalFormatting>
  <conditionalFormatting sqref="B759">
    <cfRule type="cellIs" dxfId="3079" priority="5459" operator="lessThan">
      <formula>250</formula>
    </cfRule>
    <cfRule type="cellIs" dxfId="3078" priority="5458" operator="between">
      <formula>250</formula>
      <formula>350</formula>
    </cfRule>
    <cfRule type="cellIs" dxfId="3077" priority="5457" operator="greaterThan">
      <formula>350</formula>
    </cfRule>
  </conditionalFormatting>
  <conditionalFormatting sqref="B761">
    <cfRule type="cellIs" dxfId="3076" priority="4356" operator="greaterThan">
      <formula>1.5</formula>
    </cfRule>
    <cfRule type="cellIs" dxfId="3075" priority="4353" operator="between">
      <formula>0.8</formula>
      <formula>0.99999</formula>
    </cfRule>
    <cfRule type="cellIs" dxfId="3074" priority="4354" operator="between">
      <formula>1</formula>
      <formula>1.3</formula>
    </cfRule>
    <cfRule type="cellIs" dxfId="3073" priority="4355" operator="between">
      <formula>1.3</formula>
      <formula>1.5</formula>
    </cfRule>
    <cfRule type="cellIs" dxfId="3072" priority="4352" operator="lessThan">
      <formula>0.8</formula>
    </cfRule>
  </conditionalFormatting>
  <conditionalFormatting sqref="B764">
    <cfRule type="cellIs" dxfId="3071" priority="5443" operator="greaterThan">
      <formula>50</formula>
    </cfRule>
    <cfRule type="cellIs" dxfId="3070" priority="5444" operator="between">
      <formula>35</formula>
      <formula>50</formula>
    </cfRule>
    <cfRule type="cellIs" dxfId="3069" priority="5445" operator="lessThan">
      <formula>35</formula>
    </cfRule>
  </conditionalFormatting>
  <conditionalFormatting sqref="B766">
    <cfRule type="cellIs" dxfId="3068" priority="5446" operator="greaterThan">
      <formula>350</formula>
    </cfRule>
    <cfRule type="cellIs" dxfId="3067" priority="5447" operator="between">
      <formula>250</formula>
      <formula>350</formula>
    </cfRule>
    <cfRule type="cellIs" dxfId="3066" priority="5448" operator="lessThan">
      <formula>250</formula>
    </cfRule>
  </conditionalFormatting>
  <conditionalFormatting sqref="B768">
    <cfRule type="cellIs" dxfId="3065" priority="4351" operator="greaterThan">
      <formula>1.5</formula>
    </cfRule>
    <cfRule type="cellIs" dxfId="3064" priority="4350" operator="between">
      <formula>1.3</formula>
      <formula>1.5</formula>
    </cfRule>
    <cfRule type="cellIs" dxfId="3063" priority="4349" operator="between">
      <formula>1</formula>
      <formula>1.3</formula>
    </cfRule>
    <cfRule type="cellIs" dxfId="3062" priority="4348" operator="between">
      <formula>0.8</formula>
      <formula>0.99999</formula>
    </cfRule>
    <cfRule type="cellIs" dxfId="3061" priority="4347" operator="lessThan">
      <formula>0.8</formula>
    </cfRule>
  </conditionalFormatting>
  <conditionalFormatting sqref="B771">
    <cfRule type="cellIs" dxfId="3060" priority="5434" operator="lessThan">
      <formula>35</formula>
    </cfRule>
    <cfRule type="cellIs" dxfId="3059" priority="5433" operator="between">
      <formula>35</formula>
      <formula>50</formula>
    </cfRule>
    <cfRule type="cellIs" dxfId="3058" priority="5432" operator="greaterThan">
      <formula>50</formula>
    </cfRule>
  </conditionalFormatting>
  <conditionalFormatting sqref="B773">
    <cfRule type="cellIs" dxfId="3057" priority="5435" operator="greaterThan">
      <formula>350</formula>
    </cfRule>
    <cfRule type="cellIs" dxfId="3056" priority="5436" operator="between">
      <formula>250</formula>
      <formula>350</formula>
    </cfRule>
    <cfRule type="cellIs" dxfId="3055" priority="5437" operator="lessThan">
      <formula>250</formula>
    </cfRule>
  </conditionalFormatting>
  <conditionalFormatting sqref="B775">
    <cfRule type="cellIs" dxfId="3054" priority="4150" operator="lessThan">
      <formula>0.8</formula>
    </cfRule>
    <cfRule type="cellIs" dxfId="3053" priority="4346" operator="greaterThan">
      <formula>1.5</formula>
    </cfRule>
    <cfRule type="cellIs" dxfId="3052" priority="4344" operator="between">
      <formula>1.3</formula>
      <formula>1.5</formula>
    </cfRule>
    <cfRule type="cellIs" dxfId="3051" priority="4343" operator="between">
      <formula>1</formula>
      <formula>1.3</formula>
    </cfRule>
    <cfRule type="cellIs" dxfId="3050" priority="4342" operator="between">
      <formula>0.8</formula>
      <formula>0.99999</formula>
    </cfRule>
  </conditionalFormatting>
  <conditionalFormatting sqref="B778">
    <cfRule type="cellIs" dxfId="3049" priority="5421" operator="greaterThan">
      <formula>50</formula>
    </cfRule>
    <cfRule type="cellIs" dxfId="3048" priority="5422" operator="between">
      <formula>35</formula>
      <formula>50</formula>
    </cfRule>
    <cfRule type="cellIs" dxfId="3047" priority="5423" operator="lessThan">
      <formula>35</formula>
    </cfRule>
  </conditionalFormatting>
  <conditionalFormatting sqref="B780">
    <cfRule type="cellIs" dxfId="3046" priority="5424" operator="greaterThan">
      <formula>350</formula>
    </cfRule>
    <cfRule type="cellIs" dxfId="3045" priority="5426" operator="lessThan">
      <formula>250</formula>
    </cfRule>
    <cfRule type="cellIs" dxfId="3044" priority="5425" operator="between">
      <formula>250</formula>
      <formula>350</formula>
    </cfRule>
  </conditionalFormatting>
  <conditionalFormatting sqref="B782">
    <cfRule type="cellIs" dxfId="3043" priority="4074" operator="greaterThan">
      <formula>1.5</formula>
    </cfRule>
    <cfRule type="cellIs" dxfId="3042" priority="4073" operator="between">
      <formula>1.3</formula>
      <formula>1.5</formula>
    </cfRule>
    <cfRule type="cellIs" dxfId="3041" priority="4072" operator="between">
      <formula>1</formula>
      <formula>1.3</formula>
    </cfRule>
    <cfRule type="cellIs" dxfId="3040" priority="4071" operator="between">
      <formula>0.8</formula>
      <formula>0.99999</formula>
    </cfRule>
    <cfRule type="cellIs" dxfId="3039" priority="4070" operator="lessThan">
      <formula>0.8</formula>
    </cfRule>
  </conditionalFormatting>
  <conditionalFormatting sqref="B785">
    <cfRule type="cellIs" dxfId="3038" priority="5410" operator="greaterThan">
      <formula>50</formula>
    </cfRule>
    <cfRule type="cellIs" dxfId="3037" priority="5411" operator="between">
      <formula>35</formula>
      <formula>50</formula>
    </cfRule>
    <cfRule type="cellIs" dxfId="3036" priority="5412" operator="lessThan">
      <formula>35</formula>
    </cfRule>
  </conditionalFormatting>
  <conditionalFormatting sqref="B787">
    <cfRule type="cellIs" dxfId="3035" priority="5413" operator="greaterThan">
      <formula>350</formula>
    </cfRule>
    <cfRule type="cellIs" dxfId="3034" priority="5414" operator="between">
      <formula>250</formula>
      <formula>350</formula>
    </cfRule>
    <cfRule type="cellIs" dxfId="3033" priority="5415" operator="lessThan">
      <formula>250</formula>
    </cfRule>
  </conditionalFormatting>
  <conditionalFormatting sqref="B789">
    <cfRule type="cellIs" dxfId="3032" priority="4068" operator="between">
      <formula>1.3</formula>
      <formula>1.5</formula>
    </cfRule>
    <cfRule type="cellIs" dxfId="3031" priority="4066" operator="between">
      <formula>0.8</formula>
      <formula>0.99999</formula>
    </cfRule>
    <cfRule type="cellIs" dxfId="3030" priority="4065" operator="lessThan">
      <formula>0.8</formula>
    </cfRule>
    <cfRule type="cellIs" dxfId="3029" priority="4067" operator="between">
      <formula>1</formula>
      <formula>1.3</formula>
    </cfRule>
    <cfRule type="cellIs" dxfId="3028" priority="4069" operator="greaterThan">
      <formula>1.5</formula>
    </cfRule>
  </conditionalFormatting>
  <conditionalFormatting sqref="B792">
    <cfRule type="cellIs" dxfId="3027" priority="5399" operator="greaterThan">
      <formula>50</formula>
    </cfRule>
    <cfRule type="cellIs" dxfId="3026" priority="5400" operator="between">
      <formula>35</formula>
      <formula>50</formula>
    </cfRule>
    <cfRule type="cellIs" dxfId="3025" priority="5401" operator="lessThan">
      <formula>35</formula>
    </cfRule>
  </conditionalFormatting>
  <conditionalFormatting sqref="B794">
    <cfRule type="cellIs" dxfId="3024" priority="5403" operator="between">
      <formula>250</formula>
      <formula>350</formula>
    </cfRule>
    <cfRule type="cellIs" dxfId="3023" priority="5404" operator="lessThan">
      <formula>250</formula>
    </cfRule>
    <cfRule type="cellIs" dxfId="3022" priority="5402" operator="greaterThan">
      <formula>350</formula>
    </cfRule>
  </conditionalFormatting>
  <conditionalFormatting sqref="B796">
    <cfRule type="cellIs" dxfId="3021" priority="4064" operator="greaterThan">
      <formula>1.5</formula>
    </cfRule>
    <cfRule type="cellIs" dxfId="3020" priority="4060" operator="lessThan">
      <formula>0.8</formula>
    </cfRule>
    <cfRule type="cellIs" dxfId="3019" priority="4061" operator="between">
      <formula>0.8</formula>
      <formula>0.99999</formula>
    </cfRule>
    <cfRule type="cellIs" dxfId="3018" priority="4062" operator="between">
      <formula>1</formula>
      <formula>1.3</formula>
    </cfRule>
    <cfRule type="cellIs" dxfId="3017" priority="4063" operator="between">
      <formula>1.3</formula>
      <formula>1.5</formula>
    </cfRule>
  </conditionalFormatting>
  <conditionalFormatting sqref="B799">
    <cfRule type="cellIs" dxfId="3016" priority="5388" operator="greaterThan">
      <formula>50</formula>
    </cfRule>
    <cfRule type="cellIs" dxfId="3015" priority="5389" operator="between">
      <formula>35</formula>
      <formula>50</formula>
    </cfRule>
    <cfRule type="cellIs" dxfId="3014" priority="5390" operator="lessThan">
      <formula>35</formula>
    </cfRule>
  </conditionalFormatting>
  <conditionalFormatting sqref="B801">
    <cfRule type="cellIs" dxfId="3013" priority="5391" operator="greaterThan">
      <formula>350</formula>
    </cfRule>
    <cfRule type="cellIs" dxfId="3012" priority="5392" operator="between">
      <formula>250</formula>
      <formula>350</formula>
    </cfRule>
    <cfRule type="cellIs" dxfId="3011" priority="5393" operator="lessThan">
      <formula>250</formula>
    </cfRule>
  </conditionalFormatting>
  <conditionalFormatting sqref="B803">
    <cfRule type="cellIs" dxfId="3010" priority="4055" operator="lessThan">
      <formula>0.8</formula>
    </cfRule>
    <cfRule type="cellIs" dxfId="3009" priority="4059" operator="greaterThan">
      <formula>1.5</formula>
    </cfRule>
    <cfRule type="cellIs" dxfId="3008" priority="4058" operator="between">
      <formula>1.3</formula>
      <formula>1.5</formula>
    </cfRule>
    <cfRule type="cellIs" dxfId="3007" priority="4057" operator="between">
      <formula>1</formula>
      <formula>1.3</formula>
    </cfRule>
    <cfRule type="cellIs" dxfId="3006" priority="4056" operator="between">
      <formula>0.8</formula>
      <formula>0.99999</formula>
    </cfRule>
  </conditionalFormatting>
  <conditionalFormatting sqref="B806">
    <cfRule type="cellIs" dxfId="3005" priority="5379" operator="lessThan">
      <formula>35</formula>
    </cfRule>
    <cfRule type="cellIs" dxfId="3004" priority="5378" operator="between">
      <formula>35</formula>
      <formula>50</formula>
    </cfRule>
    <cfRule type="cellIs" dxfId="3003" priority="5377" operator="greaterThan">
      <formula>50</formula>
    </cfRule>
  </conditionalFormatting>
  <conditionalFormatting sqref="B808">
    <cfRule type="cellIs" dxfId="3002" priority="5382" operator="lessThan">
      <formula>250</formula>
    </cfRule>
    <cfRule type="cellIs" dxfId="3001" priority="5381" operator="between">
      <formula>250</formula>
      <formula>350</formula>
    </cfRule>
    <cfRule type="cellIs" dxfId="3000" priority="5380" operator="greaterThan">
      <formula>350</formula>
    </cfRule>
  </conditionalFormatting>
  <conditionalFormatting sqref="B810">
    <cfRule type="cellIs" dxfId="2999" priority="4053" operator="between">
      <formula>1.3</formula>
      <formula>1.5</formula>
    </cfRule>
    <cfRule type="cellIs" dxfId="2998" priority="4054" operator="greaterThan">
      <formula>1.5</formula>
    </cfRule>
    <cfRule type="cellIs" dxfId="2997" priority="4052" operator="between">
      <formula>1</formula>
      <formula>1.3</formula>
    </cfRule>
    <cfRule type="cellIs" dxfId="2996" priority="4051" operator="between">
      <formula>0.8</formula>
      <formula>0.99999</formula>
    </cfRule>
    <cfRule type="cellIs" dxfId="2995" priority="4050" operator="lessThan">
      <formula>0.8</formula>
    </cfRule>
  </conditionalFormatting>
  <conditionalFormatting sqref="B813">
    <cfRule type="cellIs" dxfId="2994" priority="5366" operator="greaterThan">
      <formula>50</formula>
    </cfRule>
    <cfRule type="cellIs" dxfId="2993" priority="5367" operator="between">
      <formula>35</formula>
      <formula>50</formula>
    </cfRule>
    <cfRule type="cellIs" dxfId="2992" priority="5368" operator="lessThan">
      <formula>35</formula>
    </cfRule>
  </conditionalFormatting>
  <conditionalFormatting sqref="B815">
    <cfRule type="cellIs" dxfId="2991" priority="5369" operator="greaterThan">
      <formula>350</formula>
    </cfRule>
    <cfRule type="cellIs" dxfId="2990" priority="5370" operator="between">
      <formula>250</formula>
      <formula>350</formula>
    </cfRule>
    <cfRule type="cellIs" dxfId="2989" priority="5371" operator="lessThan">
      <formula>250</formula>
    </cfRule>
  </conditionalFormatting>
  <conditionalFormatting sqref="B817">
    <cfRule type="cellIs" dxfId="2988" priority="4049" operator="greaterThan">
      <formula>1.5</formula>
    </cfRule>
    <cfRule type="cellIs" dxfId="2987" priority="4048" operator="between">
      <formula>1.3</formula>
      <formula>1.5</formula>
    </cfRule>
    <cfRule type="cellIs" dxfId="2986" priority="4047" operator="between">
      <formula>1</formula>
      <formula>1.3</formula>
    </cfRule>
    <cfRule type="cellIs" dxfId="2985" priority="4046" operator="between">
      <formula>0.8</formula>
      <formula>0.99999</formula>
    </cfRule>
    <cfRule type="cellIs" dxfId="2984" priority="4045" operator="lessThan">
      <formula>0.8</formula>
    </cfRule>
  </conditionalFormatting>
  <conditionalFormatting sqref="B820">
    <cfRule type="cellIs" dxfId="2983" priority="5355" operator="greaterThan">
      <formula>50</formula>
    </cfRule>
    <cfRule type="cellIs" dxfId="2982" priority="5357" operator="lessThan">
      <formula>35</formula>
    </cfRule>
    <cfRule type="cellIs" dxfId="2981" priority="5356" operator="between">
      <formula>35</formula>
      <formula>50</formula>
    </cfRule>
  </conditionalFormatting>
  <conditionalFormatting sqref="B822">
    <cfRule type="cellIs" dxfId="2980" priority="5358" operator="greaterThan">
      <formula>350</formula>
    </cfRule>
    <cfRule type="cellIs" dxfId="2979" priority="5359" operator="between">
      <formula>250</formula>
      <formula>350</formula>
    </cfRule>
    <cfRule type="cellIs" dxfId="2978" priority="5360" operator="lessThan">
      <formula>250</formula>
    </cfRule>
  </conditionalFormatting>
  <conditionalFormatting sqref="B824">
    <cfRule type="cellIs" dxfId="2977" priority="4040" operator="lessThan">
      <formula>0.8</formula>
    </cfRule>
    <cfRule type="cellIs" dxfId="2976" priority="4041" operator="between">
      <formula>0.8</formula>
      <formula>0.99999</formula>
    </cfRule>
    <cfRule type="cellIs" dxfId="2975" priority="4042" operator="between">
      <formula>1</formula>
      <formula>1.3</formula>
    </cfRule>
    <cfRule type="cellIs" dxfId="2974" priority="4043" operator="between">
      <formula>1.3</formula>
      <formula>1.5</formula>
    </cfRule>
    <cfRule type="cellIs" dxfId="2973" priority="4044" operator="greaterThan">
      <formula>1.5</formula>
    </cfRule>
  </conditionalFormatting>
  <conditionalFormatting sqref="B827">
    <cfRule type="cellIs" dxfId="2972" priority="5346" operator="lessThan">
      <formula>35</formula>
    </cfRule>
    <cfRule type="cellIs" dxfId="2971" priority="5344" operator="greaterThan">
      <formula>50</formula>
    </cfRule>
    <cfRule type="cellIs" dxfId="2970" priority="5345" operator="between">
      <formula>35</formula>
      <formula>50</formula>
    </cfRule>
  </conditionalFormatting>
  <conditionalFormatting sqref="B829">
    <cfRule type="cellIs" dxfId="2969" priority="5349" operator="lessThan">
      <formula>250</formula>
    </cfRule>
    <cfRule type="cellIs" dxfId="2968" priority="5348" operator="between">
      <formula>250</formula>
      <formula>350</formula>
    </cfRule>
    <cfRule type="cellIs" dxfId="2967" priority="5347" operator="greaterThan">
      <formula>350</formula>
    </cfRule>
  </conditionalFormatting>
  <conditionalFormatting sqref="B831">
    <cfRule type="cellIs" dxfId="2966" priority="4035" operator="lessThan">
      <formula>0.8</formula>
    </cfRule>
    <cfRule type="cellIs" dxfId="2965" priority="4036" operator="between">
      <formula>0.8</formula>
      <formula>0.99999</formula>
    </cfRule>
    <cfRule type="cellIs" dxfId="2964" priority="4037" operator="between">
      <formula>1</formula>
      <formula>1.3</formula>
    </cfRule>
    <cfRule type="cellIs" dxfId="2963" priority="4038" operator="between">
      <formula>1.3</formula>
      <formula>1.5</formula>
    </cfRule>
    <cfRule type="cellIs" dxfId="2962" priority="4039" operator="greaterThan">
      <formula>1.5</formula>
    </cfRule>
  </conditionalFormatting>
  <conditionalFormatting sqref="B834">
    <cfRule type="cellIs" dxfId="2961" priority="5335" operator="lessThan">
      <formula>35</formula>
    </cfRule>
    <cfRule type="cellIs" dxfId="2960" priority="5333" operator="greaterThan">
      <formula>50</formula>
    </cfRule>
    <cfRule type="cellIs" dxfId="2959" priority="5334" operator="between">
      <formula>35</formula>
      <formula>50</formula>
    </cfRule>
  </conditionalFormatting>
  <conditionalFormatting sqref="B836">
    <cfRule type="cellIs" dxfId="2958" priority="5337" operator="between">
      <formula>250</formula>
      <formula>350</formula>
    </cfRule>
    <cfRule type="cellIs" dxfId="2957" priority="5336" operator="greaterThan">
      <formula>350</formula>
    </cfRule>
    <cfRule type="cellIs" dxfId="2956" priority="5338" operator="lessThan">
      <formula>250</formula>
    </cfRule>
  </conditionalFormatting>
  <conditionalFormatting sqref="B838">
    <cfRule type="cellIs" dxfId="2955" priority="4034" operator="greaterThan">
      <formula>1.5</formula>
    </cfRule>
    <cfRule type="cellIs" dxfId="2954" priority="4033" operator="between">
      <formula>1.3</formula>
      <formula>1.5</formula>
    </cfRule>
    <cfRule type="cellIs" dxfId="2953" priority="4032" operator="between">
      <formula>1</formula>
      <formula>1.3</formula>
    </cfRule>
    <cfRule type="cellIs" dxfId="2952" priority="4031" operator="between">
      <formula>0.8</formula>
      <formula>0.99999</formula>
    </cfRule>
    <cfRule type="cellIs" dxfId="2951" priority="4030" operator="lessThan">
      <formula>0.8</formula>
    </cfRule>
  </conditionalFormatting>
  <conditionalFormatting sqref="B841">
    <cfRule type="cellIs" dxfId="2950" priority="5322" operator="greaterThan">
      <formula>50</formula>
    </cfRule>
    <cfRule type="cellIs" dxfId="2949" priority="5323" operator="between">
      <formula>35</formula>
      <formula>50</formula>
    </cfRule>
    <cfRule type="cellIs" dxfId="2948" priority="5324" operator="lessThan">
      <formula>35</formula>
    </cfRule>
  </conditionalFormatting>
  <conditionalFormatting sqref="B843">
    <cfRule type="cellIs" dxfId="2947" priority="5327" operator="lessThan">
      <formula>250</formula>
    </cfRule>
    <cfRule type="cellIs" dxfId="2946" priority="5326" operator="between">
      <formula>250</formula>
      <formula>350</formula>
    </cfRule>
    <cfRule type="cellIs" dxfId="2945" priority="5325" operator="greaterThan">
      <formula>350</formula>
    </cfRule>
  </conditionalFormatting>
  <conditionalFormatting sqref="B845">
    <cfRule type="cellIs" dxfId="2944" priority="4025" operator="lessThan">
      <formula>0.8</formula>
    </cfRule>
    <cfRule type="cellIs" dxfId="2943" priority="4026" operator="between">
      <formula>0.8</formula>
      <formula>0.99999</formula>
    </cfRule>
    <cfRule type="cellIs" dxfId="2942" priority="4027" operator="between">
      <formula>1</formula>
      <formula>1.3</formula>
    </cfRule>
    <cfRule type="cellIs" dxfId="2941" priority="4029" operator="greaterThan">
      <formula>1.5</formula>
    </cfRule>
    <cfRule type="cellIs" dxfId="2940" priority="4028" operator="between">
      <formula>1.3</formula>
      <formula>1.5</formula>
    </cfRule>
  </conditionalFormatting>
  <conditionalFormatting sqref="B848">
    <cfRule type="cellIs" dxfId="2939" priority="5313" operator="lessThan">
      <formula>35</formula>
    </cfRule>
    <cfRule type="cellIs" dxfId="2938" priority="5311" operator="greaterThan">
      <formula>50</formula>
    </cfRule>
    <cfRule type="cellIs" dxfId="2937" priority="5312" operator="between">
      <formula>35</formula>
      <formula>50</formula>
    </cfRule>
  </conditionalFormatting>
  <conditionalFormatting sqref="B850">
    <cfRule type="cellIs" dxfId="2936" priority="5316" operator="lessThan">
      <formula>250</formula>
    </cfRule>
    <cfRule type="cellIs" dxfId="2935" priority="5315" operator="between">
      <formula>250</formula>
      <formula>350</formula>
    </cfRule>
    <cfRule type="cellIs" dxfId="2934" priority="5314" operator="greaterThan">
      <formula>350</formula>
    </cfRule>
  </conditionalFormatting>
  <conditionalFormatting sqref="B852">
    <cfRule type="cellIs" dxfId="2933" priority="4024" operator="greaterThan">
      <formula>1.5</formula>
    </cfRule>
    <cfRule type="cellIs" dxfId="2932" priority="4023" operator="between">
      <formula>1.3</formula>
      <formula>1.5</formula>
    </cfRule>
    <cfRule type="cellIs" dxfId="2931" priority="4022" operator="between">
      <formula>1</formula>
      <formula>1.3</formula>
    </cfRule>
    <cfRule type="cellIs" dxfId="2930" priority="4021" operator="between">
      <formula>0.8</formula>
      <formula>0.99999</formula>
    </cfRule>
    <cfRule type="cellIs" dxfId="2929" priority="4020" operator="lessThan">
      <formula>0.8</formula>
    </cfRule>
  </conditionalFormatting>
  <conditionalFormatting sqref="B855">
    <cfRule type="cellIs" dxfId="2928" priority="5300" operator="greaterThan">
      <formula>50</formula>
    </cfRule>
    <cfRule type="cellIs" dxfId="2927" priority="5301" operator="between">
      <formula>35</formula>
      <formula>50</formula>
    </cfRule>
    <cfRule type="cellIs" dxfId="2926" priority="5302" operator="lessThan">
      <formula>35</formula>
    </cfRule>
  </conditionalFormatting>
  <conditionalFormatting sqref="B857">
    <cfRule type="cellIs" dxfId="2925" priority="5303" operator="greaterThan">
      <formula>350</formula>
    </cfRule>
    <cfRule type="cellIs" dxfId="2924" priority="5304" operator="between">
      <formula>250</formula>
      <formula>350</formula>
    </cfRule>
    <cfRule type="cellIs" dxfId="2923" priority="5305" operator="lessThan">
      <formula>250</formula>
    </cfRule>
  </conditionalFormatting>
  <conditionalFormatting sqref="B859">
    <cfRule type="cellIs" dxfId="2922" priority="4015" operator="lessThan">
      <formula>0.8</formula>
    </cfRule>
    <cfRule type="cellIs" dxfId="2921" priority="4019" operator="greaterThan">
      <formula>1.5</formula>
    </cfRule>
    <cfRule type="cellIs" dxfId="2920" priority="4018" operator="between">
      <formula>1.3</formula>
      <formula>1.5</formula>
    </cfRule>
    <cfRule type="cellIs" dxfId="2919" priority="4017" operator="between">
      <formula>1</formula>
      <formula>1.3</formula>
    </cfRule>
    <cfRule type="cellIs" dxfId="2918" priority="4016" operator="between">
      <formula>0.8</formula>
      <formula>0.99999</formula>
    </cfRule>
  </conditionalFormatting>
  <conditionalFormatting sqref="B862">
    <cfRule type="cellIs" dxfId="2917" priority="5291" operator="lessThan">
      <formula>35</formula>
    </cfRule>
    <cfRule type="cellIs" dxfId="2916" priority="5289" operator="greaterThan">
      <formula>50</formula>
    </cfRule>
    <cfRule type="cellIs" dxfId="2915" priority="5290" operator="between">
      <formula>35</formula>
      <formula>50</formula>
    </cfRule>
  </conditionalFormatting>
  <conditionalFormatting sqref="B864">
    <cfRule type="cellIs" dxfId="2914" priority="5294" operator="lessThan">
      <formula>250</formula>
    </cfRule>
    <cfRule type="cellIs" dxfId="2913" priority="5293" operator="between">
      <formula>250</formula>
      <formula>350</formula>
    </cfRule>
    <cfRule type="cellIs" dxfId="2912" priority="5292" operator="greaterThan">
      <formula>350</formula>
    </cfRule>
  </conditionalFormatting>
  <conditionalFormatting sqref="B866">
    <cfRule type="cellIs" dxfId="2911" priority="4012" operator="between">
      <formula>1</formula>
      <formula>1.3</formula>
    </cfRule>
    <cfRule type="cellIs" dxfId="2910" priority="4014" operator="greaterThan">
      <formula>1.5</formula>
    </cfRule>
    <cfRule type="cellIs" dxfId="2909" priority="4010" operator="lessThan">
      <formula>0.8</formula>
    </cfRule>
    <cfRule type="cellIs" dxfId="2908" priority="4011" operator="between">
      <formula>0.8</formula>
      <formula>0.99999</formula>
    </cfRule>
    <cfRule type="cellIs" dxfId="2907" priority="4013" operator="between">
      <formula>1.3</formula>
      <formula>1.5</formula>
    </cfRule>
  </conditionalFormatting>
  <conditionalFormatting sqref="B869">
    <cfRule type="cellIs" dxfId="2906" priority="5279" operator="between">
      <formula>35</formula>
      <formula>50</formula>
    </cfRule>
    <cfRule type="cellIs" dxfId="2905" priority="5278" operator="greaterThan">
      <formula>50</formula>
    </cfRule>
    <cfRule type="cellIs" dxfId="2904" priority="5280" operator="lessThan">
      <formula>35</formula>
    </cfRule>
  </conditionalFormatting>
  <conditionalFormatting sqref="B871">
    <cfRule type="cellIs" dxfId="2903" priority="5283" operator="lessThan">
      <formula>250</formula>
    </cfRule>
    <cfRule type="cellIs" dxfId="2902" priority="5282" operator="between">
      <formula>250</formula>
      <formula>350</formula>
    </cfRule>
    <cfRule type="cellIs" dxfId="2901" priority="5281" operator="greaterThan">
      <formula>350</formula>
    </cfRule>
  </conditionalFormatting>
  <conditionalFormatting sqref="B873">
    <cfRule type="cellIs" dxfId="2900" priority="4005" operator="lessThan">
      <formula>0.8</formula>
    </cfRule>
    <cfRule type="cellIs" dxfId="2899" priority="4006" operator="between">
      <formula>0.8</formula>
      <formula>0.99999</formula>
    </cfRule>
    <cfRule type="cellIs" dxfId="2898" priority="4009" operator="greaterThan">
      <formula>1.5</formula>
    </cfRule>
    <cfRule type="cellIs" dxfId="2897" priority="4008" operator="between">
      <formula>1.3</formula>
      <formula>1.5</formula>
    </cfRule>
    <cfRule type="cellIs" dxfId="2896" priority="4007" operator="between">
      <formula>1</formula>
      <formula>1.3</formula>
    </cfRule>
  </conditionalFormatting>
  <conditionalFormatting sqref="B876">
    <cfRule type="cellIs" dxfId="2895" priority="5269" operator="lessThan">
      <formula>35</formula>
    </cfRule>
    <cfRule type="cellIs" dxfId="2894" priority="5268" operator="between">
      <formula>35</formula>
      <formula>50</formula>
    </cfRule>
    <cfRule type="cellIs" dxfId="2893" priority="5267" operator="greaterThan">
      <formula>50</formula>
    </cfRule>
  </conditionalFormatting>
  <conditionalFormatting sqref="B878">
    <cfRule type="cellIs" dxfId="2892" priority="5271" operator="between">
      <formula>250</formula>
      <formula>350</formula>
    </cfRule>
    <cfRule type="cellIs" dxfId="2891" priority="5270" operator="greaterThan">
      <formula>350</formula>
    </cfRule>
    <cfRule type="cellIs" dxfId="2890" priority="5272" operator="lessThan">
      <formula>250</formula>
    </cfRule>
  </conditionalFormatting>
  <conditionalFormatting sqref="B880">
    <cfRule type="cellIs" dxfId="2889" priority="4004" operator="greaterThan">
      <formula>1.5</formula>
    </cfRule>
    <cfRule type="cellIs" dxfId="2888" priority="4002" operator="between">
      <formula>1</formula>
      <formula>1.3</formula>
    </cfRule>
    <cfRule type="cellIs" dxfId="2887" priority="4003" operator="between">
      <formula>1.3</formula>
      <formula>1.5</formula>
    </cfRule>
    <cfRule type="cellIs" dxfId="2886" priority="4001" operator="between">
      <formula>0.8</formula>
      <formula>0.99999</formula>
    </cfRule>
    <cfRule type="cellIs" dxfId="2885" priority="4000" operator="lessThan">
      <formula>0.8</formula>
    </cfRule>
  </conditionalFormatting>
  <conditionalFormatting sqref="B883">
    <cfRule type="cellIs" dxfId="2884" priority="5258" operator="lessThan">
      <formula>35</formula>
    </cfRule>
    <cfRule type="cellIs" dxfId="2883" priority="5257" operator="between">
      <formula>35</formula>
      <formula>50</formula>
    </cfRule>
    <cfRule type="cellIs" dxfId="2882" priority="5256" operator="greaterThan">
      <formula>50</formula>
    </cfRule>
  </conditionalFormatting>
  <conditionalFormatting sqref="B885">
    <cfRule type="cellIs" dxfId="2881" priority="5261" operator="lessThan">
      <formula>250</formula>
    </cfRule>
    <cfRule type="cellIs" dxfId="2880" priority="5260" operator="between">
      <formula>250</formula>
      <formula>350</formula>
    </cfRule>
    <cfRule type="cellIs" dxfId="2879" priority="5259" operator="greaterThan">
      <formula>350</formula>
    </cfRule>
  </conditionalFormatting>
  <conditionalFormatting sqref="B887">
    <cfRule type="cellIs" dxfId="2878" priority="4265" operator="between">
      <formula>1.3</formula>
      <formula>1.5</formula>
    </cfRule>
    <cfRule type="cellIs" dxfId="2877" priority="4264" operator="between">
      <formula>1</formula>
      <formula>1.3</formula>
    </cfRule>
    <cfRule type="cellIs" dxfId="2876" priority="4262" operator="lessThan">
      <formula>0.8</formula>
    </cfRule>
    <cfRule type="cellIs" dxfId="2875" priority="4263" operator="between">
      <formula>0.8</formula>
      <formula>0.99999</formula>
    </cfRule>
    <cfRule type="cellIs" dxfId="2874" priority="4266" operator="greaterThan">
      <formula>1.5</formula>
    </cfRule>
  </conditionalFormatting>
  <conditionalFormatting sqref="B890">
    <cfRule type="cellIs" dxfId="2873" priority="5247" operator="lessThan">
      <formula>35</formula>
    </cfRule>
    <cfRule type="cellIs" dxfId="2872" priority="5246" operator="between">
      <formula>35</formula>
      <formula>50</formula>
    </cfRule>
    <cfRule type="cellIs" dxfId="2871" priority="5245" operator="greaterThan">
      <formula>50</formula>
    </cfRule>
  </conditionalFormatting>
  <conditionalFormatting sqref="B892">
    <cfRule type="cellIs" dxfId="2870" priority="5250" operator="lessThan">
      <formula>250</formula>
    </cfRule>
    <cfRule type="cellIs" dxfId="2869" priority="5249" operator="between">
      <formula>250</formula>
      <formula>350</formula>
    </cfRule>
    <cfRule type="cellIs" dxfId="2868" priority="5248" operator="greaterThan">
      <formula>350</formula>
    </cfRule>
  </conditionalFormatting>
  <conditionalFormatting sqref="B894">
    <cfRule type="cellIs" dxfId="2867" priority="4261" operator="greaterThan">
      <formula>1.5</formula>
    </cfRule>
    <cfRule type="cellIs" dxfId="2866" priority="4260" operator="between">
      <formula>1.3</formula>
      <formula>1.5</formula>
    </cfRule>
    <cfRule type="cellIs" dxfId="2865" priority="4259" operator="between">
      <formula>1</formula>
      <formula>1.3</formula>
    </cfRule>
    <cfRule type="cellIs" dxfId="2864" priority="4258" operator="between">
      <formula>0.8</formula>
      <formula>0.99999</formula>
    </cfRule>
    <cfRule type="cellIs" dxfId="2863" priority="4257" operator="lessThan">
      <formula>0.8</formula>
    </cfRule>
  </conditionalFormatting>
  <conditionalFormatting sqref="B897">
    <cfRule type="cellIs" dxfId="2862" priority="5235" operator="between">
      <formula>35</formula>
      <formula>50</formula>
    </cfRule>
    <cfRule type="cellIs" dxfId="2861" priority="5234" operator="greaterThan">
      <formula>50</formula>
    </cfRule>
    <cfRule type="cellIs" dxfId="2860" priority="5236" operator="lessThan">
      <formula>35</formula>
    </cfRule>
  </conditionalFormatting>
  <conditionalFormatting sqref="B899">
    <cfRule type="cellIs" dxfId="2859" priority="5239" operator="lessThan">
      <formula>250</formula>
    </cfRule>
    <cfRule type="cellIs" dxfId="2858" priority="5238" operator="between">
      <formula>250</formula>
      <formula>350</formula>
    </cfRule>
    <cfRule type="cellIs" dxfId="2857" priority="5237" operator="greaterThan">
      <formula>350</formula>
    </cfRule>
  </conditionalFormatting>
  <conditionalFormatting sqref="B901">
    <cfRule type="cellIs" dxfId="2856" priority="4252" operator="lessThan">
      <formula>0.8</formula>
    </cfRule>
    <cfRule type="cellIs" dxfId="2855" priority="4253" operator="between">
      <formula>0.8</formula>
      <formula>0.99999</formula>
    </cfRule>
    <cfRule type="cellIs" dxfId="2854" priority="4254" operator="between">
      <formula>1</formula>
      <formula>1.3</formula>
    </cfRule>
    <cfRule type="cellIs" dxfId="2853" priority="4255" operator="between">
      <formula>1.3</formula>
      <formula>1.5</formula>
    </cfRule>
    <cfRule type="cellIs" dxfId="2852" priority="4256" operator="greaterThan">
      <formula>1.5</formula>
    </cfRule>
  </conditionalFormatting>
  <conditionalFormatting sqref="B904">
    <cfRule type="cellIs" dxfId="2851" priority="5223" operator="greaterThan">
      <formula>50</formula>
    </cfRule>
    <cfRule type="cellIs" dxfId="2850" priority="5224" operator="between">
      <formula>35</formula>
      <formula>50</formula>
    </cfRule>
    <cfRule type="cellIs" dxfId="2849" priority="5225" operator="lessThan">
      <formula>35</formula>
    </cfRule>
  </conditionalFormatting>
  <conditionalFormatting sqref="B906">
    <cfRule type="cellIs" dxfId="2848" priority="5226" operator="greaterThan">
      <formula>350</formula>
    </cfRule>
    <cfRule type="cellIs" dxfId="2847" priority="5227" operator="between">
      <formula>250</formula>
      <formula>350</formula>
    </cfRule>
    <cfRule type="cellIs" dxfId="2846" priority="5228" operator="lessThan">
      <formula>250</formula>
    </cfRule>
  </conditionalFormatting>
  <conditionalFormatting sqref="B908">
    <cfRule type="cellIs" dxfId="2845" priority="4248" operator="between">
      <formula>0.8</formula>
      <formula>0.99999</formula>
    </cfRule>
    <cfRule type="cellIs" dxfId="2844" priority="4247" operator="lessThan">
      <formula>0.8</formula>
    </cfRule>
    <cfRule type="cellIs" dxfId="2843" priority="4250" operator="between">
      <formula>1.3</formula>
      <formula>1.5</formula>
    </cfRule>
    <cfRule type="cellIs" dxfId="2842" priority="4251" operator="greaterThan">
      <formula>1.5</formula>
    </cfRule>
    <cfRule type="cellIs" dxfId="2841" priority="4249" operator="between">
      <formula>1</formula>
      <formula>1.3</formula>
    </cfRule>
  </conditionalFormatting>
  <conditionalFormatting sqref="B911">
    <cfRule type="cellIs" dxfId="2840" priority="5213" operator="between">
      <formula>35</formula>
      <formula>50</formula>
    </cfRule>
    <cfRule type="cellIs" dxfId="2839" priority="5212" operator="greaterThan">
      <formula>50</formula>
    </cfRule>
    <cfRule type="cellIs" dxfId="2838" priority="5214" operator="lessThan">
      <formula>35</formula>
    </cfRule>
  </conditionalFormatting>
  <conditionalFormatting sqref="B913">
    <cfRule type="cellIs" dxfId="2837" priority="5217" operator="lessThan">
      <formula>250</formula>
    </cfRule>
    <cfRule type="cellIs" dxfId="2836" priority="5216" operator="between">
      <formula>250</formula>
      <formula>350</formula>
    </cfRule>
    <cfRule type="cellIs" dxfId="2835" priority="5215" operator="greaterThan">
      <formula>350</formula>
    </cfRule>
  </conditionalFormatting>
  <conditionalFormatting sqref="B915">
    <cfRule type="cellIs" dxfId="2834" priority="4246" operator="greaterThan">
      <formula>1.5</formula>
    </cfRule>
    <cfRule type="cellIs" dxfId="2833" priority="4245" operator="between">
      <formula>1.3</formula>
      <formula>1.5</formula>
    </cfRule>
    <cfRule type="cellIs" dxfId="2832" priority="4244" operator="between">
      <formula>1</formula>
      <formula>1.3</formula>
    </cfRule>
    <cfRule type="cellIs" dxfId="2831" priority="4243" operator="between">
      <formula>0.8</formula>
      <formula>0.99999</formula>
    </cfRule>
    <cfRule type="cellIs" dxfId="2830" priority="4242" operator="lessThan">
      <formula>0.8</formula>
    </cfRule>
  </conditionalFormatting>
  <conditionalFormatting sqref="B918">
    <cfRule type="cellIs" dxfId="2829" priority="5201" operator="greaterThan">
      <formula>50</formula>
    </cfRule>
    <cfRule type="cellIs" dxfId="2828" priority="5203" operator="lessThan">
      <formula>35</formula>
    </cfRule>
    <cfRule type="cellIs" dxfId="2827" priority="5202" operator="between">
      <formula>35</formula>
      <formula>50</formula>
    </cfRule>
  </conditionalFormatting>
  <conditionalFormatting sqref="B920">
    <cfRule type="cellIs" dxfId="2826" priority="5206" operator="lessThan">
      <formula>250</formula>
    </cfRule>
    <cfRule type="cellIs" dxfId="2825" priority="5204" operator="greaterThan">
      <formula>350</formula>
    </cfRule>
    <cfRule type="cellIs" dxfId="2824" priority="5205" operator="between">
      <formula>250</formula>
      <formula>350</formula>
    </cfRule>
  </conditionalFormatting>
  <conditionalFormatting sqref="B922">
    <cfRule type="cellIs" dxfId="2823" priority="4241" operator="greaterThan">
      <formula>1.5</formula>
    </cfRule>
    <cfRule type="cellIs" dxfId="2822" priority="4240" operator="between">
      <formula>1.3</formula>
      <formula>1.5</formula>
    </cfRule>
    <cfRule type="cellIs" dxfId="2821" priority="4239" operator="between">
      <formula>1</formula>
      <formula>1.3</formula>
    </cfRule>
    <cfRule type="cellIs" dxfId="2820" priority="4238" operator="between">
      <formula>0.8</formula>
      <formula>0.99999</formula>
    </cfRule>
    <cfRule type="cellIs" dxfId="2819" priority="4237" operator="lessThan">
      <formula>0.8</formula>
    </cfRule>
  </conditionalFormatting>
  <conditionalFormatting sqref="B925">
    <cfRule type="cellIs" dxfId="2818" priority="5192" operator="lessThan">
      <formula>35</formula>
    </cfRule>
    <cfRule type="cellIs" dxfId="2817" priority="5191" operator="between">
      <formula>35</formula>
      <formula>50</formula>
    </cfRule>
    <cfRule type="cellIs" dxfId="2816" priority="5190" operator="greaterThan">
      <formula>50</formula>
    </cfRule>
  </conditionalFormatting>
  <conditionalFormatting sqref="B927">
    <cfRule type="cellIs" dxfId="2815" priority="5195" operator="lessThan">
      <formula>250</formula>
    </cfRule>
    <cfRule type="cellIs" dxfId="2814" priority="5194" operator="between">
      <formula>250</formula>
      <formula>350</formula>
    </cfRule>
    <cfRule type="cellIs" dxfId="2813" priority="5193" operator="greaterThan">
      <formula>350</formula>
    </cfRule>
  </conditionalFormatting>
  <conditionalFormatting sqref="B929">
    <cfRule type="cellIs" dxfId="2812" priority="4236" operator="greaterThan">
      <formula>1.5</formula>
    </cfRule>
    <cfRule type="cellIs" dxfId="2811" priority="4235" operator="between">
      <formula>1.3</formula>
      <formula>1.5</formula>
    </cfRule>
    <cfRule type="cellIs" dxfId="2810" priority="4234" operator="between">
      <formula>1</formula>
      <formula>1.3</formula>
    </cfRule>
    <cfRule type="cellIs" dxfId="2809" priority="4233" operator="between">
      <formula>0.8</formula>
      <formula>0.99999</formula>
    </cfRule>
    <cfRule type="cellIs" dxfId="2808" priority="4232" operator="lessThan">
      <formula>0.8</formula>
    </cfRule>
  </conditionalFormatting>
  <conditionalFormatting sqref="B932">
    <cfRule type="cellIs" dxfId="2807" priority="5179" operator="greaterThan">
      <formula>50</formula>
    </cfRule>
    <cfRule type="cellIs" dxfId="2806" priority="5180" operator="between">
      <formula>35</formula>
      <formula>50</formula>
    </cfRule>
    <cfRule type="cellIs" dxfId="2805" priority="5181" operator="lessThan">
      <formula>35</formula>
    </cfRule>
  </conditionalFormatting>
  <conditionalFormatting sqref="B934">
    <cfRule type="cellIs" dxfId="2804" priority="5182" operator="greaterThan">
      <formula>350</formula>
    </cfRule>
    <cfRule type="cellIs" dxfId="2803" priority="5183" operator="between">
      <formula>250</formula>
      <formula>350</formula>
    </cfRule>
    <cfRule type="cellIs" dxfId="2802" priority="5184" operator="lessThan">
      <formula>250</formula>
    </cfRule>
  </conditionalFormatting>
  <conditionalFormatting sqref="B936">
    <cfRule type="cellIs" dxfId="2801" priority="4228" operator="between">
      <formula>0.8</formula>
      <formula>0.99999</formula>
    </cfRule>
    <cfRule type="cellIs" dxfId="2800" priority="4227" operator="lessThan">
      <formula>0.8</formula>
    </cfRule>
    <cfRule type="cellIs" dxfId="2799" priority="4230" operator="between">
      <formula>1.3</formula>
      <formula>1.5</formula>
    </cfRule>
    <cfRule type="cellIs" dxfId="2798" priority="4231" operator="greaterThan">
      <formula>1.5</formula>
    </cfRule>
    <cfRule type="cellIs" dxfId="2797" priority="4229" operator="between">
      <formula>1</formula>
      <formula>1.3</formula>
    </cfRule>
  </conditionalFormatting>
  <conditionalFormatting sqref="B939">
    <cfRule type="cellIs" dxfId="2796" priority="5168" operator="greaterThan">
      <formula>50</formula>
    </cfRule>
    <cfRule type="cellIs" dxfId="2795" priority="5169" operator="between">
      <formula>35</formula>
      <formula>50</formula>
    </cfRule>
    <cfRule type="cellIs" dxfId="2794" priority="5170" operator="lessThan">
      <formula>35</formula>
    </cfRule>
  </conditionalFormatting>
  <conditionalFormatting sqref="B941">
    <cfRule type="cellIs" dxfId="2793" priority="5171" operator="greaterThan">
      <formula>350</formula>
    </cfRule>
    <cfRule type="cellIs" dxfId="2792" priority="5172" operator="between">
      <formula>250</formula>
      <formula>350</formula>
    </cfRule>
    <cfRule type="cellIs" dxfId="2791" priority="5173" operator="lessThan">
      <formula>250</formula>
    </cfRule>
  </conditionalFormatting>
  <conditionalFormatting sqref="B943">
    <cfRule type="cellIs" dxfId="2790" priority="4226" operator="greaterThan">
      <formula>1.5</formula>
    </cfRule>
    <cfRule type="cellIs" dxfId="2789" priority="4225" operator="between">
      <formula>1.3</formula>
      <formula>1.5</formula>
    </cfRule>
    <cfRule type="cellIs" dxfId="2788" priority="4224" operator="between">
      <formula>1</formula>
      <formula>1.3</formula>
    </cfRule>
    <cfRule type="cellIs" dxfId="2787" priority="4223" operator="between">
      <formula>0.8</formula>
      <formula>0.99999</formula>
    </cfRule>
    <cfRule type="cellIs" dxfId="2786" priority="4222" operator="lessThan">
      <formula>0.8</formula>
    </cfRule>
  </conditionalFormatting>
  <conditionalFormatting sqref="B946">
    <cfRule type="cellIs" dxfId="2785" priority="5159" operator="lessThan">
      <formula>35</formula>
    </cfRule>
    <cfRule type="cellIs" dxfId="2784" priority="5157" operator="greaterThan">
      <formula>50</formula>
    </cfRule>
    <cfRule type="cellIs" dxfId="2783" priority="5158" operator="between">
      <formula>35</formula>
      <formula>50</formula>
    </cfRule>
  </conditionalFormatting>
  <conditionalFormatting sqref="B948">
    <cfRule type="cellIs" dxfId="2782" priority="5161" operator="between">
      <formula>250</formula>
      <formula>350</formula>
    </cfRule>
    <cfRule type="cellIs" dxfId="2781" priority="5162" operator="lessThan">
      <formula>250</formula>
    </cfRule>
    <cfRule type="cellIs" dxfId="2780" priority="5160" operator="greaterThan">
      <formula>350</formula>
    </cfRule>
  </conditionalFormatting>
  <conditionalFormatting sqref="B950">
    <cfRule type="cellIs" dxfId="2779" priority="4221" operator="greaterThan">
      <formula>1.5</formula>
    </cfRule>
    <cfRule type="cellIs" dxfId="2778" priority="4220" operator="between">
      <formula>1.3</formula>
      <formula>1.5</formula>
    </cfRule>
    <cfRule type="cellIs" dxfId="2777" priority="4218" operator="between">
      <formula>0.8</formula>
      <formula>0.99999</formula>
    </cfRule>
    <cfRule type="cellIs" dxfId="2776" priority="4217" operator="lessThan">
      <formula>0.8</formula>
    </cfRule>
    <cfRule type="cellIs" dxfId="2775" priority="4219" operator="between">
      <formula>1</formula>
      <formula>1.3</formula>
    </cfRule>
  </conditionalFormatting>
  <conditionalFormatting sqref="B953">
    <cfRule type="cellIs" dxfId="2774" priority="5146" operator="greaterThan">
      <formula>50</formula>
    </cfRule>
    <cfRule type="cellIs" dxfId="2773" priority="5147" operator="between">
      <formula>35</formula>
      <formula>50</formula>
    </cfRule>
    <cfRule type="cellIs" dxfId="2772" priority="5148" operator="lessThan">
      <formula>35</formula>
    </cfRule>
  </conditionalFormatting>
  <conditionalFormatting sqref="B955">
    <cfRule type="cellIs" dxfId="2771" priority="5149" operator="greaterThan">
      <formula>350</formula>
    </cfRule>
    <cfRule type="cellIs" dxfId="2770" priority="5150" operator="between">
      <formula>250</formula>
      <formula>350</formula>
    </cfRule>
    <cfRule type="cellIs" dxfId="2769" priority="5151" operator="lessThan">
      <formula>250</formula>
    </cfRule>
  </conditionalFormatting>
  <conditionalFormatting sqref="B957">
    <cfRule type="cellIs" dxfId="2768" priority="4214" operator="between">
      <formula>1</formula>
      <formula>1.3</formula>
    </cfRule>
    <cfRule type="cellIs" dxfId="2767" priority="4213" operator="between">
      <formula>0.8</formula>
      <formula>0.99999</formula>
    </cfRule>
    <cfRule type="cellIs" dxfId="2766" priority="4212" operator="lessThan">
      <formula>0.8</formula>
    </cfRule>
    <cfRule type="cellIs" dxfId="2765" priority="4215" operator="between">
      <formula>1.3</formula>
      <formula>1.5</formula>
    </cfRule>
    <cfRule type="cellIs" dxfId="2764" priority="4216" operator="greaterThan">
      <formula>1.5</formula>
    </cfRule>
  </conditionalFormatting>
  <conditionalFormatting sqref="B960">
    <cfRule type="cellIs" dxfId="2763" priority="5137" operator="lessThan">
      <formula>35</formula>
    </cfRule>
    <cfRule type="cellIs" dxfId="2762" priority="5136" operator="between">
      <formula>35</formula>
      <formula>50</formula>
    </cfRule>
    <cfRule type="cellIs" dxfId="2761" priority="5135" operator="greaterThan">
      <formula>50</formula>
    </cfRule>
  </conditionalFormatting>
  <conditionalFormatting sqref="B962">
    <cfRule type="cellIs" dxfId="2760" priority="5140" operator="lessThan">
      <formula>250</formula>
    </cfRule>
    <cfRule type="cellIs" dxfId="2759" priority="5139" operator="between">
      <formula>250</formula>
      <formula>350</formula>
    </cfRule>
    <cfRule type="cellIs" dxfId="2758" priority="5138" operator="greaterThan">
      <formula>350</formula>
    </cfRule>
  </conditionalFormatting>
  <conditionalFormatting sqref="B964">
    <cfRule type="cellIs" dxfId="2757" priority="4207" operator="lessThan">
      <formula>0.8</formula>
    </cfRule>
    <cfRule type="cellIs" dxfId="2756" priority="4208" operator="between">
      <formula>0.8</formula>
      <formula>0.99999</formula>
    </cfRule>
    <cfRule type="cellIs" dxfId="2755" priority="4209" operator="between">
      <formula>1</formula>
      <formula>1.3</formula>
    </cfRule>
    <cfRule type="cellIs" dxfId="2754" priority="4210" operator="between">
      <formula>1.3</formula>
      <formula>1.5</formula>
    </cfRule>
    <cfRule type="cellIs" dxfId="2753" priority="4211" operator="greaterThan">
      <formula>1.5</formula>
    </cfRule>
  </conditionalFormatting>
  <conditionalFormatting sqref="B967">
    <cfRule type="cellIs" dxfId="2752" priority="5124" operator="greaterThan">
      <formula>50</formula>
    </cfRule>
    <cfRule type="cellIs" dxfId="2751" priority="5126" operator="lessThan">
      <formula>35</formula>
    </cfRule>
    <cfRule type="cellIs" dxfId="2750" priority="5125" operator="between">
      <formula>35</formula>
      <formula>50</formula>
    </cfRule>
  </conditionalFormatting>
  <conditionalFormatting sqref="B969">
    <cfRule type="cellIs" dxfId="2749" priority="5129" operator="lessThan">
      <formula>250</formula>
    </cfRule>
    <cfRule type="cellIs" dxfId="2748" priority="5128" operator="between">
      <formula>250</formula>
      <formula>350</formula>
    </cfRule>
    <cfRule type="cellIs" dxfId="2747" priority="5127" operator="greaterThan">
      <formula>350</formula>
    </cfRule>
  </conditionalFormatting>
  <conditionalFormatting sqref="B971">
    <cfRule type="cellIs" dxfId="2746" priority="4203" operator="between">
      <formula>0.8</formula>
      <formula>0.99999</formula>
    </cfRule>
    <cfRule type="cellIs" dxfId="2745" priority="4204" operator="between">
      <formula>1</formula>
      <formula>1.3</formula>
    </cfRule>
    <cfRule type="cellIs" dxfId="2744" priority="4205" operator="between">
      <formula>1.3</formula>
      <formula>1.5</formula>
    </cfRule>
    <cfRule type="cellIs" dxfId="2743" priority="4206" operator="greaterThan">
      <formula>1.5</formula>
    </cfRule>
    <cfRule type="cellIs" dxfId="2742" priority="4202" operator="lessThan">
      <formula>0.8</formula>
    </cfRule>
  </conditionalFormatting>
  <conditionalFormatting sqref="B974">
    <cfRule type="cellIs" dxfId="2741" priority="5115" operator="lessThan">
      <formula>35</formula>
    </cfRule>
    <cfRule type="cellIs" dxfId="2740" priority="5114" operator="between">
      <formula>35</formula>
      <formula>50</formula>
    </cfRule>
    <cfRule type="cellIs" dxfId="2739" priority="5113" operator="greaterThan">
      <formula>50</formula>
    </cfRule>
  </conditionalFormatting>
  <conditionalFormatting sqref="B976">
    <cfRule type="cellIs" dxfId="2738" priority="5118" operator="lessThan">
      <formula>250</formula>
    </cfRule>
    <cfRule type="cellIs" dxfId="2737" priority="5117" operator="between">
      <formula>250</formula>
      <formula>350</formula>
    </cfRule>
    <cfRule type="cellIs" dxfId="2736" priority="5116" operator="greaterThan">
      <formula>350</formula>
    </cfRule>
  </conditionalFormatting>
  <conditionalFormatting sqref="B978">
    <cfRule type="cellIs" dxfId="2735" priority="4197" operator="lessThan">
      <formula>0.8</formula>
    </cfRule>
    <cfRule type="cellIs" dxfId="2734" priority="4198" operator="between">
      <formula>0.8</formula>
      <formula>0.99999</formula>
    </cfRule>
    <cfRule type="cellIs" dxfId="2733" priority="4199" operator="between">
      <formula>1</formula>
      <formula>1.3</formula>
    </cfRule>
    <cfRule type="cellIs" dxfId="2732" priority="4200" operator="between">
      <formula>1.3</formula>
      <formula>1.5</formula>
    </cfRule>
    <cfRule type="cellIs" dxfId="2731" priority="4201" operator="greaterThan">
      <formula>1.5</formula>
    </cfRule>
  </conditionalFormatting>
  <conditionalFormatting sqref="B981">
    <cfRule type="cellIs" dxfId="2730" priority="5102" operator="greaterThan">
      <formula>50</formula>
    </cfRule>
    <cfRule type="cellIs" dxfId="2729" priority="5104" operator="lessThan">
      <formula>35</formula>
    </cfRule>
    <cfRule type="cellIs" dxfId="2728" priority="5103" operator="between">
      <formula>35</formula>
      <formula>50</formula>
    </cfRule>
  </conditionalFormatting>
  <conditionalFormatting sqref="B983">
    <cfRule type="cellIs" dxfId="2727" priority="5107" operator="lessThan">
      <formula>250</formula>
    </cfRule>
    <cfRule type="cellIs" dxfId="2726" priority="5106" operator="between">
      <formula>250</formula>
      <formula>350</formula>
    </cfRule>
    <cfRule type="cellIs" dxfId="2725" priority="5105" operator="greaterThan">
      <formula>350</formula>
    </cfRule>
  </conditionalFormatting>
  <conditionalFormatting sqref="B985">
    <cfRule type="cellIs" dxfId="2724" priority="4196" operator="greaterThan">
      <formula>1.5</formula>
    </cfRule>
    <cfRule type="cellIs" dxfId="2723" priority="4195" operator="between">
      <formula>1.3</formula>
      <formula>1.5</formula>
    </cfRule>
    <cfRule type="cellIs" dxfId="2722" priority="4192" operator="lessThan">
      <formula>0.8</formula>
    </cfRule>
    <cfRule type="cellIs" dxfId="2721" priority="4193" operator="between">
      <formula>0.8</formula>
      <formula>0.99999</formula>
    </cfRule>
    <cfRule type="cellIs" dxfId="2720" priority="4194" operator="between">
      <formula>1</formula>
      <formula>1.3</formula>
    </cfRule>
  </conditionalFormatting>
  <conditionalFormatting sqref="B988">
    <cfRule type="cellIs" dxfId="2719" priority="5093" operator="lessThan">
      <formula>35</formula>
    </cfRule>
    <cfRule type="cellIs" dxfId="2718" priority="5092" operator="between">
      <formula>35</formula>
      <formula>50</formula>
    </cfRule>
    <cfRule type="cellIs" dxfId="2717" priority="5091" operator="greaterThan">
      <formula>50</formula>
    </cfRule>
  </conditionalFormatting>
  <conditionalFormatting sqref="B990">
    <cfRule type="cellIs" dxfId="2716" priority="5095" operator="between">
      <formula>250</formula>
      <formula>350</formula>
    </cfRule>
    <cfRule type="cellIs" dxfId="2715" priority="5094" operator="greaterThan">
      <formula>350</formula>
    </cfRule>
    <cfRule type="cellIs" dxfId="2714" priority="5096" operator="lessThan">
      <formula>250</formula>
    </cfRule>
  </conditionalFormatting>
  <conditionalFormatting sqref="B992">
    <cfRule type="cellIs" dxfId="2713" priority="4187" operator="lessThan">
      <formula>0.8</formula>
    </cfRule>
    <cfRule type="cellIs" dxfId="2712" priority="4188" operator="between">
      <formula>0.8</formula>
      <formula>0.99999</formula>
    </cfRule>
    <cfRule type="cellIs" dxfId="2711" priority="4189" operator="between">
      <formula>1</formula>
      <formula>1.3</formula>
    </cfRule>
    <cfRule type="cellIs" dxfId="2710" priority="4190" operator="between">
      <formula>1.3</formula>
      <formula>1.5</formula>
    </cfRule>
    <cfRule type="cellIs" dxfId="2709" priority="4191" operator="greaterThan">
      <formula>1.5</formula>
    </cfRule>
  </conditionalFormatting>
  <conditionalFormatting sqref="B995">
    <cfRule type="cellIs" dxfId="2708" priority="5082" operator="lessThan">
      <formula>35</formula>
    </cfRule>
    <cfRule type="cellIs" dxfId="2707" priority="5080" operator="greaterThan">
      <formula>50</formula>
    </cfRule>
    <cfRule type="cellIs" dxfId="2706" priority="5081" operator="between">
      <formula>35</formula>
      <formula>50</formula>
    </cfRule>
  </conditionalFormatting>
  <conditionalFormatting sqref="B997">
    <cfRule type="cellIs" dxfId="2705" priority="5085" operator="lessThan">
      <formula>250</formula>
    </cfRule>
    <cfRule type="cellIs" dxfId="2704" priority="5083" operator="greaterThan">
      <formula>350</formula>
    </cfRule>
    <cfRule type="cellIs" dxfId="2703" priority="5084" operator="between">
      <formula>250</formula>
      <formula>350</formula>
    </cfRule>
  </conditionalFormatting>
  <conditionalFormatting sqref="B999">
    <cfRule type="cellIs" dxfId="2702" priority="4186" operator="greaterThan">
      <formula>1.5</formula>
    </cfRule>
    <cfRule type="cellIs" dxfId="2701" priority="4185" operator="between">
      <formula>1.3</formula>
      <formula>1.5</formula>
    </cfRule>
    <cfRule type="cellIs" dxfId="2700" priority="4184" operator="between">
      <formula>1</formula>
      <formula>1.3</formula>
    </cfRule>
    <cfRule type="cellIs" dxfId="2699" priority="4183" operator="between">
      <formula>0.8</formula>
      <formula>0.99999</formula>
    </cfRule>
    <cfRule type="cellIs" dxfId="2698" priority="4182" operator="lessThan">
      <formula>0.8</formula>
    </cfRule>
  </conditionalFormatting>
  <conditionalFormatting sqref="B1002">
    <cfRule type="cellIs" dxfId="2697" priority="5071" operator="lessThan">
      <formula>35</formula>
    </cfRule>
    <cfRule type="cellIs" dxfId="2696" priority="5070" operator="between">
      <formula>35</formula>
      <formula>50</formula>
    </cfRule>
    <cfRule type="cellIs" dxfId="2695" priority="5069" operator="greaterThan">
      <formula>50</formula>
    </cfRule>
  </conditionalFormatting>
  <conditionalFormatting sqref="B1004">
    <cfRule type="cellIs" dxfId="2694" priority="5072" operator="greaterThan">
      <formula>350</formula>
    </cfRule>
    <cfRule type="cellIs" dxfId="2693" priority="5073" operator="between">
      <formula>250</formula>
      <formula>350</formula>
    </cfRule>
    <cfRule type="cellIs" dxfId="2692" priority="5074" operator="lessThan">
      <formula>250</formula>
    </cfRule>
  </conditionalFormatting>
  <conditionalFormatting sqref="B1006">
    <cfRule type="cellIs" dxfId="2691" priority="4180" operator="between">
      <formula>1.3</formula>
      <formula>1.5</formula>
    </cfRule>
    <cfRule type="cellIs" dxfId="2690" priority="4179" operator="between">
      <formula>1</formula>
      <formula>1.3</formula>
    </cfRule>
    <cfRule type="cellIs" dxfId="2689" priority="4178" operator="between">
      <formula>0.8</formula>
      <formula>0.99999</formula>
    </cfRule>
    <cfRule type="cellIs" dxfId="2688" priority="4177" operator="lessThan">
      <formula>0.8</formula>
    </cfRule>
    <cfRule type="cellIs" dxfId="2687" priority="4181" operator="greaterThan">
      <formula>1.5</formula>
    </cfRule>
  </conditionalFormatting>
  <conditionalFormatting sqref="B1009">
    <cfRule type="cellIs" dxfId="2686" priority="5060" operator="lessThan">
      <formula>35</formula>
    </cfRule>
    <cfRule type="cellIs" dxfId="2685" priority="5059" operator="between">
      <formula>35</formula>
      <formula>50</formula>
    </cfRule>
    <cfRule type="cellIs" dxfId="2684" priority="5058" operator="greaterThan">
      <formula>50</formula>
    </cfRule>
  </conditionalFormatting>
  <conditionalFormatting sqref="B1011">
    <cfRule type="cellIs" dxfId="2683" priority="5063" operator="lessThan">
      <formula>250</formula>
    </cfRule>
    <cfRule type="cellIs" dxfId="2682" priority="5062" operator="between">
      <formula>250</formula>
      <formula>350</formula>
    </cfRule>
    <cfRule type="cellIs" dxfId="2681" priority="5061" operator="greaterThan">
      <formula>350</formula>
    </cfRule>
  </conditionalFormatting>
  <conditionalFormatting sqref="B1013">
    <cfRule type="cellIs" dxfId="2680" priority="4176" operator="greaterThan">
      <formula>1.5</formula>
    </cfRule>
    <cfRule type="cellIs" dxfId="2679" priority="4175" operator="between">
      <formula>1.3</formula>
      <formula>1.5</formula>
    </cfRule>
    <cfRule type="cellIs" dxfId="2678" priority="4174" operator="between">
      <formula>1</formula>
      <formula>1.3</formula>
    </cfRule>
    <cfRule type="cellIs" dxfId="2677" priority="4173" operator="between">
      <formula>0.8</formula>
      <formula>0.99999</formula>
    </cfRule>
    <cfRule type="cellIs" dxfId="2676" priority="4172" operator="lessThan">
      <formula>0.8</formula>
    </cfRule>
  </conditionalFormatting>
  <conditionalFormatting sqref="B1016">
    <cfRule type="cellIs" dxfId="2675" priority="5049" operator="lessThan">
      <formula>35</formula>
    </cfRule>
    <cfRule type="cellIs" dxfId="2674" priority="5048" operator="between">
      <formula>35</formula>
      <formula>50</formula>
    </cfRule>
    <cfRule type="cellIs" dxfId="2673" priority="5047" operator="greaterThan">
      <formula>50</formula>
    </cfRule>
  </conditionalFormatting>
  <conditionalFormatting sqref="B1018">
    <cfRule type="cellIs" dxfId="2672" priority="5052" operator="lessThan">
      <formula>250</formula>
    </cfRule>
    <cfRule type="cellIs" dxfId="2671" priority="5051" operator="between">
      <formula>250</formula>
      <formula>350</formula>
    </cfRule>
    <cfRule type="cellIs" dxfId="2670" priority="5050" operator="greaterThan">
      <formula>350</formula>
    </cfRule>
  </conditionalFormatting>
  <conditionalFormatting sqref="B1020">
    <cfRule type="cellIs" dxfId="2669" priority="4169" operator="between">
      <formula>1</formula>
      <formula>1.3</formula>
    </cfRule>
    <cfRule type="cellIs" dxfId="2668" priority="4168" operator="between">
      <formula>0.8</formula>
      <formula>0.99999</formula>
    </cfRule>
    <cfRule type="cellIs" dxfId="2667" priority="4167" operator="lessThan">
      <formula>0.8</formula>
    </cfRule>
    <cfRule type="cellIs" dxfId="2666" priority="4171" operator="greaterThan">
      <formula>1.5</formula>
    </cfRule>
    <cfRule type="cellIs" dxfId="2665" priority="4170" operator="between">
      <formula>1.3</formula>
      <formula>1.5</formula>
    </cfRule>
  </conditionalFormatting>
  <conditionalFormatting sqref="B1023">
    <cfRule type="cellIs" dxfId="2664" priority="5038" operator="lessThan">
      <formula>35</formula>
    </cfRule>
    <cfRule type="cellIs" dxfId="2663" priority="5037" operator="between">
      <formula>35</formula>
      <formula>50</formula>
    </cfRule>
    <cfRule type="cellIs" dxfId="2662" priority="5036" operator="greaterThan">
      <formula>50</formula>
    </cfRule>
  </conditionalFormatting>
  <conditionalFormatting sqref="B1025">
    <cfRule type="cellIs" dxfId="2661" priority="5041" operator="lessThan">
      <formula>250</formula>
    </cfRule>
    <cfRule type="cellIs" dxfId="2660" priority="5040" operator="between">
      <formula>250</formula>
      <formula>350</formula>
    </cfRule>
    <cfRule type="cellIs" dxfId="2659" priority="5039" operator="greaterThan">
      <formula>350</formula>
    </cfRule>
  </conditionalFormatting>
  <conditionalFormatting sqref="B1027">
    <cfRule type="cellIs" dxfId="2658" priority="4163" operator="between">
      <formula>0.8</formula>
      <formula>0.99999</formula>
    </cfRule>
    <cfRule type="cellIs" dxfId="2657" priority="4166" operator="greaterThan">
      <formula>1.5</formula>
    </cfRule>
    <cfRule type="cellIs" dxfId="2656" priority="4165" operator="between">
      <formula>1.3</formula>
      <formula>1.5</formula>
    </cfRule>
    <cfRule type="cellIs" dxfId="2655" priority="4164" operator="between">
      <formula>1</formula>
      <formula>1.3</formula>
    </cfRule>
    <cfRule type="cellIs" dxfId="2654" priority="4162" operator="lessThan">
      <formula>0.8</formula>
    </cfRule>
  </conditionalFormatting>
  <conditionalFormatting sqref="B1030">
    <cfRule type="cellIs" dxfId="2653" priority="5026" operator="between">
      <formula>35</formula>
      <formula>50</formula>
    </cfRule>
    <cfRule type="cellIs" dxfId="2652" priority="5027" operator="lessThan">
      <formula>35</formula>
    </cfRule>
    <cfRule type="cellIs" dxfId="2651" priority="5025" operator="greaterThan">
      <formula>50</formula>
    </cfRule>
  </conditionalFormatting>
  <conditionalFormatting sqref="B1032">
    <cfRule type="cellIs" dxfId="2650" priority="5028" operator="greaterThan">
      <formula>350</formula>
    </cfRule>
    <cfRule type="cellIs" dxfId="2649" priority="5029" operator="between">
      <formula>250</formula>
      <formula>350</formula>
    </cfRule>
    <cfRule type="cellIs" dxfId="2648" priority="5030" operator="lessThan">
      <formula>250</formula>
    </cfRule>
  </conditionalFormatting>
  <conditionalFormatting sqref="B1034">
    <cfRule type="cellIs" dxfId="2647" priority="4160" operator="between">
      <formula>1.3</formula>
      <formula>1.5</formula>
    </cfRule>
    <cfRule type="cellIs" dxfId="2646" priority="4159" operator="between">
      <formula>1</formula>
      <formula>1.3</formula>
    </cfRule>
    <cfRule type="cellIs" dxfId="2645" priority="4158" operator="between">
      <formula>0.8</formula>
      <formula>0.99999</formula>
    </cfRule>
    <cfRule type="cellIs" dxfId="2644" priority="4157" operator="lessThan">
      <formula>0.8</formula>
    </cfRule>
    <cfRule type="cellIs" dxfId="2643" priority="4161" operator="greaterThan">
      <formula>1.5</formula>
    </cfRule>
  </conditionalFormatting>
  <conditionalFormatting sqref="B1037">
    <cfRule type="cellIs" dxfId="2642" priority="5016" operator="lessThan">
      <formula>35</formula>
    </cfRule>
    <cfRule type="cellIs" dxfId="2641" priority="5015" operator="between">
      <formula>35</formula>
      <formula>50</formula>
    </cfRule>
    <cfRule type="cellIs" dxfId="2640" priority="5014" operator="greaterThan">
      <formula>50</formula>
    </cfRule>
  </conditionalFormatting>
  <conditionalFormatting sqref="B1039">
    <cfRule type="cellIs" dxfId="2639" priority="5017" operator="greaterThan">
      <formula>350</formula>
    </cfRule>
    <cfRule type="cellIs" dxfId="2638" priority="5018" operator="between">
      <formula>250</formula>
      <formula>350</formula>
    </cfRule>
    <cfRule type="cellIs" dxfId="2637" priority="5019" operator="lessThan">
      <formula>250</formula>
    </cfRule>
  </conditionalFormatting>
  <conditionalFormatting sqref="B1041">
    <cfRule type="cellIs" dxfId="2636" priority="4154" operator="between">
      <formula>1</formula>
      <formula>1.3</formula>
    </cfRule>
    <cfRule type="cellIs" dxfId="2635" priority="4152" operator="lessThan">
      <formula>0.8</formula>
    </cfRule>
    <cfRule type="cellIs" dxfId="2634" priority="4153" operator="between">
      <formula>0.8</formula>
      <formula>0.99999</formula>
    </cfRule>
    <cfRule type="cellIs" dxfId="2633" priority="4155" operator="between">
      <formula>1.3</formula>
      <formula>1.5</formula>
    </cfRule>
    <cfRule type="cellIs" dxfId="2632" priority="4156" operator="greaterThan">
      <formula>1.5</formula>
    </cfRule>
  </conditionalFormatting>
  <conditionalFormatting sqref="B1044">
    <cfRule type="cellIs" dxfId="2631" priority="5004" operator="between">
      <formula>35</formula>
      <formula>50</formula>
    </cfRule>
    <cfRule type="cellIs" dxfId="2630" priority="5003" operator="greaterThan">
      <formula>50</formula>
    </cfRule>
    <cfRule type="cellIs" dxfId="2629" priority="5005" operator="lessThan">
      <formula>35</formula>
    </cfRule>
  </conditionalFormatting>
  <conditionalFormatting sqref="B1046">
    <cfRule type="cellIs" dxfId="2628" priority="5007" operator="between">
      <formula>250</formula>
      <formula>350</formula>
    </cfRule>
    <cfRule type="cellIs" dxfId="2627" priority="5008" operator="lessThan">
      <formula>250</formula>
    </cfRule>
    <cfRule type="cellIs" dxfId="2626" priority="5006" operator="greaterThan">
      <formula>350</formula>
    </cfRule>
  </conditionalFormatting>
  <conditionalFormatting sqref="B1048">
    <cfRule type="cellIs" dxfId="2625" priority="5000" operator="between">
      <formula>1</formula>
      <formula>1.3</formula>
    </cfRule>
    <cfRule type="cellIs" dxfId="2624" priority="5001" operator="between">
      <formula>1.3</formula>
      <formula>1.5</formula>
    </cfRule>
    <cfRule type="cellIs" dxfId="2623" priority="5002" operator="greaterThan">
      <formula>1.5</formula>
    </cfRule>
    <cfRule type="cellIs" dxfId="2622" priority="4999" operator="between">
      <formula>0.8</formula>
      <formula>0.99999</formula>
    </cfRule>
    <cfRule type="cellIs" dxfId="2621" priority="4998" operator="lessThan">
      <formula>0.8</formula>
    </cfRule>
  </conditionalFormatting>
  <conditionalFormatting sqref="B1051">
    <cfRule type="cellIs" dxfId="2620" priority="4994" operator="lessThan">
      <formula>35</formula>
    </cfRule>
    <cfRule type="cellIs" dxfId="2619" priority="4993" operator="between">
      <formula>35</formula>
      <formula>50</formula>
    </cfRule>
    <cfRule type="cellIs" dxfId="2618" priority="4992" operator="greaterThan">
      <formula>50</formula>
    </cfRule>
  </conditionalFormatting>
  <conditionalFormatting sqref="B1053">
    <cfRule type="cellIs" dxfId="2617" priority="4997" operator="lessThan">
      <formula>250</formula>
    </cfRule>
    <cfRule type="cellIs" dxfId="2616" priority="4996" operator="between">
      <formula>250</formula>
      <formula>350</formula>
    </cfRule>
    <cfRule type="cellIs" dxfId="2615" priority="4995" operator="greaterThan">
      <formula>350</formula>
    </cfRule>
  </conditionalFormatting>
  <conditionalFormatting sqref="B1055">
    <cfRule type="cellIs" dxfId="2614" priority="4991" operator="greaterThan">
      <formula>1.5</formula>
    </cfRule>
    <cfRule type="cellIs" dxfId="2613" priority="4990" operator="between">
      <formula>1.3</formula>
      <formula>1.5</formula>
    </cfRule>
    <cfRule type="cellIs" dxfId="2612" priority="4989" operator="between">
      <formula>1</formula>
      <formula>1.3</formula>
    </cfRule>
    <cfRule type="cellIs" dxfId="2611" priority="4987" operator="lessThan">
      <formula>0.8</formula>
    </cfRule>
    <cfRule type="cellIs" dxfId="2610" priority="4988" operator="between">
      <formula>0.8</formula>
      <formula>0.99999</formula>
    </cfRule>
  </conditionalFormatting>
  <conditionalFormatting sqref="B1058">
    <cfRule type="cellIs" dxfId="2609" priority="4983" operator="lessThan">
      <formula>35</formula>
    </cfRule>
    <cfRule type="cellIs" dxfId="2608" priority="4982" operator="between">
      <formula>35</formula>
      <formula>50</formula>
    </cfRule>
    <cfRule type="cellIs" dxfId="2607" priority="4981" operator="greaterThan">
      <formula>50</formula>
    </cfRule>
  </conditionalFormatting>
  <conditionalFormatting sqref="B1060">
    <cfRule type="cellIs" dxfId="2606" priority="4986" operator="lessThan">
      <formula>250</formula>
    </cfRule>
    <cfRule type="cellIs" dxfId="2605" priority="4985" operator="between">
      <formula>250</formula>
      <formula>350</formula>
    </cfRule>
    <cfRule type="cellIs" dxfId="2604" priority="4984" operator="greaterThan">
      <formula>350</formula>
    </cfRule>
  </conditionalFormatting>
  <conditionalFormatting sqref="B1062">
    <cfRule type="cellIs" dxfId="2603" priority="4980" operator="greaterThan">
      <formula>1.5</formula>
    </cfRule>
    <cfRule type="cellIs" dxfId="2602" priority="4979" operator="between">
      <formula>1.3</formula>
      <formula>1.5</formula>
    </cfRule>
    <cfRule type="cellIs" dxfId="2601" priority="4978" operator="between">
      <formula>1</formula>
      <formula>1.3</formula>
    </cfRule>
    <cfRule type="cellIs" dxfId="2600" priority="4977" operator="between">
      <formula>0.8</formula>
      <formula>0.99999</formula>
    </cfRule>
    <cfRule type="cellIs" dxfId="2599" priority="4976" operator="lessThan">
      <formula>0.8</formula>
    </cfRule>
  </conditionalFormatting>
  <conditionalFormatting sqref="B1065">
    <cfRule type="cellIs" dxfId="2598" priority="4970" operator="greaterThan">
      <formula>50</formula>
    </cfRule>
    <cfRule type="cellIs" dxfId="2597" priority="4971" operator="between">
      <formula>35</formula>
      <formula>50</formula>
    </cfRule>
    <cfRule type="cellIs" dxfId="2596" priority="4972" operator="lessThan">
      <formula>35</formula>
    </cfRule>
  </conditionalFormatting>
  <conditionalFormatting sqref="B1067">
    <cfRule type="cellIs" dxfId="2595" priority="4975" operator="lessThan">
      <formula>250</formula>
    </cfRule>
    <cfRule type="cellIs" dxfId="2594" priority="4974" operator="between">
      <formula>250</formula>
      <formula>350</formula>
    </cfRule>
    <cfRule type="cellIs" dxfId="2593" priority="4973" operator="greaterThan">
      <formula>350</formula>
    </cfRule>
  </conditionalFormatting>
  <conditionalFormatting sqref="B1069">
    <cfRule type="cellIs" dxfId="2592" priority="4965" operator="lessThan">
      <formula>0.8</formula>
    </cfRule>
    <cfRule type="cellIs" dxfId="2591" priority="4967" operator="between">
      <formula>1</formula>
      <formula>1.3</formula>
    </cfRule>
    <cfRule type="cellIs" dxfId="2590" priority="4969" operator="greaterThan">
      <formula>1.5</formula>
    </cfRule>
    <cfRule type="cellIs" dxfId="2589" priority="4968" operator="between">
      <formula>1.3</formula>
      <formula>1.5</formula>
    </cfRule>
    <cfRule type="cellIs" dxfId="2588" priority="4966" operator="between">
      <formula>0.8</formula>
      <formula>0.99999</formula>
    </cfRule>
  </conditionalFormatting>
  <conditionalFormatting sqref="B1072">
    <cfRule type="cellIs" dxfId="2587" priority="4961" operator="lessThan">
      <formula>35</formula>
    </cfRule>
    <cfRule type="cellIs" dxfId="2586" priority="4960" operator="between">
      <formula>35</formula>
      <formula>50</formula>
    </cfRule>
    <cfRule type="cellIs" dxfId="2585" priority="4959" operator="greaterThan">
      <formula>50</formula>
    </cfRule>
  </conditionalFormatting>
  <conditionalFormatting sqref="B1074">
    <cfRule type="cellIs" dxfId="2584" priority="4962" operator="greaterThan">
      <formula>350</formula>
    </cfRule>
    <cfRule type="cellIs" dxfId="2583" priority="4963" operator="between">
      <formula>250</formula>
      <formula>350</formula>
    </cfRule>
    <cfRule type="cellIs" dxfId="2582" priority="4964" operator="lessThan">
      <formula>250</formula>
    </cfRule>
  </conditionalFormatting>
  <conditionalFormatting sqref="B1076">
    <cfRule type="cellIs" dxfId="2581" priority="4958" operator="greaterThan">
      <formula>1.5</formula>
    </cfRule>
    <cfRule type="cellIs" dxfId="2580" priority="4957" operator="between">
      <formula>1.3</formula>
      <formula>1.5</formula>
    </cfRule>
    <cfRule type="cellIs" dxfId="2579" priority="4956" operator="between">
      <formula>1</formula>
      <formula>1.3</formula>
    </cfRule>
    <cfRule type="cellIs" dxfId="2578" priority="4954" operator="lessThan">
      <formula>0.8</formula>
    </cfRule>
    <cfRule type="cellIs" dxfId="2577" priority="4955" operator="between">
      <formula>0.8</formula>
      <formula>0.99999</formula>
    </cfRule>
  </conditionalFormatting>
  <conditionalFormatting sqref="B1079">
    <cfRule type="cellIs" dxfId="2576" priority="4950" operator="lessThan">
      <formula>35</formula>
    </cfRule>
    <cfRule type="cellIs" dxfId="2575" priority="4949" operator="between">
      <formula>35</formula>
      <formula>50</formula>
    </cfRule>
    <cfRule type="cellIs" dxfId="2574" priority="4948" operator="greaterThan">
      <formula>50</formula>
    </cfRule>
  </conditionalFormatting>
  <conditionalFormatting sqref="B1081">
    <cfRule type="cellIs" dxfId="2573" priority="4951" operator="greaterThan">
      <formula>350</formula>
    </cfRule>
    <cfRule type="cellIs" dxfId="2572" priority="4952" operator="between">
      <formula>250</formula>
      <formula>350</formula>
    </cfRule>
    <cfRule type="cellIs" dxfId="2571" priority="4953" operator="lessThan">
      <formula>250</formula>
    </cfRule>
  </conditionalFormatting>
  <conditionalFormatting sqref="B1083">
    <cfRule type="cellIs" dxfId="2570" priority="4943" operator="lessThan">
      <formula>0.8</formula>
    </cfRule>
    <cfRule type="cellIs" dxfId="2569" priority="4947" operator="greaterThan">
      <formula>1.5</formula>
    </cfRule>
    <cfRule type="cellIs" dxfId="2568" priority="4944" operator="between">
      <formula>0.8</formula>
      <formula>0.99999</formula>
    </cfRule>
    <cfRule type="cellIs" dxfId="2567" priority="4946" operator="between">
      <formula>1.3</formula>
      <formula>1.5</formula>
    </cfRule>
    <cfRule type="cellIs" dxfId="2566" priority="4945" operator="between">
      <formula>1</formula>
      <formula>1.3</formula>
    </cfRule>
  </conditionalFormatting>
  <conditionalFormatting sqref="B1086">
    <cfRule type="cellIs" dxfId="2565" priority="4939" operator="lessThan">
      <formula>35</formula>
    </cfRule>
    <cfRule type="cellIs" dxfId="2564" priority="4938" operator="between">
      <formula>35</formula>
      <formula>50</formula>
    </cfRule>
    <cfRule type="cellIs" dxfId="2563" priority="4937" operator="greaterThan">
      <formula>50</formula>
    </cfRule>
  </conditionalFormatting>
  <conditionalFormatting sqref="B1088">
    <cfRule type="cellIs" dxfId="2562" priority="4942" operator="lessThan">
      <formula>250</formula>
    </cfRule>
    <cfRule type="cellIs" dxfId="2561" priority="4941" operator="between">
      <formula>250</formula>
      <formula>350</formula>
    </cfRule>
    <cfRule type="cellIs" dxfId="2560" priority="4940" operator="greaterThan">
      <formula>350</formula>
    </cfRule>
  </conditionalFormatting>
  <conditionalFormatting sqref="B1090">
    <cfRule type="cellIs" dxfId="2559" priority="4936" operator="greaterThan">
      <formula>1.5</formula>
    </cfRule>
    <cfRule type="cellIs" dxfId="2558" priority="4932" operator="lessThan">
      <formula>0.8</formula>
    </cfRule>
    <cfRule type="cellIs" dxfId="2557" priority="4933" operator="between">
      <formula>0.8</formula>
      <formula>0.99999</formula>
    </cfRule>
    <cfRule type="cellIs" dxfId="2556" priority="4934" operator="between">
      <formula>1</formula>
      <formula>1.3</formula>
    </cfRule>
    <cfRule type="cellIs" dxfId="2555" priority="4935" operator="between">
      <formula>1.3</formula>
      <formula>1.5</formula>
    </cfRule>
  </conditionalFormatting>
  <conditionalFormatting sqref="B1093">
    <cfRule type="cellIs" dxfId="2554" priority="4928" operator="lessThan">
      <formula>35</formula>
    </cfRule>
    <cfRule type="cellIs" dxfId="2553" priority="4927" operator="between">
      <formula>35</formula>
      <formula>50</formula>
    </cfRule>
    <cfRule type="cellIs" dxfId="2552" priority="4926" operator="greaterThan">
      <formula>50</formula>
    </cfRule>
  </conditionalFormatting>
  <conditionalFormatting sqref="B1095">
    <cfRule type="cellIs" dxfId="2551" priority="4931" operator="lessThan">
      <formula>250</formula>
    </cfRule>
    <cfRule type="cellIs" dxfId="2550" priority="4930" operator="between">
      <formula>250</formula>
      <formula>350</formula>
    </cfRule>
    <cfRule type="cellIs" dxfId="2549" priority="4929" operator="greaterThan">
      <formula>350</formula>
    </cfRule>
  </conditionalFormatting>
  <conditionalFormatting sqref="B1097">
    <cfRule type="cellIs" dxfId="2548" priority="4921" operator="lessThan">
      <formula>0.8</formula>
    </cfRule>
    <cfRule type="cellIs" dxfId="2547" priority="4922" operator="between">
      <formula>0.8</formula>
      <formula>0.99999</formula>
    </cfRule>
    <cfRule type="cellIs" dxfId="2546" priority="4923" operator="between">
      <formula>1</formula>
      <formula>1.3</formula>
    </cfRule>
    <cfRule type="cellIs" dxfId="2545" priority="4924" operator="between">
      <formula>1.3</formula>
      <formula>1.5</formula>
    </cfRule>
    <cfRule type="cellIs" dxfId="2544" priority="4925" operator="greaterThan">
      <formula>1.5</formula>
    </cfRule>
  </conditionalFormatting>
  <conditionalFormatting sqref="B1100">
    <cfRule type="cellIs" dxfId="2543" priority="4917" operator="lessThan">
      <formula>35</formula>
    </cfRule>
    <cfRule type="cellIs" dxfId="2542" priority="4916" operator="between">
      <formula>35</formula>
      <formula>50</formula>
    </cfRule>
    <cfRule type="cellIs" dxfId="2541" priority="4915" operator="greaterThan">
      <formula>50</formula>
    </cfRule>
  </conditionalFormatting>
  <conditionalFormatting sqref="B1102">
    <cfRule type="cellIs" dxfId="2540" priority="4920" operator="lessThan">
      <formula>250</formula>
    </cfRule>
    <cfRule type="cellIs" dxfId="2539" priority="4919" operator="between">
      <formula>250</formula>
      <formula>350</formula>
    </cfRule>
    <cfRule type="cellIs" dxfId="2538" priority="4918" operator="greaterThan">
      <formula>350</formula>
    </cfRule>
  </conditionalFormatting>
  <conditionalFormatting sqref="B1104">
    <cfRule type="cellIs" dxfId="2537" priority="4914" operator="greaterThan">
      <formula>1.5</formula>
    </cfRule>
    <cfRule type="cellIs" dxfId="2536" priority="4913" operator="between">
      <formula>1.3</formula>
      <formula>1.5</formula>
    </cfRule>
    <cfRule type="cellIs" dxfId="2535" priority="4912" operator="between">
      <formula>1</formula>
      <formula>1.3</formula>
    </cfRule>
    <cfRule type="cellIs" dxfId="2534" priority="4911" operator="between">
      <formula>0.8</formula>
      <formula>0.99999</formula>
    </cfRule>
    <cfRule type="cellIs" dxfId="2533" priority="4910" operator="lessThan">
      <formula>0.8</formula>
    </cfRule>
  </conditionalFormatting>
  <conditionalFormatting sqref="B1107">
    <cfRule type="cellIs" dxfId="2532" priority="4906" operator="lessThan">
      <formula>35</formula>
    </cfRule>
    <cfRule type="cellIs" dxfId="2531" priority="4905" operator="between">
      <formula>35</formula>
      <formula>50</formula>
    </cfRule>
    <cfRule type="cellIs" dxfId="2530" priority="4904" operator="greaterThan">
      <formula>50</formula>
    </cfRule>
  </conditionalFormatting>
  <conditionalFormatting sqref="B1109">
    <cfRule type="cellIs" dxfId="2529" priority="4909" operator="lessThan">
      <formula>250</formula>
    </cfRule>
    <cfRule type="cellIs" dxfId="2528" priority="4907" operator="greaterThan">
      <formula>350</formula>
    </cfRule>
    <cfRule type="cellIs" dxfId="2527" priority="4908" operator="between">
      <formula>250</formula>
      <formula>350</formula>
    </cfRule>
  </conditionalFormatting>
  <conditionalFormatting sqref="B1111">
    <cfRule type="cellIs" dxfId="2526" priority="4902" operator="between">
      <formula>1.3</formula>
      <formula>1.5</formula>
    </cfRule>
    <cfRule type="cellIs" dxfId="2525" priority="4899" operator="lessThan">
      <formula>0.8</formula>
    </cfRule>
    <cfRule type="cellIs" dxfId="2524" priority="4900" operator="between">
      <formula>0.8</formula>
      <formula>0.99999</formula>
    </cfRule>
    <cfRule type="cellIs" dxfId="2523" priority="4901" operator="between">
      <formula>1</formula>
      <formula>1.3</formula>
    </cfRule>
    <cfRule type="cellIs" dxfId="2522" priority="4903" operator="greaterThan">
      <formula>1.5</formula>
    </cfRule>
  </conditionalFormatting>
  <conditionalFormatting sqref="B1114">
    <cfRule type="cellIs" dxfId="2521" priority="4895" operator="lessThan">
      <formula>35</formula>
    </cfRule>
    <cfRule type="cellIs" dxfId="2520" priority="4894" operator="between">
      <formula>35</formula>
      <formula>50</formula>
    </cfRule>
    <cfRule type="cellIs" dxfId="2519" priority="4893" operator="greaterThan">
      <formula>50</formula>
    </cfRule>
  </conditionalFormatting>
  <conditionalFormatting sqref="B1116">
    <cfRule type="cellIs" dxfId="2518" priority="4896" operator="greaterThan">
      <formula>350</formula>
    </cfRule>
    <cfRule type="cellIs" dxfId="2517" priority="4897" operator="between">
      <formula>250</formula>
      <formula>350</formula>
    </cfRule>
    <cfRule type="cellIs" dxfId="2516" priority="4898" operator="lessThan">
      <formula>250</formula>
    </cfRule>
  </conditionalFormatting>
  <conditionalFormatting sqref="B1118">
    <cfRule type="cellIs" dxfId="2515" priority="4892" operator="greaterThan">
      <formula>1.5</formula>
    </cfRule>
    <cfRule type="cellIs" dxfId="2514" priority="4891" operator="between">
      <formula>1.3</formula>
      <formula>1.5</formula>
    </cfRule>
    <cfRule type="cellIs" dxfId="2513" priority="4890" operator="between">
      <formula>1</formula>
      <formula>1.3</formula>
    </cfRule>
    <cfRule type="cellIs" dxfId="2512" priority="4889" operator="between">
      <formula>0.8</formula>
      <formula>0.99999</formula>
    </cfRule>
    <cfRule type="cellIs" dxfId="2511" priority="4888" operator="lessThan">
      <formula>0.8</formula>
    </cfRule>
  </conditionalFormatting>
  <conditionalFormatting sqref="B1121">
    <cfRule type="cellIs" dxfId="2510" priority="4884" operator="lessThan">
      <formula>35</formula>
    </cfRule>
    <cfRule type="cellIs" dxfId="2509" priority="4883" operator="between">
      <formula>35</formula>
      <formula>50</formula>
    </cfRule>
    <cfRule type="cellIs" dxfId="2508" priority="4882" operator="greaterThan">
      <formula>50</formula>
    </cfRule>
  </conditionalFormatting>
  <conditionalFormatting sqref="B1123">
    <cfRule type="cellIs" dxfId="2507" priority="4886" operator="between">
      <formula>250</formula>
      <formula>350</formula>
    </cfRule>
    <cfRule type="cellIs" dxfId="2506" priority="4885" operator="greaterThan">
      <formula>350</formula>
    </cfRule>
    <cfRule type="cellIs" dxfId="2505" priority="4887" operator="lessThan">
      <formula>250</formula>
    </cfRule>
  </conditionalFormatting>
  <conditionalFormatting sqref="B1125">
    <cfRule type="cellIs" dxfId="2504" priority="4878" operator="between">
      <formula>0.8</formula>
      <formula>0.99999</formula>
    </cfRule>
    <cfRule type="cellIs" dxfId="2503" priority="4879" operator="between">
      <formula>1</formula>
      <formula>1.3</formula>
    </cfRule>
    <cfRule type="cellIs" dxfId="2502" priority="4877" operator="lessThan">
      <formula>0.8</formula>
    </cfRule>
    <cfRule type="cellIs" dxfId="2501" priority="4880" operator="between">
      <formula>1.3</formula>
      <formula>1.5</formula>
    </cfRule>
    <cfRule type="cellIs" dxfId="2500" priority="4881" operator="greaterThan">
      <formula>1.5</formula>
    </cfRule>
  </conditionalFormatting>
  <conditionalFormatting sqref="B1128">
    <cfRule type="cellIs" dxfId="2499" priority="3994" operator="lessThan">
      <formula>35</formula>
    </cfRule>
    <cfRule type="cellIs" dxfId="2498" priority="3993" operator="between">
      <formula>35</formula>
      <formula>50</formula>
    </cfRule>
    <cfRule type="cellIs" dxfId="2497" priority="3992" operator="greaterThan">
      <formula>50</formula>
    </cfRule>
  </conditionalFormatting>
  <conditionalFormatting sqref="B1130">
    <cfRule type="cellIs" dxfId="2496" priority="3997" operator="lessThan">
      <formula>250</formula>
    </cfRule>
    <cfRule type="cellIs" dxfId="2495" priority="3996" operator="between">
      <formula>250</formula>
      <formula>350</formula>
    </cfRule>
    <cfRule type="cellIs" dxfId="2494" priority="3995" operator="greaterThan">
      <formula>350</formula>
    </cfRule>
  </conditionalFormatting>
  <conditionalFormatting sqref="B1132">
    <cfRule type="cellIs" dxfId="2493" priority="3991" operator="greaterThan">
      <formula>1.5</formula>
    </cfRule>
    <cfRule type="cellIs" dxfId="2492" priority="3990" operator="between">
      <formula>1.3</formula>
      <formula>1.5</formula>
    </cfRule>
    <cfRule type="cellIs" dxfId="2491" priority="3989" operator="between">
      <formula>1</formula>
      <formula>1.3</formula>
    </cfRule>
    <cfRule type="cellIs" dxfId="2490" priority="3988" operator="between">
      <formula>0.8</formula>
      <formula>0.99999</formula>
    </cfRule>
    <cfRule type="cellIs" dxfId="2489" priority="3987" operator="lessThan">
      <formula>0.8</formula>
    </cfRule>
  </conditionalFormatting>
  <conditionalFormatting sqref="B1135">
    <cfRule type="cellIs" dxfId="2488" priority="3983" operator="lessThan">
      <formula>35</formula>
    </cfRule>
    <cfRule type="cellIs" dxfId="2487" priority="3982" operator="between">
      <formula>35</formula>
      <formula>50</formula>
    </cfRule>
    <cfRule type="cellIs" dxfId="2486" priority="3981" operator="greaterThan">
      <formula>50</formula>
    </cfRule>
  </conditionalFormatting>
  <conditionalFormatting sqref="B1137">
    <cfRule type="cellIs" dxfId="2485" priority="3986" operator="lessThan">
      <formula>250</formula>
    </cfRule>
    <cfRule type="cellIs" dxfId="2484" priority="3985" operator="between">
      <formula>250</formula>
      <formula>350</formula>
    </cfRule>
    <cfRule type="cellIs" dxfId="2483" priority="3984" operator="greaterThan">
      <formula>350</formula>
    </cfRule>
  </conditionalFormatting>
  <conditionalFormatting sqref="B1139">
    <cfRule type="cellIs" dxfId="2482" priority="3977" operator="between">
      <formula>0.8</formula>
      <formula>0.99999</formula>
    </cfRule>
    <cfRule type="cellIs" dxfId="2481" priority="3979" operator="between">
      <formula>1.3</formula>
      <formula>1.5</formula>
    </cfRule>
    <cfRule type="cellIs" dxfId="2480" priority="3978" operator="between">
      <formula>1</formula>
      <formula>1.3</formula>
    </cfRule>
    <cfRule type="cellIs" dxfId="2479" priority="3980" operator="greaterThan">
      <formula>1.5</formula>
    </cfRule>
    <cfRule type="cellIs" dxfId="2478" priority="3976" operator="lessThan">
      <formula>0.8</formula>
    </cfRule>
  </conditionalFormatting>
  <conditionalFormatting sqref="B1142">
    <cfRule type="cellIs" dxfId="2477" priority="3972" operator="lessThan">
      <formula>35</formula>
    </cfRule>
    <cfRule type="cellIs" dxfId="2476" priority="3971" operator="between">
      <formula>35</formula>
      <formula>50</formula>
    </cfRule>
    <cfRule type="cellIs" dxfId="2475" priority="3970" operator="greaterThan">
      <formula>50</formula>
    </cfRule>
  </conditionalFormatting>
  <conditionalFormatting sqref="B1144">
    <cfRule type="cellIs" dxfId="2474" priority="3975" operator="lessThan">
      <formula>250</formula>
    </cfRule>
    <cfRule type="cellIs" dxfId="2473" priority="3974" operator="between">
      <formula>250</formula>
      <formula>350</formula>
    </cfRule>
    <cfRule type="cellIs" dxfId="2472" priority="3973" operator="greaterThan">
      <formula>350</formula>
    </cfRule>
  </conditionalFormatting>
  <conditionalFormatting sqref="B1146">
    <cfRule type="cellIs" dxfId="2471" priority="3966" operator="between">
      <formula>0.8</formula>
      <formula>0.99999</formula>
    </cfRule>
    <cfRule type="cellIs" dxfId="2470" priority="3968" operator="between">
      <formula>1.3</formula>
      <formula>1.5</formula>
    </cfRule>
    <cfRule type="cellIs" dxfId="2469" priority="3967" operator="between">
      <formula>1</formula>
      <formula>1.3</formula>
    </cfRule>
    <cfRule type="cellIs" dxfId="2468" priority="3969" operator="greaterThan">
      <formula>1.5</formula>
    </cfRule>
    <cfRule type="cellIs" dxfId="2467" priority="3965" operator="lessThan">
      <formula>0.8</formula>
    </cfRule>
  </conditionalFormatting>
  <conditionalFormatting sqref="B1149">
    <cfRule type="cellIs" dxfId="2466" priority="3961" operator="lessThan">
      <formula>35</formula>
    </cfRule>
    <cfRule type="cellIs" dxfId="2465" priority="3960" operator="between">
      <formula>35</formula>
      <formula>50</formula>
    </cfRule>
    <cfRule type="cellIs" dxfId="2464" priority="3959" operator="greaterThan">
      <formula>50</formula>
    </cfRule>
  </conditionalFormatting>
  <conditionalFormatting sqref="B1151">
    <cfRule type="cellIs" dxfId="2463" priority="3964" operator="lessThan">
      <formula>250</formula>
    </cfRule>
    <cfRule type="cellIs" dxfId="2462" priority="3963" operator="between">
      <formula>250</formula>
      <formula>350</formula>
    </cfRule>
    <cfRule type="cellIs" dxfId="2461" priority="3962" operator="greaterThan">
      <formula>350</formula>
    </cfRule>
  </conditionalFormatting>
  <conditionalFormatting sqref="B1153">
    <cfRule type="cellIs" dxfId="2460" priority="3958" operator="greaterThan">
      <formula>1.5</formula>
    </cfRule>
    <cfRule type="cellIs" dxfId="2459" priority="3957" operator="between">
      <formula>1.3</formula>
      <formula>1.5</formula>
    </cfRule>
    <cfRule type="cellIs" dxfId="2458" priority="3956" operator="between">
      <formula>1</formula>
      <formula>1.3</formula>
    </cfRule>
    <cfRule type="cellIs" dxfId="2457" priority="3955" operator="between">
      <formula>0.8</formula>
      <formula>0.99999</formula>
    </cfRule>
    <cfRule type="cellIs" dxfId="2456" priority="3954" operator="lessThan">
      <formula>0.8</formula>
    </cfRule>
  </conditionalFormatting>
  <conditionalFormatting sqref="B1156">
    <cfRule type="cellIs" dxfId="2455" priority="3950" operator="lessThan">
      <formula>35</formula>
    </cfRule>
    <cfRule type="cellIs" dxfId="2454" priority="3949" operator="between">
      <formula>35</formula>
      <formula>50</formula>
    </cfRule>
    <cfRule type="cellIs" dxfId="2453" priority="3948" operator="greaterThan">
      <formula>50</formula>
    </cfRule>
  </conditionalFormatting>
  <conditionalFormatting sqref="B1158">
    <cfRule type="cellIs" dxfId="2452" priority="3952" operator="between">
      <formula>250</formula>
      <formula>350</formula>
    </cfRule>
    <cfRule type="cellIs" dxfId="2451" priority="3951" operator="greaterThan">
      <formula>350</formula>
    </cfRule>
    <cfRule type="cellIs" dxfId="2450" priority="3953" operator="lessThan">
      <formula>250</formula>
    </cfRule>
  </conditionalFormatting>
  <conditionalFormatting sqref="B1160">
    <cfRule type="cellIs" dxfId="2449" priority="3947" operator="greaterThan">
      <formula>1.5</formula>
    </cfRule>
    <cfRule type="cellIs" dxfId="2448" priority="3946" operator="between">
      <formula>1.3</formula>
      <formula>1.5</formula>
    </cfRule>
    <cfRule type="cellIs" dxfId="2447" priority="3945" operator="between">
      <formula>1</formula>
      <formula>1.3</formula>
    </cfRule>
    <cfRule type="cellIs" dxfId="2446" priority="3944" operator="between">
      <formula>0.8</formula>
      <formula>0.99999</formula>
    </cfRule>
    <cfRule type="cellIs" dxfId="2445" priority="3943" operator="lessThan">
      <formula>0.8</formula>
    </cfRule>
  </conditionalFormatting>
  <conditionalFormatting sqref="B1163">
    <cfRule type="cellIs" dxfId="2444" priority="3939" operator="lessThan">
      <formula>35</formula>
    </cfRule>
    <cfRule type="cellIs" dxfId="2443" priority="3938" operator="between">
      <formula>35</formula>
      <formula>50</formula>
    </cfRule>
    <cfRule type="cellIs" dxfId="2442" priority="3937" operator="greaterThan">
      <formula>50</formula>
    </cfRule>
  </conditionalFormatting>
  <conditionalFormatting sqref="B1165">
    <cfRule type="cellIs" dxfId="2441" priority="3942" operator="lessThan">
      <formula>250</formula>
    </cfRule>
    <cfRule type="cellIs" dxfId="2440" priority="3941" operator="between">
      <formula>250</formula>
      <formula>350</formula>
    </cfRule>
    <cfRule type="cellIs" dxfId="2439" priority="3940" operator="greaterThan">
      <formula>350</formula>
    </cfRule>
  </conditionalFormatting>
  <conditionalFormatting sqref="B1167">
    <cfRule type="cellIs" dxfId="2438" priority="3936" operator="greaterThan">
      <formula>1.5</formula>
    </cfRule>
    <cfRule type="cellIs" dxfId="2437" priority="3935" operator="between">
      <formula>1.3</formula>
      <formula>1.5</formula>
    </cfRule>
    <cfRule type="cellIs" dxfId="2436" priority="3934" operator="between">
      <formula>1</formula>
      <formula>1.3</formula>
    </cfRule>
    <cfRule type="cellIs" dxfId="2435" priority="3933" operator="between">
      <formula>0.8</formula>
      <formula>0.99999</formula>
    </cfRule>
    <cfRule type="cellIs" dxfId="2434" priority="3932" operator="lessThan">
      <formula>0.8</formula>
    </cfRule>
  </conditionalFormatting>
  <conditionalFormatting sqref="B1170">
    <cfRule type="cellIs" dxfId="2433" priority="3928" operator="lessThan">
      <formula>35</formula>
    </cfRule>
    <cfRule type="cellIs" dxfId="2432" priority="3927" operator="between">
      <formula>35</formula>
      <formula>50</formula>
    </cfRule>
    <cfRule type="cellIs" dxfId="2431" priority="3926" operator="greaterThan">
      <formula>50</formula>
    </cfRule>
  </conditionalFormatting>
  <conditionalFormatting sqref="B1172">
    <cfRule type="cellIs" dxfId="2430" priority="3931" operator="lessThan">
      <formula>250</formula>
    </cfRule>
    <cfRule type="cellIs" dxfId="2429" priority="3930" operator="between">
      <formula>250</formula>
      <formula>350</formula>
    </cfRule>
    <cfRule type="cellIs" dxfId="2428" priority="3929" operator="greaterThan">
      <formula>350</formula>
    </cfRule>
  </conditionalFormatting>
  <conditionalFormatting sqref="B1174">
    <cfRule type="cellIs" dxfId="2427" priority="3925" operator="greaterThan">
      <formula>1.5</formula>
    </cfRule>
    <cfRule type="cellIs" dxfId="2426" priority="3924" operator="between">
      <formula>1.3</formula>
      <formula>1.5</formula>
    </cfRule>
    <cfRule type="cellIs" dxfId="2425" priority="3923" operator="between">
      <formula>1</formula>
      <formula>1.3</formula>
    </cfRule>
    <cfRule type="cellIs" dxfId="2424" priority="3922" operator="between">
      <formula>0.8</formula>
      <formula>0.99999</formula>
    </cfRule>
    <cfRule type="cellIs" dxfId="2423" priority="3921" operator="lessThan">
      <formula>0.8</formula>
    </cfRule>
  </conditionalFormatting>
  <conditionalFormatting sqref="B1177">
    <cfRule type="cellIs" dxfId="2422" priority="3917" operator="lessThan">
      <formula>35</formula>
    </cfRule>
    <cfRule type="cellIs" dxfId="2421" priority="3916" operator="between">
      <formula>35</formula>
      <formula>50</formula>
    </cfRule>
    <cfRule type="cellIs" dxfId="2420" priority="3915" operator="greaterThan">
      <formula>50</formula>
    </cfRule>
  </conditionalFormatting>
  <conditionalFormatting sqref="B1179">
    <cfRule type="cellIs" dxfId="2419" priority="3920" operator="lessThan">
      <formula>250</formula>
    </cfRule>
    <cfRule type="cellIs" dxfId="2418" priority="3919" operator="between">
      <formula>250</formula>
      <formula>350</formula>
    </cfRule>
    <cfRule type="cellIs" dxfId="2417" priority="3918" operator="greaterThan">
      <formula>350</formula>
    </cfRule>
  </conditionalFormatting>
  <conditionalFormatting sqref="B1181">
    <cfRule type="cellIs" dxfId="2416" priority="3914" operator="greaterThan">
      <formula>1.5</formula>
    </cfRule>
    <cfRule type="cellIs" dxfId="2415" priority="3913" operator="between">
      <formula>1.3</formula>
      <formula>1.5</formula>
    </cfRule>
    <cfRule type="cellIs" dxfId="2414" priority="3912" operator="between">
      <formula>1</formula>
      <formula>1.3</formula>
    </cfRule>
    <cfRule type="cellIs" dxfId="2413" priority="3911" operator="between">
      <formula>0.8</formula>
      <formula>0.99999</formula>
    </cfRule>
    <cfRule type="cellIs" dxfId="2412" priority="3910" operator="lessThan">
      <formula>0.8</formula>
    </cfRule>
  </conditionalFormatting>
  <conditionalFormatting sqref="B1184">
    <cfRule type="cellIs" dxfId="2411" priority="3906" operator="lessThan">
      <formula>35</formula>
    </cfRule>
    <cfRule type="cellIs" dxfId="2410" priority="3905" operator="between">
      <formula>35</formula>
      <formula>50</formula>
    </cfRule>
    <cfRule type="cellIs" dxfId="2409" priority="3904" operator="greaterThan">
      <formula>50</formula>
    </cfRule>
  </conditionalFormatting>
  <conditionalFormatting sqref="B1186">
    <cfRule type="cellIs" dxfId="2408" priority="3909" operator="lessThan">
      <formula>250</formula>
    </cfRule>
    <cfRule type="cellIs" dxfId="2407" priority="3908" operator="between">
      <formula>250</formula>
      <formula>350</formula>
    </cfRule>
    <cfRule type="cellIs" dxfId="2406" priority="3907" operator="greaterThan">
      <formula>350</formula>
    </cfRule>
  </conditionalFormatting>
  <conditionalFormatting sqref="B1188">
    <cfRule type="cellIs" dxfId="2405" priority="3903" operator="greaterThan">
      <formula>1.5</formula>
    </cfRule>
    <cfRule type="cellIs" dxfId="2404" priority="3902" operator="between">
      <formula>1.3</formula>
      <formula>1.5</formula>
    </cfRule>
    <cfRule type="cellIs" dxfId="2403" priority="3901" operator="between">
      <formula>1</formula>
      <formula>1.3</formula>
    </cfRule>
    <cfRule type="cellIs" dxfId="2402" priority="3900" operator="between">
      <formula>0.8</formula>
      <formula>0.99999</formula>
    </cfRule>
    <cfRule type="cellIs" dxfId="2401" priority="3899" operator="lessThan">
      <formula>0.8</formula>
    </cfRule>
  </conditionalFormatting>
  <conditionalFormatting sqref="B1191">
    <cfRule type="cellIs" dxfId="2400" priority="3895" operator="lessThan">
      <formula>35</formula>
    </cfRule>
    <cfRule type="cellIs" dxfId="2399" priority="3893" operator="greaterThan">
      <formula>50</formula>
    </cfRule>
    <cfRule type="cellIs" dxfId="2398" priority="3894" operator="between">
      <formula>35</formula>
      <formula>50</formula>
    </cfRule>
  </conditionalFormatting>
  <conditionalFormatting sqref="B1193">
    <cfRule type="cellIs" dxfId="2397" priority="3897" operator="between">
      <formula>250</formula>
      <formula>350</formula>
    </cfRule>
    <cfRule type="cellIs" dxfId="2396" priority="3896" operator="greaterThan">
      <formula>350</formula>
    </cfRule>
    <cfRule type="cellIs" dxfId="2395" priority="3898" operator="lessThan">
      <formula>250</formula>
    </cfRule>
  </conditionalFormatting>
  <conditionalFormatting sqref="B1195">
    <cfRule type="cellIs" dxfId="2394" priority="3892" operator="greaterThan">
      <formula>1.5</formula>
    </cfRule>
    <cfRule type="cellIs" dxfId="2393" priority="3891" operator="between">
      <formula>1.3</formula>
      <formula>1.5</formula>
    </cfRule>
    <cfRule type="cellIs" dxfId="2392" priority="3890" operator="between">
      <formula>1</formula>
      <formula>1.3</formula>
    </cfRule>
    <cfRule type="cellIs" dxfId="2391" priority="3889" operator="between">
      <formula>0.8</formula>
      <formula>0.99999</formula>
    </cfRule>
    <cfRule type="cellIs" dxfId="2390" priority="3888" operator="lessThan">
      <formula>0.8</formula>
    </cfRule>
  </conditionalFormatting>
  <conditionalFormatting sqref="B1198">
    <cfRule type="cellIs" dxfId="2389" priority="3884" operator="lessThan">
      <formula>35</formula>
    </cfRule>
    <cfRule type="cellIs" dxfId="2388" priority="3883" operator="between">
      <formula>35</formula>
      <formula>50</formula>
    </cfRule>
    <cfRule type="cellIs" dxfId="2387" priority="3882" operator="greaterThan">
      <formula>50</formula>
    </cfRule>
  </conditionalFormatting>
  <conditionalFormatting sqref="B1200">
    <cfRule type="cellIs" dxfId="2386" priority="3887" operator="lessThan">
      <formula>250</formula>
    </cfRule>
    <cfRule type="cellIs" dxfId="2385" priority="3886" operator="between">
      <formula>250</formula>
      <formula>350</formula>
    </cfRule>
    <cfRule type="cellIs" dxfId="2384" priority="3885" operator="greaterThan">
      <formula>350</formula>
    </cfRule>
  </conditionalFormatting>
  <conditionalFormatting sqref="B1202">
    <cfRule type="cellIs" dxfId="2383" priority="3881" operator="greaterThan">
      <formula>1.5</formula>
    </cfRule>
    <cfRule type="cellIs" dxfId="2382" priority="3880" operator="between">
      <formula>1.3</formula>
      <formula>1.5</formula>
    </cfRule>
    <cfRule type="cellIs" dxfId="2381" priority="3879" operator="between">
      <formula>1</formula>
      <formula>1.3</formula>
    </cfRule>
    <cfRule type="cellIs" dxfId="2380" priority="3878" operator="between">
      <formula>0.8</formula>
      <formula>0.99999</formula>
    </cfRule>
    <cfRule type="cellIs" dxfId="2379" priority="3877" operator="lessThan">
      <formula>0.8</formula>
    </cfRule>
  </conditionalFormatting>
  <conditionalFormatting sqref="B1205">
    <cfRule type="cellIs" dxfId="2378" priority="3871" operator="greaterThan">
      <formula>50</formula>
    </cfRule>
    <cfRule type="cellIs" dxfId="2377" priority="3873" operator="lessThan">
      <formula>35</formula>
    </cfRule>
    <cfRule type="cellIs" dxfId="2376" priority="3872" operator="between">
      <formula>35</formula>
      <formula>50</formula>
    </cfRule>
  </conditionalFormatting>
  <conditionalFormatting sqref="B1207">
    <cfRule type="cellIs" dxfId="2375" priority="3875" operator="between">
      <formula>250</formula>
      <formula>350</formula>
    </cfRule>
    <cfRule type="cellIs" dxfId="2374" priority="3874" operator="greaterThan">
      <formula>350</formula>
    </cfRule>
    <cfRule type="cellIs" dxfId="2373" priority="3876" operator="lessThan">
      <formula>250</formula>
    </cfRule>
  </conditionalFormatting>
  <conditionalFormatting sqref="B1209">
    <cfRule type="cellIs" dxfId="2372" priority="3870" operator="greaterThan">
      <formula>1.5</formula>
    </cfRule>
    <cfRule type="cellIs" dxfId="2371" priority="3869" operator="between">
      <formula>1.3</formula>
      <formula>1.5</formula>
    </cfRule>
    <cfRule type="cellIs" dxfId="2370" priority="3868" operator="between">
      <formula>1</formula>
      <formula>1.3</formula>
    </cfRule>
    <cfRule type="cellIs" dxfId="2369" priority="3867" operator="between">
      <formula>0.8</formula>
      <formula>0.99999</formula>
    </cfRule>
    <cfRule type="cellIs" dxfId="2368" priority="3866" operator="lessThan">
      <formula>0.8</formula>
    </cfRule>
  </conditionalFormatting>
  <conditionalFormatting sqref="B1212">
    <cfRule type="cellIs" dxfId="2367" priority="3862" operator="lessThan">
      <formula>35</formula>
    </cfRule>
    <cfRule type="cellIs" dxfId="2366" priority="3861" operator="between">
      <formula>35</formula>
      <formula>50</formula>
    </cfRule>
    <cfRule type="cellIs" dxfId="2365" priority="3860" operator="greaterThan">
      <formula>50</formula>
    </cfRule>
  </conditionalFormatting>
  <conditionalFormatting sqref="B1214">
    <cfRule type="cellIs" dxfId="2364" priority="3864" operator="between">
      <formula>250</formula>
      <formula>350</formula>
    </cfRule>
    <cfRule type="cellIs" dxfId="2363" priority="3863" operator="greaterThan">
      <formula>350</formula>
    </cfRule>
    <cfRule type="cellIs" dxfId="2362" priority="3865" operator="lessThan">
      <formula>250</formula>
    </cfRule>
  </conditionalFormatting>
  <conditionalFormatting sqref="B1216">
    <cfRule type="cellIs" dxfId="2361" priority="3859" operator="greaterThan">
      <formula>1.5</formula>
    </cfRule>
    <cfRule type="cellIs" dxfId="2360" priority="3858" operator="between">
      <formula>1.3</formula>
      <formula>1.5</formula>
    </cfRule>
    <cfRule type="cellIs" dxfId="2359" priority="3857" operator="between">
      <formula>1</formula>
      <formula>1.3</formula>
    </cfRule>
    <cfRule type="cellIs" dxfId="2358" priority="3856" operator="between">
      <formula>0.8</formula>
      <formula>0.99999</formula>
    </cfRule>
    <cfRule type="cellIs" dxfId="2357" priority="3855" operator="lessThan">
      <formula>0.8</formula>
    </cfRule>
  </conditionalFormatting>
  <conditionalFormatting sqref="B1219">
    <cfRule type="cellIs" dxfId="2356" priority="3851" operator="lessThan">
      <formula>35</formula>
    </cfRule>
    <cfRule type="cellIs" dxfId="2355" priority="3850" operator="between">
      <formula>35</formula>
      <formula>50</formula>
    </cfRule>
    <cfRule type="cellIs" dxfId="2354" priority="3849" operator="greaterThan">
      <formula>50</formula>
    </cfRule>
  </conditionalFormatting>
  <conditionalFormatting sqref="B1221">
    <cfRule type="cellIs" dxfId="2353" priority="3854" operator="lessThan">
      <formula>250</formula>
    </cfRule>
    <cfRule type="cellIs" dxfId="2352" priority="3853" operator="between">
      <formula>250</formula>
      <formula>350</formula>
    </cfRule>
    <cfRule type="cellIs" dxfId="2351" priority="3852" operator="greaterThan">
      <formula>350</formula>
    </cfRule>
  </conditionalFormatting>
  <conditionalFormatting sqref="B1223">
    <cfRule type="cellIs" dxfId="2350" priority="3844" operator="lessThan">
      <formula>0.8</formula>
    </cfRule>
    <cfRule type="cellIs" dxfId="2349" priority="3847" operator="between">
      <formula>1.3</formula>
      <formula>1.5</formula>
    </cfRule>
    <cfRule type="cellIs" dxfId="2348" priority="3846" operator="between">
      <formula>1</formula>
      <formula>1.3</formula>
    </cfRule>
    <cfRule type="cellIs" dxfId="2347" priority="3845" operator="between">
      <formula>0.8</formula>
      <formula>0.99999</formula>
    </cfRule>
    <cfRule type="cellIs" dxfId="2346" priority="3848" operator="greaterThan">
      <formula>1.5</formula>
    </cfRule>
  </conditionalFormatting>
  <conditionalFormatting sqref="B1226">
    <cfRule type="cellIs" dxfId="2345" priority="3840" operator="lessThan">
      <formula>35</formula>
    </cfRule>
    <cfRule type="cellIs" dxfId="2344" priority="3839" operator="between">
      <formula>35</formula>
      <formula>50</formula>
    </cfRule>
    <cfRule type="cellIs" dxfId="2343" priority="3838" operator="greaterThan">
      <formula>50</formula>
    </cfRule>
  </conditionalFormatting>
  <conditionalFormatting sqref="B1228">
    <cfRule type="cellIs" dxfId="2342" priority="3843" operator="lessThan">
      <formula>250</formula>
    </cfRule>
    <cfRule type="cellIs" dxfId="2341" priority="3842" operator="between">
      <formula>250</formula>
      <formula>350</formula>
    </cfRule>
    <cfRule type="cellIs" dxfId="2340" priority="3841" operator="greaterThan">
      <formula>350</formula>
    </cfRule>
  </conditionalFormatting>
  <conditionalFormatting sqref="B1230">
    <cfRule type="cellIs" dxfId="2339" priority="3834" operator="between">
      <formula>0.8</formula>
      <formula>0.99999</formula>
    </cfRule>
    <cfRule type="cellIs" dxfId="2338" priority="3836" operator="between">
      <formula>1.3</formula>
      <formula>1.5</formula>
    </cfRule>
    <cfRule type="cellIs" dxfId="2337" priority="3835" operator="between">
      <formula>1</formula>
      <formula>1.3</formula>
    </cfRule>
    <cfRule type="cellIs" dxfId="2336" priority="3837" operator="greaterThan">
      <formula>1.5</formula>
    </cfRule>
    <cfRule type="cellIs" dxfId="2335" priority="3833" operator="lessThan">
      <formula>0.8</formula>
    </cfRule>
  </conditionalFormatting>
  <conditionalFormatting sqref="B1233">
    <cfRule type="cellIs" dxfId="2334" priority="3829" operator="lessThan">
      <formula>35</formula>
    </cfRule>
    <cfRule type="cellIs" dxfId="2333" priority="3828" operator="between">
      <formula>35</formula>
      <formula>50</formula>
    </cfRule>
    <cfRule type="cellIs" dxfId="2332" priority="3827" operator="greaterThan">
      <formula>50</formula>
    </cfRule>
  </conditionalFormatting>
  <conditionalFormatting sqref="B1235">
    <cfRule type="cellIs" dxfId="2331" priority="3832" operator="lessThan">
      <formula>250</formula>
    </cfRule>
    <cfRule type="cellIs" dxfId="2330" priority="3831" operator="between">
      <formula>250</formula>
      <formula>350</formula>
    </cfRule>
    <cfRule type="cellIs" dxfId="2329" priority="3830" operator="greaterThan">
      <formula>350</formula>
    </cfRule>
  </conditionalFormatting>
  <conditionalFormatting sqref="B1237">
    <cfRule type="cellIs" dxfId="2328" priority="3826" operator="greaterThan">
      <formula>1.5</formula>
    </cfRule>
    <cfRule type="cellIs" dxfId="2327" priority="3825" operator="between">
      <formula>1.3</formula>
      <formula>1.5</formula>
    </cfRule>
    <cfRule type="cellIs" dxfId="2326" priority="3824" operator="between">
      <formula>1</formula>
      <formula>1.3</formula>
    </cfRule>
    <cfRule type="cellIs" dxfId="2325" priority="3823" operator="between">
      <formula>0.8</formula>
      <formula>0.99999</formula>
    </cfRule>
    <cfRule type="cellIs" dxfId="2324" priority="3822" operator="lessThan">
      <formula>0.8</formula>
    </cfRule>
  </conditionalFormatting>
  <conditionalFormatting sqref="B1240">
    <cfRule type="cellIs" dxfId="2323" priority="3818" operator="lessThan">
      <formula>35</formula>
    </cfRule>
    <cfRule type="cellIs" dxfId="2322" priority="3816" operator="greaterThan">
      <formula>50</formula>
    </cfRule>
    <cfRule type="cellIs" dxfId="2321" priority="3817" operator="between">
      <formula>35</formula>
      <formula>50</formula>
    </cfRule>
  </conditionalFormatting>
  <conditionalFormatting sqref="B1242">
    <cfRule type="cellIs" dxfId="2320" priority="3820" operator="between">
      <formula>250</formula>
      <formula>350</formula>
    </cfRule>
    <cfRule type="cellIs" dxfId="2319" priority="3819" operator="greaterThan">
      <formula>350</formula>
    </cfRule>
    <cfRule type="cellIs" dxfId="2318" priority="3821" operator="lessThan">
      <formula>250</formula>
    </cfRule>
  </conditionalFormatting>
  <conditionalFormatting sqref="B1244">
    <cfRule type="cellIs" dxfId="2317" priority="3815" operator="greaterThan">
      <formula>1.5</formula>
    </cfRule>
    <cfRule type="cellIs" dxfId="2316" priority="3814" operator="between">
      <formula>1.3</formula>
      <formula>1.5</formula>
    </cfRule>
    <cfRule type="cellIs" dxfId="2315" priority="3813" operator="between">
      <formula>1</formula>
      <formula>1.3</formula>
    </cfRule>
    <cfRule type="cellIs" dxfId="2314" priority="3812" operator="between">
      <formula>0.8</formula>
      <formula>0.99999</formula>
    </cfRule>
    <cfRule type="cellIs" dxfId="2313" priority="3811" operator="lessThan">
      <formula>0.8</formula>
    </cfRule>
  </conditionalFormatting>
  <conditionalFormatting sqref="B1247">
    <cfRule type="cellIs" dxfId="2312" priority="3805" operator="greaterThan">
      <formula>50</formula>
    </cfRule>
    <cfRule type="cellIs" dxfId="2311" priority="3807" operator="lessThan">
      <formula>35</formula>
    </cfRule>
    <cfRule type="cellIs" dxfId="2310" priority="3806" operator="between">
      <formula>35</formula>
      <formula>50</formula>
    </cfRule>
  </conditionalFormatting>
  <conditionalFormatting sqref="B1249">
    <cfRule type="cellIs" dxfId="2309" priority="3809" operator="between">
      <formula>250</formula>
      <formula>350</formula>
    </cfRule>
    <cfRule type="cellIs" dxfId="2308" priority="3808" operator="greaterThan">
      <formula>350</formula>
    </cfRule>
    <cfRule type="cellIs" dxfId="2307" priority="3810" operator="lessThan">
      <formula>250</formula>
    </cfRule>
  </conditionalFormatting>
  <conditionalFormatting sqref="B1251">
    <cfRule type="cellIs" dxfId="2306" priority="3804" operator="greaterThan">
      <formula>1.5</formula>
    </cfRule>
    <cfRule type="cellIs" dxfId="2305" priority="3803" operator="between">
      <formula>1.3</formula>
      <formula>1.5</formula>
    </cfRule>
    <cfRule type="cellIs" dxfId="2304" priority="3802" operator="between">
      <formula>1</formula>
      <formula>1.3</formula>
    </cfRule>
    <cfRule type="cellIs" dxfId="2303" priority="3801" operator="between">
      <formula>0.8</formula>
      <formula>0.99999</formula>
    </cfRule>
    <cfRule type="cellIs" dxfId="2302" priority="3800" operator="lessThan">
      <formula>0.8</formula>
    </cfRule>
  </conditionalFormatting>
  <conditionalFormatting sqref="B1254">
    <cfRule type="cellIs" dxfId="2301" priority="3796" operator="lessThan">
      <formula>35</formula>
    </cfRule>
    <cfRule type="cellIs" dxfId="2300" priority="3795" operator="between">
      <formula>35</formula>
      <formula>50</formula>
    </cfRule>
    <cfRule type="cellIs" dxfId="2299" priority="3794" operator="greaterThan">
      <formula>50</formula>
    </cfRule>
  </conditionalFormatting>
  <conditionalFormatting sqref="B1256">
    <cfRule type="cellIs" dxfId="2298" priority="3799" operator="lessThan">
      <formula>250</formula>
    </cfRule>
    <cfRule type="cellIs" dxfId="2297" priority="3798" operator="between">
      <formula>250</formula>
      <formula>350</formula>
    </cfRule>
    <cfRule type="cellIs" dxfId="2296" priority="3797" operator="greaterThan">
      <formula>350</formula>
    </cfRule>
  </conditionalFormatting>
  <conditionalFormatting sqref="B1258">
    <cfRule type="cellIs" dxfId="2295" priority="3790" operator="between">
      <formula>0.8</formula>
      <formula>0.99999</formula>
    </cfRule>
    <cfRule type="cellIs" dxfId="2294" priority="3791" operator="between">
      <formula>1</formula>
      <formula>1.3</formula>
    </cfRule>
    <cfRule type="cellIs" dxfId="2293" priority="3793" operator="greaterThan">
      <formula>1.5</formula>
    </cfRule>
    <cfRule type="cellIs" dxfId="2292" priority="3789" operator="lessThan">
      <formula>0.8</formula>
    </cfRule>
    <cfRule type="cellIs" dxfId="2291" priority="3792" operator="between">
      <formula>1.3</formula>
      <formula>1.5</formula>
    </cfRule>
  </conditionalFormatting>
  <conditionalFormatting sqref="B1261">
    <cfRule type="cellIs" dxfId="2290" priority="3785" operator="lessThan">
      <formula>35</formula>
    </cfRule>
    <cfRule type="cellIs" dxfId="2289" priority="3784" operator="between">
      <formula>35</formula>
      <formula>50</formula>
    </cfRule>
    <cfRule type="cellIs" dxfId="2288" priority="3783" operator="greaterThan">
      <formula>50</formula>
    </cfRule>
  </conditionalFormatting>
  <conditionalFormatting sqref="B1263">
    <cfRule type="cellIs" dxfId="2287" priority="3788" operator="lessThan">
      <formula>250</formula>
    </cfRule>
    <cfRule type="cellIs" dxfId="2286" priority="3787" operator="between">
      <formula>250</formula>
      <formula>350</formula>
    </cfRule>
    <cfRule type="cellIs" dxfId="2285" priority="3786" operator="greaterThan">
      <formula>350</formula>
    </cfRule>
  </conditionalFormatting>
  <conditionalFormatting sqref="B1265">
    <cfRule type="cellIs" dxfId="2284" priority="3782" operator="greaterThan">
      <formula>1.5</formula>
    </cfRule>
    <cfRule type="cellIs" dxfId="2283" priority="3781" operator="between">
      <formula>1.3</formula>
      <formula>1.5</formula>
    </cfRule>
    <cfRule type="cellIs" dxfId="2282" priority="3780" operator="between">
      <formula>1</formula>
      <formula>1.3</formula>
    </cfRule>
    <cfRule type="cellIs" dxfId="2281" priority="3779" operator="between">
      <formula>0.8</formula>
      <formula>0.99999</formula>
    </cfRule>
    <cfRule type="cellIs" dxfId="2280" priority="3778" operator="lessThan">
      <formula>0.8</formula>
    </cfRule>
  </conditionalFormatting>
  <conditionalFormatting sqref="B1268">
    <cfRule type="cellIs" dxfId="2279" priority="3774" operator="lessThan">
      <formula>35</formula>
    </cfRule>
    <cfRule type="cellIs" dxfId="2278" priority="3772" operator="greaterThan">
      <formula>50</formula>
    </cfRule>
    <cfRule type="cellIs" dxfId="2277" priority="3773" operator="between">
      <formula>35</formula>
      <formula>50</formula>
    </cfRule>
  </conditionalFormatting>
  <conditionalFormatting sqref="B1270">
    <cfRule type="cellIs" dxfId="2276" priority="3776" operator="between">
      <formula>250</formula>
      <formula>350</formula>
    </cfRule>
    <cfRule type="cellIs" dxfId="2275" priority="3775" operator="greaterThan">
      <formula>350</formula>
    </cfRule>
    <cfRule type="cellIs" dxfId="2274" priority="3777" operator="lessThan">
      <formula>250</formula>
    </cfRule>
  </conditionalFormatting>
  <conditionalFormatting sqref="B1272">
    <cfRule type="cellIs" dxfId="2273" priority="3771" operator="greaterThan">
      <formula>1.5</formula>
    </cfRule>
    <cfRule type="cellIs" dxfId="2272" priority="3770" operator="between">
      <formula>1.3</formula>
      <formula>1.5</formula>
    </cfRule>
    <cfRule type="cellIs" dxfId="2271" priority="3769" operator="between">
      <formula>1</formula>
      <formula>1.3</formula>
    </cfRule>
    <cfRule type="cellIs" dxfId="2270" priority="3768" operator="between">
      <formula>0.8</formula>
      <formula>0.99999</formula>
    </cfRule>
    <cfRule type="cellIs" dxfId="2269" priority="3767" operator="lessThan">
      <formula>0.8</formula>
    </cfRule>
  </conditionalFormatting>
  <conditionalFormatting sqref="B1275">
    <cfRule type="cellIs" dxfId="2268" priority="3763" operator="lessThan">
      <formula>35</formula>
    </cfRule>
    <cfRule type="cellIs" dxfId="2267" priority="3762" operator="between">
      <formula>35</formula>
      <formula>50</formula>
    </cfRule>
    <cfRule type="cellIs" dxfId="2266" priority="3761" operator="greaterThan">
      <formula>50</formula>
    </cfRule>
  </conditionalFormatting>
  <conditionalFormatting sqref="B1277">
    <cfRule type="cellIs" dxfId="2265" priority="3766" operator="lessThan">
      <formula>250</formula>
    </cfRule>
    <cfRule type="cellIs" dxfId="2264" priority="3765" operator="between">
      <formula>250</formula>
      <formula>350</formula>
    </cfRule>
    <cfRule type="cellIs" dxfId="2263" priority="3764" operator="greaterThan">
      <formula>350</formula>
    </cfRule>
  </conditionalFormatting>
  <conditionalFormatting sqref="B1279">
    <cfRule type="cellIs" dxfId="2262" priority="3756" operator="lessThan">
      <formula>0.8</formula>
    </cfRule>
    <cfRule type="cellIs" dxfId="2261" priority="3759" operator="between">
      <formula>1.3</formula>
      <formula>1.5</formula>
    </cfRule>
    <cfRule type="cellIs" dxfId="2260" priority="3758" operator="between">
      <formula>1</formula>
      <formula>1.3</formula>
    </cfRule>
    <cfRule type="cellIs" dxfId="2259" priority="3757" operator="between">
      <formula>0.8</formula>
      <formula>0.99999</formula>
    </cfRule>
    <cfRule type="cellIs" dxfId="2258" priority="3760" operator="greaterThan">
      <formula>1.5</formula>
    </cfRule>
  </conditionalFormatting>
  <conditionalFormatting sqref="B1282">
    <cfRule type="cellIs" dxfId="2257" priority="3750" operator="greaterThan">
      <formula>50</formula>
    </cfRule>
    <cfRule type="cellIs" dxfId="2256" priority="3751" operator="between">
      <formula>35</formula>
      <formula>50</formula>
    </cfRule>
    <cfRule type="cellIs" dxfId="2255" priority="3752" operator="lessThan">
      <formula>35</formula>
    </cfRule>
  </conditionalFormatting>
  <conditionalFormatting sqref="B1284">
    <cfRule type="cellIs" dxfId="2254" priority="3753" operator="greaterThan">
      <formula>350</formula>
    </cfRule>
    <cfRule type="cellIs" dxfId="2253" priority="3754" operator="between">
      <formula>250</formula>
      <formula>350</formula>
    </cfRule>
    <cfRule type="cellIs" dxfId="2252" priority="3755" operator="lessThan">
      <formula>250</formula>
    </cfRule>
  </conditionalFormatting>
  <conditionalFormatting sqref="B1286">
    <cfRule type="cellIs" dxfId="2251" priority="3746" operator="between">
      <formula>0.8</formula>
      <formula>0.99999</formula>
    </cfRule>
    <cfRule type="cellIs" dxfId="2250" priority="3749" operator="greaterThan">
      <formula>1.5</formula>
    </cfRule>
    <cfRule type="cellIs" dxfId="2249" priority="3748" operator="between">
      <formula>1.3</formula>
      <formula>1.5</formula>
    </cfRule>
    <cfRule type="cellIs" dxfId="2248" priority="3747" operator="between">
      <formula>1</formula>
      <formula>1.3</formula>
    </cfRule>
    <cfRule type="cellIs" dxfId="2247" priority="3745" operator="lessThan">
      <formula>0.8</formula>
    </cfRule>
  </conditionalFormatting>
  <conditionalFormatting sqref="B1289">
    <cfRule type="cellIs" dxfId="2246" priority="3739" operator="greaterThan">
      <formula>50</formula>
    </cfRule>
    <cfRule type="cellIs" dxfId="2245" priority="3740" operator="between">
      <formula>35</formula>
      <formula>50</formula>
    </cfRule>
    <cfRule type="cellIs" dxfId="2244" priority="3741" operator="lessThan">
      <formula>35</formula>
    </cfRule>
  </conditionalFormatting>
  <conditionalFormatting sqref="B1291">
    <cfRule type="cellIs" dxfId="2243" priority="3742" operator="greaterThan">
      <formula>350</formula>
    </cfRule>
    <cfRule type="cellIs" dxfId="2242" priority="3743" operator="between">
      <formula>250</formula>
      <formula>350</formula>
    </cfRule>
    <cfRule type="cellIs" dxfId="2241" priority="3744" operator="lessThan">
      <formula>250</formula>
    </cfRule>
  </conditionalFormatting>
  <conditionalFormatting sqref="B1293">
    <cfRule type="cellIs" dxfId="2240" priority="3738" operator="greaterThan">
      <formula>1.5</formula>
    </cfRule>
    <cfRule type="cellIs" dxfId="2239" priority="3737" operator="between">
      <formula>1.3</formula>
      <formula>1.5</formula>
    </cfRule>
    <cfRule type="cellIs" dxfId="2238" priority="3736" operator="between">
      <formula>1</formula>
      <formula>1.3</formula>
    </cfRule>
    <cfRule type="cellIs" dxfId="2237" priority="3735" operator="between">
      <formula>0.8</formula>
      <formula>0.99999</formula>
    </cfRule>
    <cfRule type="cellIs" dxfId="2236" priority="3734" operator="lessThan">
      <formula>0.8</formula>
    </cfRule>
  </conditionalFormatting>
  <conditionalFormatting sqref="B1296">
    <cfRule type="cellIs" dxfId="2235" priority="3730" operator="lessThan">
      <formula>35</formula>
    </cfRule>
    <cfRule type="cellIs" dxfId="2234" priority="3729" operator="between">
      <formula>35</formula>
      <formula>50</formula>
    </cfRule>
    <cfRule type="cellIs" dxfId="2233" priority="3728" operator="greaterThan">
      <formula>50</formula>
    </cfRule>
  </conditionalFormatting>
  <conditionalFormatting sqref="B1298">
    <cfRule type="cellIs" dxfId="2232" priority="3732" operator="between">
      <formula>250</formula>
      <formula>350</formula>
    </cfRule>
    <cfRule type="cellIs" dxfId="2231" priority="3731" operator="greaterThan">
      <formula>350</formula>
    </cfRule>
    <cfRule type="cellIs" dxfId="2230" priority="3733" operator="lessThan">
      <formula>250</formula>
    </cfRule>
  </conditionalFormatting>
  <conditionalFormatting sqref="B1300">
    <cfRule type="cellIs" dxfId="2229" priority="3723" operator="lessThan">
      <formula>0.8</formula>
    </cfRule>
    <cfRule type="cellIs" dxfId="2228" priority="3724" operator="between">
      <formula>0.8</formula>
      <formula>0.99999</formula>
    </cfRule>
    <cfRule type="cellIs" dxfId="2227" priority="3725" operator="between">
      <formula>1</formula>
      <formula>1.3</formula>
    </cfRule>
    <cfRule type="cellIs" dxfId="2226" priority="3726" operator="between">
      <formula>1.3</formula>
      <formula>1.5</formula>
    </cfRule>
    <cfRule type="cellIs" dxfId="2225" priority="3727" operator="greaterThan">
      <formula>1.5</formula>
    </cfRule>
  </conditionalFormatting>
  <conditionalFormatting sqref="B1303">
    <cfRule type="cellIs" dxfId="2224" priority="3717" operator="greaterThan">
      <formula>50</formula>
    </cfRule>
    <cfRule type="cellIs" dxfId="2223" priority="3718" operator="between">
      <formula>35</formula>
      <formula>50</formula>
    </cfRule>
    <cfRule type="cellIs" dxfId="2222" priority="3719" operator="lessThan">
      <formula>35</formula>
    </cfRule>
  </conditionalFormatting>
  <conditionalFormatting sqref="B1305">
    <cfRule type="cellIs" dxfId="2221" priority="3720" operator="greaterThan">
      <formula>350</formula>
    </cfRule>
    <cfRule type="cellIs" dxfId="2220" priority="3721" operator="between">
      <formula>250</formula>
      <formula>350</formula>
    </cfRule>
    <cfRule type="cellIs" dxfId="2219" priority="3722" operator="lessThan">
      <formula>250</formula>
    </cfRule>
  </conditionalFormatting>
  <conditionalFormatting sqref="B1307">
    <cfRule type="cellIs" dxfId="2218" priority="3712" operator="lessThan">
      <formula>0.8</formula>
    </cfRule>
    <cfRule type="cellIs" dxfId="2217" priority="3713" operator="between">
      <formula>0.8</formula>
      <formula>0.99999</formula>
    </cfRule>
    <cfRule type="cellIs" dxfId="2216" priority="3714" operator="between">
      <formula>1</formula>
      <formula>1.3</formula>
    </cfRule>
    <cfRule type="cellIs" dxfId="2215" priority="3715" operator="between">
      <formula>1.3</formula>
      <formula>1.5</formula>
    </cfRule>
    <cfRule type="cellIs" dxfId="2214" priority="3716" operator="greaterThan">
      <formula>1.5</formula>
    </cfRule>
  </conditionalFormatting>
  <conditionalFormatting sqref="B1310">
    <cfRule type="cellIs" dxfId="2213" priority="3706" operator="greaterThan">
      <formula>50</formula>
    </cfRule>
    <cfRule type="cellIs" dxfId="2212" priority="3708" operator="lessThan">
      <formula>35</formula>
    </cfRule>
    <cfRule type="cellIs" dxfId="2211" priority="3707" operator="between">
      <formula>35</formula>
      <formula>50</formula>
    </cfRule>
  </conditionalFormatting>
  <conditionalFormatting sqref="B1312">
    <cfRule type="cellIs" dxfId="2210" priority="3710" operator="between">
      <formula>250</formula>
      <formula>350</formula>
    </cfRule>
    <cfRule type="cellIs" dxfId="2209" priority="3709" operator="greaterThan">
      <formula>350</formula>
    </cfRule>
    <cfRule type="cellIs" dxfId="2208" priority="3711" operator="lessThan">
      <formula>250</formula>
    </cfRule>
  </conditionalFormatting>
  <conditionalFormatting sqref="B1314">
    <cfRule type="cellIs" dxfId="2207" priority="3704" operator="between">
      <formula>1.3</formula>
      <formula>1.5</formula>
    </cfRule>
    <cfRule type="cellIs" dxfId="2206" priority="3702" operator="between">
      <formula>0.8</formula>
      <formula>0.99999</formula>
    </cfRule>
    <cfRule type="cellIs" dxfId="2205" priority="3705" operator="greaterThan">
      <formula>1.5</formula>
    </cfRule>
    <cfRule type="cellIs" dxfId="2204" priority="3701" operator="lessThan">
      <formula>0.8</formula>
    </cfRule>
    <cfRule type="cellIs" dxfId="2203" priority="3703" operator="between">
      <formula>1</formula>
      <formula>1.3</formula>
    </cfRule>
  </conditionalFormatting>
  <conditionalFormatting sqref="B1317">
    <cfRule type="cellIs" dxfId="2202" priority="3695" operator="greaterThan">
      <formula>50</formula>
    </cfRule>
    <cfRule type="cellIs" dxfId="2201" priority="3697" operator="lessThan">
      <formula>35</formula>
    </cfRule>
    <cfRule type="cellIs" dxfId="2200" priority="3696" operator="between">
      <formula>35</formula>
      <formula>50</formula>
    </cfRule>
  </conditionalFormatting>
  <conditionalFormatting sqref="B1319">
    <cfRule type="cellIs" dxfId="2199" priority="3700" operator="lessThan">
      <formula>250</formula>
    </cfRule>
    <cfRule type="cellIs" dxfId="2198" priority="3698" operator="greaterThan">
      <formula>350</formula>
    </cfRule>
    <cfRule type="cellIs" dxfId="2197" priority="3699" operator="between">
      <formula>250</formula>
      <formula>350</formula>
    </cfRule>
  </conditionalFormatting>
  <conditionalFormatting sqref="B1321">
    <cfRule type="cellIs" dxfId="2196" priority="3690" operator="lessThan">
      <formula>0.8</formula>
    </cfRule>
    <cfRule type="cellIs" dxfId="2195" priority="3691" operator="between">
      <formula>0.8</formula>
      <formula>0.99999</formula>
    </cfRule>
    <cfRule type="cellIs" dxfId="2194" priority="3692" operator="between">
      <formula>1</formula>
      <formula>1.3</formula>
    </cfRule>
    <cfRule type="cellIs" dxfId="2193" priority="3694" operator="greaterThan">
      <formula>1.5</formula>
    </cfRule>
    <cfRule type="cellIs" dxfId="2192" priority="3693" operator="between">
      <formula>1.3</formula>
      <formula>1.5</formula>
    </cfRule>
  </conditionalFormatting>
  <conditionalFormatting sqref="B1324">
    <cfRule type="cellIs" dxfId="2191" priority="3685" operator="between">
      <formula>35</formula>
      <formula>50</formula>
    </cfRule>
    <cfRule type="cellIs" dxfId="2190" priority="3684" operator="greaterThan">
      <formula>50</formula>
    </cfRule>
    <cfRule type="cellIs" dxfId="2189" priority="3686" operator="lessThan">
      <formula>35</formula>
    </cfRule>
  </conditionalFormatting>
  <conditionalFormatting sqref="B1326">
    <cfRule type="cellIs" dxfId="2188" priority="3689" operator="lessThan">
      <formula>250</formula>
    </cfRule>
    <cfRule type="cellIs" dxfId="2187" priority="3688" operator="between">
      <formula>250</formula>
      <formula>350</formula>
    </cfRule>
    <cfRule type="cellIs" dxfId="2186" priority="3687" operator="greaterThan">
      <formula>350</formula>
    </cfRule>
  </conditionalFormatting>
  <conditionalFormatting sqref="B1328">
    <cfRule type="cellIs" dxfId="2185" priority="3441" operator="greaterThan">
      <formula>1.5</formula>
    </cfRule>
    <cfRule type="cellIs" dxfId="2184" priority="3440" operator="between">
      <formula>1.3</formula>
      <formula>1.5</formula>
    </cfRule>
    <cfRule type="cellIs" dxfId="2183" priority="3439" operator="between">
      <formula>1</formula>
      <formula>1.3</formula>
    </cfRule>
    <cfRule type="cellIs" dxfId="2182" priority="3438" operator="between">
      <formula>0.8</formula>
      <formula>0.99999</formula>
    </cfRule>
    <cfRule type="cellIs" dxfId="2181" priority="3437" operator="lessThan">
      <formula>0.8</formula>
    </cfRule>
  </conditionalFormatting>
  <conditionalFormatting sqref="B1331">
    <cfRule type="cellIs" dxfId="2180" priority="3674" operator="between">
      <formula>35</formula>
      <formula>50</formula>
    </cfRule>
    <cfRule type="cellIs" dxfId="2179" priority="3675" operator="lessThan">
      <formula>35</formula>
    </cfRule>
    <cfRule type="cellIs" dxfId="2178" priority="3673" operator="greaterThan">
      <formula>50</formula>
    </cfRule>
  </conditionalFormatting>
  <conditionalFormatting sqref="B1333">
    <cfRule type="cellIs" dxfId="2177" priority="3676" operator="greaterThan">
      <formula>350</formula>
    </cfRule>
    <cfRule type="cellIs" dxfId="2176" priority="3678" operator="lessThan">
      <formula>250</formula>
    </cfRule>
    <cfRule type="cellIs" dxfId="2175" priority="3677" operator="between">
      <formula>250</formula>
      <formula>350</formula>
    </cfRule>
  </conditionalFormatting>
  <conditionalFormatting sqref="B1335">
    <cfRule type="cellIs" dxfId="2174" priority="3432" operator="lessThan">
      <formula>0.8</formula>
    </cfRule>
    <cfRule type="cellIs" dxfId="2173" priority="3433" operator="between">
      <formula>0.8</formula>
      <formula>0.99999</formula>
    </cfRule>
    <cfRule type="cellIs" dxfId="2172" priority="3434" operator="between">
      <formula>1</formula>
      <formula>1.3</formula>
    </cfRule>
    <cfRule type="cellIs" dxfId="2171" priority="3435" operator="between">
      <formula>1.3</formula>
      <formula>1.5</formula>
    </cfRule>
    <cfRule type="cellIs" dxfId="2170" priority="3436" operator="greaterThan">
      <formula>1.5</formula>
    </cfRule>
  </conditionalFormatting>
  <conditionalFormatting sqref="B1338">
    <cfRule type="cellIs" dxfId="2169" priority="3663" operator="between">
      <formula>35</formula>
      <formula>50</formula>
    </cfRule>
    <cfRule type="cellIs" dxfId="2168" priority="3662" operator="greaterThan">
      <formula>50</formula>
    </cfRule>
    <cfRule type="cellIs" dxfId="2167" priority="3664" operator="lessThan">
      <formula>35</formula>
    </cfRule>
  </conditionalFormatting>
  <conditionalFormatting sqref="B1340">
    <cfRule type="cellIs" dxfId="2166" priority="3666" operator="between">
      <formula>250</formula>
      <formula>350</formula>
    </cfRule>
    <cfRule type="cellIs" dxfId="2165" priority="3665" operator="greaterThan">
      <formula>350</formula>
    </cfRule>
    <cfRule type="cellIs" dxfId="2164" priority="3667" operator="lessThan">
      <formula>250</formula>
    </cfRule>
  </conditionalFormatting>
  <conditionalFormatting sqref="B1342">
    <cfRule type="cellIs" dxfId="2163" priority="3431" operator="greaterThan">
      <formula>1.5</formula>
    </cfRule>
    <cfRule type="cellIs" dxfId="2162" priority="3430" operator="between">
      <formula>1.3</formula>
      <formula>1.5</formula>
    </cfRule>
    <cfRule type="cellIs" dxfId="2161" priority="3427" operator="lessThan">
      <formula>0.8</formula>
    </cfRule>
    <cfRule type="cellIs" dxfId="2160" priority="3428" operator="between">
      <formula>0.8</formula>
      <formula>0.99999</formula>
    </cfRule>
    <cfRule type="cellIs" dxfId="2159" priority="3429" operator="between">
      <formula>1</formula>
      <formula>1.3</formula>
    </cfRule>
  </conditionalFormatting>
  <conditionalFormatting sqref="B1345">
    <cfRule type="cellIs" dxfId="2158" priority="3653" operator="lessThan">
      <formula>35</formula>
    </cfRule>
    <cfRule type="cellIs" dxfId="2157" priority="3651" operator="greaterThan">
      <formula>50</formula>
    </cfRule>
    <cfRule type="cellIs" dxfId="2156" priority="3652" operator="between">
      <formula>35</formula>
      <formula>50</formula>
    </cfRule>
  </conditionalFormatting>
  <conditionalFormatting sqref="B1347">
    <cfRule type="cellIs" dxfId="2155" priority="3656" operator="lessThan">
      <formula>250</formula>
    </cfRule>
    <cfRule type="cellIs" dxfId="2154" priority="3655" operator="between">
      <formula>250</formula>
      <formula>350</formula>
    </cfRule>
    <cfRule type="cellIs" dxfId="2153" priority="3654" operator="greaterThan">
      <formula>350</formula>
    </cfRule>
  </conditionalFormatting>
  <conditionalFormatting sqref="B1349">
    <cfRule type="cellIs" dxfId="2152" priority="3426" operator="greaterThan">
      <formula>1.5</formula>
    </cfRule>
    <cfRule type="cellIs" dxfId="2151" priority="3425" operator="between">
      <formula>1.3</formula>
      <formula>1.5</formula>
    </cfRule>
    <cfRule type="cellIs" dxfId="2150" priority="3424" operator="between">
      <formula>1</formula>
      <formula>1.3</formula>
    </cfRule>
    <cfRule type="cellIs" dxfId="2149" priority="3423" operator="between">
      <formula>0.8</formula>
      <formula>0.99999</formula>
    </cfRule>
    <cfRule type="cellIs" dxfId="2148" priority="3422" operator="lessThan">
      <formula>0.8</formula>
    </cfRule>
  </conditionalFormatting>
  <conditionalFormatting sqref="B1352">
    <cfRule type="cellIs" dxfId="2147" priority="3642" operator="lessThan">
      <formula>35</formula>
    </cfRule>
    <cfRule type="cellIs" dxfId="2146" priority="3641" operator="between">
      <formula>35</formula>
      <formula>50</formula>
    </cfRule>
    <cfRule type="cellIs" dxfId="2145" priority="3640" operator="greaterThan">
      <formula>50</formula>
    </cfRule>
  </conditionalFormatting>
  <conditionalFormatting sqref="B1354">
    <cfRule type="cellIs" dxfId="2144" priority="3645" operator="lessThan">
      <formula>250</formula>
    </cfRule>
    <cfRule type="cellIs" dxfId="2143" priority="3643" operator="greaterThan">
      <formula>350</formula>
    </cfRule>
    <cfRule type="cellIs" dxfId="2142" priority="3644" operator="between">
      <formula>250</formula>
      <formula>350</formula>
    </cfRule>
  </conditionalFormatting>
  <conditionalFormatting sqref="B1356">
    <cfRule type="cellIs" dxfId="2141" priority="3421" operator="greaterThan">
      <formula>1.5</formula>
    </cfRule>
    <cfRule type="cellIs" dxfId="2140" priority="3420" operator="between">
      <formula>1.3</formula>
      <formula>1.5</formula>
    </cfRule>
    <cfRule type="cellIs" dxfId="2139" priority="3419" operator="between">
      <formula>1</formula>
      <formula>1.3</formula>
    </cfRule>
    <cfRule type="cellIs" dxfId="2138" priority="3418" operator="between">
      <formula>0.8</formula>
      <formula>0.99999</formula>
    </cfRule>
    <cfRule type="cellIs" dxfId="2137" priority="3417" operator="lessThan">
      <formula>0.8</formula>
    </cfRule>
  </conditionalFormatting>
  <conditionalFormatting sqref="B1359">
    <cfRule type="cellIs" dxfId="2136" priority="3629" operator="greaterThan">
      <formula>50</formula>
    </cfRule>
    <cfRule type="cellIs" dxfId="2135" priority="3630" operator="between">
      <formula>35</formula>
      <formula>50</formula>
    </cfRule>
    <cfRule type="cellIs" dxfId="2134" priority="3631" operator="lessThan">
      <formula>35</formula>
    </cfRule>
  </conditionalFormatting>
  <conditionalFormatting sqref="B1361">
    <cfRule type="cellIs" dxfId="2133" priority="3633" operator="between">
      <formula>250</formula>
      <formula>350</formula>
    </cfRule>
    <cfRule type="cellIs" dxfId="2132" priority="3634" operator="lessThan">
      <formula>250</formula>
    </cfRule>
    <cfRule type="cellIs" dxfId="2131" priority="3632" operator="greaterThan">
      <formula>350</formula>
    </cfRule>
  </conditionalFormatting>
  <conditionalFormatting sqref="B1363">
    <cfRule type="cellIs" dxfId="2130" priority="3414" operator="between">
      <formula>1</formula>
      <formula>1.3</formula>
    </cfRule>
    <cfRule type="cellIs" dxfId="2129" priority="3415" operator="between">
      <formula>1.3</formula>
      <formula>1.5</formula>
    </cfRule>
    <cfRule type="cellIs" dxfId="2128" priority="3416" operator="greaterThan">
      <formula>1.5</formula>
    </cfRule>
    <cfRule type="cellIs" dxfId="2127" priority="3413" operator="between">
      <formula>0.8</formula>
      <formula>0.99999</formula>
    </cfRule>
    <cfRule type="cellIs" dxfId="2126" priority="3412" operator="lessThan">
      <formula>0.8</formula>
    </cfRule>
  </conditionalFormatting>
  <conditionalFormatting sqref="B1366">
    <cfRule type="cellIs" dxfId="2125" priority="3618" operator="greaterThan">
      <formula>50</formula>
    </cfRule>
    <cfRule type="cellIs" dxfId="2124" priority="3620" operator="lessThan">
      <formula>35</formula>
    </cfRule>
    <cfRule type="cellIs" dxfId="2123" priority="3619" operator="between">
      <formula>35</formula>
      <formula>50</formula>
    </cfRule>
  </conditionalFormatting>
  <conditionalFormatting sqref="B1368">
    <cfRule type="cellIs" dxfId="2122" priority="3623" operator="lessThan">
      <formula>250</formula>
    </cfRule>
    <cfRule type="cellIs" dxfId="2121" priority="3622" operator="between">
      <formula>250</formula>
      <formula>350</formula>
    </cfRule>
    <cfRule type="cellIs" dxfId="2120" priority="3621" operator="greaterThan">
      <formula>350</formula>
    </cfRule>
  </conditionalFormatting>
  <conditionalFormatting sqref="B1370">
    <cfRule type="cellIs" dxfId="2119" priority="3613" operator="lessThan">
      <formula>0.8</formula>
    </cfRule>
    <cfRule type="cellIs" dxfId="2118" priority="3614" operator="between">
      <formula>0.8</formula>
      <formula>0.99999</formula>
    </cfRule>
    <cfRule type="cellIs" dxfId="2117" priority="3615" operator="between">
      <formula>1</formula>
      <formula>1.3</formula>
    </cfRule>
    <cfRule type="cellIs" dxfId="2116" priority="3616" operator="between">
      <formula>1.3</formula>
      <formula>1.5</formula>
    </cfRule>
    <cfRule type="cellIs" dxfId="2115" priority="3617" operator="greaterThan">
      <formula>1.5</formula>
    </cfRule>
  </conditionalFormatting>
  <conditionalFormatting sqref="B1373">
    <cfRule type="cellIs" dxfId="2114" priority="3609" operator="lessThan">
      <formula>35</formula>
    </cfRule>
    <cfRule type="cellIs" dxfId="2113" priority="3607" operator="greaterThan">
      <formula>50</formula>
    </cfRule>
    <cfRule type="cellIs" dxfId="2112" priority="3608" operator="between">
      <formula>35</formula>
      <formula>50</formula>
    </cfRule>
  </conditionalFormatting>
  <conditionalFormatting sqref="B1375">
    <cfRule type="cellIs" dxfId="2111" priority="3612" operator="lessThan">
      <formula>250</formula>
    </cfRule>
    <cfRule type="cellIs" dxfId="2110" priority="3611" operator="between">
      <formula>250</formula>
      <formula>350</formula>
    </cfRule>
    <cfRule type="cellIs" dxfId="2109" priority="3610" operator="greaterThan">
      <formula>350</formula>
    </cfRule>
  </conditionalFormatting>
  <conditionalFormatting sqref="B1377">
    <cfRule type="cellIs" dxfId="2108" priority="3386" operator="greaterThan">
      <formula>1.5</formula>
    </cfRule>
    <cfRule type="cellIs" dxfId="2107" priority="3385" operator="between">
      <formula>1.3</formula>
      <formula>1.5</formula>
    </cfRule>
    <cfRule type="cellIs" dxfId="2106" priority="3384" operator="between">
      <formula>1</formula>
      <formula>1.3</formula>
    </cfRule>
    <cfRule type="cellIs" dxfId="2105" priority="3383" operator="between">
      <formula>0.8</formula>
      <formula>0.99999</formula>
    </cfRule>
    <cfRule type="cellIs" dxfId="2104" priority="3382" operator="lessThan">
      <formula>0.8</formula>
    </cfRule>
  </conditionalFormatting>
  <conditionalFormatting sqref="B1380">
    <cfRule type="cellIs" dxfId="2103" priority="3596" operator="greaterThan">
      <formula>50</formula>
    </cfRule>
    <cfRule type="cellIs" dxfId="2102" priority="3597" operator="between">
      <formula>35</formula>
      <formula>50</formula>
    </cfRule>
    <cfRule type="cellIs" dxfId="2101" priority="3598" operator="lessThan">
      <formula>35</formula>
    </cfRule>
  </conditionalFormatting>
  <conditionalFormatting sqref="B1382">
    <cfRule type="cellIs" dxfId="2100" priority="3600" operator="between">
      <formula>250</formula>
      <formula>350</formula>
    </cfRule>
    <cfRule type="cellIs" dxfId="2099" priority="3601" operator="lessThan">
      <formula>250</formula>
    </cfRule>
    <cfRule type="cellIs" dxfId="2098" priority="3599" operator="greaterThan">
      <formula>350</formula>
    </cfRule>
  </conditionalFormatting>
  <conditionalFormatting sqref="B1384">
    <cfRule type="cellIs" dxfId="2097" priority="3376" operator="greaterThan">
      <formula>1.5</formula>
    </cfRule>
    <cfRule type="cellIs" dxfId="2096" priority="3375" operator="between">
      <formula>1.3</formula>
      <formula>1.5</formula>
    </cfRule>
    <cfRule type="cellIs" dxfId="2095" priority="3374" operator="between">
      <formula>1</formula>
      <formula>1.3</formula>
    </cfRule>
    <cfRule type="cellIs" dxfId="2094" priority="3373" operator="between">
      <formula>0.8</formula>
      <formula>0.99999</formula>
    </cfRule>
    <cfRule type="cellIs" dxfId="2093" priority="3372" operator="lessThan">
      <formula>0.8</formula>
    </cfRule>
  </conditionalFormatting>
  <conditionalFormatting sqref="B1387">
    <cfRule type="cellIs" dxfId="2092" priority="3587" operator="lessThan">
      <formula>35</formula>
    </cfRule>
    <cfRule type="cellIs" dxfId="2091" priority="3586" operator="between">
      <formula>35</formula>
      <formula>50</formula>
    </cfRule>
    <cfRule type="cellIs" dxfId="2090" priority="3585" operator="greaterThan">
      <formula>50</formula>
    </cfRule>
  </conditionalFormatting>
  <conditionalFormatting sqref="B1389">
    <cfRule type="cellIs" dxfId="2089" priority="3590" operator="lessThan">
      <formula>250</formula>
    </cfRule>
    <cfRule type="cellIs" dxfId="2088" priority="3589" operator="between">
      <formula>250</formula>
      <formula>350</formula>
    </cfRule>
    <cfRule type="cellIs" dxfId="2087" priority="3588" operator="greaterThan">
      <formula>350</formula>
    </cfRule>
  </conditionalFormatting>
  <conditionalFormatting sqref="B1391">
    <cfRule type="cellIs" dxfId="2086" priority="3367" operator="lessThan">
      <formula>0.8</formula>
    </cfRule>
    <cfRule type="cellIs" dxfId="2085" priority="3371" operator="greaterThan">
      <formula>1.5</formula>
    </cfRule>
    <cfRule type="cellIs" dxfId="2084" priority="3370" operator="between">
      <formula>1.3</formula>
      <formula>1.5</formula>
    </cfRule>
    <cfRule type="cellIs" dxfId="2083" priority="3369" operator="between">
      <formula>1</formula>
      <formula>1.3</formula>
    </cfRule>
    <cfRule type="cellIs" dxfId="2082" priority="3368" operator="between">
      <formula>0.8</formula>
      <formula>0.99999</formula>
    </cfRule>
  </conditionalFormatting>
  <conditionalFormatting sqref="B1394">
    <cfRule type="cellIs" dxfId="2081" priority="3575" operator="between">
      <formula>35</formula>
      <formula>50</formula>
    </cfRule>
    <cfRule type="cellIs" dxfId="2080" priority="3576" operator="lessThan">
      <formula>35</formula>
    </cfRule>
    <cfRule type="cellIs" dxfId="2079" priority="3574" operator="greaterThan">
      <formula>50</formula>
    </cfRule>
  </conditionalFormatting>
  <conditionalFormatting sqref="B1396">
    <cfRule type="cellIs" dxfId="2078" priority="3579" operator="lessThan">
      <formula>250</formula>
    </cfRule>
    <cfRule type="cellIs" dxfId="2077" priority="3578" operator="between">
      <formula>250</formula>
      <formula>350</formula>
    </cfRule>
    <cfRule type="cellIs" dxfId="2076" priority="3577" operator="greaterThan">
      <formula>350</formula>
    </cfRule>
  </conditionalFormatting>
  <conditionalFormatting sqref="B1398">
    <cfRule type="cellIs" dxfId="2075" priority="3573" operator="greaterThan">
      <formula>1.5</formula>
    </cfRule>
    <cfRule type="cellIs" dxfId="2074" priority="3572" operator="between">
      <formula>1.3</formula>
      <formula>1.5</formula>
    </cfRule>
    <cfRule type="cellIs" dxfId="2073" priority="3571" operator="between">
      <formula>1</formula>
      <formula>1.3</formula>
    </cfRule>
    <cfRule type="cellIs" dxfId="2072" priority="3570" operator="between">
      <formula>0.8</formula>
      <formula>0.99999</formula>
    </cfRule>
    <cfRule type="cellIs" dxfId="2071" priority="3569" operator="lessThan">
      <formula>0.8</formula>
    </cfRule>
  </conditionalFormatting>
  <conditionalFormatting sqref="B1401">
    <cfRule type="cellIs" dxfId="2070" priority="3565" operator="lessThan">
      <formula>35</formula>
    </cfRule>
    <cfRule type="cellIs" dxfId="2069" priority="3564" operator="between">
      <formula>35</formula>
      <formula>50</formula>
    </cfRule>
    <cfRule type="cellIs" dxfId="2068" priority="3563" operator="greaterThan">
      <formula>50</formula>
    </cfRule>
  </conditionalFormatting>
  <conditionalFormatting sqref="B1403">
    <cfRule type="cellIs" dxfId="2067" priority="3567" operator="between">
      <formula>250</formula>
      <formula>350</formula>
    </cfRule>
    <cfRule type="cellIs" dxfId="2066" priority="3566" operator="greaterThan">
      <formula>350</formula>
    </cfRule>
    <cfRule type="cellIs" dxfId="2065" priority="3568" operator="lessThan">
      <formula>250</formula>
    </cfRule>
  </conditionalFormatting>
  <conditionalFormatting sqref="B1405">
    <cfRule type="cellIs" dxfId="2064" priority="3562" operator="greaterThan">
      <formula>1.5</formula>
    </cfRule>
    <cfRule type="cellIs" dxfId="2063" priority="3561" operator="between">
      <formula>1.3</formula>
      <formula>1.5</formula>
    </cfRule>
    <cfRule type="cellIs" dxfId="2062" priority="3560" operator="between">
      <formula>1</formula>
      <formula>1.3</formula>
    </cfRule>
    <cfRule type="cellIs" dxfId="2061" priority="3559" operator="between">
      <formula>0.8</formula>
      <formula>0.99999</formula>
    </cfRule>
    <cfRule type="cellIs" dxfId="2060" priority="3558" operator="lessThan">
      <formula>0.8</formula>
    </cfRule>
  </conditionalFormatting>
  <conditionalFormatting sqref="B1408">
    <cfRule type="cellIs" dxfId="2059" priority="3554" operator="lessThan">
      <formula>35</formula>
    </cfRule>
    <cfRule type="cellIs" dxfId="2058" priority="3553" operator="between">
      <formula>35</formula>
      <formula>50</formula>
    </cfRule>
    <cfRule type="cellIs" dxfId="2057" priority="3552" operator="greaterThan">
      <formula>50</formula>
    </cfRule>
  </conditionalFormatting>
  <conditionalFormatting sqref="B1410">
    <cfRule type="cellIs" dxfId="2056" priority="3557" operator="lessThan">
      <formula>250</formula>
    </cfRule>
    <cfRule type="cellIs" dxfId="2055" priority="3556" operator="between">
      <formula>250</formula>
      <formula>350</formula>
    </cfRule>
    <cfRule type="cellIs" dxfId="2054" priority="3555" operator="greaterThan">
      <formula>350</formula>
    </cfRule>
  </conditionalFormatting>
  <conditionalFormatting sqref="B1412">
    <cfRule type="cellIs" dxfId="2053" priority="3411" operator="greaterThan">
      <formula>1.5</formula>
    </cfRule>
    <cfRule type="cellIs" dxfId="2052" priority="3410" operator="between">
      <formula>1.3</formula>
      <formula>1.5</formula>
    </cfRule>
    <cfRule type="cellIs" dxfId="2051" priority="3409" operator="between">
      <formula>1</formula>
      <formula>1.3</formula>
    </cfRule>
    <cfRule type="cellIs" dxfId="2050" priority="3408" operator="between">
      <formula>0.8</formula>
      <formula>0.99999</formula>
    </cfRule>
    <cfRule type="cellIs" dxfId="2049" priority="3407" operator="lessThan">
      <formula>0.8</formula>
    </cfRule>
  </conditionalFormatting>
  <conditionalFormatting sqref="B1415">
    <cfRule type="cellIs" dxfId="2048" priority="3543" operator="lessThan">
      <formula>35</formula>
    </cfRule>
    <cfRule type="cellIs" dxfId="2047" priority="3542" operator="between">
      <formula>35</formula>
      <formula>50</formula>
    </cfRule>
    <cfRule type="cellIs" dxfId="2046" priority="3541" operator="greaterThan">
      <formula>50</formula>
    </cfRule>
  </conditionalFormatting>
  <conditionalFormatting sqref="B1417">
    <cfRule type="cellIs" dxfId="2045" priority="3544" operator="greaterThan">
      <formula>350</formula>
    </cfRule>
    <cfRule type="cellIs" dxfId="2044" priority="3546" operator="lessThan">
      <formula>250</formula>
    </cfRule>
    <cfRule type="cellIs" dxfId="2043" priority="3545" operator="between">
      <formula>250</formula>
      <formula>350</formula>
    </cfRule>
  </conditionalFormatting>
  <conditionalFormatting sqref="B1419">
    <cfRule type="cellIs" dxfId="2042" priority="3404" operator="between">
      <formula>1</formula>
      <formula>1.3</formula>
    </cfRule>
    <cfRule type="cellIs" dxfId="2041" priority="3402" operator="lessThan">
      <formula>0.8</formula>
    </cfRule>
    <cfRule type="cellIs" dxfId="2040" priority="3403" operator="between">
      <formula>0.8</formula>
      <formula>0.99999</formula>
    </cfRule>
    <cfRule type="cellIs" dxfId="2039" priority="3406" operator="greaterThan">
      <formula>1.5</formula>
    </cfRule>
    <cfRule type="cellIs" dxfId="2038" priority="3405" operator="between">
      <formula>1.3</formula>
      <formula>1.5</formula>
    </cfRule>
  </conditionalFormatting>
  <conditionalFormatting sqref="B1422">
    <cfRule type="cellIs" dxfId="2037" priority="3532" operator="lessThan">
      <formula>35</formula>
    </cfRule>
    <cfRule type="cellIs" dxfId="2036" priority="3531" operator="between">
      <formula>35</formula>
      <formula>50</formula>
    </cfRule>
    <cfRule type="cellIs" dxfId="2035" priority="3530" operator="greaterThan">
      <formula>50</formula>
    </cfRule>
  </conditionalFormatting>
  <conditionalFormatting sqref="B1424">
    <cfRule type="cellIs" dxfId="2034" priority="3535" operator="lessThan">
      <formula>250</formula>
    </cfRule>
    <cfRule type="cellIs" dxfId="2033" priority="3534" operator="between">
      <formula>250</formula>
      <formula>350</formula>
    </cfRule>
    <cfRule type="cellIs" dxfId="2032" priority="3533" operator="greaterThan">
      <formula>350</formula>
    </cfRule>
  </conditionalFormatting>
  <conditionalFormatting sqref="B1426">
    <cfRule type="cellIs" dxfId="2031" priority="3363" operator="between">
      <formula>0.8</formula>
      <formula>0.99999</formula>
    </cfRule>
    <cfRule type="cellIs" dxfId="2030" priority="3366" operator="greaterThan">
      <formula>1.5</formula>
    </cfRule>
    <cfRule type="cellIs" dxfId="2029" priority="3365" operator="between">
      <formula>1.3</formula>
      <formula>1.5</formula>
    </cfRule>
    <cfRule type="cellIs" dxfId="2028" priority="3364" operator="between">
      <formula>1</formula>
      <formula>1.3</formula>
    </cfRule>
    <cfRule type="cellIs" dxfId="2027" priority="3362" operator="lessThan">
      <formula>0.8</formula>
    </cfRule>
  </conditionalFormatting>
  <conditionalFormatting sqref="B1429">
    <cfRule type="cellIs" dxfId="2026" priority="3519" operator="greaterThan">
      <formula>50</formula>
    </cfRule>
    <cfRule type="cellIs" dxfId="2025" priority="3520" operator="between">
      <formula>35</formula>
      <formula>50</formula>
    </cfRule>
    <cfRule type="cellIs" dxfId="2024" priority="3521" operator="lessThan">
      <formula>35</formula>
    </cfRule>
  </conditionalFormatting>
  <conditionalFormatting sqref="B1431">
    <cfRule type="cellIs" dxfId="2023" priority="3522" operator="greaterThan">
      <formula>350</formula>
    </cfRule>
    <cfRule type="cellIs" dxfId="2022" priority="3524" operator="lessThan">
      <formula>250</formula>
    </cfRule>
    <cfRule type="cellIs" dxfId="2021" priority="3523" operator="between">
      <formula>250</formula>
      <formula>350</formula>
    </cfRule>
  </conditionalFormatting>
  <conditionalFormatting sqref="B1433">
    <cfRule type="cellIs" dxfId="2020" priority="3357" operator="lessThan">
      <formula>0.8</formula>
    </cfRule>
    <cfRule type="cellIs" dxfId="2019" priority="3358" operator="between">
      <formula>0.8</formula>
      <formula>0.99999</formula>
    </cfRule>
    <cfRule type="cellIs" dxfId="2018" priority="3359" operator="between">
      <formula>1</formula>
      <formula>1.3</formula>
    </cfRule>
    <cfRule type="cellIs" dxfId="2017" priority="3360" operator="between">
      <formula>1.3</formula>
      <formula>1.5</formula>
    </cfRule>
    <cfRule type="cellIs" dxfId="2016" priority="3361" operator="greaterThan">
      <formula>1.5</formula>
    </cfRule>
  </conditionalFormatting>
  <conditionalFormatting sqref="B1436">
    <cfRule type="cellIs" dxfId="2015" priority="3508" operator="greaterThan">
      <formula>50</formula>
    </cfRule>
    <cfRule type="cellIs" dxfId="2014" priority="3509" operator="between">
      <formula>35</formula>
      <formula>50</formula>
    </cfRule>
    <cfRule type="cellIs" dxfId="2013" priority="3510" operator="lessThan">
      <formula>35</formula>
    </cfRule>
  </conditionalFormatting>
  <conditionalFormatting sqref="B1438">
    <cfRule type="cellIs" dxfId="2012" priority="3511" operator="greaterThan">
      <formula>350</formula>
    </cfRule>
    <cfRule type="cellIs" dxfId="2011" priority="3513" operator="lessThan">
      <formula>250</formula>
    </cfRule>
    <cfRule type="cellIs" dxfId="2010" priority="3512" operator="between">
      <formula>250</formula>
      <formula>350</formula>
    </cfRule>
  </conditionalFormatting>
  <conditionalFormatting sqref="B1440">
    <cfRule type="cellIs" dxfId="2009" priority="3334" operator="between">
      <formula>1</formula>
      <formula>1.3</formula>
    </cfRule>
    <cfRule type="cellIs" dxfId="2008" priority="3335" operator="between">
      <formula>1.3</formula>
      <formula>1.5</formula>
    </cfRule>
    <cfRule type="cellIs" dxfId="2007" priority="3336" operator="greaterThan">
      <formula>1.5</formula>
    </cfRule>
    <cfRule type="cellIs" dxfId="2006" priority="3332" operator="lessThan">
      <formula>0.8</formula>
    </cfRule>
    <cfRule type="cellIs" dxfId="2005" priority="3333" operator="between">
      <formula>0.8</formula>
      <formula>0.99999</formula>
    </cfRule>
  </conditionalFormatting>
  <conditionalFormatting sqref="B1443">
    <cfRule type="cellIs" dxfId="2004" priority="3498" operator="between">
      <formula>35</formula>
      <formula>50</formula>
    </cfRule>
    <cfRule type="cellIs" dxfId="2003" priority="3499" operator="lessThan">
      <formula>35</formula>
    </cfRule>
    <cfRule type="cellIs" dxfId="2002" priority="3497" operator="greaterThan">
      <formula>50</formula>
    </cfRule>
  </conditionalFormatting>
  <conditionalFormatting sqref="B1445">
    <cfRule type="cellIs" dxfId="2001" priority="3502" operator="lessThan">
      <formula>250</formula>
    </cfRule>
    <cfRule type="cellIs" dxfId="2000" priority="3501" operator="between">
      <formula>250</formula>
      <formula>350</formula>
    </cfRule>
    <cfRule type="cellIs" dxfId="1999" priority="3500" operator="greaterThan">
      <formula>350</formula>
    </cfRule>
  </conditionalFormatting>
  <conditionalFormatting sqref="B1447">
    <cfRule type="cellIs" dxfId="1998" priority="3321" operator="greaterThan">
      <formula>1.5</formula>
    </cfRule>
    <cfRule type="cellIs" dxfId="1997" priority="3320" operator="between">
      <formula>1.3</formula>
      <formula>1.5</formula>
    </cfRule>
    <cfRule type="cellIs" dxfId="1996" priority="3319" operator="between">
      <formula>1</formula>
      <formula>1.3</formula>
    </cfRule>
    <cfRule type="cellIs" dxfId="1995" priority="3318" operator="between">
      <formula>0.8</formula>
      <formula>0.99999</formula>
    </cfRule>
    <cfRule type="cellIs" dxfId="1994" priority="3317" operator="lessThan">
      <formula>0.8</formula>
    </cfRule>
  </conditionalFormatting>
  <conditionalFormatting sqref="B1450">
    <cfRule type="cellIs" dxfId="1993" priority="3488" operator="lessThan">
      <formula>35</formula>
    </cfRule>
    <cfRule type="cellIs" dxfId="1992" priority="3486" operator="greaterThan">
      <formula>50</formula>
    </cfRule>
    <cfRule type="cellIs" dxfId="1991" priority="3487" operator="between">
      <formula>35</formula>
      <formula>50</formula>
    </cfRule>
  </conditionalFormatting>
  <conditionalFormatting sqref="B1452">
    <cfRule type="cellIs" dxfId="1990" priority="3491" operator="lessThan">
      <formula>250</formula>
    </cfRule>
    <cfRule type="cellIs" dxfId="1989" priority="3490" operator="between">
      <formula>250</formula>
      <formula>350</formula>
    </cfRule>
    <cfRule type="cellIs" dxfId="1988" priority="3489" operator="greaterThan">
      <formula>350</formula>
    </cfRule>
  </conditionalFormatting>
  <conditionalFormatting sqref="B1454">
    <cfRule type="cellIs" dxfId="1987" priority="3316" operator="greaterThan">
      <formula>1.5</formula>
    </cfRule>
    <cfRule type="cellIs" dxfId="1986" priority="3315" operator="between">
      <formula>1.3</formula>
      <formula>1.5</formula>
    </cfRule>
    <cfRule type="cellIs" dxfId="1985" priority="3314" operator="between">
      <formula>1</formula>
      <formula>1.3</formula>
    </cfRule>
    <cfRule type="cellIs" dxfId="1984" priority="3313" operator="between">
      <formula>0.8</formula>
      <formula>0.99999</formula>
    </cfRule>
    <cfRule type="cellIs" dxfId="1983" priority="3312" operator="lessThan">
      <formula>0.8</formula>
    </cfRule>
  </conditionalFormatting>
  <conditionalFormatting sqref="B1457">
    <cfRule type="cellIs" dxfId="1982" priority="3476" operator="between">
      <formula>35</formula>
      <formula>50</formula>
    </cfRule>
    <cfRule type="cellIs" dxfId="1981" priority="3477" operator="lessThan">
      <formula>35</formula>
    </cfRule>
    <cfRule type="cellIs" dxfId="1980" priority="3475" operator="greaterThan">
      <formula>50</formula>
    </cfRule>
  </conditionalFormatting>
  <conditionalFormatting sqref="B1459">
    <cfRule type="cellIs" dxfId="1979" priority="3478" operator="greaterThan">
      <formula>350</formula>
    </cfRule>
    <cfRule type="cellIs" dxfId="1978" priority="3479" operator="between">
      <formula>250</formula>
      <formula>350</formula>
    </cfRule>
    <cfRule type="cellIs" dxfId="1977" priority="3480" operator="lessThan">
      <formula>250</formula>
    </cfRule>
  </conditionalFormatting>
  <conditionalFormatting sqref="B1461">
    <cfRule type="cellIs" dxfId="1976" priority="3295" operator="between">
      <formula>1.3</formula>
      <formula>1.5</formula>
    </cfRule>
    <cfRule type="cellIs" dxfId="1975" priority="3296" operator="greaterThan">
      <formula>1.5</formula>
    </cfRule>
    <cfRule type="cellIs" dxfId="1974" priority="3294" operator="between">
      <formula>1</formula>
      <formula>1.3</formula>
    </cfRule>
    <cfRule type="cellIs" dxfId="1973" priority="3293" operator="between">
      <formula>0.8</formula>
      <formula>0.99999</formula>
    </cfRule>
    <cfRule type="cellIs" dxfId="1972" priority="3292" operator="lessThan">
      <formula>0.8</formula>
    </cfRule>
  </conditionalFormatting>
  <conditionalFormatting sqref="B1464">
    <cfRule type="cellIs" dxfId="1971" priority="3466" operator="lessThan">
      <formula>35</formula>
    </cfRule>
    <cfRule type="cellIs" dxfId="1970" priority="3465" operator="between">
      <formula>35</formula>
      <formula>50</formula>
    </cfRule>
    <cfRule type="cellIs" dxfId="1969" priority="3464" operator="greaterThan">
      <formula>50</formula>
    </cfRule>
  </conditionalFormatting>
  <conditionalFormatting sqref="B1466">
    <cfRule type="cellIs" dxfId="1968" priority="3469" operator="lessThan">
      <formula>250</formula>
    </cfRule>
    <cfRule type="cellIs" dxfId="1967" priority="3468" operator="between">
      <formula>250</formula>
      <formula>350</formula>
    </cfRule>
    <cfRule type="cellIs" dxfId="1966" priority="3467" operator="greaterThan">
      <formula>350</formula>
    </cfRule>
  </conditionalFormatting>
  <conditionalFormatting sqref="B1468">
    <cfRule type="cellIs" dxfId="1965" priority="3287" operator="lessThan">
      <formula>0.8</formula>
    </cfRule>
    <cfRule type="cellIs" dxfId="1964" priority="3288" operator="between">
      <formula>0.8</formula>
      <formula>0.99999</formula>
    </cfRule>
    <cfRule type="cellIs" dxfId="1963" priority="3289" operator="between">
      <formula>1</formula>
      <formula>1.3</formula>
    </cfRule>
    <cfRule type="cellIs" dxfId="1962" priority="3290" operator="between">
      <formula>1.3</formula>
      <formula>1.5</formula>
    </cfRule>
    <cfRule type="cellIs" dxfId="1961" priority="3291" operator="greaterThan">
      <formula>1.5</formula>
    </cfRule>
  </conditionalFormatting>
  <conditionalFormatting sqref="B1471 B1478 B1485 B1492 B1499 B1506 B1513 B1520 B1527 B1534 B1541 B1548 B1555 B1562 B1569 B1576 B1583 B1590 B1597 B1604 B1611 B1618 B1625 B1632 B1639 B1646 B1653 B1660 B1667 B1674 B1681 B1688 B1695 B1702 B1709 B1716 B1723 B1730 B1737 B1744 B1751 B1758 B1765 B1772 B1779 B1786 B1793 B1800 B1807 B1814 B1821 B1828 B1835">
    <cfRule type="cellIs" dxfId="1960" priority="3455" operator="lessThan">
      <formula>35</formula>
    </cfRule>
    <cfRule type="cellIs" dxfId="1959" priority="3454" operator="between">
      <formula>35</formula>
      <formula>50</formula>
    </cfRule>
    <cfRule type="cellIs" dxfId="1958" priority="3453" operator="greaterThan">
      <formula>50</formula>
    </cfRule>
  </conditionalFormatting>
  <conditionalFormatting sqref="B1473 B1480 B1487 B1494 B1501 B1508 B1515 B1522 B1529 B1536 B1543 B1550 B1557 B1564 B1571 B1578 B1585 B1592 B1599 B1606 B1613 B1620 B1627 B1634 B1641 B1648 B1655 B1662 B1669 B1676 B1683 B1690 B1697 B1704 B1711 B1718 B1725 B1732 B1739 B1746 B1753 B1760 B1767 B1774 B1781 B1788 B1795 B1802 B1809 B1816 B1823 B1830 B1837">
    <cfRule type="cellIs" dxfId="1957" priority="3457" operator="between">
      <formula>250</formula>
      <formula>350</formula>
    </cfRule>
    <cfRule type="cellIs" dxfId="1956" priority="3458" operator="lessThan">
      <formula>250</formula>
    </cfRule>
    <cfRule type="cellIs" dxfId="1955" priority="3456" operator="greaterThan">
      <formula>350</formula>
    </cfRule>
  </conditionalFormatting>
  <conditionalFormatting sqref="B1475">
    <cfRule type="cellIs" dxfId="1954" priority="3297" operator="lessThan">
      <formula>0.8</formula>
    </cfRule>
    <cfRule type="cellIs" dxfId="1953" priority="3301" operator="greaterThan">
      <formula>1.5</formula>
    </cfRule>
    <cfRule type="cellIs" dxfId="1952" priority="3300" operator="between">
      <formula>1.3</formula>
      <formula>1.5</formula>
    </cfRule>
    <cfRule type="cellIs" dxfId="1951" priority="3299" operator="between">
      <formula>1</formula>
      <formula>1.3</formula>
    </cfRule>
    <cfRule type="cellIs" dxfId="1950" priority="3298" operator="between">
      <formula>0.8</formula>
      <formula>0.99999</formula>
    </cfRule>
  </conditionalFormatting>
  <conditionalFormatting sqref="B1482">
    <cfRule type="cellIs" dxfId="1949" priority="3356" operator="greaterThan">
      <formula>1.5</formula>
    </cfRule>
    <cfRule type="cellIs" dxfId="1948" priority="3355" operator="between">
      <formula>1.3</formula>
      <formula>1.5</formula>
    </cfRule>
    <cfRule type="cellIs" dxfId="1947" priority="3352" operator="lessThan">
      <formula>0.8</formula>
    </cfRule>
    <cfRule type="cellIs" dxfId="1946" priority="3353" operator="between">
      <formula>0.8</formula>
      <formula>0.99999</formula>
    </cfRule>
    <cfRule type="cellIs" dxfId="1945" priority="3354" operator="between">
      <formula>1</formula>
      <formula>1.3</formula>
    </cfRule>
  </conditionalFormatting>
  <conditionalFormatting sqref="B1489">
    <cfRule type="cellIs" dxfId="1944" priority="3261" operator="greaterThan">
      <formula>1.5</formula>
    </cfRule>
    <cfRule type="cellIs" dxfId="1943" priority="3257" operator="lessThan">
      <formula>0.8</formula>
    </cfRule>
    <cfRule type="cellIs" dxfId="1942" priority="3258" operator="between">
      <formula>0.8</formula>
      <formula>0.99999</formula>
    </cfRule>
    <cfRule type="cellIs" dxfId="1941" priority="3259" operator="between">
      <formula>1</formula>
      <formula>1.3</formula>
    </cfRule>
    <cfRule type="cellIs" dxfId="1940" priority="3260" operator="between">
      <formula>1.3</formula>
      <formula>1.5</formula>
    </cfRule>
  </conditionalFormatting>
  <conditionalFormatting sqref="B1496">
    <cfRule type="cellIs" dxfId="1939" priority="3267" operator="lessThan">
      <formula>0.8</formula>
    </cfRule>
    <cfRule type="cellIs" dxfId="1938" priority="3271" operator="greaterThan">
      <formula>1.5</formula>
    </cfRule>
    <cfRule type="cellIs" dxfId="1937" priority="3270" operator="between">
      <formula>1.3</formula>
      <formula>1.5</formula>
    </cfRule>
    <cfRule type="cellIs" dxfId="1936" priority="3269" operator="between">
      <formula>1</formula>
      <formula>1.3</formula>
    </cfRule>
    <cfRule type="cellIs" dxfId="1935" priority="3268" operator="between">
      <formula>0.8</formula>
      <formula>0.99999</formula>
    </cfRule>
  </conditionalFormatting>
  <conditionalFormatting sqref="B1503">
    <cfRule type="cellIs" dxfId="1934" priority="3196" operator="greaterThan">
      <formula>1.5</formula>
    </cfRule>
    <cfRule type="cellIs" dxfId="1933" priority="3195" operator="between">
      <formula>1.3</formula>
      <formula>1.5</formula>
    </cfRule>
    <cfRule type="cellIs" dxfId="1932" priority="3194" operator="between">
      <formula>1</formula>
      <formula>1.3</formula>
    </cfRule>
    <cfRule type="cellIs" dxfId="1931" priority="3193" operator="between">
      <formula>0.8</formula>
      <formula>0.99999</formula>
    </cfRule>
    <cfRule type="cellIs" dxfId="1930" priority="3192" operator="lessThan">
      <formula>0.8</formula>
    </cfRule>
  </conditionalFormatting>
  <conditionalFormatting sqref="B1510">
    <cfRule type="cellIs" dxfId="1929" priority="3188" operator="between">
      <formula>0.8</formula>
      <formula>0.99999</formula>
    </cfRule>
    <cfRule type="cellIs" dxfId="1928" priority="3190" operator="between">
      <formula>1.3</formula>
      <formula>1.5</formula>
    </cfRule>
    <cfRule type="cellIs" dxfId="1927" priority="3187" operator="lessThan">
      <formula>0.8</formula>
    </cfRule>
    <cfRule type="cellIs" dxfId="1926" priority="3189" operator="between">
      <formula>1</formula>
      <formula>1.3</formula>
    </cfRule>
    <cfRule type="cellIs" dxfId="1925" priority="3191" operator="greaterThan">
      <formula>1.5</formula>
    </cfRule>
  </conditionalFormatting>
  <conditionalFormatting sqref="B1517">
    <cfRule type="cellIs" dxfId="1924" priority="3186" operator="greaterThan">
      <formula>1.5</formula>
    </cfRule>
    <cfRule type="cellIs" dxfId="1923" priority="3185" operator="between">
      <formula>1.3</formula>
      <formula>1.5</formula>
    </cfRule>
    <cfRule type="cellIs" dxfId="1922" priority="3184" operator="between">
      <formula>1</formula>
      <formula>1.3</formula>
    </cfRule>
    <cfRule type="cellIs" dxfId="1921" priority="3183" operator="between">
      <formula>0.8</formula>
      <formula>0.99999</formula>
    </cfRule>
    <cfRule type="cellIs" dxfId="1920" priority="3182" operator="lessThan">
      <formula>0.8</formula>
    </cfRule>
  </conditionalFormatting>
  <conditionalFormatting sqref="B1524">
    <cfRule type="cellIs" dxfId="1919" priority="3181" operator="greaterThan">
      <formula>1.5</formula>
    </cfRule>
    <cfRule type="cellIs" dxfId="1918" priority="3177" operator="lessThan">
      <formula>0.8</formula>
    </cfRule>
    <cfRule type="cellIs" dxfId="1917" priority="3180" operator="between">
      <formula>1.3</formula>
      <formula>1.5</formula>
    </cfRule>
    <cfRule type="cellIs" dxfId="1916" priority="3178" operator="between">
      <formula>0.8</formula>
      <formula>0.99999</formula>
    </cfRule>
    <cfRule type="cellIs" dxfId="1915" priority="3179" operator="between">
      <formula>1</formula>
      <formula>1.3</formula>
    </cfRule>
  </conditionalFormatting>
  <conditionalFormatting sqref="B1531">
    <cfRule type="cellIs" dxfId="1914" priority="3174" operator="between">
      <formula>1</formula>
      <formula>1.3</formula>
    </cfRule>
    <cfRule type="cellIs" dxfId="1913" priority="3176" operator="greaterThan">
      <formula>1.5</formula>
    </cfRule>
    <cfRule type="cellIs" dxfId="1912" priority="3175" operator="between">
      <formula>1.3</formula>
      <formula>1.5</formula>
    </cfRule>
    <cfRule type="cellIs" dxfId="1911" priority="3173" operator="between">
      <formula>0.8</formula>
      <formula>0.99999</formula>
    </cfRule>
    <cfRule type="cellIs" dxfId="1910" priority="3172" operator="lessThan">
      <formula>0.8</formula>
    </cfRule>
  </conditionalFormatting>
  <conditionalFormatting sqref="B1538">
    <cfRule type="cellIs" dxfId="1909" priority="3167" operator="lessThan">
      <formula>0.8</formula>
    </cfRule>
    <cfRule type="cellIs" dxfId="1908" priority="3171" operator="greaterThan">
      <formula>1.5</formula>
    </cfRule>
    <cfRule type="cellIs" dxfId="1907" priority="3170" operator="between">
      <formula>1.3</formula>
      <formula>1.5</formula>
    </cfRule>
    <cfRule type="cellIs" dxfId="1906" priority="3169" operator="between">
      <formula>1</formula>
      <formula>1.3</formula>
    </cfRule>
    <cfRule type="cellIs" dxfId="1905" priority="3168" operator="between">
      <formula>0.8</formula>
      <formula>0.99999</formula>
    </cfRule>
  </conditionalFormatting>
  <conditionalFormatting sqref="B1545">
    <cfRule type="cellIs" dxfId="1904" priority="3162" operator="lessThan">
      <formula>0.8</formula>
    </cfRule>
    <cfRule type="cellIs" dxfId="1903" priority="3163" operator="between">
      <formula>0.8</formula>
      <formula>0.99999</formula>
    </cfRule>
    <cfRule type="cellIs" dxfId="1902" priority="3164" operator="between">
      <formula>1</formula>
      <formula>1.3</formula>
    </cfRule>
    <cfRule type="cellIs" dxfId="1901" priority="3165" operator="between">
      <formula>1.3</formula>
      <formula>1.5</formula>
    </cfRule>
    <cfRule type="cellIs" dxfId="1900" priority="3166" operator="greaterThan">
      <formula>1.5</formula>
    </cfRule>
  </conditionalFormatting>
  <conditionalFormatting sqref="B1552">
    <cfRule type="cellIs" dxfId="1899" priority="3157" operator="lessThan">
      <formula>0.8</formula>
    </cfRule>
    <cfRule type="cellIs" dxfId="1898" priority="3158" operator="between">
      <formula>0.8</formula>
      <formula>0.99999</formula>
    </cfRule>
    <cfRule type="cellIs" dxfId="1897" priority="3159" operator="between">
      <formula>1</formula>
      <formula>1.3</formula>
    </cfRule>
    <cfRule type="cellIs" dxfId="1896" priority="3160" operator="between">
      <formula>1.3</formula>
      <formula>1.5</formula>
    </cfRule>
    <cfRule type="cellIs" dxfId="1895" priority="3161" operator="greaterThan">
      <formula>1.5</formula>
    </cfRule>
  </conditionalFormatting>
  <conditionalFormatting sqref="B1559">
    <cfRule type="cellIs" dxfId="1894" priority="3152" operator="lessThan">
      <formula>0.8</formula>
    </cfRule>
    <cfRule type="cellIs" dxfId="1893" priority="3156" operator="greaterThan">
      <formula>1.5</formula>
    </cfRule>
    <cfRule type="cellIs" dxfId="1892" priority="3155" operator="between">
      <formula>1.3</formula>
      <formula>1.5</formula>
    </cfRule>
    <cfRule type="cellIs" dxfId="1891" priority="3154" operator="between">
      <formula>1</formula>
      <formula>1.3</formula>
    </cfRule>
    <cfRule type="cellIs" dxfId="1890" priority="3153" operator="between">
      <formula>0.8</formula>
      <formula>0.99999</formula>
    </cfRule>
  </conditionalFormatting>
  <conditionalFormatting sqref="B1566">
    <cfRule type="cellIs" dxfId="1889" priority="3151" operator="greaterThan">
      <formula>1.5</formula>
    </cfRule>
    <cfRule type="cellIs" dxfId="1888" priority="3150" operator="between">
      <formula>1.3</formula>
      <formula>1.5</formula>
    </cfRule>
    <cfRule type="cellIs" dxfId="1887" priority="3149" operator="between">
      <formula>1</formula>
      <formula>1.3</formula>
    </cfRule>
    <cfRule type="cellIs" dxfId="1886" priority="3148" operator="between">
      <formula>0.8</formula>
      <formula>0.99999</formula>
    </cfRule>
    <cfRule type="cellIs" dxfId="1885" priority="3147" operator="lessThan">
      <formula>0.8</formula>
    </cfRule>
  </conditionalFormatting>
  <conditionalFormatting sqref="B1573">
    <cfRule type="cellIs" dxfId="1884" priority="3146" operator="greaterThan">
      <formula>1.5</formula>
    </cfRule>
    <cfRule type="cellIs" dxfId="1883" priority="3145" operator="between">
      <formula>1.3</formula>
      <formula>1.5</formula>
    </cfRule>
    <cfRule type="cellIs" dxfId="1882" priority="3144" operator="between">
      <formula>1</formula>
      <formula>1.3</formula>
    </cfRule>
    <cfRule type="cellIs" dxfId="1881" priority="3143" operator="between">
      <formula>0.8</formula>
      <formula>0.99999</formula>
    </cfRule>
    <cfRule type="cellIs" dxfId="1880" priority="3142" operator="lessThan">
      <formula>0.8</formula>
    </cfRule>
  </conditionalFormatting>
  <conditionalFormatting sqref="B1580">
    <cfRule type="cellIs" dxfId="1879" priority="3137" operator="lessThan">
      <formula>0.8</formula>
    </cfRule>
    <cfRule type="cellIs" dxfId="1878" priority="3141" operator="greaterThan">
      <formula>1.5</formula>
    </cfRule>
    <cfRule type="cellIs" dxfId="1877" priority="3140" operator="between">
      <formula>1.3</formula>
      <formula>1.5</formula>
    </cfRule>
    <cfRule type="cellIs" dxfId="1876" priority="3139" operator="between">
      <formula>1</formula>
      <formula>1.3</formula>
    </cfRule>
    <cfRule type="cellIs" dxfId="1875" priority="3138" operator="between">
      <formula>0.8</formula>
      <formula>0.99999</formula>
    </cfRule>
  </conditionalFormatting>
  <conditionalFormatting sqref="B1587">
    <cfRule type="cellIs" dxfId="1874" priority="3136" operator="greaterThan">
      <formula>1.5</formula>
    </cfRule>
    <cfRule type="cellIs" dxfId="1873" priority="3135" operator="between">
      <formula>1.3</formula>
      <formula>1.5</formula>
    </cfRule>
    <cfRule type="cellIs" dxfId="1872" priority="3134" operator="between">
      <formula>1</formula>
      <formula>1.3</formula>
    </cfRule>
    <cfRule type="cellIs" dxfId="1871" priority="3133" operator="between">
      <formula>0.8</formula>
      <formula>0.99999</formula>
    </cfRule>
    <cfRule type="cellIs" dxfId="1870" priority="3132" operator="lessThan">
      <formula>0.8</formula>
    </cfRule>
  </conditionalFormatting>
  <conditionalFormatting sqref="B1594">
    <cfRule type="cellIs" dxfId="1869" priority="3131" operator="greaterThan">
      <formula>1.5</formula>
    </cfRule>
    <cfRule type="cellIs" dxfId="1868" priority="3130" operator="between">
      <formula>1.3</formula>
      <formula>1.5</formula>
    </cfRule>
    <cfRule type="cellIs" dxfId="1867" priority="3129" operator="between">
      <formula>1</formula>
      <formula>1.3</formula>
    </cfRule>
    <cfRule type="cellIs" dxfId="1866" priority="3128" operator="between">
      <formula>0.8</formula>
      <formula>0.99999</formula>
    </cfRule>
    <cfRule type="cellIs" dxfId="1865" priority="3127" operator="lessThan">
      <formula>0.8</formula>
    </cfRule>
  </conditionalFormatting>
  <conditionalFormatting sqref="B1601">
    <cfRule type="cellIs" dxfId="1864" priority="3122" operator="lessThan">
      <formula>0.8</formula>
    </cfRule>
    <cfRule type="cellIs" dxfId="1863" priority="3126" operator="greaterThan">
      <formula>1.5</formula>
    </cfRule>
    <cfRule type="cellIs" dxfId="1862" priority="3125" operator="between">
      <formula>1.3</formula>
      <formula>1.5</formula>
    </cfRule>
    <cfRule type="cellIs" dxfId="1861" priority="3124" operator="between">
      <formula>1</formula>
      <formula>1.3</formula>
    </cfRule>
    <cfRule type="cellIs" dxfId="1860" priority="3123" operator="between">
      <formula>0.8</formula>
      <formula>0.99999</formula>
    </cfRule>
  </conditionalFormatting>
  <conditionalFormatting sqref="B1608">
    <cfRule type="cellIs" dxfId="1859" priority="3121" operator="greaterThan">
      <formula>1.5</formula>
    </cfRule>
    <cfRule type="cellIs" dxfId="1858" priority="3120" operator="between">
      <formula>1.3</formula>
      <formula>1.5</formula>
    </cfRule>
    <cfRule type="cellIs" dxfId="1857" priority="3119" operator="between">
      <formula>1</formula>
      <formula>1.3</formula>
    </cfRule>
    <cfRule type="cellIs" dxfId="1856" priority="3118" operator="between">
      <formula>0.8</formula>
      <formula>0.99999</formula>
    </cfRule>
    <cfRule type="cellIs" dxfId="1855" priority="3117" operator="lessThan">
      <formula>0.8</formula>
    </cfRule>
  </conditionalFormatting>
  <conditionalFormatting sqref="B1615">
    <cfRule type="cellIs" dxfId="1854" priority="3116" operator="greaterThan">
      <formula>1.5</formula>
    </cfRule>
    <cfRule type="cellIs" dxfId="1853" priority="3115" operator="between">
      <formula>1.3</formula>
      <formula>1.5</formula>
    </cfRule>
    <cfRule type="cellIs" dxfId="1852" priority="3114" operator="between">
      <formula>1</formula>
      <formula>1.3</formula>
    </cfRule>
    <cfRule type="cellIs" dxfId="1851" priority="3113" operator="between">
      <formula>0.8</formula>
      <formula>0.99999</formula>
    </cfRule>
    <cfRule type="cellIs" dxfId="1850" priority="3112" operator="lessThan">
      <formula>0.8</formula>
    </cfRule>
  </conditionalFormatting>
  <conditionalFormatting sqref="B1622">
    <cfRule type="cellIs" dxfId="1849" priority="3107" operator="lessThan">
      <formula>0.8</formula>
    </cfRule>
    <cfRule type="cellIs" dxfId="1848" priority="3111" operator="greaterThan">
      <formula>1.5</formula>
    </cfRule>
    <cfRule type="cellIs" dxfId="1847" priority="3110" operator="between">
      <formula>1.3</formula>
      <formula>1.5</formula>
    </cfRule>
    <cfRule type="cellIs" dxfId="1846" priority="3109" operator="between">
      <formula>1</formula>
      <formula>1.3</formula>
    </cfRule>
    <cfRule type="cellIs" dxfId="1845" priority="3108" operator="between">
      <formula>0.8</formula>
      <formula>0.99999</formula>
    </cfRule>
  </conditionalFormatting>
  <conditionalFormatting sqref="B1629">
    <cfRule type="cellIs" dxfId="1844" priority="3106" operator="greaterThan">
      <formula>1.5</formula>
    </cfRule>
    <cfRule type="cellIs" dxfId="1843" priority="3105" operator="between">
      <formula>1.3</formula>
      <formula>1.5</formula>
    </cfRule>
    <cfRule type="cellIs" dxfId="1842" priority="3104" operator="between">
      <formula>1</formula>
      <formula>1.3</formula>
    </cfRule>
    <cfRule type="cellIs" dxfId="1841" priority="3103" operator="between">
      <formula>0.8</formula>
      <formula>0.99999</formula>
    </cfRule>
    <cfRule type="cellIs" dxfId="1840" priority="3102" operator="lessThan">
      <formula>0.8</formula>
    </cfRule>
  </conditionalFormatting>
  <conditionalFormatting sqref="B1636 B1643 B1650 B1657 B1664 B1671 B1678 B1685 B1692 B1699 B1706 B1713 B1720 B1727 B1734 B1741 B1748 B1755 B1762 B1825 B1832">
    <cfRule type="cellIs" dxfId="1839" priority="3452" operator="greaterThan">
      <formula>1.5</formula>
    </cfRule>
    <cfRule type="cellIs" dxfId="1838" priority="3451" operator="between">
      <formula>1.3</formula>
      <formula>1.5</formula>
    </cfRule>
    <cfRule type="cellIs" dxfId="1837" priority="3450" operator="between">
      <formula>1</formula>
      <formula>1.3</formula>
    </cfRule>
    <cfRule type="cellIs" dxfId="1836" priority="3449" operator="between">
      <formula>0.8</formula>
      <formula>0.99999</formula>
    </cfRule>
    <cfRule type="cellIs" dxfId="1835" priority="3448" operator="lessThan">
      <formula>0.8</formula>
    </cfRule>
  </conditionalFormatting>
  <conditionalFormatting sqref="B1769">
    <cfRule type="cellIs" dxfId="1834" priority="3031" operator="between">
      <formula>0.8</formula>
      <formula>0.99999</formula>
    </cfRule>
    <cfRule type="cellIs" dxfId="1833" priority="3030" operator="lessThan">
      <formula>0.8</formula>
    </cfRule>
    <cfRule type="cellIs" dxfId="1832" priority="3034" operator="greaterThan">
      <formula>1.5</formula>
    </cfRule>
    <cfRule type="cellIs" dxfId="1831" priority="3033" operator="between">
      <formula>1.3</formula>
      <formula>1.5</formula>
    </cfRule>
    <cfRule type="cellIs" dxfId="1830" priority="3032" operator="between">
      <formula>1</formula>
      <formula>1.3</formula>
    </cfRule>
  </conditionalFormatting>
  <conditionalFormatting sqref="B1776">
    <cfRule type="cellIs" dxfId="1829" priority="2997" operator="between">
      <formula>1</formula>
      <formula>1.3</formula>
    </cfRule>
    <cfRule type="cellIs" dxfId="1828" priority="2996" operator="between">
      <formula>0.8</formula>
      <formula>0.99999</formula>
    </cfRule>
    <cfRule type="cellIs" dxfId="1827" priority="2995" operator="lessThan">
      <formula>0.8</formula>
    </cfRule>
    <cfRule type="cellIs" dxfId="1826" priority="2999" operator="greaterThan">
      <formula>1.5</formula>
    </cfRule>
    <cfRule type="cellIs" dxfId="1825" priority="2998" operator="between">
      <formula>1.3</formula>
      <formula>1.5</formula>
    </cfRule>
  </conditionalFormatting>
  <conditionalFormatting sqref="B1783">
    <cfRule type="cellIs" dxfId="1824" priority="3001" operator="between">
      <formula>0.8</formula>
      <formula>0.99999</formula>
    </cfRule>
    <cfRule type="cellIs" dxfId="1823" priority="3000" operator="lessThan">
      <formula>0.8</formula>
    </cfRule>
    <cfRule type="cellIs" dxfId="1822" priority="3004" operator="greaterThan">
      <formula>1.5</formula>
    </cfRule>
    <cfRule type="cellIs" dxfId="1821" priority="3003" operator="between">
      <formula>1.3</formula>
      <formula>1.5</formula>
    </cfRule>
    <cfRule type="cellIs" dxfId="1820" priority="3002" operator="between">
      <formula>1</formula>
      <formula>1.3</formula>
    </cfRule>
  </conditionalFormatting>
  <conditionalFormatting sqref="B1790">
    <cfRule type="cellIs" dxfId="1819" priority="3009" operator="greaterThan">
      <formula>1.5</formula>
    </cfRule>
    <cfRule type="cellIs" dxfId="1818" priority="3008" operator="between">
      <formula>1.3</formula>
      <formula>1.5</formula>
    </cfRule>
    <cfRule type="cellIs" dxfId="1817" priority="3007" operator="between">
      <formula>1</formula>
      <formula>1.3</formula>
    </cfRule>
    <cfRule type="cellIs" dxfId="1816" priority="3006" operator="between">
      <formula>0.8</formula>
      <formula>0.99999</formula>
    </cfRule>
    <cfRule type="cellIs" dxfId="1815" priority="3005" operator="lessThan">
      <formula>0.8</formula>
    </cfRule>
  </conditionalFormatting>
  <conditionalFormatting sqref="B1797">
    <cfRule type="cellIs" dxfId="1814" priority="3010" operator="lessThan">
      <formula>0.8</formula>
    </cfRule>
    <cfRule type="cellIs" dxfId="1813" priority="3014" operator="greaterThan">
      <formula>1.5</formula>
    </cfRule>
    <cfRule type="cellIs" dxfId="1812" priority="3013" operator="between">
      <formula>1.3</formula>
      <formula>1.5</formula>
    </cfRule>
    <cfRule type="cellIs" dxfId="1811" priority="3012" operator="between">
      <formula>1</formula>
      <formula>1.3</formula>
    </cfRule>
    <cfRule type="cellIs" dxfId="1810" priority="3011" operator="between">
      <formula>0.8</formula>
      <formula>0.99999</formula>
    </cfRule>
  </conditionalFormatting>
  <conditionalFormatting sqref="B1804">
    <cfRule type="cellIs" dxfId="1809" priority="2981" operator="between">
      <formula>0.8</formula>
      <formula>0.99999</formula>
    </cfRule>
    <cfRule type="cellIs" dxfId="1808" priority="2980" operator="lessThan">
      <formula>0.8</formula>
    </cfRule>
    <cfRule type="cellIs" dxfId="1807" priority="2984" operator="greaterThan">
      <formula>1.5</formula>
    </cfRule>
    <cfRule type="cellIs" dxfId="1806" priority="2983" operator="between">
      <formula>1.3</formula>
      <formula>1.5</formula>
    </cfRule>
    <cfRule type="cellIs" dxfId="1805" priority="2982" operator="between">
      <formula>1</formula>
      <formula>1.3</formula>
    </cfRule>
  </conditionalFormatting>
  <conditionalFormatting sqref="B1811">
    <cfRule type="cellIs" dxfId="1804" priority="2979" operator="greaterThan">
      <formula>1.5</formula>
    </cfRule>
    <cfRule type="cellIs" dxfId="1803" priority="2978" operator="between">
      <formula>1.3</formula>
      <formula>1.5</formula>
    </cfRule>
    <cfRule type="cellIs" dxfId="1802" priority="2977" operator="between">
      <formula>1</formula>
      <formula>1.3</formula>
    </cfRule>
    <cfRule type="cellIs" dxfId="1801" priority="2976" operator="between">
      <formula>0.8</formula>
      <formula>0.99999</formula>
    </cfRule>
    <cfRule type="cellIs" dxfId="1800" priority="2975" operator="lessThan">
      <formula>0.8</formula>
    </cfRule>
  </conditionalFormatting>
  <conditionalFormatting sqref="B1818">
    <cfRule type="cellIs" dxfId="1799" priority="2989" operator="greaterThan">
      <formula>1.5</formula>
    </cfRule>
    <cfRule type="cellIs" dxfId="1798" priority="2988" operator="between">
      <formula>1.3</formula>
      <formula>1.5</formula>
    </cfRule>
    <cfRule type="cellIs" dxfId="1797" priority="2987" operator="between">
      <formula>1</formula>
      <formula>1.3</formula>
    </cfRule>
    <cfRule type="cellIs" dxfId="1796" priority="2986" operator="between">
      <formula>0.8</formula>
      <formula>0.99999</formula>
    </cfRule>
    <cfRule type="cellIs" dxfId="1795" priority="2985" operator="lessThan">
      <formula>0.8</formula>
    </cfRule>
  </conditionalFormatting>
  <conditionalFormatting sqref="B1839">
    <cfRule type="cellIs" dxfId="1794" priority="3337" operator="lessThan">
      <formula>0.8</formula>
    </cfRule>
    <cfRule type="cellIs" dxfId="1793" priority="3338" operator="between">
      <formula>0.8</formula>
      <formula>0.99999</formula>
    </cfRule>
    <cfRule type="cellIs" dxfId="1792" priority="3339" operator="between">
      <formula>1</formula>
      <formula>1.3</formula>
    </cfRule>
    <cfRule type="cellIs" dxfId="1791" priority="3341" operator="greaterThan">
      <formula>1.5</formula>
    </cfRule>
    <cfRule type="cellIs" dxfId="1790" priority="3340" operator="between">
      <formula>1.3</formula>
      <formula>1.5</formula>
    </cfRule>
  </conditionalFormatting>
  <conditionalFormatting sqref="B1841">
    <cfRule type="cellIs" dxfId="1789" priority="2891" operator="lessThan">
      <formula>35</formula>
    </cfRule>
    <cfRule type="cellIs" dxfId="1788" priority="2890" operator="between">
      <formula>35</formula>
      <formula>50</formula>
    </cfRule>
    <cfRule type="cellIs" dxfId="1787" priority="2889" operator="greaterThan">
      <formula>50</formula>
    </cfRule>
  </conditionalFormatting>
  <conditionalFormatting sqref="B1842">
    <cfRule type="cellIs" dxfId="1786" priority="2888" operator="lessThan">
      <formula>250</formula>
    </cfRule>
    <cfRule type="cellIs" dxfId="1785" priority="2887" operator="between">
      <formula>250</formula>
      <formula>350</formula>
    </cfRule>
    <cfRule type="cellIs" dxfId="1784" priority="2886" operator="greaterThan">
      <formula>350</formula>
    </cfRule>
  </conditionalFormatting>
  <conditionalFormatting sqref="B1843">
    <cfRule type="cellIs" dxfId="1783" priority="2885" operator="greaterThan">
      <formula>1.5</formula>
    </cfRule>
    <cfRule type="cellIs" dxfId="1782" priority="2884" operator="between">
      <formula>1.3</formula>
      <formula>1.5</formula>
    </cfRule>
    <cfRule type="cellIs" dxfId="1781" priority="2883" operator="between">
      <formula>1</formula>
      <formula>1.3</formula>
    </cfRule>
    <cfRule type="cellIs" dxfId="1780" priority="2882" operator="between">
      <formula>0.8</formula>
      <formula>0.99999</formula>
    </cfRule>
    <cfRule type="cellIs" dxfId="1779" priority="2881" operator="lessThan">
      <formula>0.8</formula>
    </cfRule>
  </conditionalFormatting>
  <conditionalFormatting sqref="B1845">
    <cfRule type="cellIs" dxfId="1778" priority="2224" operator="between">
      <formula>1.5</formula>
      <formula>1.6</formula>
    </cfRule>
    <cfRule type="cellIs" dxfId="1777" priority="2223" operator="greaterThan">
      <formula>1.6</formula>
    </cfRule>
    <cfRule type="cellIs" dxfId="1776" priority="2225" operator="lessThan">
      <formula>1.5</formula>
    </cfRule>
  </conditionalFormatting>
  <conditionalFormatting sqref="B1846">
    <cfRule type="cellIs" dxfId="1775" priority="1489" operator="between">
      <formula>200</formula>
      <formula>499</formula>
    </cfRule>
    <cfRule type="cellIs" dxfId="1774" priority="1490" operator="between">
      <formula>1</formula>
      <formula>199</formula>
    </cfRule>
    <cfRule type="cellIs" dxfId="1773" priority="1488" operator="between">
      <formula>500</formula>
      <formula>10000</formula>
    </cfRule>
  </conditionalFormatting>
  <conditionalFormatting sqref="B1848">
    <cfRule type="cellIs" dxfId="1772" priority="2222" operator="lessThan">
      <formula>35</formula>
    </cfRule>
    <cfRule type="cellIs" dxfId="1771" priority="2221" operator="between">
      <formula>35</formula>
      <formula>50</formula>
    </cfRule>
    <cfRule type="cellIs" dxfId="1770" priority="2220" operator="greaterThan">
      <formula>50</formula>
    </cfRule>
  </conditionalFormatting>
  <conditionalFormatting sqref="B1849">
    <cfRule type="cellIs" dxfId="1769" priority="2219" operator="lessThan">
      <formula>250</formula>
    </cfRule>
    <cfRule type="cellIs" dxfId="1768" priority="2218" operator="between">
      <formula>250</formula>
      <formula>350</formula>
    </cfRule>
    <cfRule type="cellIs" dxfId="1767" priority="2217" operator="greaterThan">
      <formula>350</formula>
    </cfRule>
  </conditionalFormatting>
  <conditionalFormatting sqref="B1850">
    <cfRule type="cellIs" dxfId="1766" priority="2216" operator="greaterThan">
      <formula>1.5</formula>
    </cfRule>
    <cfRule type="cellIs" dxfId="1765" priority="2215" operator="between">
      <formula>1.3</formula>
      <formula>1.5</formula>
    </cfRule>
    <cfRule type="cellIs" dxfId="1764" priority="2214" operator="between">
      <formula>1</formula>
      <formula>1.3</formula>
    </cfRule>
    <cfRule type="cellIs" dxfId="1763" priority="2213" operator="between">
      <formula>0.8</formula>
      <formula>0.99999</formula>
    </cfRule>
    <cfRule type="cellIs" dxfId="1762" priority="2212" operator="lessThan">
      <formula>0.8</formula>
    </cfRule>
  </conditionalFormatting>
  <conditionalFormatting sqref="B1852">
    <cfRule type="cellIs" dxfId="1761" priority="2211" operator="lessThan">
      <formula>1.5</formula>
    </cfRule>
    <cfRule type="cellIs" dxfId="1760" priority="2210" operator="between">
      <formula>1.5</formula>
      <formula>1.6</formula>
    </cfRule>
    <cfRule type="cellIs" dxfId="1759" priority="2209" operator="greaterThan">
      <formula>1.6</formula>
    </cfRule>
  </conditionalFormatting>
  <conditionalFormatting sqref="B1853">
    <cfRule type="cellIs" dxfId="1758" priority="1487" operator="between">
      <formula>1</formula>
      <formula>199</formula>
    </cfRule>
    <cfRule type="cellIs" dxfId="1757" priority="1486" operator="between">
      <formula>200</formula>
      <formula>499</formula>
    </cfRule>
    <cfRule type="cellIs" dxfId="1756" priority="1485" operator="between">
      <formula>500</formula>
      <formula>10000</formula>
    </cfRule>
  </conditionalFormatting>
  <conditionalFormatting sqref="B1855">
    <cfRule type="cellIs" dxfId="1755" priority="2208" operator="lessThan">
      <formula>35</formula>
    </cfRule>
    <cfRule type="cellIs" dxfId="1754" priority="2207" operator="between">
      <formula>35</formula>
      <formula>50</formula>
    </cfRule>
    <cfRule type="cellIs" dxfId="1753" priority="2206" operator="greaterThan">
      <formula>50</formula>
    </cfRule>
  </conditionalFormatting>
  <conditionalFormatting sqref="B1856">
    <cfRule type="cellIs" dxfId="1752" priority="2204" operator="between">
      <formula>250</formula>
      <formula>350</formula>
    </cfRule>
    <cfRule type="cellIs" dxfId="1751" priority="2205" operator="lessThan">
      <formula>250</formula>
    </cfRule>
    <cfRule type="cellIs" dxfId="1750" priority="2203" operator="greaterThan">
      <formula>350</formula>
    </cfRule>
  </conditionalFormatting>
  <conditionalFormatting sqref="B1857">
    <cfRule type="cellIs" dxfId="1749" priority="2198" operator="lessThan">
      <formula>0.8</formula>
    </cfRule>
    <cfRule type="cellIs" dxfId="1748" priority="2199" operator="between">
      <formula>0.8</formula>
      <formula>0.99999</formula>
    </cfRule>
    <cfRule type="cellIs" dxfId="1747" priority="2202" operator="greaterThan">
      <formula>1.5</formula>
    </cfRule>
    <cfRule type="cellIs" dxfId="1746" priority="2201" operator="between">
      <formula>1.3</formula>
      <formula>1.5</formula>
    </cfRule>
    <cfRule type="cellIs" dxfId="1745" priority="2200" operator="between">
      <formula>1</formula>
      <formula>1.3</formula>
    </cfRule>
  </conditionalFormatting>
  <conditionalFormatting sqref="B1859">
    <cfRule type="cellIs" dxfId="1744" priority="2196" operator="between">
      <formula>1.5</formula>
      <formula>1.6</formula>
    </cfRule>
    <cfRule type="cellIs" dxfId="1743" priority="2195" operator="greaterThan">
      <formula>1.6</formula>
    </cfRule>
    <cfRule type="cellIs" dxfId="1742" priority="2197" operator="lessThan">
      <formula>1.5</formula>
    </cfRule>
  </conditionalFormatting>
  <conditionalFormatting sqref="B1860">
    <cfRule type="cellIs" dxfId="1741" priority="1483" operator="between">
      <formula>200</formula>
      <formula>499</formula>
    </cfRule>
    <cfRule type="cellIs" dxfId="1740" priority="1482" operator="between">
      <formula>500</formula>
      <formula>10000</formula>
    </cfRule>
    <cfRule type="cellIs" dxfId="1739" priority="1484" operator="between">
      <formula>1</formula>
      <formula>199</formula>
    </cfRule>
  </conditionalFormatting>
  <conditionalFormatting sqref="B1862">
    <cfRule type="cellIs" dxfId="1738" priority="2194" operator="lessThan">
      <formula>35</formula>
    </cfRule>
    <cfRule type="cellIs" dxfId="1737" priority="2193" operator="between">
      <formula>35</formula>
      <formula>50</formula>
    </cfRule>
    <cfRule type="cellIs" dxfId="1736" priority="2192" operator="greaterThan">
      <formula>50</formula>
    </cfRule>
  </conditionalFormatting>
  <conditionalFormatting sqref="B1863">
    <cfRule type="cellIs" dxfId="1735" priority="2191" operator="lessThan">
      <formula>250</formula>
    </cfRule>
    <cfRule type="cellIs" dxfId="1734" priority="2190" operator="between">
      <formula>250</formula>
      <formula>350</formula>
    </cfRule>
    <cfRule type="cellIs" dxfId="1733" priority="2189" operator="greaterThan">
      <formula>350</formula>
    </cfRule>
  </conditionalFormatting>
  <conditionalFormatting sqref="B1864">
    <cfRule type="cellIs" dxfId="1732" priority="2185" operator="between">
      <formula>0.8</formula>
      <formula>0.99999</formula>
    </cfRule>
    <cfRule type="cellIs" dxfId="1731" priority="2184" operator="lessThan">
      <formula>0.8</formula>
    </cfRule>
    <cfRule type="cellIs" dxfId="1730" priority="2186" operator="between">
      <formula>1</formula>
      <formula>1.3</formula>
    </cfRule>
    <cfRule type="cellIs" dxfId="1729" priority="2187" operator="between">
      <formula>1.3</formula>
      <formula>1.5</formula>
    </cfRule>
    <cfRule type="cellIs" dxfId="1728" priority="2188" operator="greaterThan">
      <formula>1.5</formula>
    </cfRule>
  </conditionalFormatting>
  <conditionalFormatting sqref="B1866">
    <cfRule type="cellIs" dxfId="1727" priority="2181" operator="greaterThan">
      <formula>1.6</formula>
    </cfRule>
    <cfRule type="cellIs" dxfId="1726" priority="2182" operator="between">
      <formula>1.5</formula>
      <formula>1.6</formula>
    </cfRule>
    <cfRule type="cellIs" dxfId="1725" priority="2183" operator="lessThan">
      <formula>1.5</formula>
    </cfRule>
  </conditionalFormatting>
  <conditionalFormatting sqref="B1867">
    <cfRule type="cellIs" dxfId="1724" priority="1480" operator="between">
      <formula>200</formula>
      <formula>499</formula>
    </cfRule>
    <cfRule type="cellIs" dxfId="1723" priority="1479" operator="between">
      <formula>500</formula>
      <formula>10000</formula>
    </cfRule>
    <cfRule type="cellIs" dxfId="1722" priority="1481" operator="between">
      <formula>1</formula>
      <formula>199</formula>
    </cfRule>
  </conditionalFormatting>
  <conditionalFormatting sqref="B1869">
    <cfRule type="cellIs" dxfId="1721" priority="2178" operator="greaterThan">
      <formula>50</formula>
    </cfRule>
    <cfRule type="cellIs" dxfId="1720" priority="2179" operator="between">
      <formula>35</formula>
      <formula>50</formula>
    </cfRule>
    <cfRule type="cellIs" dxfId="1719" priority="2180" operator="lessThan">
      <formula>35</formula>
    </cfRule>
  </conditionalFormatting>
  <conditionalFormatting sqref="B1870">
    <cfRule type="cellIs" dxfId="1718" priority="2175" operator="greaterThan">
      <formula>350</formula>
    </cfRule>
    <cfRule type="cellIs" dxfId="1717" priority="2176" operator="between">
      <formula>250</formula>
      <formula>350</formula>
    </cfRule>
    <cfRule type="cellIs" dxfId="1716" priority="2177" operator="lessThan">
      <formula>250</formula>
    </cfRule>
  </conditionalFormatting>
  <conditionalFormatting sqref="B1871">
    <cfRule type="cellIs" dxfId="1715" priority="2174" operator="greaterThan">
      <formula>1.5</formula>
    </cfRule>
    <cfRule type="cellIs" dxfId="1714" priority="2171" operator="between">
      <formula>0.8</formula>
      <formula>0.99999</formula>
    </cfRule>
    <cfRule type="cellIs" dxfId="1713" priority="2173" operator="between">
      <formula>1.3</formula>
      <formula>1.5</formula>
    </cfRule>
    <cfRule type="cellIs" dxfId="1712" priority="2170" operator="lessThan">
      <formula>0.8</formula>
    </cfRule>
    <cfRule type="cellIs" dxfId="1711" priority="2172" operator="between">
      <formula>1</formula>
      <formula>1.3</formula>
    </cfRule>
  </conditionalFormatting>
  <conditionalFormatting sqref="B1873">
    <cfRule type="cellIs" dxfId="1710" priority="2168" operator="between">
      <formula>1.5</formula>
      <formula>1.6</formula>
    </cfRule>
    <cfRule type="cellIs" dxfId="1709" priority="2167" operator="greaterThan">
      <formula>1.6</formula>
    </cfRule>
    <cfRule type="cellIs" dxfId="1708" priority="2169" operator="lessThan">
      <formula>1.5</formula>
    </cfRule>
  </conditionalFormatting>
  <conditionalFormatting sqref="B1874">
    <cfRule type="cellIs" dxfId="1707" priority="1478" operator="between">
      <formula>1</formula>
      <formula>199</formula>
    </cfRule>
    <cfRule type="cellIs" dxfId="1706" priority="1477" operator="between">
      <formula>200</formula>
      <formula>499</formula>
    </cfRule>
    <cfRule type="cellIs" dxfId="1705" priority="1476" operator="between">
      <formula>500</formula>
      <formula>10000</formula>
    </cfRule>
  </conditionalFormatting>
  <conditionalFormatting sqref="B1876">
    <cfRule type="cellIs" dxfId="1704" priority="2166" operator="lessThan">
      <formula>35</formula>
    </cfRule>
    <cfRule type="cellIs" dxfId="1703" priority="2165" operator="between">
      <formula>35</formula>
      <formula>50</formula>
    </cfRule>
    <cfRule type="cellIs" dxfId="1702" priority="2164" operator="greaterThan">
      <formula>50</formula>
    </cfRule>
  </conditionalFormatting>
  <conditionalFormatting sqref="B1877">
    <cfRule type="cellIs" dxfId="1701" priority="2162" operator="between">
      <formula>250</formula>
      <formula>350</formula>
    </cfRule>
    <cfRule type="cellIs" dxfId="1700" priority="2161" operator="greaterThan">
      <formula>350</formula>
    </cfRule>
    <cfRule type="cellIs" dxfId="1699" priority="2163" operator="lessThan">
      <formula>250</formula>
    </cfRule>
  </conditionalFormatting>
  <conditionalFormatting sqref="B1878">
    <cfRule type="cellIs" dxfId="1698" priority="2160" operator="greaterThan">
      <formula>1.5</formula>
    </cfRule>
    <cfRule type="cellIs" dxfId="1697" priority="2159" operator="between">
      <formula>1.3</formula>
      <formula>1.5</formula>
    </cfRule>
    <cfRule type="cellIs" dxfId="1696" priority="2158" operator="between">
      <formula>1</formula>
      <formula>1.3</formula>
    </cfRule>
    <cfRule type="cellIs" dxfId="1695" priority="2157" operator="between">
      <formula>0.8</formula>
      <formula>0.99999</formula>
    </cfRule>
    <cfRule type="cellIs" dxfId="1694" priority="2156" operator="lessThan">
      <formula>0.8</formula>
    </cfRule>
  </conditionalFormatting>
  <conditionalFormatting sqref="B1880">
    <cfRule type="cellIs" dxfId="1693" priority="2155" operator="lessThan">
      <formula>1.5</formula>
    </cfRule>
    <cfRule type="cellIs" dxfId="1692" priority="2154" operator="between">
      <formula>1.5</formula>
      <formula>1.6</formula>
    </cfRule>
    <cfRule type="cellIs" dxfId="1691" priority="2153" operator="greaterThan">
      <formula>1.6</formula>
    </cfRule>
  </conditionalFormatting>
  <conditionalFormatting sqref="B1881">
    <cfRule type="cellIs" dxfId="1690" priority="1473" operator="between">
      <formula>500</formula>
      <formula>10000</formula>
    </cfRule>
    <cfRule type="cellIs" dxfId="1689" priority="1475" operator="between">
      <formula>1</formula>
      <formula>199</formula>
    </cfRule>
    <cfRule type="cellIs" dxfId="1688" priority="1474" operator="between">
      <formula>200</formula>
      <formula>499</formula>
    </cfRule>
  </conditionalFormatting>
  <conditionalFormatting sqref="B1883">
    <cfRule type="cellIs" dxfId="1687" priority="2150" operator="greaterThan">
      <formula>50</formula>
    </cfRule>
    <cfRule type="cellIs" dxfId="1686" priority="2151" operator="between">
      <formula>35</formula>
      <formula>50</formula>
    </cfRule>
    <cfRule type="cellIs" dxfId="1685" priority="2152" operator="lessThan">
      <formula>35</formula>
    </cfRule>
  </conditionalFormatting>
  <conditionalFormatting sqref="B1884">
    <cfRule type="cellIs" dxfId="1684" priority="2149" operator="lessThan">
      <formula>250</formula>
    </cfRule>
    <cfRule type="cellIs" dxfId="1683" priority="2147" operator="greaterThan">
      <formula>350</formula>
    </cfRule>
    <cfRule type="cellIs" dxfId="1682" priority="2148" operator="between">
      <formula>250</formula>
      <formula>350</formula>
    </cfRule>
  </conditionalFormatting>
  <conditionalFormatting sqref="B1885">
    <cfRule type="cellIs" dxfId="1681" priority="2142" operator="lessThan">
      <formula>0.8</formula>
    </cfRule>
    <cfRule type="cellIs" dxfId="1680" priority="2143" operator="between">
      <formula>0.8</formula>
      <formula>0.99999</formula>
    </cfRule>
    <cfRule type="cellIs" dxfId="1679" priority="2144" operator="between">
      <formula>1</formula>
      <formula>1.3</formula>
    </cfRule>
    <cfRule type="cellIs" dxfId="1678" priority="2145" operator="between">
      <formula>1.3</formula>
      <formula>1.5</formula>
    </cfRule>
    <cfRule type="cellIs" dxfId="1677" priority="2146" operator="greaterThan">
      <formula>1.5</formula>
    </cfRule>
  </conditionalFormatting>
  <conditionalFormatting sqref="B1887">
    <cfRule type="cellIs" dxfId="1676" priority="2139" operator="greaterThan">
      <formula>1.6</formula>
    </cfRule>
    <cfRule type="cellIs" dxfId="1675" priority="2140" operator="between">
      <formula>1.5</formula>
      <formula>1.6</formula>
    </cfRule>
    <cfRule type="cellIs" dxfId="1674" priority="2141" operator="lessThan">
      <formula>1.5</formula>
    </cfRule>
  </conditionalFormatting>
  <conditionalFormatting sqref="B1888">
    <cfRule type="cellIs" dxfId="1673" priority="1472" operator="between">
      <formula>1</formula>
      <formula>199</formula>
    </cfRule>
    <cfRule type="cellIs" dxfId="1672" priority="1471" operator="between">
      <formula>200</formula>
      <formula>499</formula>
    </cfRule>
    <cfRule type="cellIs" dxfId="1671" priority="1470" operator="between">
      <formula>500</formula>
      <formula>10000</formula>
    </cfRule>
  </conditionalFormatting>
  <conditionalFormatting sqref="B1890">
    <cfRule type="cellIs" dxfId="1670" priority="2136" operator="greaterThan">
      <formula>50</formula>
    </cfRule>
    <cfRule type="cellIs" dxfId="1669" priority="2137" operator="between">
      <formula>35</formula>
      <formula>50</formula>
    </cfRule>
    <cfRule type="cellIs" dxfId="1668" priority="2138" operator="lessThan">
      <formula>35</formula>
    </cfRule>
  </conditionalFormatting>
  <conditionalFormatting sqref="B1891">
    <cfRule type="cellIs" dxfId="1667" priority="2134" operator="between">
      <formula>250</formula>
      <formula>350</formula>
    </cfRule>
    <cfRule type="cellIs" dxfId="1666" priority="2135" operator="lessThan">
      <formula>250</formula>
    </cfRule>
    <cfRule type="cellIs" dxfId="1665" priority="2133" operator="greaterThan">
      <formula>350</formula>
    </cfRule>
  </conditionalFormatting>
  <conditionalFormatting sqref="B1892">
    <cfRule type="cellIs" dxfId="1664" priority="2131" operator="between">
      <formula>1.3</formula>
      <formula>1.5</formula>
    </cfRule>
    <cfRule type="cellIs" dxfId="1663" priority="2132" operator="greaterThan">
      <formula>1.5</formula>
    </cfRule>
    <cfRule type="cellIs" dxfId="1662" priority="2128" operator="lessThan">
      <formula>0.8</formula>
    </cfRule>
    <cfRule type="cellIs" dxfId="1661" priority="2129" operator="between">
      <formula>0.8</formula>
      <formula>0.99999</formula>
    </cfRule>
    <cfRule type="cellIs" dxfId="1660" priority="2130" operator="between">
      <formula>1</formula>
      <formula>1.3</formula>
    </cfRule>
  </conditionalFormatting>
  <conditionalFormatting sqref="B1894">
    <cfRule type="cellIs" dxfId="1659" priority="2125" operator="greaterThan">
      <formula>1.6</formula>
    </cfRule>
    <cfRule type="cellIs" dxfId="1658" priority="2126" operator="between">
      <formula>1.5</formula>
      <formula>1.6</formula>
    </cfRule>
    <cfRule type="cellIs" dxfId="1657" priority="2127" operator="lessThan">
      <formula>1.5</formula>
    </cfRule>
  </conditionalFormatting>
  <conditionalFormatting sqref="B1895">
    <cfRule type="cellIs" dxfId="1656" priority="1467" operator="between">
      <formula>500</formula>
      <formula>10000</formula>
    </cfRule>
    <cfRule type="cellIs" dxfId="1655" priority="1468" operator="between">
      <formula>200</formula>
      <formula>499</formula>
    </cfRule>
    <cfRule type="cellIs" dxfId="1654" priority="1469" operator="between">
      <formula>1</formula>
      <formula>199</formula>
    </cfRule>
  </conditionalFormatting>
  <conditionalFormatting sqref="B1897">
    <cfRule type="cellIs" dxfId="1653" priority="2122" operator="greaterThan">
      <formula>50</formula>
    </cfRule>
    <cfRule type="cellIs" dxfId="1652" priority="2123" operator="between">
      <formula>35</formula>
      <formula>50</formula>
    </cfRule>
    <cfRule type="cellIs" dxfId="1651" priority="2124" operator="lessThan">
      <formula>35</formula>
    </cfRule>
  </conditionalFormatting>
  <conditionalFormatting sqref="B1898">
    <cfRule type="cellIs" dxfId="1650" priority="2119" operator="greaterThan">
      <formula>350</formula>
    </cfRule>
    <cfRule type="cellIs" dxfId="1649" priority="2120" operator="between">
      <formula>250</formula>
      <formula>350</formula>
    </cfRule>
    <cfRule type="cellIs" dxfId="1648" priority="2121" operator="lessThan">
      <formula>250</formula>
    </cfRule>
  </conditionalFormatting>
  <conditionalFormatting sqref="B1899">
    <cfRule type="cellIs" dxfId="1647" priority="2118" operator="greaterThan">
      <formula>1.5</formula>
    </cfRule>
    <cfRule type="cellIs" dxfId="1646" priority="2114" operator="lessThan">
      <formula>0.8</formula>
    </cfRule>
    <cfRule type="cellIs" dxfId="1645" priority="2115" operator="between">
      <formula>0.8</formula>
      <formula>0.99999</formula>
    </cfRule>
    <cfRule type="cellIs" dxfId="1644" priority="2116" operator="between">
      <formula>1</formula>
      <formula>1.3</formula>
    </cfRule>
    <cfRule type="cellIs" dxfId="1643" priority="2117" operator="between">
      <formula>1.3</formula>
      <formula>1.5</formula>
    </cfRule>
  </conditionalFormatting>
  <conditionalFormatting sqref="B1901">
    <cfRule type="cellIs" dxfId="1642" priority="2111" operator="greaterThan">
      <formula>1.6</formula>
    </cfRule>
    <cfRule type="cellIs" dxfId="1641" priority="2113" operator="lessThan">
      <formula>1.5</formula>
    </cfRule>
    <cfRule type="cellIs" dxfId="1640" priority="2112" operator="between">
      <formula>1.5</formula>
      <formula>1.6</formula>
    </cfRule>
  </conditionalFormatting>
  <conditionalFormatting sqref="B1902">
    <cfRule type="cellIs" dxfId="1639" priority="1465" operator="between">
      <formula>200</formula>
      <formula>499</formula>
    </cfRule>
    <cfRule type="cellIs" dxfId="1638" priority="1464" operator="between">
      <formula>500</formula>
      <formula>10000</formula>
    </cfRule>
    <cfRule type="cellIs" dxfId="1637" priority="1466" operator="between">
      <formula>1</formula>
      <formula>199</formula>
    </cfRule>
  </conditionalFormatting>
  <conditionalFormatting sqref="B1904">
    <cfRule type="cellIs" dxfId="1636" priority="2108" operator="greaterThan">
      <formula>50</formula>
    </cfRule>
    <cfRule type="cellIs" dxfId="1635" priority="2109" operator="between">
      <formula>35</formula>
      <formula>50</formula>
    </cfRule>
    <cfRule type="cellIs" dxfId="1634" priority="2110" operator="lessThan">
      <formula>35</formula>
    </cfRule>
  </conditionalFormatting>
  <conditionalFormatting sqref="B1905">
    <cfRule type="cellIs" dxfId="1633" priority="2105" operator="greaterThan">
      <formula>350</formula>
    </cfRule>
    <cfRule type="cellIs" dxfId="1632" priority="2106" operator="between">
      <formula>250</formula>
      <formula>350</formula>
    </cfRule>
    <cfRule type="cellIs" dxfId="1631" priority="2107" operator="lessThan">
      <formula>250</formula>
    </cfRule>
  </conditionalFormatting>
  <conditionalFormatting sqref="B1906">
    <cfRule type="cellIs" dxfId="1630" priority="2100" operator="lessThan">
      <formula>0.8</formula>
    </cfRule>
    <cfRule type="cellIs" dxfId="1629" priority="2104" operator="greaterThan">
      <formula>1.5</formula>
    </cfRule>
    <cfRule type="cellIs" dxfId="1628" priority="2103" operator="between">
      <formula>1.3</formula>
      <formula>1.5</formula>
    </cfRule>
    <cfRule type="cellIs" dxfId="1627" priority="2102" operator="between">
      <formula>1</formula>
      <formula>1.3</formula>
    </cfRule>
    <cfRule type="cellIs" dxfId="1626" priority="2101" operator="between">
      <formula>0.8</formula>
      <formula>0.99999</formula>
    </cfRule>
  </conditionalFormatting>
  <conditionalFormatting sqref="B1908">
    <cfRule type="cellIs" dxfId="1625" priority="2099" operator="lessThan">
      <formula>1.5</formula>
    </cfRule>
    <cfRule type="cellIs" dxfId="1624" priority="2098" operator="between">
      <formula>1.5</formula>
      <formula>1.6</formula>
    </cfRule>
    <cfRule type="cellIs" dxfId="1623" priority="2097" operator="greaterThan">
      <formula>1.6</formula>
    </cfRule>
  </conditionalFormatting>
  <conditionalFormatting sqref="B1909">
    <cfRule type="cellIs" dxfId="1622" priority="1461" operator="between">
      <formula>500</formula>
      <formula>10000</formula>
    </cfRule>
    <cfRule type="cellIs" dxfId="1621" priority="1462" operator="between">
      <formula>200</formula>
      <formula>499</formula>
    </cfRule>
    <cfRule type="cellIs" dxfId="1620" priority="1463" operator="between">
      <formula>1</formula>
      <formula>199</formula>
    </cfRule>
  </conditionalFormatting>
  <conditionalFormatting sqref="B1911">
    <cfRule type="cellIs" dxfId="1619" priority="2096" operator="lessThan">
      <formula>35</formula>
    </cfRule>
    <cfRule type="cellIs" dxfId="1618" priority="2095" operator="between">
      <formula>35</formula>
      <formula>50</formula>
    </cfRule>
    <cfRule type="cellIs" dxfId="1617" priority="2094" operator="greaterThan">
      <formula>50</formula>
    </cfRule>
  </conditionalFormatting>
  <conditionalFormatting sqref="B1912">
    <cfRule type="cellIs" dxfId="1616" priority="2093" operator="lessThan">
      <formula>250</formula>
    </cfRule>
    <cfRule type="cellIs" dxfId="1615" priority="2091" operator="greaterThan">
      <formula>350</formula>
    </cfRule>
    <cfRule type="cellIs" dxfId="1614" priority="2092" operator="between">
      <formula>250</formula>
      <formula>350</formula>
    </cfRule>
  </conditionalFormatting>
  <conditionalFormatting sqref="B1913">
    <cfRule type="cellIs" dxfId="1613" priority="2089" operator="between">
      <formula>1.3</formula>
      <formula>1.5</formula>
    </cfRule>
    <cfRule type="cellIs" dxfId="1612" priority="2088" operator="between">
      <formula>1</formula>
      <formula>1.3</formula>
    </cfRule>
    <cfRule type="cellIs" dxfId="1611" priority="2087" operator="between">
      <formula>0.8</formula>
      <formula>0.99999</formula>
    </cfRule>
    <cfRule type="cellIs" dxfId="1610" priority="2086" operator="lessThan">
      <formula>0.8</formula>
    </cfRule>
    <cfRule type="cellIs" dxfId="1609" priority="2090" operator="greaterThan">
      <formula>1.5</formula>
    </cfRule>
  </conditionalFormatting>
  <conditionalFormatting sqref="B1915">
    <cfRule type="cellIs" dxfId="1608" priority="2085" operator="lessThan">
      <formula>1.5</formula>
    </cfRule>
    <cfRule type="cellIs" dxfId="1607" priority="2084" operator="between">
      <formula>1.5</formula>
      <formula>1.6</formula>
    </cfRule>
    <cfRule type="cellIs" dxfId="1606" priority="2083" operator="greaterThan">
      <formula>1.6</formula>
    </cfRule>
  </conditionalFormatting>
  <conditionalFormatting sqref="B1916">
    <cfRule type="cellIs" dxfId="1605" priority="1458" operator="between">
      <formula>500</formula>
      <formula>10000</formula>
    </cfRule>
    <cfRule type="cellIs" dxfId="1604" priority="1459" operator="between">
      <formula>200</formula>
      <formula>499</formula>
    </cfRule>
    <cfRule type="cellIs" dxfId="1603" priority="1460" operator="between">
      <formula>1</formula>
      <formula>199</formula>
    </cfRule>
  </conditionalFormatting>
  <conditionalFormatting sqref="B1918">
    <cfRule type="cellIs" dxfId="1602" priority="2082" operator="lessThan">
      <formula>35</formula>
    </cfRule>
    <cfRule type="cellIs" dxfId="1601" priority="2081" operator="between">
      <formula>35</formula>
      <formula>50</formula>
    </cfRule>
    <cfRule type="cellIs" dxfId="1600" priority="2080" operator="greaterThan">
      <formula>50</formula>
    </cfRule>
  </conditionalFormatting>
  <conditionalFormatting sqref="B1919">
    <cfRule type="cellIs" dxfId="1599" priority="2079" operator="lessThan">
      <formula>250</formula>
    </cfRule>
    <cfRule type="cellIs" dxfId="1598" priority="2078" operator="between">
      <formula>250</formula>
      <formula>350</formula>
    </cfRule>
    <cfRule type="cellIs" dxfId="1597" priority="2077" operator="greaterThan">
      <formula>350</formula>
    </cfRule>
  </conditionalFormatting>
  <conditionalFormatting sqref="B1920">
    <cfRule type="cellIs" dxfId="1596" priority="2076" operator="greaterThan">
      <formula>1.5</formula>
    </cfRule>
    <cfRule type="cellIs" dxfId="1595" priority="2075" operator="between">
      <formula>1.3</formula>
      <formula>1.5</formula>
    </cfRule>
    <cfRule type="cellIs" dxfId="1594" priority="2074" operator="between">
      <formula>1</formula>
      <formula>1.3</formula>
    </cfRule>
    <cfRule type="cellIs" dxfId="1593" priority="2073" operator="between">
      <formula>0.8</formula>
      <formula>0.99999</formula>
    </cfRule>
    <cfRule type="cellIs" dxfId="1592" priority="2072" operator="lessThan">
      <formula>0.8</formula>
    </cfRule>
  </conditionalFormatting>
  <conditionalFormatting sqref="B1922">
    <cfRule type="cellIs" dxfId="1591" priority="2071" operator="lessThan">
      <formula>1.5</formula>
    </cfRule>
    <cfRule type="cellIs" dxfId="1590" priority="2070" operator="between">
      <formula>1.5</formula>
      <formula>1.6</formula>
    </cfRule>
    <cfRule type="cellIs" dxfId="1589" priority="2069" operator="greaterThan">
      <formula>1.6</formula>
    </cfRule>
  </conditionalFormatting>
  <conditionalFormatting sqref="B1923">
    <cfRule type="cellIs" dxfId="1588" priority="1457" operator="between">
      <formula>1</formula>
      <formula>199</formula>
    </cfRule>
    <cfRule type="cellIs" dxfId="1587" priority="1456" operator="between">
      <formula>200</formula>
      <formula>499</formula>
    </cfRule>
    <cfRule type="cellIs" dxfId="1586" priority="1455" operator="between">
      <formula>500</formula>
      <formula>10000</formula>
    </cfRule>
  </conditionalFormatting>
  <conditionalFormatting sqref="B1925">
    <cfRule type="cellIs" dxfId="1585" priority="2066" operator="greaterThan">
      <formula>50</formula>
    </cfRule>
    <cfRule type="cellIs" dxfId="1584" priority="2068" operator="lessThan">
      <formula>35</formula>
    </cfRule>
    <cfRule type="cellIs" dxfId="1583" priority="2067" operator="between">
      <formula>35</formula>
      <formula>50</formula>
    </cfRule>
  </conditionalFormatting>
  <conditionalFormatting sqref="B1926">
    <cfRule type="cellIs" dxfId="1582" priority="2065" operator="lessThan">
      <formula>250</formula>
    </cfRule>
    <cfRule type="cellIs" dxfId="1581" priority="2064" operator="between">
      <formula>250</formula>
      <formula>350</formula>
    </cfRule>
    <cfRule type="cellIs" dxfId="1580" priority="2063" operator="greaterThan">
      <formula>350</formula>
    </cfRule>
  </conditionalFormatting>
  <conditionalFormatting sqref="B1927">
    <cfRule type="cellIs" dxfId="1579" priority="2062" operator="greaterThan">
      <formula>1.5</formula>
    </cfRule>
    <cfRule type="cellIs" dxfId="1578" priority="2061" operator="between">
      <formula>1.3</formula>
      <formula>1.5</formula>
    </cfRule>
    <cfRule type="cellIs" dxfId="1577" priority="2060" operator="between">
      <formula>1</formula>
      <formula>1.3</formula>
    </cfRule>
    <cfRule type="cellIs" dxfId="1576" priority="2059" operator="between">
      <formula>0.8</formula>
      <formula>0.99999</formula>
    </cfRule>
    <cfRule type="cellIs" dxfId="1575" priority="2058" operator="lessThan">
      <formula>0.8</formula>
    </cfRule>
  </conditionalFormatting>
  <conditionalFormatting sqref="B1929">
    <cfRule type="cellIs" dxfId="1574" priority="2057" operator="lessThan">
      <formula>1.5</formula>
    </cfRule>
    <cfRule type="cellIs" dxfId="1573" priority="2056" operator="between">
      <formula>1.5</formula>
      <formula>1.6</formula>
    </cfRule>
    <cfRule type="cellIs" dxfId="1572" priority="2055" operator="greaterThan">
      <formula>1.6</formula>
    </cfRule>
  </conditionalFormatting>
  <conditionalFormatting sqref="B1930">
    <cfRule type="cellIs" dxfId="1571" priority="1452" operator="between">
      <formula>500</formula>
      <formula>10000</formula>
    </cfRule>
    <cfRule type="cellIs" dxfId="1570" priority="1454" operator="between">
      <formula>1</formula>
      <formula>199</formula>
    </cfRule>
    <cfRule type="cellIs" dxfId="1569" priority="1453" operator="between">
      <formula>200</formula>
      <formula>499</formula>
    </cfRule>
  </conditionalFormatting>
  <conditionalFormatting sqref="B1932">
    <cfRule type="cellIs" dxfId="1568" priority="2052" operator="greaterThan">
      <formula>50</formula>
    </cfRule>
    <cfRule type="cellIs" dxfId="1567" priority="2054" operator="lessThan">
      <formula>35</formula>
    </cfRule>
    <cfRule type="cellIs" dxfId="1566" priority="2053" operator="between">
      <formula>35</formula>
      <formula>50</formula>
    </cfRule>
  </conditionalFormatting>
  <conditionalFormatting sqref="B1933">
    <cfRule type="cellIs" dxfId="1565" priority="2051" operator="lessThan">
      <formula>250</formula>
    </cfRule>
    <cfRule type="cellIs" dxfId="1564" priority="2049" operator="greaterThan">
      <formula>350</formula>
    </cfRule>
    <cfRule type="cellIs" dxfId="1563" priority="2050" operator="between">
      <formula>250</formula>
      <formula>350</formula>
    </cfRule>
  </conditionalFormatting>
  <conditionalFormatting sqref="B1934">
    <cfRule type="cellIs" dxfId="1562" priority="2044" operator="lessThan">
      <formula>0.8</formula>
    </cfRule>
    <cfRule type="cellIs" dxfId="1561" priority="2045" operator="between">
      <formula>0.8</formula>
      <formula>0.99999</formula>
    </cfRule>
    <cfRule type="cellIs" dxfId="1560" priority="2048" operator="greaterThan">
      <formula>1.5</formula>
    </cfRule>
    <cfRule type="cellIs" dxfId="1559" priority="2047" operator="between">
      <formula>1.3</formula>
      <formula>1.5</formula>
    </cfRule>
    <cfRule type="cellIs" dxfId="1558" priority="2046" operator="between">
      <formula>1</formula>
      <formula>1.3</formula>
    </cfRule>
  </conditionalFormatting>
  <conditionalFormatting sqref="B1936">
    <cfRule type="cellIs" dxfId="1557" priority="2043" operator="lessThan">
      <formula>1.5</formula>
    </cfRule>
    <cfRule type="cellIs" dxfId="1556" priority="2042" operator="between">
      <formula>1.5</formula>
      <formula>1.6</formula>
    </cfRule>
    <cfRule type="cellIs" dxfId="1555" priority="2041" operator="greaterThan">
      <formula>1.6</formula>
    </cfRule>
  </conditionalFormatting>
  <conditionalFormatting sqref="B1937">
    <cfRule type="cellIs" dxfId="1554" priority="1450" operator="between">
      <formula>200</formula>
      <formula>499</formula>
    </cfRule>
    <cfRule type="cellIs" dxfId="1553" priority="1451" operator="between">
      <formula>1</formula>
      <formula>199</formula>
    </cfRule>
    <cfRule type="cellIs" dxfId="1552" priority="1449" operator="between">
      <formula>500</formula>
      <formula>10000</formula>
    </cfRule>
  </conditionalFormatting>
  <conditionalFormatting sqref="B1939">
    <cfRule type="cellIs" dxfId="1551" priority="2040" operator="lessThan">
      <formula>35</formula>
    </cfRule>
    <cfRule type="cellIs" dxfId="1550" priority="2039" operator="between">
      <formula>35</formula>
      <formula>50</formula>
    </cfRule>
    <cfRule type="cellIs" dxfId="1549" priority="2038" operator="greaterThan">
      <formula>50</formula>
    </cfRule>
  </conditionalFormatting>
  <conditionalFormatting sqref="B1940">
    <cfRule type="cellIs" dxfId="1548" priority="2037" operator="lessThan">
      <formula>250</formula>
    </cfRule>
    <cfRule type="cellIs" dxfId="1547" priority="2036" operator="between">
      <formula>250</formula>
      <formula>350</formula>
    </cfRule>
    <cfRule type="cellIs" dxfId="1546" priority="2035" operator="greaterThan">
      <formula>350</formula>
    </cfRule>
  </conditionalFormatting>
  <conditionalFormatting sqref="B1941">
    <cfRule type="cellIs" dxfId="1545" priority="2034" operator="greaterThan">
      <formula>1.5</formula>
    </cfRule>
    <cfRule type="cellIs" dxfId="1544" priority="2033" operator="between">
      <formula>1.3</formula>
      <formula>1.5</formula>
    </cfRule>
    <cfRule type="cellIs" dxfId="1543" priority="2032" operator="between">
      <formula>1</formula>
      <formula>1.3</formula>
    </cfRule>
    <cfRule type="cellIs" dxfId="1542" priority="2031" operator="between">
      <formula>0.8</formula>
      <formula>0.99999</formula>
    </cfRule>
    <cfRule type="cellIs" dxfId="1541" priority="2030" operator="lessThan">
      <formula>0.8</formula>
    </cfRule>
  </conditionalFormatting>
  <conditionalFormatting sqref="B1943">
    <cfRule type="cellIs" dxfId="1540" priority="2029" operator="lessThan">
      <formula>1.5</formula>
    </cfRule>
    <cfRule type="cellIs" dxfId="1539" priority="2027" operator="greaterThan">
      <formula>1.6</formula>
    </cfRule>
    <cfRule type="cellIs" dxfId="1538" priority="2028" operator="between">
      <formula>1.5</formula>
      <formula>1.6</formula>
    </cfRule>
  </conditionalFormatting>
  <conditionalFormatting sqref="B1944">
    <cfRule type="cellIs" dxfId="1537" priority="1446" operator="between">
      <formula>500</formula>
      <formula>10000</formula>
    </cfRule>
    <cfRule type="cellIs" dxfId="1536" priority="1447" operator="between">
      <formula>200</formula>
      <formula>499</formula>
    </cfRule>
    <cfRule type="cellIs" dxfId="1535" priority="1448" operator="between">
      <formula>1</formula>
      <formula>199</formula>
    </cfRule>
  </conditionalFormatting>
  <conditionalFormatting sqref="B1946">
    <cfRule type="cellIs" dxfId="1534" priority="2026" operator="lessThan">
      <formula>35</formula>
    </cfRule>
    <cfRule type="cellIs" dxfId="1533" priority="2025" operator="between">
      <formula>35</formula>
      <formula>50</formula>
    </cfRule>
    <cfRule type="cellIs" dxfId="1532" priority="2024" operator="greaterThan">
      <formula>50</formula>
    </cfRule>
  </conditionalFormatting>
  <conditionalFormatting sqref="B1947">
    <cfRule type="cellIs" dxfId="1531" priority="2023" operator="lessThan">
      <formula>250</formula>
    </cfRule>
    <cfRule type="cellIs" dxfId="1530" priority="2022" operator="between">
      <formula>250</formula>
      <formula>350</formula>
    </cfRule>
    <cfRule type="cellIs" dxfId="1529" priority="2021" operator="greaterThan">
      <formula>350</formula>
    </cfRule>
  </conditionalFormatting>
  <conditionalFormatting sqref="B1948">
    <cfRule type="cellIs" dxfId="1528" priority="2017" operator="between">
      <formula>0.8</formula>
      <formula>0.99999</formula>
    </cfRule>
    <cfRule type="cellIs" dxfId="1527" priority="2019" operator="between">
      <formula>1.3</formula>
      <formula>1.5</formula>
    </cfRule>
    <cfRule type="cellIs" dxfId="1526" priority="2020" operator="greaterThan">
      <formula>1.5</formula>
    </cfRule>
    <cfRule type="cellIs" dxfId="1525" priority="2018" operator="between">
      <formula>1</formula>
      <formula>1.3</formula>
    </cfRule>
    <cfRule type="cellIs" dxfId="1524" priority="2016" operator="lessThan">
      <formula>0.8</formula>
    </cfRule>
  </conditionalFormatting>
  <conditionalFormatting sqref="B1950">
    <cfRule type="cellIs" dxfId="1523" priority="2013" operator="greaterThan">
      <formula>1.6</formula>
    </cfRule>
    <cfRule type="cellIs" dxfId="1522" priority="2015" operator="lessThan">
      <formula>1.5</formula>
    </cfRule>
    <cfRule type="cellIs" dxfId="1521" priority="2014" operator="between">
      <formula>1.5</formula>
      <formula>1.6</formula>
    </cfRule>
  </conditionalFormatting>
  <conditionalFormatting sqref="B1951">
    <cfRule type="cellIs" dxfId="1520" priority="1445" operator="between">
      <formula>1</formula>
      <formula>199</formula>
    </cfRule>
    <cfRule type="cellIs" dxfId="1519" priority="1444" operator="between">
      <formula>200</formula>
      <formula>499</formula>
    </cfRule>
    <cfRule type="cellIs" dxfId="1518" priority="1443" operator="between">
      <formula>500</formula>
      <formula>10000</formula>
    </cfRule>
  </conditionalFormatting>
  <conditionalFormatting sqref="B1953">
    <cfRule type="cellIs" dxfId="1517" priority="2012" operator="lessThan">
      <formula>35</formula>
    </cfRule>
    <cfRule type="cellIs" dxfId="1516" priority="2011" operator="between">
      <formula>35</formula>
      <formula>50</formula>
    </cfRule>
    <cfRule type="cellIs" dxfId="1515" priority="2010" operator="greaterThan">
      <formula>50</formula>
    </cfRule>
  </conditionalFormatting>
  <conditionalFormatting sqref="B1954">
    <cfRule type="cellIs" dxfId="1514" priority="2009" operator="lessThan">
      <formula>250</formula>
    </cfRule>
    <cfRule type="cellIs" dxfId="1513" priority="2008" operator="between">
      <formula>250</formula>
      <formula>350</formula>
    </cfRule>
    <cfRule type="cellIs" dxfId="1512" priority="2007" operator="greaterThan">
      <formula>350</formula>
    </cfRule>
  </conditionalFormatting>
  <conditionalFormatting sqref="B1955">
    <cfRule type="cellIs" dxfId="1511" priority="2002" operator="lessThan">
      <formula>0.8</formula>
    </cfRule>
    <cfRule type="cellIs" dxfId="1510" priority="2004" operator="between">
      <formula>1</formula>
      <formula>1.3</formula>
    </cfRule>
    <cfRule type="cellIs" dxfId="1509" priority="2005" operator="between">
      <formula>1.3</formula>
      <formula>1.5</formula>
    </cfRule>
    <cfRule type="cellIs" dxfId="1508" priority="2006" operator="greaterThan">
      <formula>1.5</formula>
    </cfRule>
    <cfRule type="cellIs" dxfId="1507" priority="2003" operator="between">
      <formula>0.8</formula>
      <formula>0.99999</formula>
    </cfRule>
  </conditionalFormatting>
  <conditionalFormatting sqref="B1957">
    <cfRule type="cellIs" dxfId="1506" priority="1999" operator="greaterThan">
      <formula>1.6</formula>
    </cfRule>
    <cfRule type="cellIs" dxfId="1505" priority="2000" operator="between">
      <formula>1.5</formula>
      <formula>1.6</formula>
    </cfRule>
    <cfRule type="cellIs" dxfId="1504" priority="2001" operator="lessThan">
      <formula>1.5</formula>
    </cfRule>
  </conditionalFormatting>
  <conditionalFormatting sqref="B1958">
    <cfRule type="cellIs" dxfId="1503" priority="1440" operator="between">
      <formula>500</formula>
      <formula>10000</formula>
    </cfRule>
    <cfRule type="cellIs" dxfId="1502" priority="1441" operator="between">
      <formula>200</formula>
      <formula>499</formula>
    </cfRule>
    <cfRule type="cellIs" dxfId="1501" priority="1442" operator="between">
      <formula>1</formula>
      <formula>199</formula>
    </cfRule>
  </conditionalFormatting>
  <conditionalFormatting sqref="B1960">
    <cfRule type="cellIs" dxfId="1500" priority="1996" operator="greaterThan">
      <formula>50</formula>
    </cfRule>
    <cfRule type="cellIs" dxfId="1499" priority="1997" operator="between">
      <formula>35</formula>
      <formula>50</formula>
    </cfRule>
    <cfRule type="cellIs" dxfId="1498" priority="1998" operator="lessThan">
      <formula>35</formula>
    </cfRule>
  </conditionalFormatting>
  <conditionalFormatting sqref="B1961">
    <cfRule type="cellIs" dxfId="1497" priority="1993" operator="greaterThan">
      <formula>350</formula>
    </cfRule>
    <cfRule type="cellIs" dxfId="1496" priority="1994" operator="between">
      <formula>250</formula>
      <formula>350</formula>
    </cfRule>
    <cfRule type="cellIs" dxfId="1495" priority="1995" operator="lessThan">
      <formula>250</formula>
    </cfRule>
  </conditionalFormatting>
  <conditionalFormatting sqref="B1962">
    <cfRule type="cellIs" dxfId="1494" priority="1991" operator="between">
      <formula>1.3</formula>
      <formula>1.5</formula>
    </cfRule>
    <cfRule type="cellIs" dxfId="1493" priority="1992" operator="greaterThan">
      <formula>1.5</formula>
    </cfRule>
    <cfRule type="cellIs" dxfId="1492" priority="1990" operator="between">
      <formula>1</formula>
      <formula>1.3</formula>
    </cfRule>
    <cfRule type="cellIs" dxfId="1491" priority="1989" operator="between">
      <formula>0.8</formula>
      <formula>0.99999</formula>
    </cfRule>
    <cfRule type="cellIs" dxfId="1490" priority="1988" operator="lessThan">
      <formula>0.8</formula>
    </cfRule>
  </conditionalFormatting>
  <conditionalFormatting sqref="B1964">
    <cfRule type="cellIs" dxfId="1489" priority="1985" operator="greaterThan">
      <formula>1.6</formula>
    </cfRule>
    <cfRule type="cellIs" dxfId="1488" priority="1986" operator="between">
      <formula>1.5</formula>
      <formula>1.6</formula>
    </cfRule>
    <cfRule type="cellIs" dxfId="1487" priority="1987" operator="lessThan">
      <formula>1.5</formula>
    </cfRule>
  </conditionalFormatting>
  <conditionalFormatting sqref="B1965">
    <cfRule type="cellIs" dxfId="1486" priority="1437" operator="between">
      <formula>500</formula>
      <formula>10000</formula>
    </cfRule>
    <cfRule type="cellIs" dxfId="1485" priority="1439" operator="between">
      <formula>1</formula>
      <formula>199</formula>
    </cfRule>
    <cfRule type="cellIs" dxfId="1484" priority="1438" operator="between">
      <formula>200</formula>
      <formula>499</formula>
    </cfRule>
  </conditionalFormatting>
  <conditionalFormatting sqref="B1967">
    <cfRule type="cellIs" dxfId="1483" priority="1982" operator="greaterThan">
      <formula>50</formula>
    </cfRule>
    <cfRule type="cellIs" dxfId="1482" priority="1983" operator="between">
      <formula>35</formula>
      <formula>50</formula>
    </cfRule>
    <cfRule type="cellIs" dxfId="1481" priority="1984" operator="lessThan">
      <formula>35</formula>
    </cfRule>
  </conditionalFormatting>
  <conditionalFormatting sqref="B1968">
    <cfRule type="cellIs" dxfId="1480" priority="1979" operator="greaterThan">
      <formula>350</formula>
    </cfRule>
    <cfRule type="cellIs" dxfId="1479" priority="1980" operator="between">
      <formula>250</formula>
      <formula>350</formula>
    </cfRule>
    <cfRule type="cellIs" dxfId="1478" priority="1981" operator="lessThan">
      <formula>250</formula>
    </cfRule>
  </conditionalFormatting>
  <conditionalFormatting sqref="B1969">
    <cfRule type="cellIs" dxfId="1477" priority="1974" operator="lessThan">
      <formula>0.8</formula>
    </cfRule>
    <cfRule type="cellIs" dxfId="1476" priority="1978" operator="greaterThan">
      <formula>1.5</formula>
    </cfRule>
    <cfRule type="cellIs" dxfId="1475" priority="1977" operator="between">
      <formula>1.3</formula>
      <formula>1.5</formula>
    </cfRule>
    <cfRule type="cellIs" dxfId="1474" priority="1976" operator="between">
      <formula>1</formula>
      <formula>1.3</formula>
    </cfRule>
    <cfRule type="cellIs" dxfId="1473" priority="1975" operator="between">
      <formula>0.8</formula>
      <formula>0.99999</formula>
    </cfRule>
  </conditionalFormatting>
  <conditionalFormatting sqref="B1971">
    <cfRule type="cellIs" dxfId="1472" priority="1972" operator="between">
      <formula>1.5</formula>
      <formula>1.6</formula>
    </cfRule>
    <cfRule type="cellIs" dxfId="1471" priority="1971" operator="greaterThan">
      <formula>1.6</formula>
    </cfRule>
    <cfRule type="cellIs" dxfId="1470" priority="1973" operator="lessThan">
      <formula>1.5</formula>
    </cfRule>
  </conditionalFormatting>
  <conditionalFormatting sqref="B1972">
    <cfRule type="cellIs" dxfId="1469" priority="1436" operator="between">
      <formula>1</formula>
      <formula>199</formula>
    </cfRule>
    <cfRule type="cellIs" dxfId="1468" priority="1435" operator="between">
      <formula>200</formula>
      <formula>499</formula>
    </cfRule>
    <cfRule type="cellIs" dxfId="1467" priority="1434" operator="between">
      <formula>500</formula>
      <formula>10000</formula>
    </cfRule>
  </conditionalFormatting>
  <conditionalFormatting sqref="B1974">
    <cfRule type="cellIs" dxfId="1466" priority="1970" operator="lessThan">
      <formula>35</formula>
    </cfRule>
    <cfRule type="cellIs" dxfId="1465" priority="1969" operator="between">
      <formula>35</formula>
      <formula>50</formula>
    </cfRule>
    <cfRule type="cellIs" dxfId="1464" priority="1968" operator="greaterThan">
      <formula>50</formula>
    </cfRule>
  </conditionalFormatting>
  <conditionalFormatting sqref="B1975">
    <cfRule type="cellIs" dxfId="1463" priority="1967" operator="lessThan">
      <formula>250</formula>
    </cfRule>
    <cfRule type="cellIs" dxfId="1462" priority="1966" operator="between">
      <formula>250</formula>
      <formula>350</formula>
    </cfRule>
    <cfRule type="cellIs" dxfId="1461" priority="1965" operator="greaterThan">
      <formula>350</formula>
    </cfRule>
  </conditionalFormatting>
  <conditionalFormatting sqref="B1976">
    <cfRule type="cellIs" dxfId="1460" priority="1960" operator="lessThan">
      <formula>0.8</formula>
    </cfRule>
    <cfRule type="cellIs" dxfId="1459" priority="1964" operator="greaterThan">
      <formula>1.5</formula>
    </cfRule>
    <cfRule type="cellIs" dxfId="1458" priority="1963" operator="between">
      <formula>1.3</formula>
      <formula>1.5</formula>
    </cfRule>
    <cfRule type="cellIs" dxfId="1457" priority="1962" operator="between">
      <formula>1</formula>
      <formula>1.3</formula>
    </cfRule>
    <cfRule type="cellIs" dxfId="1456" priority="1961" operator="between">
      <formula>0.8</formula>
      <formula>0.99999</formula>
    </cfRule>
  </conditionalFormatting>
  <conditionalFormatting sqref="B1978">
    <cfRule type="cellIs" dxfId="1455" priority="1958" operator="between">
      <formula>1.5</formula>
      <formula>1.6</formula>
    </cfRule>
    <cfRule type="cellIs" dxfId="1454" priority="1957" operator="greaterThan">
      <formula>1.6</formula>
    </cfRule>
    <cfRule type="cellIs" dxfId="1453" priority="1959" operator="lessThan">
      <formula>1.5</formula>
    </cfRule>
  </conditionalFormatting>
  <conditionalFormatting sqref="B1979">
    <cfRule type="cellIs" dxfId="1452" priority="1433" operator="between">
      <formula>1</formula>
      <formula>199</formula>
    </cfRule>
    <cfRule type="cellIs" dxfId="1451" priority="1432" operator="between">
      <formula>200</formula>
      <formula>499</formula>
    </cfRule>
    <cfRule type="cellIs" dxfId="1450" priority="1431" operator="between">
      <formula>500</formula>
      <formula>10000</formula>
    </cfRule>
  </conditionalFormatting>
  <conditionalFormatting sqref="B1981">
    <cfRule type="cellIs" dxfId="1449" priority="1956" operator="lessThan">
      <formula>35</formula>
    </cfRule>
    <cfRule type="cellIs" dxfId="1448" priority="1955" operator="between">
      <formula>35</formula>
      <formula>50</formula>
    </cfRule>
    <cfRule type="cellIs" dxfId="1447" priority="1954" operator="greaterThan">
      <formula>50</formula>
    </cfRule>
  </conditionalFormatting>
  <conditionalFormatting sqref="B1982">
    <cfRule type="cellIs" dxfId="1446" priority="1951" operator="greaterThan">
      <formula>350</formula>
    </cfRule>
    <cfRule type="cellIs" dxfId="1445" priority="1953" operator="lessThan">
      <formula>250</formula>
    </cfRule>
    <cfRule type="cellIs" dxfId="1444" priority="1952" operator="between">
      <formula>250</formula>
      <formula>350</formula>
    </cfRule>
  </conditionalFormatting>
  <conditionalFormatting sqref="B1983">
    <cfRule type="cellIs" dxfId="1443" priority="1950" operator="greaterThan">
      <formula>1.5</formula>
    </cfRule>
    <cfRule type="cellIs" dxfId="1442" priority="1949" operator="between">
      <formula>1.3</formula>
      <formula>1.5</formula>
    </cfRule>
    <cfRule type="cellIs" dxfId="1441" priority="1948" operator="between">
      <formula>1</formula>
      <formula>1.3</formula>
    </cfRule>
    <cfRule type="cellIs" dxfId="1440" priority="1947" operator="between">
      <formula>0.8</formula>
      <formula>0.99999</formula>
    </cfRule>
    <cfRule type="cellIs" dxfId="1439" priority="1946" operator="lessThan">
      <formula>0.8</formula>
    </cfRule>
  </conditionalFormatting>
  <conditionalFormatting sqref="B1985">
    <cfRule type="cellIs" dxfId="1438" priority="1943" operator="greaterThan">
      <formula>1.6</formula>
    </cfRule>
    <cfRule type="cellIs" dxfId="1437" priority="1945" operator="lessThan">
      <formula>1.5</formula>
    </cfRule>
    <cfRule type="cellIs" dxfId="1436" priority="1944" operator="between">
      <formula>1.5</formula>
      <formula>1.6</formula>
    </cfRule>
  </conditionalFormatting>
  <conditionalFormatting sqref="B1986">
    <cfRule type="cellIs" dxfId="1435" priority="1430" operator="between">
      <formula>1</formula>
      <formula>199</formula>
    </cfRule>
    <cfRule type="cellIs" dxfId="1434" priority="1429" operator="between">
      <formula>200</formula>
      <formula>499</formula>
    </cfRule>
    <cfRule type="cellIs" dxfId="1433" priority="1428" operator="between">
      <formula>500</formula>
      <formula>10000</formula>
    </cfRule>
  </conditionalFormatting>
  <conditionalFormatting sqref="B1988">
    <cfRule type="cellIs" dxfId="1432" priority="1940" operator="greaterThan">
      <formula>50</formula>
    </cfRule>
    <cfRule type="cellIs" dxfId="1431" priority="1941" operator="between">
      <formula>35</formula>
      <formula>50</formula>
    </cfRule>
    <cfRule type="cellIs" dxfId="1430" priority="1942" operator="lessThan">
      <formula>35</formula>
    </cfRule>
  </conditionalFormatting>
  <conditionalFormatting sqref="B1989">
    <cfRule type="cellIs" dxfId="1429" priority="1937" operator="greaterThan">
      <formula>350</formula>
    </cfRule>
    <cfRule type="cellIs" dxfId="1428" priority="1938" operator="between">
      <formula>250</formula>
      <formula>350</formula>
    </cfRule>
    <cfRule type="cellIs" dxfId="1427" priority="1939" operator="lessThan">
      <formula>250</formula>
    </cfRule>
  </conditionalFormatting>
  <conditionalFormatting sqref="B1990">
    <cfRule type="cellIs" dxfId="1426" priority="1936" operator="greaterThan">
      <formula>1.5</formula>
    </cfRule>
    <cfRule type="cellIs" dxfId="1425" priority="1935" operator="between">
      <formula>1.3</formula>
      <formula>1.5</formula>
    </cfRule>
    <cfRule type="cellIs" dxfId="1424" priority="1934" operator="between">
      <formula>1</formula>
      <formula>1.3</formula>
    </cfRule>
    <cfRule type="cellIs" dxfId="1423" priority="1933" operator="between">
      <formula>0.8</formula>
      <formula>0.99999</formula>
    </cfRule>
    <cfRule type="cellIs" dxfId="1422" priority="1932" operator="lessThan">
      <formula>0.8</formula>
    </cfRule>
  </conditionalFormatting>
  <conditionalFormatting sqref="B1992">
    <cfRule type="cellIs" dxfId="1421" priority="1931" operator="lessThan">
      <formula>1.5</formula>
    </cfRule>
    <cfRule type="cellIs" dxfId="1420" priority="1930" operator="between">
      <formula>1.5</formula>
      <formula>1.6</formula>
    </cfRule>
    <cfRule type="cellIs" dxfId="1419" priority="1929" operator="greaterThan">
      <formula>1.6</formula>
    </cfRule>
  </conditionalFormatting>
  <conditionalFormatting sqref="B1993">
    <cfRule type="cellIs" dxfId="1418" priority="1425" operator="between">
      <formula>500</formula>
      <formula>10000</formula>
    </cfRule>
    <cfRule type="cellIs" dxfId="1417" priority="1426" operator="between">
      <formula>200</formula>
      <formula>499</formula>
    </cfRule>
    <cfRule type="cellIs" dxfId="1416" priority="1427" operator="between">
      <formula>1</formula>
      <formula>199</formula>
    </cfRule>
  </conditionalFormatting>
  <conditionalFormatting sqref="B1995">
    <cfRule type="cellIs" dxfId="1415" priority="1926" operator="greaterThan">
      <formula>50</formula>
    </cfRule>
    <cfRule type="cellIs" dxfId="1414" priority="1927" operator="between">
      <formula>35</formula>
      <formula>50</formula>
    </cfRule>
    <cfRule type="cellIs" dxfId="1413" priority="1928" operator="lessThan">
      <formula>35</formula>
    </cfRule>
  </conditionalFormatting>
  <conditionalFormatting sqref="B1996">
    <cfRule type="cellIs" dxfId="1412" priority="1925" operator="lessThan">
      <formula>250</formula>
    </cfRule>
    <cfRule type="cellIs" dxfId="1411" priority="1924" operator="between">
      <formula>250</formula>
      <formula>350</formula>
    </cfRule>
    <cfRule type="cellIs" dxfId="1410" priority="1923" operator="greaterThan">
      <formula>350</formula>
    </cfRule>
  </conditionalFormatting>
  <conditionalFormatting sqref="B1997">
    <cfRule type="cellIs" dxfId="1409" priority="1922" operator="greaterThan">
      <formula>1.5</formula>
    </cfRule>
    <cfRule type="cellIs" dxfId="1408" priority="1921" operator="between">
      <formula>1.3</formula>
      <formula>1.5</formula>
    </cfRule>
    <cfRule type="cellIs" dxfId="1407" priority="1920" operator="between">
      <formula>1</formula>
      <formula>1.3</formula>
    </cfRule>
    <cfRule type="cellIs" dxfId="1406" priority="1919" operator="between">
      <formula>0.8</formula>
      <formula>0.99999</formula>
    </cfRule>
    <cfRule type="cellIs" dxfId="1405" priority="1918" operator="lessThan">
      <formula>0.8</formula>
    </cfRule>
  </conditionalFormatting>
  <conditionalFormatting sqref="B1999">
    <cfRule type="cellIs" dxfId="1404" priority="1917" operator="lessThan">
      <formula>1.5</formula>
    </cfRule>
    <cfRule type="cellIs" dxfId="1403" priority="1916" operator="between">
      <formula>1.5</formula>
      <formula>1.6</formula>
    </cfRule>
    <cfRule type="cellIs" dxfId="1402" priority="1915" operator="greaterThan">
      <formula>1.6</formula>
    </cfRule>
  </conditionalFormatting>
  <conditionalFormatting sqref="B2000">
    <cfRule type="cellIs" dxfId="1401" priority="1424" operator="between">
      <formula>1</formula>
      <formula>199</formula>
    </cfRule>
    <cfRule type="cellIs" dxfId="1400" priority="1422" operator="between">
      <formula>500</formula>
      <formula>10000</formula>
    </cfRule>
    <cfRule type="cellIs" dxfId="1399" priority="1423" operator="between">
      <formula>200</formula>
      <formula>499</formula>
    </cfRule>
  </conditionalFormatting>
  <conditionalFormatting sqref="B2002">
    <cfRule type="cellIs" dxfId="1398" priority="1913" operator="between">
      <formula>35</formula>
      <formula>50</formula>
    </cfRule>
    <cfRule type="cellIs" dxfId="1397" priority="1914" operator="lessThan">
      <formula>35</formula>
    </cfRule>
    <cfRule type="cellIs" dxfId="1396" priority="1912" operator="greaterThan">
      <formula>50</formula>
    </cfRule>
  </conditionalFormatting>
  <conditionalFormatting sqref="B2003">
    <cfRule type="cellIs" dxfId="1395" priority="1909" operator="greaterThan">
      <formula>350</formula>
    </cfRule>
    <cfRule type="cellIs" dxfId="1394" priority="1910" operator="between">
      <formula>250</formula>
      <formula>350</formula>
    </cfRule>
    <cfRule type="cellIs" dxfId="1393" priority="1911" operator="lessThan">
      <formula>250</formula>
    </cfRule>
  </conditionalFormatting>
  <conditionalFormatting sqref="B2004">
    <cfRule type="cellIs" dxfId="1392" priority="1905" operator="between">
      <formula>0.8</formula>
      <formula>0.99999</formula>
    </cfRule>
    <cfRule type="cellIs" dxfId="1391" priority="1907" operator="between">
      <formula>1.3</formula>
      <formula>1.5</formula>
    </cfRule>
    <cfRule type="cellIs" dxfId="1390" priority="1908" operator="greaterThan">
      <formula>1.5</formula>
    </cfRule>
    <cfRule type="cellIs" dxfId="1389" priority="1906" operator="between">
      <formula>1</formula>
      <formula>1.3</formula>
    </cfRule>
    <cfRule type="cellIs" dxfId="1388" priority="1904" operator="lessThan">
      <formula>0.8</formula>
    </cfRule>
  </conditionalFormatting>
  <conditionalFormatting sqref="B2006">
    <cfRule type="cellIs" dxfId="1387" priority="1903" operator="lessThan">
      <formula>1.5</formula>
    </cfRule>
    <cfRule type="cellIs" dxfId="1386" priority="1902" operator="between">
      <formula>1.5</formula>
      <formula>1.6</formula>
    </cfRule>
    <cfRule type="cellIs" dxfId="1385" priority="1901" operator="greaterThan">
      <formula>1.6</formula>
    </cfRule>
  </conditionalFormatting>
  <conditionalFormatting sqref="B2007">
    <cfRule type="cellIs" dxfId="1384" priority="1419" operator="between">
      <formula>500</formula>
      <formula>10000</formula>
    </cfRule>
    <cfRule type="cellIs" dxfId="1383" priority="1420" operator="between">
      <formula>200</formula>
      <formula>499</formula>
    </cfRule>
    <cfRule type="cellIs" dxfId="1382" priority="1421" operator="between">
      <formula>1</formula>
      <formula>199</formula>
    </cfRule>
  </conditionalFormatting>
  <conditionalFormatting sqref="B2009">
    <cfRule type="cellIs" dxfId="1381" priority="1900" operator="lessThan">
      <formula>35</formula>
    </cfRule>
    <cfRule type="cellIs" dxfId="1380" priority="1899" operator="between">
      <formula>35</formula>
      <formula>50</formula>
    </cfRule>
    <cfRule type="cellIs" dxfId="1379" priority="1898" operator="greaterThan">
      <formula>50</formula>
    </cfRule>
  </conditionalFormatting>
  <conditionalFormatting sqref="B2010">
    <cfRule type="cellIs" dxfId="1378" priority="1897" operator="lessThan">
      <formula>250</formula>
    </cfRule>
    <cfRule type="cellIs" dxfId="1377" priority="1895" operator="greaterThan">
      <formula>350</formula>
    </cfRule>
    <cfRule type="cellIs" dxfId="1376" priority="1896" operator="between">
      <formula>250</formula>
      <formula>350</formula>
    </cfRule>
  </conditionalFormatting>
  <conditionalFormatting sqref="B2011">
    <cfRule type="cellIs" dxfId="1375" priority="1890" operator="lessThan">
      <formula>0.8</formula>
    </cfRule>
    <cfRule type="cellIs" dxfId="1374" priority="1891" operator="between">
      <formula>0.8</formula>
      <formula>0.99999</formula>
    </cfRule>
    <cfRule type="cellIs" dxfId="1373" priority="1893" operator="between">
      <formula>1.3</formula>
      <formula>1.5</formula>
    </cfRule>
    <cfRule type="cellIs" dxfId="1372" priority="1894" operator="greaterThan">
      <formula>1.5</formula>
    </cfRule>
    <cfRule type="cellIs" dxfId="1371" priority="1892" operator="between">
      <formula>1</formula>
      <formula>1.3</formula>
    </cfRule>
  </conditionalFormatting>
  <conditionalFormatting sqref="B2013">
    <cfRule type="cellIs" dxfId="1370" priority="1889" operator="lessThan">
      <formula>1.5</formula>
    </cfRule>
    <cfRule type="cellIs" dxfId="1369" priority="1888" operator="between">
      <formula>1.5</formula>
      <formula>1.6</formula>
    </cfRule>
    <cfRule type="cellIs" dxfId="1368" priority="1887" operator="greaterThan">
      <formula>1.6</formula>
    </cfRule>
  </conditionalFormatting>
  <conditionalFormatting sqref="B2014">
    <cfRule type="cellIs" dxfId="1367" priority="1416" operator="between">
      <formula>500</formula>
      <formula>10000</formula>
    </cfRule>
    <cfRule type="cellIs" dxfId="1366" priority="1418" operator="between">
      <formula>1</formula>
      <formula>199</formula>
    </cfRule>
    <cfRule type="cellIs" dxfId="1365" priority="1417" operator="between">
      <formula>200</formula>
      <formula>499</formula>
    </cfRule>
  </conditionalFormatting>
  <conditionalFormatting sqref="B2016">
    <cfRule type="cellIs" dxfId="1364" priority="1886" operator="lessThan">
      <formula>35</formula>
    </cfRule>
    <cfRule type="cellIs" dxfId="1363" priority="1885" operator="between">
      <formula>35</formula>
      <formula>50</formula>
    </cfRule>
    <cfRule type="cellIs" dxfId="1362" priority="1884" operator="greaterThan">
      <formula>50</formula>
    </cfRule>
  </conditionalFormatting>
  <conditionalFormatting sqref="B2017">
    <cfRule type="cellIs" dxfId="1361" priority="1883" operator="lessThan">
      <formula>250</formula>
    </cfRule>
    <cfRule type="cellIs" dxfId="1360" priority="1882" operator="between">
      <formula>250</formula>
      <formula>350</formula>
    </cfRule>
    <cfRule type="cellIs" dxfId="1359" priority="1881" operator="greaterThan">
      <formula>350</formula>
    </cfRule>
  </conditionalFormatting>
  <conditionalFormatting sqref="B2018">
    <cfRule type="cellIs" dxfId="1358" priority="1877" operator="between">
      <formula>0.8</formula>
      <formula>0.99999</formula>
    </cfRule>
    <cfRule type="cellIs" dxfId="1357" priority="1878" operator="between">
      <formula>1</formula>
      <formula>1.3</formula>
    </cfRule>
    <cfRule type="cellIs" dxfId="1356" priority="1876" operator="lessThan">
      <formula>0.8</formula>
    </cfRule>
    <cfRule type="cellIs" dxfId="1355" priority="1880" operator="greaterThan">
      <formula>1.5</formula>
    </cfRule>
    <cfRule type="cellIs" dxfId="1354" priority="1879" operator="between">
      <formula>1.3</formula>
      <formula>1.5</formula>
    </cfRule>
  </conditionalFormatting>
  <conditionalFormatting sqref="B2020">
    <cfRule type="cellIs" dxfId="1353" priority="1873" operator="greaterThan">
      <formula>1.6</formula>
    </cfRule>
    <cfRule type="cellIs" dxfId="1352" priority="1875" operator="lessThan">
      <formula>1.5</formula>
    </cfRule>
    <cfRule type="cellIs" dxfId="1351" priority="1874" operator="between">
      <formula>1.5</formula>
      <formula>1.6</formula>
    </cfRule>
  </conditionalFormatting>
  <conditionalFormatting sqref="B2021">
    <cfRule type="cellIs" dxfId="1350" priority="1414" operator="between">
      <formula>200</formula>
      <formula>499</formula>
    </cfRule>
    <cfRule type="cellIs" dxfId="1349" priority="1413" operator="between">
      <formula>500</formula>
      <formula>10000</formula>
    </cfRule>
    <cfRule type="cellIs" dxfId="1348" priority="1415" operator="between">
      <formula>1</formula>
      <formula>199</formula>
    </cfRule>
  </conditionalFormatting>
  <conditionalFormatting sqref="B2023">
    <cfRule type="cellIs" dxfId="1347" priority="1872" operator="lessThan">
      <formula>35</formula>
    </cfRule>
    <cfRule type="cellIs" dxfId="1346" priority="1870" operator="greaterThan">
      <formula>50</formula>
    </cfRule>
    <cfRule type="cellIs" dxfId="1345" priority="1871" operator="between">
      <formula>35</formula>
      <formula>50</formula>
    </cfRule>
  </conditionalFormatting>
  <conditionalFormatting sqref="B2024">
    <cfRule type="cellIs" dxfId="1344" priority="1869" operator="lessThan">
      <formula>250</formula>
    </cfRule>
    <cfRule type="cellIs" dxfId="1343" priority="1868" operator="between">
      <formula>250</formula>
      <formula>350</formula>
    </cfRule>
    <cfRule type="cellIs" dxfId="1342" priority="1867" operator="greaterThan">
      <formula>350</formula>
    </cfRule>
  </conditionalFormatting>
  <conditionalFormatting sqref="B2025">
    <cfRule type="cellIs" dxfId="1341" priority="1866" operator="greaterThan">
      <formula>1.5</formula>
    </cfRule>
    <cfRule type="cellIs" dxfId="1340" priority="1865" operator="between">
      <formula>1.3</formula>
      <formula>1.5</formula>
    </cfRule>
    <cfRule type="cellIs" dxfId="1339" priority="1864" operator="between">
      <formula>1</formula>
      <formula>1.3</formula>
    </cfRule>
    <cfRule type="cellIs" dxfId="1338" priority="1863" operator="between">
      <formula>0.8</formula>
      <formula>0.99999</formula>
    </cfRule>
    <cfRule type="cellIs" dxfId="1337" priority="1862" operator="lessThan">
      <formula>0.8</formula>
    </cfRule>
  </conditionalFormatting>
  <conditionalFormatting sqref="B2027">
    <cfRule type="cellIs" dxfId="1336" priority="1861" operator="lessThan">
      <formula>1.5</formula>
    </cfRule>
    <cfRule type="cellIs" dxfId="1335" priority="1860" operator="between">
      <formula>1.5</formula>
      <formula>1.6</formula>
    </cfRule>
    <cfRule type="cellIs" dxfId="1334" priority="1859" operator="greaterThan">
      <formula>1.6</formula>
    </cfRule>
  </conditionalFormatting>
  <conditionalFormatting sqref="B2028">
    <cfRule type="cellIs" dxfId="1333" priority="1412" operator="between">
      <formula>1</formula>
      <formula>199</formula>
    </cfRule>
    <cfRule type="cellIs" dxfId="1332" priority="1411" operator="between">
      <formula>200</formula>
      <formula>499</formula>
    </cfRule>
    <cfRule type="cellIs" dxfId="1331" priority="1410" operator="between">
      <formula>500</formula>
      <formula>10000</formula>
    </cfRule>
  </conditionalFormatting>
  <conditionalFormatting sqref="B2030">
    <cfRule type="cellIs" dxfId="1330" priority="1858" operator="lessThan">
      <formula>35</formula>
    </cfRule>
    <cfRule type="cellIs" dxfId="1329" priority="1857" operator="between">
      <formula>35</formula>
      <formula>50</formula>
    </cfRule>
    <cfRule type="cellIs" dxfId="1328" priority="1856" operator="greaterThan">
      <formula>50</formula>
    </cfRule>
  </conditionalFormatting>
  <conditionalFormatting sqref="B2031">
    <cfRule type="cellIs" dxfId="1327" priority="1854" operator="between">
      <formula>250</formula>
      <formula>350</formula>
    </cfRule>
    <cfRule type="cellIs" dxfId="1326" priority="1853" operator="greaterThan">
      <formula>350</formula>
    </cfRule>
    <cfRule type="cellIs" dxfId="1325" priority="1855" operator="lessThan">
      <formula>250</formula>
    </cfRule>
  </conditionalFormatting>
  <conditionalFormatting sqref="B2032">
    <cfRule type="cellIs" dxfId="1324" priority="1848" operator="lessThan">
      <formula>0.8</formula>
    </cfRule>
    <cfRule type="cellIs" dxfId="1323" priority="1849" operator="between">
      <formula>0.8</formula>
      <formula>0.99999</formula>
    </cfRule>
    <cfRule type="cellIs" dxfId="1322" priority="1851" operator="between">
      <formula>1.3</formula>
      <formula>1.5</formula>
    </cfRule>
    <cfRule type="cellIs" dxfId="1321" priority="1852" operator="greaterThan">
      <formula>1.5</formula>
    </cfRule>
    <cfRule type="cellIs" dxfId="1320" priority="1850" operator="between">
      <formula>1</formula>
      <formula>1.3</formula>
    </cfRule>
  </conditionalFormatting>
  <conditionalFormatting sqref="B2034">
    <cfRule type="cellIs" dxfId="1319" priority="1847" operator="lessThan">
      <formula>1.5</formula>
    </cfRule>
    <cfRule type="cellIs" dxfId="1318" priority="1846" operator="between">
      <formula>1.5</formula>
      <formula>1.6</formula>
    </cfRule>
    <cfRule type="cellIs" dxfId="1317" priority="1845" operator="greaterThan">
      <formula>1.6</formula>
    </cfRule>
  </conditionalFormatting>
  <conditionalFormatting sqref="B2035">
    <cfRule type="cellIs" dxfId="1316" priority="1407" operator="between">
      <formula>500</formula>
      <formula>10000</formula>
    </cfRule>
    <cfRule type="cellIs" dxfId="1315" priority="1408" operator="between">
      <formula>200</formula>
      <formula>499</formula>
    </cfRule>
    <cfRule type="cellIs" dxfId="1314" priority="1409" operator="between">
      <formula>1</formula>
      <formula>199</formula>
    </cfRule>
  </conditionalFormatting>
  <conditionalFormatting sqref="B2037">
    <cfRule type="cellIs" dxfId="1313" priority="1844" operator="lessThan">
      <formula>35</formula>
    </cfRule>
    <cfRule type="cellIs" dxfId="1312" priority="1843" operator="between">
      <formula>35</formula>
      <formula>50</formula>
    </cfRule>
    <cfRule type="cellIs" dxfId="1311" priority="1842" operator="greaterThan">
      <formula>50</formula>
    </cfRule>
  </conditionalFormatting>
  <conditionalFormatting sqref="B2038">
    <cfRule type="cellIs" dxfId="1310" priority="1841" operator="lessThan">
      <formula>250</formula>
    </cfRule>
    <cfRule type="cellIs" dxfId="1309" priority="1840" operator="between">
      <formula>250</formula>
      <formula>350</formula>
    </cfRule>
    <cfRule type="cellIs" dxfId="1308" priority="1839" operator="greaterThan">
      <formula>350</formula>
    </cfRule>
  </conditionalFormatting>
  <conditionalFormatting sqref="B2039">
    <cfRule type="cellIs" dxfId="1307" priority="1837" operator="between">
      <formula>1.3</formula>
      <formula>1.5</formula>
    </cfRule>
    <cfRule type="cellIs" dxfId="1306" priority="1835" operator="between">
      <formula>0.8</formula>
      <formula>0.99999</formula>
    </cfRule>
    <cfRule type="cellIs" dxfId="1305" priority="1836" operator="between">
      <formula>1</formula>
      <formula>1.3</formula>
    </cfRule>
    <cfRule type="cellIs" dxfId="1304" priority="1838" operator="greaterThan">
      <formula>1.5</formula>
    </cfRule>
    <cfRule type="cellIs" dxfId="1303" priority="1834" operator="lessThan">
      <formula>0.8</formula>
    </cfRule>
  </conditionalFormatting>
  <conditionalFormatting sqref="B2041">
    <cfRule type="cellIs" dxfId="1302" priority="1831" operator="greaterThan">
      <formula>1.6</formula>
    </cfRule>
    <cfRule type="cellIs" dxfId="1301" priority="1832" operator="between">
      <formula>1.5</formula>
      <formula>1.6</formula>
    </cfRule>
    <cfRule type="cellIs" dxfId="1300" priority="1833" operator="lessThan">
      <formula>1.5</formula>
    </cfRule>
  </conditionalFormatting>
  <conditionalFormatting sqref="B2042">
    <cfRule type="cellIs" dxfId="1299" priority="1405" operator="between">
      <formula>200</formula>
      <formula>499</formula>
    </cfRule>
    <cfRule type="cellIs" dxfId="1298" priority="1406" operator="between">
      <formula>1</formula>
      <formula>199</formula>
    </cfRule>
    <cfRule type="cellIs" dxfId="1297" priority="1404" operator="between">
      <formula>500</formula>
      <formula>10000</formula>
    </cfRule>
  </conditionalFormatting>
  <conditionalFormatting sqref="B2044">
    <cfRule type="cellIs" dxfId="1296" priority="1828" operator="greaterThan">
      <formula>50</formula>
    </cfRule>
    <cfRule type="cellIs" dxfId="1295" priority="1829" operator="between">
      <formula>35</formula>
      <formula>50</formula>
    </cfRule>
    <cfRule type="cellIs" dxfId="1294" priority="1830" operator="lessThan">
      <formula>35</formula>
    </cfRule>
  </conditionalFormatting>
  <conditionalFormatting sqref="B2045">
    <cfRule type="cellIs" dxfId="1293" priority="1825" operator="greaterThan">
      <formula>350</formula>
    </cfRule>
    <cfRule type="cellIs" dxfId="1292" priority="1826" operator="between">
      <formula>250</formula>
      <formula>350</formula>
    </cfRule>
    <cfRule type="cellIs" dxfId="1291" priority="1827" operator="lessThan">
      <formula>250</formula>
    </cfRule>
  </conditionalFormatting>
  <conditionalFormatting sqref="B2046">
    <cfRule type="cellIs" dxfId="1290" priority="1824" operator="greaterThan">
      <formula>1.5</formula>
    </cfRule>
    <cfRule type="cellIs" dxfId="1289" priority="1823" operator="between">
      <formula>1.3</formula>
      <formula>1.5</formula>
    </cfRule>
    <cfRule type="cellIs" dxfId="1288" priority="1822" operator="between">
      <formula>1</formula>
      <formula>1.3</formula>
    </cfRule>
    <cfRule type="cellIs" dxfId="1287" priority="1821" operator="between">
      <formula>0.8</formula>
      <formula>0.99999</formula>
    </cfRule>
    <cfRule type="cellIs" dxfId="1286" priority="1820" operator="lessThan">
      <formula>0.8</formula>
    </cfRule>
  </conditionalFormatting>
  <conditionalFormatting sqref="B2048">
    <cfRule type="cellIs" dxfId="1285" priority="1819" operator="lessThan">
      <formula>1.5</formula>
    </cfRule>
    <cfRule type="cellIs" dxfId="1284" priority="1818" operator="between">
      <formula>1.5</formula>
      <formula>1.6</formula>
    </cfRule>
    <cfRule type="cellIs" dxfId="1283" priority="1817" operator="greaterThan">
      <formula>1.6</formula>
    </cfRule>
  </conditionalFormatting>
  <conditionalFormatting sqref="B2049">
    <cfRule type="cellIs" dxfId="1282" priority="1401" operator="between">
      <formula>500</formula>
      <formula>10000</formula>
    </cfRule>
    <cfRule type="cellIs" dxfId="1281" priority="1403" operator="between">
      <formula>1</formula>
      <formula>199</formula>
    </cfRule>
    <cfRule type="cellIs" dxfId="1280" priority="1402" operator="between">
      <formula>200</formula>
      <formula>499</formula>
    </cfRule>
  </conditionalFormatting>
  <conditionalFormatting sqref="B2051">
    <cfRule type="cellIs" dxfId="1279" priority="1814" operator="greaterThan">
      <formula>50</formula>
    </cfRule>
    <cfRule type="cellIs" dxfId="1278" priority="1815" operator="between">
      <formula>35</formula>
      <formula>50</formula>
    </cfRule>
    <cfRule type="cellIs" dxfId="1277" priority="1816" operator="lessThan">
      <formula>35</formula>
    </cfRule>
  </conditionalFormatting>
  <conditionalFormatting sqref="B2052">
    <cfRule type="cellIs" dxfId="1276" priority="1811" operator="greaterThan">
      <formula>350</formula>
    </cfRule>
    <cfRule type="cellIs" dxfId="1275" priority="1813" operator="lessThan">
      <formula>250</formula>
    </cfRule>
    <cfRule type="cellIs" dxfId="1274" priority="1812" operator="between">
      <formula>250</formula>
      <formula>350</formula>
    </cfRule>
  </conditionalFormatting>
  <conditionalFormatting sqref="B2053">
    <cfRule type="cellIs" dxfId="1273" priority="1807" operator="between">
      <formula>0.8</formula>
      <formula>0.99999</formula>
    </cfRule>
    <cfRule type="cellIs" dxfId="1272" priority="1806" operator="lessThan">
      <formula>0.8</formula>
    </cfRule>
    <cfRule type="cellIs" dxfId="1271" priority="1808" operator="between">
      <formula>1</formula>
      <formula>1.3</formula>
    </cfRule>
    <cfRule type="cellIs" dxfId="1270" priority="1809" operator="between">
      <formula>1.3</formula>
      <formula>1.5</formula>
    </cfRule>
    <cfRule type="cellIs" dxfId="1269" priority="1810" operator="greaterThan">
      <formula>1.5</formula>
    </cfRule>
  </conditionalFormatting>
  <conditionalFormatting sqref="B2055">
    <cfRule type="cellIs" dxfId="1268" priority="1803" operator="greaterThan">
      <formula>1.6</formula>
    </cfRule>
    <cfRule type="cellIs" dxfId="1267" priority="1804" operator="between">
      <formula>1.5</formula>
      <formula>1.6</formula>
    </cfRule>
    <cfRule type="cellIs" dxfId="1266" priority="1805" operator="lessThan">
      <formula>1.5</formula>
    </cfRule>
  </conditionalFormatting>
  <conditionalFormatting sqref="B2056">
    <cfRule type="cellIs" dxfId="1265" priority="1398" operator="between">
      <formula>500</formula>
      <formula>10000</formula>
    </cfRule>
    <cfRule type="cellIs" dxfId="1264" priority="1399" operator="between">
      <formula>200</formula>
      <formula>499</formula>
    </cfRule>
    <cfRule type="cellIs" dxfId="1263" priority="1400" operator="between">
      <formula>1</formula>
      <formula>199</formula>
    </cfRule>
  </conditionalFormatting>
  <conditionalFormatting sqref="B2058">
    <cfRule type="cellIs" dxfId="1262" priority="1801" operator="between">
      <formula>35</formula>
      <formula>50</formula>
    </cfRule>
    <cfRule type="cellIs" dxfId="1261" priority="1800" operator="greaterThan">
      <formula>50</formula>
    </cfRule>
    <cfRule type="cellIs" dxfId="1260" priority="1802" operator="lessThan">
      <formula>35</formula>
    </cfRule>
  </conditionalFormatting>
  <conditionalFormatting sqref="B2059">
    <cfRule type="cellIs" dxfId="1259" priority="1799" operator="lessThan">
      <formula>250</formula>
    </cfRule>
    <cfRule type="cellIs" dxfId="1258" priority="1798" operator="between">
      <formula>250</formula>
      <formula>350</formula>
    </cfRule>
    <cfRule type="cellIs" dxfId="1257" priority="1797" operator="greaterThan">
      <formula>350</formula>
    </cfRule>
  </conditionalFormatting>
  <conditionalFormatting sqref="B2060">
    <cfRule type="cellIs" dxfId="1256" priority="1796" operator="greaterThan">
      <formula>1.5</formula>
    </cfRule>
    <cfRule type="cellIs" dxfId="1255" priority="1795" operator="between">
      <formula>1.3</formula>
      <formula>1.5</formula>
    </cfRule>
    <cfRule type="cellIs" dxfId="1254" priority="1793" operator="between">
      <formula>0.8</formula>
      <formula>0.99999</formula>
    </cfRule>
    <cfRule type="cellIs" dxfId="1253" priority="1792" operator="lessThan">
      <formula>0.8</formula>
    </cfRule>
    <cfRule type="cellIs" dxfId="1252" priority="1794" operator="between">
      <formula>1</formula>
      <formula>1.3</formula>
    </cfRule>
  </conditionalFormatting>
  <conditionalFormatting sqref="B2062">
    <cfRule type="cellIs" dxfId="1251" priority="1791" operator="lessThan">
      <formula>1.5</formula>
    </cfRule>
    <cfRule type="cellIs" dxfId="1250" priority="1790" operator="between">
      <formula>1.5</formula>
      <formula>1.6</formula>
    </cfRule>
    <cfRule type="cellIs" dxfId="1249" priority="1789" operator="greaterThan">
      <formula>1.6</formula>
    </cfRule>
  </conditionalFormatting>
  <conditionalFormatting sqref="B2063">
    <cfRule type="cellIs" dxfId="1248" priority="1396" operator="between">
      <formula>200</formula>
      <formula>499</formula>
    </cfRule>
    <cfRule type="cellIs" dxfId="1247" priority="1395" operator="between">
      <formula>500</formula>
      <formula>10000</formula>
    </cfRule>
    <cfRule type="cellIs" dxfId="1246" priority="1397" operator="between">
      <formula>1</formula>
      <formula>199</formula>
    </cfRule>
  </conditionalFormatting>
  <conditionalFormatting sqref="B2065">
    <cfRule type="cellIs" dxfId="1245" priority="1787" operator="between">
      <formula>35</formula>
      <formula>50</formula>
    </cfRule>
    <cfRule type="cellIs" dxfId="1244" priority="1788" operator="lessThan">
      <formula>35</formula>
    </cfRule>
    <cfRule type="cellIs" dxfId="1243" priority="1786" operator="greaterThan">
      <formula>50</formula>
    </cfRule>
  </conditionalFormatting>
  <conditionalFormatting sqref="B2066">
    <cfRule type="cellIs" dxfId="1242" priority="1783" operator="greaterThan">
      <formula>350</formula>
    </cfRule>
    <cfRule type="cellIs" dxfId="1241" priority="1784" operator="between">
      <formula>250</formula>
      <formula>350</formula>
    </cfRule>
    <cfRule type="cellIs" dxfId="1240" priority="1785" operator="lessThan">
      <formula>250</formula>
    </cfRule>
  </conditionalFormatting>
  <conditionalFormatting sqref="B2067">
    <cfRule type="cellIs" dxfId="1239" priority="1781" operator="between">
      <formula>1.3</formula>
      <formula>1.5</formula>
    </cfRule>
    <cfRule type="cellIs" dxfId="1238" priority="1782" operator="greaterThan">
      <formula>1.5</formula>
    </cfRule>
    <cfRule type="cellIs" dxfId="1237" priority="1780" operator="between">
      <formula>1</formula>
      <formula>1.3</formula>
    </cfRule>
    <cfRule type="cellIs" dxfId="1236" priority="1779" operator="between">
      <formula>0.8</formula>
      <formula>0.99999</formula>
    </cfRule>
    <cfRule type="cellIs" dxfId="1235" priority="1778" operator="lessThan">
      <formula>0.8</formula>
    </cfRule>
  </conditionalFormatting>
  <conditionalFormatting sqref="B2069">
    <cfRule type="cellIs" dxfId="1234" priority="1777" operator="lessThan">
      <formula>1.5</formula>
    </cfRule>
    <cfRule type="cellIs" dxfId="1233" priority="1776" operator="between">
      <formula>1.5</formula>
      <formula>1.6</formula>
    </cfRule>
    <cfRule type="cellIs" dxfId="1232" priority="1775" operator="greaterThan">
      <formula>1.6</formula>
    </cfRule>
  </conditionalFormatting>
  <conditionalFormatting sqref="B2070">
    <cfRule type="cellIs" dxfId="1231" priority="1392" operator="between">
      <formula>500</formula>
      <formula>10000</formula>
    </cfRule>
    <cfRule type="cellIs" dxfId="1230" priority="1394" operator="between">
      <formula>1</formula>
      <formula>199</formula>
    </cfRule>
    <cfRule type="cellIs" dxfId="1229" priority="1393" operator="between">
      <formula>200</formula>
      <formula>499</formula>
    </cfRule>
  </conditionalFormatting>
  <conditionalFormatting sqref="B2072">
    <cfRule type="cellIs" dxfId="1228" priority="1772" operator="greaterThan">
      <formula>50</formula>
    </cfRule>
    <cfRule type="cellIs" dxfId="1227" priority="1774" operator="lessThan">
      <formula>35</formula>
    </cfRule>
    <cfRule type="cellIs" dxfId="1226" priority="1773" operator="between">
      <formula>35</formula>
      <formula>50</formula>
    </cfRule>
  </conditionalFormatting>
  <conditionalFormatting sqref="B2073">
    <cfRule type="cellIs" dxfId="1225" priority="1771" operator="lessThan">
      <formula>250</formula>
    </cfRule>
    <cfRule type="cellIs" dxfId="1224" priority="1769" operator="greaterThan">
      <formula>350</formula>
    </cfRule>
    <cfRule type="cellIs" dxfId="1223" priority="1770" operator="between">
      <formula>250</formula>
      <formula>350</formula>
    </cfRule>
  </conditionalFormatting>
  <conditionalFormatting sqref="B2074">
    <cfRule type="cellIs" dxfId="1222" priority="1765" operator="between">
      <formula>0.8</formula>
      <formula>0.99999</formula>
    </cfRule>
    <cfRule type="cellIs" dxfId="1221" priority="1768" operator="greaterThan">
      <formula>1.5</formula>
    </cfRule>
    <cfRule type="cellIs" dxfId="1220" priority="1767" operator="between">
      <formula>1.3</formula>
      <formula>1.5</formula>
    </cfRule>
    <cfRule type="cellIs" dxfId="1219" priority="1766" operator="between">
      <formula>1</formula>
      <formula>1.3</formula>
    </cfRule>
    <cfRule type="cellIs" dxfId="1218" priority="1764" operator="lessThan">
      <formula>0.8</formula>
    </cfRule>
  </conditionalFormatting>
  <conditionalFormatting sqref="B2076">
    <cfRule type="cellIs" dxfId="1217" priority="1763" operator="lessThan">
      <formula>1.5</formula>
    </cfRule>
    <cfRule type="cellIs" dxfId="1216" priority="1762" operator="between">
      <formula>1.5</formula>
      <formula>1.6</formula>
    </cfRule>
    <cfRule type="cellIs" dxfId="1215" priority="1761" operator="greaterThan">
      <formula>1.6</formula>
    </cfRule>
  </conditionalFormatting>
  <conditionalFormatting sqref="B2077">
    <cfRule type="cellIs" dxfId="1214" priority="1391" operator="between">
      <formula>1</formula>
      <formula>199</formula>
    </cfRule>
    <cfRule type="cellIs" dxfId="1213" priority="1389" operator="between">
      <formula>500</formula>
      <formula>10000</formula>
    </cfRule>
    <cfRule type="cellIs" dxfId="1212" priority="1390" operator="between">
      <formula>200</formula>
      <formula>499</formula>
    </cfRule>
  </conditionalFormatting>
  <conditionalFormatting sqref="B2079">
    <cfRule type="cellIs" dxfId="1211" priority="1760" operator="lessThan">
      <formula>35</formula>
    </cfRule>
    <cfRule type="cellIs" dxfId="1210" priority="1759" operator="between">
      <formula>35</formula>
      <formula>50</formula>
    </cfRule>
    <cfRule type="cellIs" dxfId="1209" priority="1758" operator="greaterThan">
      <formula>50</formula>
    </cfRule>
  </conditionalFormatting>
  <conditionalFormatting sqref="B2080">
    <cfRule type="cellIs" dxfId="1208" priority="1757" operator="lessThan">
      <formula>250</formula>
    </cfRule>
    <cfRule type="cellIs" dxfId="1207" priority="1756" operator="between">
      <formula>250</formula>
      <formula>350</formula>
    </cfRule>
    <cfRule type="cellIs" dxfId="1206" priority="1755" operator="greaterThan">
      <formula>350</formula>
    </cfRule>
  </conditionalFormatting>
  <conditionalFormatting sqref="B2081">
    <cfRule type="cellIs" dxfId="1205" priority="1751" operator="between">
      <formula>0.8</formula>
      <formula>0.99999</formula>
    </cfRule>
    <cfRule type="cellIs" dxfId="1204" priority="1750" operator="lessThan">
      <formula>0.8</formula>
    </cfRule>
    <cfRule type="cellIs" dxfId="1203" priority="1754" operator="greaterThan">
      <formula>1.5</formula>
    </cfRule>
    <cfRule type="cellIs" dxfId="1202" priority="1753" operator="between">
      <formula>1.3</formula>
      <formula>1.5</formula>
    </cfRule>
    <cfRule type="cellIs" dxfId="1201" priority="1752" operator="between">
      <formula>1</formula>
      <formula>1.3</formula>
    </cfRule>
  </conditionalFormatting>
  <conditionalFormatting sqref="B2083">
    <cfRule type="cellIs" dxfId="1200" priority="1748" operator="between">
      <formula>1.5</formula>
      <formula>1.6</formula>
    </cfRule>
    <cfRule type="cellIs" dxfId="1199" priority="1749" operator="lessThan">
      <formula>1.5</formula>
    </cfRule>
    <cfRule type="cellIs" dxfId="1198" priority="1747" operator="greaterThan">
      <formula>1.6</formula>
    </cfRule>
  </conditionalFormatting>
  <conditionalFormatting sqref="B2084">
    <cfRule type="cellIs" dxfId="1197" priority="1386" operator="between">
      <formula>500</formula>
      <formula>10000</formula>
    </cfRule>
    <cfRule type="cellIs" dxfId="1196" priority="1387" operator="between">
      <formula>200</formula>
      <formula>499</formula>
    </cfRule>
    <cfRule type="cellIs" dxfId="1195" priority="1388" operator="between">
      <formula>1</formula>
      <formula>199</formula>
    </cfRule>
  </conditionalFormatting>
  <conditionalFormatting sqref="B2086">
    <cfRule type="cellIs" dxfId="1194" priority="1744" operator="greaterThan">
      <formula>50</formula>
    </cfRule>
    <cfRule type="cellIs" dxfId="1193" priority="1745" operator="between">
      <formula>35</formula>
      <formula>50</formula>
    </cfRule>
    <cfRule type="cellIs" dxfId="1192" priority="1746" operator="lessThan">
      <formula>35</formula>
    </cfRule>
  </conditionalFormatting>
  <conditionalFormatting sqref="B2087">
    <cfRule type="cellIs" dxfId="1191" priority="1742" operator="between">
      <formula>250</formula>
      <formula>350</formula>
    </cfRule>
    <cfRule type="cellIs" dxfId="1190" priority="1741" operator="greaterThan">
      <formula>350</formula>
    </cfRule>
    <cfRule type="cellIs" dxfId="1189" priority="1743" operator="lessThan">
      <formula>250</formula>
    </cfRule>
  </conditionalFormatting>
  <conditionalFormatting sqref="B2088">
    <cfRule type="cellIs" dxfId="1188" priority="1740" operator="greaterThan">
      <formula>1.5</formula>
    </cfRule>
    <cfRule type="cellIs" dxfId="1187" priority="1739" operator="between">
      <formula>1.3</formula>
      <formula>1.5</formula>
    </cfRule>
    <cfRule type="cellIs" dxfId="1186" priority="1738" operator="between">
      <formula>1</formula>
      <formula>1.3</formula>
    </cfRule>
    <cfRule type="cellIs" dxfId="1185" priority="1737" operator="between">
      <formula>0.8</formula>
      <formula>0.99999</formula>
    </cfRule>
    <cfRule type="cellIs" dxfId="1184" priority="1736" operator="lessThan">
      <formula>0.8</formula>
    </cfRule>
  </conditionalFormatting>
  <conditionalFormatting sqref="B2090">
    <cfRule type="cellIs" dxfId="1183" priority="1735" operator="lessThan">
      <formula>1.5</formula>
    </cfRule>
    <cfRule type="cellIs" dxfId="1182" priority="1734" operator="between">
      <formula>1.5</formula>
      <formula>1.6</formula>
    </cfRule>
    <cfRule type="cellIs" dxfId="1181" priority="1733" operator="greaterThan">
      <formula>1.6</formula>
    </cfRule>
  </conditionalFormatting>
  <conditionalFormatting sqref="B2091">
    <cfRule type="cellIs" dxfId="1180" priority="1384" operator="between">
      <formula>200</formula>
      <formula>499</formula>
    </cfRule>
    <cfRule type="cellIs" dxfId="1179" priority="1385" operator="between">
      <formula>1</formula>
      <formula>199</formula>
    </cfRule>
    <cfRule type="cellIs" dxfId="1178" priority="1383" operator="between">
      <formula>500</formula>
      <formula>10000</formula>
    </cfRule>
  </conditionalFormatting>
  <conditionalFormatting sqref="B2093">
    <cfRule type="cellIs" dxfId="1177" priority="1732" operator="lessThan">
      <formula>35</formula>
    </cfRule>
    <cfRule type="cellIs" dxfId="1176" priority="1730" operator="greaterThan">
      <formula>50</formula>
    </cfRule>
    <cfRule type="cellIs" dxfId="1175" priority="1731" operator="between">
      <formula>35</formula>
      <formula>50</formula>
    </cfRule>
  </conditionalFormatting>
  <conditionalFormatting sqref="B2094">
    <cfRule type="cellIs" dxfId="1174" priority="1729" operator="lessThan">
      <formula>250</formula>
    </cfRule>
    <cfRule type="cellIs" dxfId="1173" priority="1728" operator="between">
      <formula>250</formula>
      <formula>350</formula>
    </cfRule>
    <cfRule type="cellIs" dxfId="1172" priority="1727" operator="greaterThan">
      <formula>350</formula>
    </cfRule>
  </conditionalFormatting>
  <conditionalFormatting sqref="B2095">
    <cfRule type="cellIs" dxfId="1171" priority="1726" operator="greaterThan">
      <formula>1.5</formula>
    </cfRule>
    <cfRule type="cellIs" dxfId="1170" priority="1725" operator="between">
      <formula>1.3</formula>
      <formula>1.5</formula>
    </cfRule>
    <cfRule type="cellIs" dxfId="1169" priority="1724" operator="between">
      <formula>1</formula>
      <formula>1.3</formula>
    </cfRule>
    <cfRule type="cellIs" dxfId="1168" priority="1722" operator="lessThan">
      <formula>0.8</formula>
    </cfRule>
    <cfRule type="cellIs" dxfId="1167" priority="1723" operator="between">
      <formula>0.8</formula>
      <formula>0.99999</formula>
    </cfRule>
  </conditionalFormatting>
  <conditionalFormatting sqref="B2097">
    <cfRule type="cellIs" dxfId="1166" priority="1720" operator="between">
      <formula>1.5</formula>
      <formula>1.6</formula>
    </cfRule>
    <cfRule type="cellIs" dxfId="1165" priority="1721" operator="lessThan">
      <formula>1.5</formula>
    </cfRule>
    <cfRule type="cellIs" dxfId="1164" priority="1719" operator="greaterThan">
      <formula>1.6</formula>
    </cfRule>
  </conditionalFormatting>
  <conditionalFormatting sqref="B2098">
    <cfRule type="cellIs" dxfId="1163" priority="1382" operator="between">
      <formula>1</formula>
      <formula>199</formula>
    </cfRule>
    <cfRule type="cellIs" dxfId="1162" priority="1381" operator="between">
      <formula>200</formula>
      <formula>499</formula>
    </cfRule>
    <cfRule type="cellIs" dxfId="1161" priority="1380" operator="between">
      <formula>500</formula>
      <formula>10000</formula>
    </cfRule>
  </conditionalFormatting>
  <conditionalFormatting sqref="B2100">
    <cfRule type="cellIs" dxfId="1160" priority="1718" operator="lessThan">
      <formula>35</formula>
    </cfRule>
    <cfRule type="cellIs" dxfId="1159" priority="1717" operator="between">
      <formula>35</formula>
      <formula>50</formula>
    </cfRule>
    <cfRule type="cellIs" dxfId="1158" priority="1716" operator="greaterThan">
      <formula>50</formula>
    </cfRule>
  </conditionalFormatting>
  <conditionalFormatting sqref="B2101">
    <cfRule type="cellIs" dxfId="1157" priority="1715" operator="lessThan">
      <formula>250</formula>
    </cfRule>
    <cfRule type="cellIs" dxfId="1156" priority="1714" operator="between">
      <formula>250</formula>
      <formula>350</formula>
    </cfRule>
    <cfRule type="cellIs" dxfId="1155" priority="1713" operator="greaterThan">
      <formula>350</formula>
    </cfRule>
  </conditionalFormatting>
  <conditionalFormatting sqref="B2102">
    <cfRule type="cellIs" dxfId="1154" priority="1712" operator="greaterThan">
      <formula>1.5</formula>
    </cfRule>
    <cfRule type="cellIs" dxfId="1153" priority="1711" operator="between">
      <formula>1.3</formula>
      <formula>1.5</formula>
    </cfRule>
    <cfRule type="cellIs" dxfId="1152" priority="1710" operator="between">
      <formula>1</formula>
      <formula>1.3</formula>
    </cfRule>
    <cfRule type="cellIs" dxfId="1151" priority="1709" operator="between">
      <formula>0.8</formula>
      <formula>0.99999</formula>
    </cfRule>
    <cfRule type="cellIs" dxfId="1150" priority="1708" operator="lessThan">
      <formula>0.8</formula>
    </cfRule>
  </conditionalFormatting>
  <conditionalFormatting sqref="B2104">
    <cfRule type="cellIs" dxfId="1149" priority="1705" operator="greaterThan">
      <formula>1.6</formula>
    </cfRule>
    <cfRule type="cellIs" dxfId="1148" priority="1706" operator="between">
      <formula>1.5</formula>
      <formula>1.6</formula>
    </cfRule>
    <cfRule type="cellIs" dxfId="1147" priority="1707" operator="lessThan">
      <formula>1.5</formula>
    </cfRule>
  </conditionalFormatting>
  <conditionalFormatting sqref="B2105">
    <cfRule type="cellIs" dxfId="1146" priority="1377" operator="between">
      <formula>500</formula>
      <formula>10000</formula>
    </cfRule>
    <cfRule type="cellIs" dxfId="1145" priority="1378" operator="between">
      <formula>200</formula>
      <formula>499</formula>
    </cfRule>
    <cfRule type="cellIs" dxfId="1144" priority="1379" operator="between">
      <formula>1</formula>
      <formula>199</formula>
    </cfRule>
  </conditionalFormatting>
  <conditionalFormatting sqref="B2107">
    <cfRule type="cellIs" dxfId="1143" priority="1704" operator="lessThan">
      <formula>35</formula>
    </cfRule>
    <cfRule type="cellIs" dxfId="1142" priority="1703" operator="between">
      <formula>35</formula>
      <formula>50</formula>
    </cfRule>
    <cfRule type="cellIs" dxfId="1141" priority="1702" operator="greaterThan">
      <formula>50</formula>
    </cfRule>
  </conditionalFormatting>
  <conditionalFormatting sqref="B2108">
    <cfRule type="cellIs" dxfId="1140" priority="1701" operator="lessThan">
      <formula>250</formula>
    </cfRule>
    <cfRule type="cellIs" dxfId="1139" priority="1700" operator="between">
      <formula>250</formula>
      <formula>350</formula>
    </cfRule>
    <cfRule type="cellIs" dxfId="1138" priority="1699" operator="greaterThan">
      <formula>350</formula>
    </cfRule>
  </conditionalFormatting>
  <conditionalFormatting sqref="B2109">
    <cfRule type="cellIs" dxfId="1137" priority="1698" operator="greaterThan">
      <formula>1.5</formula>
    </cfRule>
    <cfRule type="cellIs" dxfId="1136" priority="1697" operator="between">
      <formula>1.3</formula>
      <formula>1.5</formula>
    </cfRule>
    <cfRule type="cellIs" dxfId="1135" priority="1696" operator="between">
      <formula>1</formula>
      <formula>1.3</formula>
    </cfRule>
    <cfRule type="cellIs" dxfId="1134" priority="1695" operator="between">
      <formula>0.8</formula>
      <formula>0.99999</formula>
    </cfRule>
    <cfRule type="cellIs" dxfId="1133" priority="1694" operator="lessThan">
      <formula>0.8</formula>
    </cfRule>
  </conditionalFormatting>
  <conditionalFormatting sqref="B2111">
    <cfRule type="cellIs" dxfId="1132" priority="1692" operator="between">
      <formula>1.5</formula>
      <formula>1.6</formula>
    </cfRule>
    <cfRule type="cellIs" dxfId="1131" priority="1693" operator="lessThan">
      <formula>1.5</formula>
    </cfRule>
    <cfRule type="cellIs" dxfId="1130" priority="1691" operator="greaterThan">
      <formula>1.6</formula>
    </cfRule>
  </conditionalFormatting>
  <conditionalFormatting sqref="B2112">
    <cfRule type="cellIs" dxfId="1129" priority="1376" operator="between">
      <formula>1</formula>
      <formula>199</formula>
    </cfRule>
    <cfRule type="cellIs" dxfId="1128" priority="1375" operator="between">
      <formula>200</formula>
      <formula>499</formula>
    </cfRule>
    <cfRule type="cellIs" dxfId="1127" priority="1374" operator="between">
      <formula>500</formula>
      <formula>10000</formula>
    </cfRule>
  </conditionalFormatting>
  <conditionalFormatting sqref="B2114">
    <cfRule type="cellIs" dxfId="1126" priority="1690" operator="lessThan">
      <formula>35</formula>
    </cfRule>
    <cfRule type="cellIs" dxfId="1125" priority="1689" operator="between">
      <formula>35</formula>
      <formula>50</formula>
    </cfRule>
    <cfRule type="cellIs" dxfId="1124" priority="1688" operator="greaterThan">
      <formula>50</formula>
    </cfRule>
  </conditionalFormatting>
  <conditionalFormatting sqref="B2115">
    <cfRule type="cellIs" dxfId="1123" priority="1685" operator="greaterThan">
      <formula>350</formula>
    </cfRule>
    <cfRule type="cellIs" dxfId="1122" priority="1687" operator="lessThan">
      <formula>250</formula>
    </cfRule>
    <cfRule type="cellIs" dxfId="1121" priority="1686" operator="between">
      <formula>250</formula>
      <formula>350</formula>
    </cfRule>
  </conditionalFormatting>
  <conditionalFormatting sqref="B2116">
    <cfRule type="cellIs" dxfId="1120" priority="1683" operator="between">
      <formula>1.3</formula>
      <formula>1.5</formula>
    </cfRule>
    <cfRule type="cellIs" dxfId="1119" priority="1681" operator="between">
      <formula>0.8</formula>
      <formula>0.99999</formula>
    </cfRule>
    <cfRule type="cellIs" dxfId="1118" priority="1682" operator="between">
      <formula>1</formula>
      <formula>1.3</formula>
    </cfRule>
    <cfRule type="cellIs" dxfId="1117" priority="1684" operator="greaterThan">
      <formula>1.5</formula>
    </cfRule>
    <cfRule type="cellIs" dxfId="1116" priority="1680" operator="lessThan">
      <formula>0.8</formula>
    </cfRule>
  </conditionalFormatting>
  <conditionalFormatting sqref="B2118">
    <cfRule type="cellIs" dxfId="1115" priority="1677" operator="greaterThan">
      <formula>1.6</formula>
    </cfRule>
    <cfRule type="cellIs" dxfId="1114" priority="1678" operator="between">
      <formula>1.5</formula>
      <formula>1.6</formula>
    </cfRule>
    <cfRule type="cellIs" dxfId="1113" priority="1679" operator="lessThan">
      <formula>1.5</formula>
    </cfRule>
  </conditionalFormatting>
  <conditionalFormatting sqref="B2119">
    <cfRule type="cellIs" dxfId="1112" priority="1371" operator="between">
      <formula>500</formula>
      <formula>10000</formula>
    </cfRule>
    <cfRule type="cellIs" dxfId="1111" priority="1372" operator="between">
      <formula>200</formula>
      <formula>499</formula>
    </cfRule>
    <cfRule type="cellIs" dxfId="1110" priority="1373" operator="between">
      <formula>1</formula>
      <formula>199</formula>
    </cfRule>
  </conditionalFormatting>
  <conditionalFormatting sqref="B2121">
    <cfRule type="cellIs" dxfId="1109" priority="1676" operator="lessThan">
      <formula>35</formula>
    </cfRule>
    <cfRule type="cellIs" dxfId="1108" priority="1675" operator="between">
      <formula>35</formula>
      <formula>50</formula>
    </cfRule>
    <cfRule type="cellIs" dxfId="1107" priority="1674" operator="greaterThan">
      <formula>50</formula>
    </cfRule>
  </conditionalFormatting>
  <conditionalFormatting sqref="B2122">
    <cfRule type="cellIs" dxfId="1106" priority="1673" operator="lessThan">
      <formula>250</formula>
    </cfRule>
    <cfRule type="cellIs" dxfId="1105" priority="1672" operator="between">
      <formula>250</formula>
      <formula>350</formula>
    </cfRule>
    <cfRule type="cellIs" dxfId="1104" priority="1671" operator="greaterThan">
      <formula>350</formula>
    </cfRule>
  </conditionalFormatting>
  <conditionalFormatting sqref="B2123">
    <cfRule type="cellIs" dxfId="1103" priority="1667" operator="between">
      <formula>0.8</formula>
      <formula>0.99999</formula>
    </cfRule>
    <cfRule type="cellIs" dxfId="1102" priority="1666" operator="lessThan">
      <formula>0.8</formula>
    </cfRule>
    <cfRule type="cellIs" dxfId="1101" priority="1670" operator="greaterThan">
      <formula>1.5</formula>
    </cfRule>
    <cfRule type="cellIs" dxfId="1100" priority="1669" operator="between">
      <formula>1.3</formula>
      <formula>1.5</formula>
    </cfRule>
    <cfRule type="cellIs" dxfId="1099" priority="1668" operator="between">
      <formula>1</formula>
      <formula>1.3</formula>
    </cfRule>
  </conditionalFormatting>
  <conditionalFormatting sqref="B2125">
    <cfRule type="cellIs" dxfId="1098" priority="1665" operator="lessThan">
      <formula>1.5</formula>
    </cfRule>
    <cfRule type="cellIs" dxfId="1097" priority="1664" operator="between">
      <formula>1.5</formula>
      <formula>1.6</formula>
    </cfRule>
    <cfRule type="cellIs" dxfId="1096" priority="1663" operator="greaterThan">
      <formula>1.6</formula>
    </cfRule>
  </conditionalFormatting>
  <conditionalFormatting sqref="B2126">
    <cfRule type="cellIs" dxfId="1095" priority="1370" operator="between">
      <formula>1</formula>
      <formula>199</formula>
    </cfRule>
    <cfRule type="cellIs" dxfId="1094" priority="1369" operator="between">
      <formula>200</formula>
      <formula>499</formula>
    </cfRule>
    <cfRule type="cellIs" dxfId="1093" priority="1368" operator="between">
      <formula>500</formula>
      <formula>10000</formula>
    </cfRule>
  </conditionalFormatting>
  <conditionalFormatting sqref="B2128">
    <cfRule type="cellIs" dxfId="1092" priority="1662" operator="lessThan">
      <formula>35</formula>
    </cfRule>
    <cfRule type="cellIs" dxfId="1091" priority="1661" operator="between">
      <formula>35</formula>
      <formula>50</formula>
    </cfRule>
    <cfRule type="cellIs" dxfId="1090" priority="1660" operator="greaterThan">
      <formula>50</formula>
    </cfRule>
  </conditionalFormatting>
  <conditionalFormatting sqref="B2129">
    <cfRule type="cellIs" dxfId="1089" priority="1659" operator="lessThan">
      <formula>250</formula>
    </cfRule>
    <cfRule type="cellIs" dxfId="1088" priority="1658" operator="between">
      <formula>250</formula>
      <formula>350</formula>
    </cfRule>
    <cfRule type="cellIs" dxfId="1087" priority="1657" operator="greaterThan">
      <formula>350</formula>
    </cfRule>
  </conditionalFormatting>
  <conditionalFormatting sqref="B2130">
    <cfRule type="cellIs" dxfId="1086" priority="1656" operator="greaterThan">
      <formula>1.5</formula>
    </cfRule>
    <cfRule type="cellIs" dxfId="1085" priority="1655" operator="between">
      <formula>1.3</formula>
      <formula>1.5</formula>
    </cfRule>
    <cfRule type="cellIs" dxfId="1084" priority="1654" operator="between">
      <formula>1</formula>
      <formula>1.3</formula>
    </cfRule>
    <cfRule type="cellIs" dxfId="1083" priority="1653" operator="between">
      <formula>0.8</formula>
      <formula>0.99999</formula>
    </cfRule>
    <cfRule type="cellIs" dxfId="1082" priority="1652" operator="lessThan">
      <formula>0.8</formula>
    </cfRule>
  </conditionalFormatting>
  <conditionalFormatting sqref="B2132">
    <cfRule type="cellIs" dxfId="1081" priority="1649" operator="greaterThan">
      <formula>1.6</formula>
    </cfRule>
    <cfRule type="cellIs" dxfId="1080" priority="1651" operator="lessThan">
      <formula>1.5</formula>
    </cfRule>
    <cfRule type="cellIs" dxfId="1079" priority="1650" operator="between">
      <formula>1.5</formula>
      <formula>1.6</formula>
    </cfRule>
  </conditionalFormatting>
  <conditionalFormatting sqref="B2133">
    <cfRule type="cellIs" dxfId="1078" priority="1366" operator="between">
      <formula>200</formula>
      <formula>499</formula>
    </cfRule>
    <cfRule type="cellIs" dxfId="1077" priority="1365" operator="between">
      <formula>500</formula>
      <formula>10000</formula>
    </cfRule>
    <cfRule type="cellIs" dxfId="1076" priority="1367" operator="between">
      <formula>1</formula>
      <formula>199</formula>
    </cfRule>
  </conditionalFormatting>
  <conditionalFormatting sqref="B2135">
    <cfRule type="cellIs" dxfId="1075" priority="1646" operator="greaterThan">
      <formula>50</formula>
    </cfRule>
    <cfRule type="cellIs" dxfId="1074" priority="1647" operator="between">
      <formula>35</formula>
      <formula>50</formula>
    </cfRule>
    <cfRule type="cellIs" dxfId="1073" priority="1648" operator="lessThan">
      <formula>35</formula>
    </cfRule>
  </conditionalFormatting>
  <conditionalFormatting sqref="B2136">
    <cfRule type="cellIs" dxfId="1072" priority="1643" operator="greaterThan">
      <formula>350</formula>
    </cfRule>
    <cfRule type="cellIs" dxfId="1071" priority="1644" operator="between">
      <formula>250</formula>
      <formula>350</formula>
    </cfRule>
    <cfRule type="cellIs" dxfId="1070" priority="1645" operator="lessThan">
      <formula>250</formula>
    </cfRule>
  </conditionalFormatting>
  <conditionalFormatting sqref="B2137">
    <cfRule type="cellIs" dxfId="1069" priority="1642" operator="greaterThan">
      <formula>1.5</formula>
    </cfRule>
    <cfRule type="cellIs" dxfId="1068" priority="1641" operator="between">
      <formula>1.3</formula>
      <formula>1.5</formula>
    </cfRule>
    <cfRule type="cellIs" dxfId="1067" priority="1638" operator="lessThan">
      <formula>0.8</formula>
    </cfRule>
    <cfRule type="cellIs" dxfId="1066" priority="1639" operator="between">
      <formula>0.8</formula>
      <formula>0.99999</formula>
    </cfRule>
    <cfRule type="cellIs" dxfId="1065" priority="1640" operator="between">
      <formula>1</formula>
      <formula>1.3</formula>
    </cfRule>
  </conditionalFormatting>
  <conditionalFormatting sqref="B2139">
    <cfRule type="cellIs" dxfId="1064" priority="1636" operator="between">
      <formula>1.5</formula>
      <formula>1.6</formula>
    </cfRule>
    <cfRule type="cellIs" dxfId="1063" priority="1635" operator="greaterThan">
      <formula>1.6</formula>
    </cfRule>
    <cfRule type="cellIs" dxfId="1062" priority="1637" operator="lessThan">
      <formula>1.5</formula>
    </cfRule>
  </conditionalFormatting>
  <conditionalFormatting sqref="B2140">
    <cfRule type="cellIs" dxfId="1061" priority="1362" operator="between">
      <formula>500</formula>
      <formula>10000</formula>
    </cfRule>
    <cfRule type="cellIs" dxfId="1060" priority="1363" operator="between">
      <formula>200</formula>
      <formula>499</formula>
    </cfRule>
    <cfRule type="cellIs" dxfId="1059" priority="1364" operator="between">
      <formula>1</formula>
      <formula>199</formula>
    </cfRule>
  </conditionalFormatting>
  <conditionalFormatting sqref="B2142">
    <cfRule type="cellIs" dxfId="1058" priority="1634" operator="lessThan">
      <formula>35</formula>
    </cfRule>
    <cfRule type="cellIs" dxfId="1057" priority="1633" operator="between">
      <formula>35</formula>
      <formula>50</formula>
    </cfRule>
    <cfRule type="cellIs" dxfId="1056" priority="1632" operator="greaterThan">
      <formula>50</formula>
    </cfRule>
  </conditionalFormatting>
  <conditionalFormatting sqref="B2143">
    <cfRule type="cellIs" dxfId="1055" priority="1629" operator="greaterThan">
      <formula>350</formula>
    </cfRule>
    <cfRule type="cellIs" dxfId="1054" priority="1630" operator="between">
      <formula>250</formula>
      <formula>350</formula>
    </cfRule>
    <cfRule type="cellIs" dxfId="1053" priority="1631" operator="lessThan">
      <formula>250</formula>
    </cfRule>
  </conditionalFormatting>
  <conditionalFormatting sqref="B2144">
    <cfRule type="cellIs" dxfId="1052" priority="1628" operator="greaterThan">
      <formula>1.5</formula>
    </cfRule>
    <cfRule type="cellIs" dxfId="1051" priority="1626" operator="between">
      <formula>1</formula>
      <formula>1.3</formula>
    </cfRule>
    <cfRule type="cellIs" dxfId="1050" priority="1624" operator="lessThan">
      <formula>0.8</formula>
    </cfRule>
    <cfRule type="cellIs" dxfId="1049" priority="1627" operator="between">
      <formula>1.3</formula>
      <formula>1.5</formula>
    </cfRule>
    <cfRule type="cellIs" dxfId="1048" priority="1625" operator="between">
      <formula>0.8</formula>
      <formula>0.99999</formula>
    </cfRule>
  </conditionalFormatting>
  <conditionalFormatting sqref="B2146">
    <cfRule type="cellIs" dxfId="1047" priority="1623" operator="lessThan">
      <formula>1.5</formula>
    </cfRule>
    <cfRule type="cellIs" dxfId="1046" priority="1622" operator="between">
      <formula>1.5</formula>
      <formula>1.6</formula>
    </cfRule>
    <cfRule type="cellIs" dxfId="1045" priority="1621" operator="greaterThan">
      <formula>1.6</formula>
    </cfRule>
  </conditionalFormatting>
  <conditionalFormatting sqref="B2147">
    <cfRule type="cellIs" dxfId="1044" priority="1361" operator="between">
      <formula>1</formula>
      <formula>199</formula>
    </cfRule>
    <cfRule type="cellIs" dxfId="1043" priority="1359" operator="between">
      <formula>500</formula>
      <formula>10000</formula>
    </cfRule>
    <cfRule type="cellIs" dxfId="1042" priority="1360" operator="between">
      <formula>200</formula>
      <formula>499</formula>
    </cfRule>
  </conditionalFormatting>
  <conditionalFormatting sqref="B2149">
    <cfRule type="cellIs" dxfId="1041" priority="1619" operator="between">
      <formula>35</formula>
      <formula>50</formula>
    </cfRule>
    <cfRule type="cellIs" dxfId="1040" priority="1620" operator="lessThan">
      <formula>35</formula>
    </cfRule>
    <cfRule type="cellIs" dxfId="1039" priority="1618" operator="greaterThan">
      <formula>50</formula>
    </cfRule>
  </conditionalFormatting>
  <conditionalFormatting sqref="B2150">
    <cfRule type="cellIs" dxfId="1038" priority="1617" operator="lessThan">
      <formula>250</formula>
    </cfRule>
    <cfRule type="cellIs" dxfId="1037" priority="1616" operator="between">
      <formula>250</formula>
      <formula>350</formula>
    </cfRule>
    <cfRule type="cellIs" dxfId="1036" priority="1615" operator="greaterThan">
      <formula>350</formula>
    </cfRule>
  </conditionalFormatting>
  <conditionalFormatting sqref="B2151">
    <cfRule type="cellIs" dxfId="1035" priority="1614" operator="greaterThan">
      <formula>1.5</formula>
    </cfRule>
    <cfRule type="cellIs" dxfId="1034" priority="1613" operator="between">
      <formula>1.3</formula>
      <formula>1.5</formula>
    </cfRule>
    <cfRule type="cellIs" dxfId="1033" priority="1612" operator="between">
      <formula>1</formula>
      <formula>1.3</formula>
    </cfRule>
    <cfRule type="cellIs" dxfId="1032" priority="1611" operator="between">
      <formula>0.8</formula>
      <formula>0.99999</formula>
    </cfRule>
    <cfRule type="cellIs" dxfId="1031" priority="1610" operator="lessThan">
      <formula>0.8</formula>
    </cfRule>
  </conditionalFormatting>
  <conditionalFormatting sqref="B2153">
    <cfRule type="cellIs" dxfId="1030" priority="1607" operator="greaterThan">
      <formula>1.6</formula>
    </cfRule>
    <cfRule type="cellIs" dxfId="1029" priority="1609" operator="lessThan">
      <formula>1.5</formula>
    </cfRule>
    <cfRule type="cellIs" dxfId="1028" priority="1608" operator="between">
      <formula>1.5</formula>
      <formula>1.6</formula>
    </cfRule>
  </conditionalFormatting>
  <conditionalFormatting sqref="B2154">
    <cfRule type="cellIs" dxfId="1027" priority="1356" operator="between">
      <formula>500</formula>
      <formula>10000</formula>
    </cfRule>
    <cfRule type="cellIs" dxfId="1026" priority="1357" operator="between">
      <formula>200</formula>
      <formula>499</formula>
    </cfRule>
    <cfRule type="cellIs" dxfId="1025" priority="1358" operator="between">
      <formula>1</formula>
      <formula>199</formula>
    </cfRule>
  </conditionalFormatting>
  <conditionalFormatting sqref="B2156">
    <cfRule type="cellIs" dxfId="1024" priority="1605" operator="between">
      <formula>35</formula>
      <formula>50</formula>
    </cfRule>
    <cfRule type="cellIs" dxfId="1023" priority="1606" operator="lessThan">
      <formula>35</formula>
    </cfRule>
    <cfRule type="cellIs" dxfId="1022" priority="1604" operator="greaterThan">
      <formula>50</formula>
    </cfRule>
  </conditionalFormatting>
  <conditionalFormatting sqref="B2157">
    <cfRule type="cellIs" dxfId="1021" priority="1601" operator="greaterThan">
      <formula>350</formula>
    </cfRule>
    <cfRule type="cellIs" dxfId="1020" priority="1602" operator="between">
      <formula>250</formula>
      <formula>350</formula>
    </cfRule>
    <cfRule type="cellIs" dxfId="1019" priority="1603" operator="lessThan">
      <formula>250</formula>
    </cfRule>
  </conditionalFormatting>
  <conditionalFormatting sqref="B2158">
    <cfRule type="cellIs" dxfId="1018" priority="1600" operator="greaterThan">
      <formula>1.5</formula>
    </cfRule>
    <cfRule type="cellIs" dxfId="1017" priority="1599" operator="between">
      <formula>1.3</formula>
      <formula>1.5</formula>
    </cfRule>
    <cfRule type="cellIs" dxfId="1016" priority="1598" operator="between">
      <formula>1</formula>
      <formula>1.3</formula>
    </cfRule>
    <cfRule type="cellIs" dxfId="1015" priority="1597" operator="between">
      <formula>0.8</formula>
      <formula>0.99999</formula>
    </cfRule>
    <cfRule type="cellIs" dxfId="1014" priority="1596" operator="lessThan">
      <formula>0.8</formula>
    </cfRule>
  </conditionalFormatting>
  <conditionalFormatting sqref="B2160">
    <cfRule type="cellIs" dxfId="1013" priority="1595" operator="lessThan">
      <formula>1.5</formula>
    </cfRule>
    <cfRule type="cellIs" dxfId="1012" priority="1594" operator="between">
      <formula>1.5</formula>
      <formula>1.6</formula>
    </cfRule>
    <cfRule type="cellIs" dxfId="1011" priority="1593" operator="greaterThan">
      <formula>1.6</formula>
    </cfRule>
  </conditionalFormatting>
  <conditionalFormatting sqref="B2161">
    <cfRule type="cellIs" dxfId="1010" priority="1197" operator="between">
      <formula>1</formula>
      <formula>199</formula>
    </cfRule>
    <cfRule type="cellIs" dxfId="1009" priority="1195" operator="between">
      <formula>500</formula>
      <formula>10000</formula>
    </cfRule>
    <cfRule type="cellIs" dxfId="1008" priority="1196" operator="between">
      <formula>200</formula>
      <formula>499</formula>
    </cfRule>
  </conditionalFormatting>
  <conditionalFormatting sqref="B2163">
    <cfRule type="cellIs" dxfId="1007" priority="1590" operator="greaterThan">
      <formula>50</formula>
    </cfRule>
    <cfRule type="cellIs" dxfId="1006" priority="1591" operator="between">
      <formula>35</formula>
      <formula>50</formula>
    </cfRule>
    <cfRule type="cellIs" dxfId="1005" priority="1592" operator="lessThan">
      <formula>35</formula>
    </cfRule>
  </conditionalFormatting>
  <conditionalFormatting sqref="B2164">
    <cfRule type="cellIs" dxfId="1004" priority="1587" operator="greaterThan">
      <formula>350</formula>
    </cfRule>
    <cfRule type="cellIs" dxfId="1003" priority="1588" operator="between">
      <formula>250</formula>
      <formula>350</formula>
    </cfRule>
    <cfRule type="cellIs" dxfId="1002" priority="1589" operator="lessThan">
      <formula>250</formula>
    </cfRule>
  </conditionalFormatting>
  <conditionalFormatting sqref="B2165">
    <cfRule type="cellIs" dxfId="1001" priority="1586" operator="greaterThan">
      <formula>1.5</formula>
    </cfRule>
    <cfRule type="cellIs" dxfId="1000" priority="1585" operator="between">
      <formula>1.3</formula>
      <formula>1.5</formula>
    </cfRule>
    <cfRule type="cellIs" dxfId="999" priority="1584" operator="between">
      <formula>1</formula>
      <formula>1.3</formula>
    </cfRule>
    <cfRule type="cellIs" dxfId="998" priority="1583" operator="between">
      <formula>0.8</formula>
      <formula>0.99999</formula>
    </cfRule>
    <cfRule type="cellIs" dxfId="997" priority="1582" operator="lessThan">
      <formula>0.8</formula>
    </cfRule>
  </conditionalFormatting>
  <conditionalFormatting sqref="B2167">
    <cfRule type="cellIs" dxfId="996" priority="1580" operator="between">
      <formula>1.5</formula>
      <formula>1.6</formula>
    </cfRule>
    <cfRule type="cellIs" dxfId="995" priority="1579" operator="greaterThan">
      <formula>1.6</formula>
    </cfRule>
    <cfRule type="cellIs" dxfId="994" priority="1581" operator="lessThan">
      <formula>1.5</formula>
    </cfRule>
  </conditionalFormatting>
  <conditionalFormatting sqref="B2168">
    <cfRule type="cellIs" dxfId="993" priority="1194" operator="between">
      <formula>1</formula>
      <formula>199</formula>
    </cfRule>
    <cfRule type="cellIs" dxfId="992" priority="1192" operator="between">
      <formula>500</formula>
      <formula>10000</formula>
    </cfRule>
    <cfRule type="cellIs" dxfId="991" priority="1193" operator="between">
      <formula>200</formula>
      <formula>499</formula>
    </cfRule>
  </conditionalFormatting>
  <conditionalFormatting sqref="B2170">
    <cfRule type="cellIs" dxfId="990" priority="1578" operator="lessThan">
      <formula>35</formula>
    </cfRule>
    <cfRule type="cellIs" dxfId="989" priority="1576" operator="greaterThan">
      <formula>50</formula>
    </cfRule>
    <cfRule type="cellIs" dxfId="988" priority="1577" operator="between">
      <formula>35</formula>
      <formula>50</formula>
    </cfRule>
  </conditionalFormatting>
  <conditionalFormatting sqref="B2171">
    <cfRule type="cellIs" dxfId="987" priority="1575" operator="lessThan">
      <formula>250</formula>
    </cfRule>
    <cfRule type="cellIs" dxfId="986" priority="1574" operator="between">
      <formula>250</formula>
      <formula>350</formula>
    </cfRule>
    <cfRule type="cellIs" dxfId="985" priority="1573" operator="greaterThan">
      <formula>350</formula>
    </cfRule>
  </conditionalFormatting>
  <conditionalFormatting sqref="B2172">
    <cfRule type="cellIs" dxfId="984" priority="1568" operator="lessThan">
      <formula>0.8</formula>
    </cfRule>
    <cfRule type="cellIs" dxfId="983" priority="1571" operator="between">
      <formula>1.3</formula>
      <formula>1.5</formula>
    </cfRule>
    <cfRule type="cellIs" dxfId="982" priority="1572" operator="greaterThan">
      <formula>1.5</formula>
    </cfRule>
    <cfRule type="cellIs" dxfId="981" priority="1570" operator="between">
      <formula>1</formula>
      <formula>1.3</formula>
    </cfRule>
    <cfRule type="cellIs" dxfId="980" priority="1569" operator="between">
      <formula>0.8</formula>
      <formula>0.99999</formula>
    </cfRule>
  </conditionalFormatting>
  <conditionalFormatting sqref="B2174">
    <cfRule type="cellIs" dxfId="979" priority="1566" operator="between">
      <formula>1.5</formula>
      <formula>1.6</formula>
    </cfRule>
    <cfRule type="cellIs" dxfId="978" priority="1567" operator="lessThan">
      <formula>1.5</formula>
    </cfRule>
    <cfRule type="cellIs" dxfId="977" priority="1565" operator="greaterThan">
      <formula>1.6</formula>
    </cfRule>
  </conditionalFormatting>
  <conditionalFormatting sqref="B2175">
    <cfRule type="cellIs" dxfId="976" priority="1352" operator="between">
      <formula>1</formula>
      <formula>199</formula>
    </cfRule>
    <cfRule type="cellIs" dxfId="975" priority="1351" operator="between">
      <formula>200</formula>
      <formula>499</formula>
    </cfRule>
    <cfRule type="cellIs" dxfId="974" priority="1350" operator="between">
      <formula>500</formula>
      <formula>10000</formula>
    </cfRule>
  </conditionalFormatting>
  <conditionalFormatting sqref="B2177">
    <cfRule type="cellIs" dxfId="973" priority="1564" operator="lessThan">
      <formula>35</formula>
    </cfRule>
    <cfRule type="cellIs" dxfId="972" priority="1562" operator="greaterThan">
      <formula>50</formula>
    </cfRule>
    <cfRule type="cellIs" dxfId="971" priority="1563" operator="between">
      <formula>35</formula>
      <formula>50</formula>
    </cfRule>
  </conditionalFormatting>
  <conditionalFormatting sqref="B2178">
    <cfRule type="cellIs" dxfId="970" priority="1561" operator="lessThan">
      <formula>250</formula>
    </cfRule>
    <cfRule type="cellIs" dxfId="969" priority="1560" operator="between">
      <formula>250</formula>
      <formula>350</formula>
    </cfRule>
    <cfRule type="cellIs" dxfId="968" priority="1559" operator="greaterThan">
      <formula>350</formula>
    </cfRule>
  </conditionalFormatting>
  <conditionalFormatting sqref="B2179">
    <cfRule type="cellIs" dxfId="967" priority="1558" operator="greaterThan">
      <formula>1.5</formula>
    </cfRule>
    <cfRule type="cellIs" dxfId="966" priority="1557" operator="between">
      <formula>1.3</formula>
      <formula>1.5</formula>
    </cfRule>
    <cfRule type="cellIs" dxfId="965" priority="1556" operator="between">
      <formula>1</formula>
      <formula>1.3</formula>
    </cfRule>
    <cfRule type="cellIs" dxfId="964" priority="1555" operator="between">
      <formula>0.8</formula>
      <formula>0.99999</formula>
    </cfRule>
    <cfRule type="cellIs" dxfId="963" priority="1554" operator="lessThan">
      <formula>0.8</formula>
    </cfRule>
  </conditionalFormatting>
  <conditionalFormatting sqref="B2181">
    <cfRule type="cellIs" dxfId="962" priority="1553" operator="lessThan">
      <formula>1.5</formula>
    </cfRule>
    <cfRule type="cellIs" dxfId="961" priority="1552" operator="between">
      <formula>1.5</formula>
      <formula>1.6</formula>
    </cfRule>
    <cfRule type="cellIs" dxfId="960" priority="1551" operator="greaterThan">
      <formula>1.6</formula>
    </cfRule>
  </conditionalFormatting>
  <conditionalFormatting sqref="B2182">
    <cfRule type="cellIs" dxfId="959" priority="1349" operator="between">
      <formula>1</formula>
      <formula>199</formula>
    </cfRule>
    <cfRule type="cellIs" dxfId="958" priority="1347" operator="between">
      <formula>500</formula>
      <formula>10000</formula>
    </cfRule>
    <cfRule type="cellIs" dxfId="957" priority="1348" operator="between">
      <formula>200</formula>
      <formula>499</formula>
    </cfRule>
  </conditionalFormatting>
  <conditionalFormatting sqref="B2184">
    <cfRule type="cellIs" dxfId="956" priority="1548" operator="greaterThan">
      <formula>50</formula>
    </cfRule>
    <cfRule type="cellIs" dxfId="955" priority="1549" operator="between">
      <formula>35</formula>
      <formula>50</formula>
    </cfRule>
    <cfRule type="cellIs" dxfId="954" priority="1550" operator="lessThan">
      <formula>35</formula>
    </cfRule>
  </conditionalFormatting>
  <conditionalFormatting sqref="B2185">
    <cfRule type="cellIs" dxfId="953" priority="1545" operator="greaterThan">
      <formula>350</formula>
    </cfRule>
    <cfRule type="cellIs" dxfId="952" priority="1546" operator="between">
      <formula>250</formula>
      <formula>350</formula>
    </cfRule>
    <cfRule type="cellIs" dxfId="951" priority="1547" operator="lessThan">
      <formula>250</formula>
    </cfRule>
  </conditionalFormatting>
  <conditionalFormatting sqref="B2186">
    <cfRule type="cellIs" dxfId="950" priority="1540" operator="lessThan">
      <formula>0.8</formula>
    </cfRule>
    <cfRule type="cellIs" dxfId="949" priority="1541" operator="between">
      <formula>0.8</formula>
      <formula>0.99999</formula>
    </cfRule>
    <cfRule type="cellIs" dxfId="948" priority="1542" operator="between">
      <formula>1</formula>
      <formula>1.3</formula>
    </cfRule>
    <cfRule type="cellIs" dxfId="947" priority="1543" operator="between">
      <formula>1.3</formula>
      <formula>1.5</formula>
    </cfRule>
    <cfRule type="cellIs" dxfId="946" priority="1544" operator="greaterThan">
      <formula>1.5</formula>
    </cfRule>
  </conditionalFormatting>
  <conditionalFormatting sqref="B2188">
    <cfRule type="cellIs" dxfId="945" priority="1537" operator="greaterThan">
      <formula>1.6</formula>
    </cfRule>
    <cfRule type="cellIs" dxfId="944" priority="1538" operator="between">
      <formula>1.5</formula>
      <formula>1.6</formula>
    </cfRule>
    <cfRule type="cellIs" dxfId="943" priority="1539" operator="lessThan">
      <formula>1.5</formula>
    </cfRule>
  </conditionalFormatting>
  <conditionalFormatting sqref="B2189">
    <cfRule type="cellIs" dxfId="942" priority="1344" operator="between">
      <formula>500</formula>
      <formula>10000</formula>
    </cfRule>
    <cfRule type="cellIs" dxfId="941" priority="1345" operator="between">
      <formula>200</formula>
      <formula>499</formula>
    </cfRule>
    <cfRule type="cellIs" dxfId="940" priority="1346" operator="between">
      <formula>1</formula>
      <formula>199</formula>
    </cfRule>
  </conditionalFormatting>
  <conditionalFormatting sqref="B2191">
    <cfRule type="cellIs" dxfId="939" priority="1534" operator="greaterThan">
      <formula>50</formula>
    </cfRule>
    <cfRule type="cellIs" dxfId="938" priority="1535" operator="between">
      <formula>35</formula>
      <formula>50</formula>
    </cfRule>
    <cfRule type="cellIs" dxfId="937" priority="1536" operator="lessThan">
      <formula>35</formula>
    </cfRule>
  </conditionalFormatting>
  <conditionalFormatting sqref="B2192">
    <cfRule type="cellIs" dxfId="936" priority="1531" operator="greaterThan">
      <formula>350</formula>
    </cfRule>
    <cfRule type="cellIs" dxfId="935" priority="1532" operator="between">
      <formula>250</formula>
      <formula>350</formula>
    </cfRule>
    <cfRule type="cellIs" dxfId="934" priority="1533" operator="lessThan">
      <formula>250</formula>
    </cfRule>
  </conditionalFormatting>
  <conditionalFormatting sqref="B2193">
    <cfRule type="cellIs" dxfId="933" priority="1527" operator="between">
      <formula>0.8</formula>
      <formula>0.99999</formula>
    </cfRule>
    <cfRule type="cellIs" dxfId="932" priority="1526" operator="lessThan">
      <formula>0.8</formula>
    </cfRule>
    <cfRule type="cellIs" dxfId="931" priority="1528" operator="between">
      <formula>1</formula>
      <formula>1.3</formula>
    </cfRule>
    <cfRule type="cellIs" dxfId="930" priority="1530" operator="greaterThan">
      <formula>1.5</formula>
    </cfRule>
    <cfRule type="cellIs" dxfId="929" priority="1529" operator="between">
      <formula>1.3</formula>
      <formula>1.5</formula>
    </cfRule>
  </conditionalFormatting>
  <conditionalFormatting sqref="B2195">
    <cfRule type="cellIs" dxfId="928" priority="1525" operator="lessThan">
      <formula>1.5</formula>
    </cfRule>
    <cfRule type="cellIs" dxfId="927" priority="1523" operator="greaterThan">
      <formula>1.6</formula>
    </cfRule>
    <cfRule type="cellIs" dxfId="926" priority="1524" operator="between">
      <formula>1.5</formula>
      <formula>1.6</formula>
    </cfRule>
  </conditionalFormatting>
  <conditionalFormatting sqref="B2196">
    <cfRule type="cellIs" dxfId="925" priority="1343" operator="between">
      <formula>1</formula>
      <formula>199</formula>
    </cfRule>
    <cfRule type="cellIs" dxfId="924" priority="1342" operator="between">
      <formula>200</formula>
      <formula>499</formula>
    </cfRule>
    <cfRule type="cellIs" dxfId="923" priority="1341" operator="between">
      <formula>500</formula>
      <formula>10000</formula>
    </cfRule>
  </conditionalFormatting>
  <conditionalFormatting sqref="B2198">
    <cfRule type="cellIs" dxfId="922" priority="1520" operator="greaterThan">
      <formula>50</formula>
    </cfRule>
    <cfRule type="cellIs" dxfId="921" priority="1521" operator="between">
      <formula>35</formula>
      <formula>50</formula>
    </cfRule>
    <cfRule type="cellIs" dxfId="920" priority="1522" operator="lessThan">
      <formula>35</formula>
    </cfRule>
  </conditionalFormatting>
  <conditionalFormatting sqref="B2199">
    <cfRule type="cellIs" dxfId="919" priority="1519" operator="lessThan">
      <formula>250</formula>
    </cfRule>
    <cfRule type="cellIs" dxfId="918" priority="1518" operator="between">
      <formula>250</formula>
      <formula>350</formula>
    </cfRule>
    <cfRule type="cellIs" dxfId="917" priority="1517" operator="greaterThan">
      <formula>350</formula>
    </cfRule>
  </conditionalFormatting>
  <conditionalFormatting sqref="B2200">
    <cfRule type="cellIs" dxfId="916" priority="1516" operator="greaterThan">
      <formula>1.5</formula>
    </cfRule>
    <cfRule type="cellIs" dxfId="915" priority="1515" operator="between">
      <formula>1.3</formula>
      <formula>1.5</formula>
    </cfRule>
    <cfRule type="cellIs" dxfId="914" priority="1513" operator="between">
      <formula>0.8</formula>
      <formula>0.99999</formula>
    </cfRule>
    <cfRule type="cellIs" dxfId="913" priority="1512" operator="lessThan">
      <formula>0.8</formula>
    </cfRule>
    <cfRule type="cellIs" dxfId="912" priority="1514" operator="between">
      <formula>1</formula>
      <formula>1.3</formula>
    </cfRule>
  </conditionalFormatting>
  <conditionalFormatting sqref="B2202">
    <cfRule type="cellIs" dxfId="911" priority="1511" operator="lessThan">
      <formula>1.5</formula>
    </cfRule>
    <cfRule type="cellIs" dxfId="910" priority="1510" operator="between">
      <formula>1.5</formula>
      <formula>1.6</formula>
    </cfRule>
    <cfRule type="cellIs" dxfId="909" priority="1509" operator="greaterThan">
      <formula>1.6</formula>
    </cfRule>
  </conditionalFormatting>
  <conditionalFormatting sqref="B2203">
    <cfRule type="cellIs" dxfId="908" priority="1339" operator="between">
      <formula>200</formula>
      <formula>499</formula>
    </cfRule>
    <cfRule type="cellIs" dxfId="907" priority="1338" operator="between">
      <formula>500</formula>
      <formula>10000</formula>
    </cfRule>
    <cfRule type="cellIs" dxfId="906" priority="1340" operator="between">
      <formula>1</formula>
      <formula>199</formula>
    </cfRule>
  </conditionalFormatting>
  <conditionalFormatting sqref="B2205">
    <cfRule type="cellIs" dxfId="905" priority="1508" operator="lessThan">
      <formula>35</formula>
    </cfRule>
    <cfRule type="cellIs" dxfId="904" priority="1507" operator="between">
      <formula>35</formula>
      <formula>50</formula>
    </cfRule>
    <cfRule type="cellIs" dxfId="903" priority="1506" operator="greaterThan">
      <formula>50</formula>
    </cfRule>
  </conditionalFormatting>
  <conditionalFormatting sqref="B2206">
    <cfRule type="cellIs" dxfId="902" priority="1505" operator="lessThan">
      <formula>250</formula>
    </cfRule>
    <cfRule type="cellIs" dxfId="901" priority="1504" operator="between">
      <formula>250</formula>
      <formula>350</formula>
    </cfRule>
    <cfRule type="cellIs" dxfId="900" priority="1503" operator="greaterThan">
      <formula>350</formula>
    </cfRule>
  </conditionalFormatting>
  <conditionalFormatting sqref="B2207">
    <cfRule type="cellIs" dxfId="899" priority="428" operator="between">
      <formula>1</formula>
      <formula>1.3</formula>
    </cfRule>
    <cfRule type="cellIs" dxfId="898" priority="430" operator="greaterThan">
      <formula>1.5</formula>
    </cfRule>
    <cfRule type="cellIs" dxfId="897" priority="429" operator="between">
      <formula>1.3</formula>
      <formula>1.5</formula>
    </cfRule>
    <cfRule type="cellIs" dxfId="896" priority="427" operator="between">
      <formula>0.8</formula>
      <formula>0.99999</formula>
    </cfRule>
    <cfRule type="cellIs" dxfId="895" priority="426" operator="lessThan">
      <formula>0.8</formula>
    </cfRule>
  </conditionalFormatting>
  <conditionalFormatting sqref="B2209">
    <cfRule type="cellIs" dxfId="894" priority="1495" operator="greaterThan">
      <formula>1.6</formula>
    </cfRule>
    <cfRule type="cellIs" dxfId="893" priority="1497" operator="lessThan">
      <formula>1.5</formula>
    </cfRule>
    <cfRule type="cellIs" dxfId="892" priority="1496" operator="between">
      <formula>1.5</formula>
      <formula>1.6</formula>
    </cfRule>
  </conditionalFormatting>
  <conditionalFormatting sqref="B2210">
    <cfRule type="cellIs" dxfId="891" priority="1189" operator="between">
      <formula>500</formula>
      <formula>10000</formula>
    </cfRule>
    <cfRule type="cellIs" dxfId="890" priority="1190" operator="between">
      <formula>200</formula>
      <formula>499</formula>
    </cfRule>
    <cfRule type="cellIs" dxfId="889" priority="1191" operator="between">
      <formula>1</formula>
      <formula>199</formula>
    </cfRule>
  </conditionalFormatting>
  <conditionalFormatting sqref="B2212">
    <cfRule type="cellIs" dxfId="888" priority="1337" operator="lessThan">
      <formula>35</formula>
    </cfRule>
    <cfRule type="cellIs" dxfId="887" priority="1336" operator="between">
      <formula>35</formula>
      <formula>50</formula>
    </cfRule>
    <cfRule type="cellIs" dxfId="886" priority="1335" operator="greaterThan">
      <formula>50</formula>
    </cfRule>
  </conditionalFormatting>
  <conditionalFormatting sqref="B2213">
    <cfRule type="cellIs" dxfId="885" priority="310" operator="between">
      <formula>250</formula>
      <formula>350</formula>
    </cfRule>
    <cfRule type="cellIs" dxfId="884" priority="311" operator="lessThan">
      <formula>250</formula>
    </cfRule>
    <cfRule type="cellIs" dxfId="883" priority="309" operator="greaterThan">
      <formula>350</formula>
    </cfRule>
  </conditionalFormatting>
  <conditionalFormatting sqref="B2214">
    <cfRule type="cellIs" dxfId="882" priority="425" operator="greaterThan">
      <formula>1.5</formula>
    </cfRule>
    <cfRule type="cellIs" dxfId="881" priority="423" operator="between">
      <formula>1</formula>
      <formula>1.3</formula>
    </cfRule>
    <cfRule type="cellIs" dxfId="880" priority="422" operator="between">
      <formula>0.8</formula>
      <formula>0.99999</formula>
    </cfRule>
    <cfRule type="cellIs" dxfId="879" priority="421" operator="lessThan">
      <formula>0.8</formula>
    </cfRule>
    <cfRule type="cellIs" dxfId="878" priority="424" operator="between">
      <formula>1.3</formula>
      <formula>1.5</formula>
    </cfRule>
  </conditionalFormatting>
  <conditionalFormatting sqref="B2216">
    <cfRule type="cellIs" dxfId="877" priority="1324" operator="greaterThan">
      <formula>1.6</formula>
    </cfRule>
    <cfRule type="cellIs" dxfId="876" priority="1325" operator="between">
      <formula>1.5</formula>
      <formula>1.6</formula>
    </cfRule>
    <cfRule type="cellIs" dxfId="875" priority="1326" operator="lessThan">
      <formula>1.5</formula>
    </cfRule>
  </conditionalFormatting>
  <conditionalFormatting sqref="B2217">
    <cfRule type="cellIs" dxfId="874" priority="1187" operator="between">
      <formula>200</formula>
      <formula>499</formula>
    </cfRule>
    <cfRule type="cellIs" dxfId="873" priority="1188" operator="between">
      <formula>1</formula>
      <formula>199</formula>
    </cfRule>
    <cfRule type="cellIs" dxfId="872" priority="1186" operator="between">
      <formula>500</formula>
      <formula>10000</formula>
    </cfRule>
  </conditionalFormatting>
  <conditionalFormatting sqref="B2219 B2226">
    <cfRule type="cellIs" dxfId="871" priority="1309" operator="lessThan">
      <formula>35</formula>
    </cfRule>
    <cfRule type="cellIs" dxfId="870" priority="1308" operator="between">
      <formula>35</formula>
      <formula>50</formula>
    </cfRule>
    <cfRule type="cellIs" dxfId="869" priority="1307" operator="greaterThan">
      <formula>50</formula>
    </cfRule>
  </conditionalFormatting>
  <conditionalFormatting sqref="B2220">
    <cfRule type="cellIs" dxfId="868" priority="307" operator="between">
      <formula>250</formula>
      <formula>350</formula>
    </cfRule>
    <cfRule type="cellIs" dxfId="867" priority="306" operator="greaterThan">
      <formula>350</formula>
    </cfRule>
    <cfRule type="cellIs" dxfId="866" priority="308" operator="lessThan">
      <formula>250</formula>
    </cfRule>
  </conditionalFormatting>
  <conditionalFormatting sqref="B2221">
    <cfRule type="cellIs" dxfId="865" priority="416" operator="lessThan">
      <formula>0.8</formula>
    </cfRule>
    <cfRule type="cellIs" dxfId="864" priority="417" operator="between">
      <formula>0.8</formula>
      <formula>0.99999</formula>
    </cfRule>
    <cfRule type="cellIs" dxfId="863" priority="418" operator="between">
      <formula>1</formula>
      <formula>1.3</formula>
    </cfRule>
    <cfRule type="cellIs" dxfId="862" priority="419" operator="between">
      <formula>1.3</formula>
      <formula>1.5</formula>
    </cfRule>
    <cfRule type="cellIs" dxfId="861" priority="420" operator="greaterThan">
      <formula>1.5</formula>
    </cfRule>
  </conditionalFormatting>
  <conditionalFormatting sqref="B2223 B2230">
    <cfRule type="cellIs" dxfId="860" priority="1298" operator="lessThan">
      <formula>1.5</formula>
    </cfRule>
    <cfRule type="cellIs" dxfId="859" priority="1297" operator="between">
      <formula>1.5</formula>
      <formula>1.6</formula>
    </cfRule>
    <cfRule type="cellIs" dxfId="858" priority="1296" operator="greaterThan">
      <formula>1.6</formula>
    </cfRule>
  </conditionalFormatting>
  <conditionalFormatting sqref="B2224">
    <cfRule type="cellIs" dxfId="857" priority="1183" operator="between">
      <formula>500</formula>
      <formula>10000</formula>
    </cfRule>
    <cfRule type="cellIs" dxfId="856" priority="1184" operator="between">
      <formula>200</formula>
      <formula>499</formula>
    </cfRule>
    <cfRule type="cellIs" dxfId="855" priority="1185" operator="between">
      <formula>1</formula>
      <formula>199</formula>
    </cfRule>
  </conditionalFormatting>
  <conditionalFormatting sqref="B2227">
    <cfRule type="cellIs" dxfId="854" priority="303" operator="greaterThan">
      <formula>350</formula>
    </cfRule>
    <cfRule type="cellIs" dxfId="853" priority="304" operator="between">
      <formula>250</formula>
      <formula>350</formula>
    </cfRule>
    <cfRule type="cellIs" dxfId="852" priority="305" operator="lessThan">
      <formula>250</formula>
    </cfRule>
  </conditionalFormatting>
  <conditionalFormatting sqref="B2228">
    <cfRule type="cellIs" dxfId="851" priority="412" operator="between">
      <formula>0.8</formula>
      <formula>0.99999</formula>
    </cfRule>
    <cfRule type="cellIs" dxfId="850" priority="415" operator="greaterThan">
      <formula>1.5</formula>
    </cfRule>
    <cfRule type="cellIs" dxfId="849" priority="414" operator="between">
      <formula>1.3</formula>
      <formula>1.5</formula>
    </cfRule>
    <cfRule type="cellIs" dxfId="848" priority="413" operator="between">
      <formula>1</formula>
      <formula>1.3</formula>
    </cfRule>
    <cfRule type="cellIs" dxfId="847" priority="411" operator="lessThan">
      <formula>0.8</formula>
    </cfRule>
  </conditionalFormatting>
  <conditionalFormatting sqref="B2231">
    <cfRule type="cellIs" dxfId="846" priority="1181" operator="between">
      <formula>200</formula>
      <formula>499</formula>
    </cfRule>
    <cfRule type="cellIs" dxfId="845" priority="1182" operator="between">
      <formula>1</formula>
      <formula>199</formula>
    </cfRule>
    <cfRule type="cellIs" dxfId="844" priority="1180" operator="between">
      <formula>500</formula>
      <formula>10000</formula>
    </cfRule>
  </conditionalFormatting>
  <conditionalFormatting sqref="B2233">
    <cfRule type="cellIs" dxfId="843" priority="1293" operator="greaterThan">
      <formula>50</formula>
    </cfRule>
    <cfRule type="cellIs" dxfId="842" priority="1294" operator="between">
      <formula>35</formula>
      <formula>50</formula>
    </cfRule>
    <cfRule type="cellIs" dxfId="841" priority="1295" operator="lessThan">
      <formula>35</formula>
    </cfRule>
  </conditionalFormatting>
  <conditionalFormatting sqref="B2234">
    <cfRule type="cellIs" dxfId="840" priority="300" operator="greaterThan">
      <formula>350</formula>
    </cfRule>
    <cfRule type="cellIs" dxfId="839" priority="301" operator="between">
      <formula>250</formula>
      <formula>350</formula>
    </cfRule>
    <cfRule type="cellIs" dxfId="838" priority="302" operator="lessThan">
      <formula>250</formula>
    </cfRule>
  </conditionalFormatting>
  <conditionalFormatting sqref="B2235">
    <cfRule type="cellIs" dxfId="837" priority="407" operator="between">
      <formula>0.8</formula>
      <formula>0.99999</formula>
    </cfRule>
    <cfRule type="cellIs" dxfId="836" priority="410" operator="greaterThan">
      <formula>1.5</formula>
    </cfRule>
    <cfRule type="cellIs" dxfId="835" priority="409" operator="between">
      <formula>1.3</formula>
      <formula>1.5</formula>
    </cfRule>
    <cfRule type="cellIs" dxfId="834" priority="406" operator="lessThan">
      <formula>0.8</formula>
    </cfRule>
    <cfRule type="cellIs" dxfId="833" priority="408" operator="between">
      <formula>1</formula>
      <formula>1.3</formula>
    </cfRule>
  </conditionalFormatting>
  <conditionalFormatting sqref="B2237">
    <cfRule type="cellIs" dxfId="832" priority="1283" operator="between">
      <formula>1.5</formula>
      <formula>1.6</formula>
    </cfRule>
    <cfRule type="cellIs" dxfId="831" priority="1282" operator="greaterThan">
      <formula>1.6</formula>
    </cfRule>
    <cfRule type="cellIs" dxfId="830" priority="1284" operator="lessThan">
      <formula>1.5</formula>
    </cfRule>
  </conditionalFormatting>
  <conditionalFormatting sqref="B2238">
    <cfRule type="cellIs" dxfId="829" priority="1177" operator="between">
      <formula>500</formula>
      <formula>10000</formula>
    </cfRule>
    <cfRule type="cellIs" dxfId="828" priority="1179" operator="between">
      <formula>1</formula>
      <formula>199</formula>
    </cfRule>
    <cfRule type="cellIs" dxfId="827" priority="1178" operator="between">
      <formula>200</formula>
      <formula>499</formula>
    </cfRule>
  </conditionalFormatting>
  <conditionalFormatting sqref="B2240">
    <cfRule type="cellIs" dxfId="826" priority="1279" operator="greaterThan">
      <formula>50</formula>
    </cfRule>
    <cfRule type="cellIs" dxfId="825" priority="1280" operator="between">
      <formula>35</formula>
      <formula>50</formula>
    </cfRule>
    <cfRule type="cellIs" dxfId="824" priority="1281" operator="lessThan">
      <formula>35</formula>
    </cfRule>
  </conditionalFormatting>
  <conditionalFormatting sqref="B2241">
    <cfRule type="cellIs" dxfId="823" priority="299" operator="lessThan">
      <formula>250</formula>
    </cfRule>
    <cfRule type="cellIs" dxfId="822" priority="297" operator="greaterThan">
      <formula>350</formula>
    </cfRule>
    <cfRule type="cellIs" dxfId="821" priority="298" operator="between">
      <formula>250</formula>
      <formula>350</formula>
    </cfRule>
  </conditionalFormatting>
  <conditionalFormatting sqref="B2242">
    <cfRule type="cellIs" dxfId="820" priority="405" operator="greaterThan">
      <formula>1.5</formula>
    </cfRule>
    <cfRule type="cellIs" dxfId="819" priority="404" operator="between">
      <formula>1.3</formula>
      <formula>1.5</formula>
    </cfRule>
    <cfRule type="cellIs" dxfId="818" priority="403" operator="between">
      <formula>1</formula>
      <formula>1.3</formula>
    </cfRule>
    <cfRule type="cellIs" dxfId="817" priority="402" operator="between">
      <formula>0.8</formula>
      <formula>0.99999</formula>
    </cfRule>
    <cfRule type="cellIs" dxfId="816" priority="401" operator="lessThan">
      <formula>0.8</formula>
    </cfRule>
  </conditionalFormatting>
  <conditionalFormatting sqref="B2244">
    <cfRule type="cellIs" dxfId="815" priority="1270" operator="lessThan">
      <formula>1.5</formula>
    </cfRule>
    <cfRule type="cellIs" dxfId="814" priority="1269" operator="between">
      <formula>1.5</formula>
      <formula>1.6</formula>
    </cfRule>
    <cfRule type="cellIs" dxfId="813" priority="1268" operator="greaterThan">
      <formula>1.6</formula>
    </cfRule>
  </conditionalFormatting>
  <conditionalFormatting sqref="B2245">
    <cfRule type="cellIs" dxfId="812" priority="1176" operator="between">
      <formula>1</formula>
      <formula>199</formula>
    </cfRule>
    <cfRule type="cellIs" dxfId="811" priority="1175" operator="between">
      <formula>200</formula>
      <formula>499</formula>
    </cfRule>
    <cfRule type="cellIs" dxfId="810" priority="1174" operator="between">
      <formula>500</formula>
      <formula>10000</formula>
    </cfRule>
  </conditionalFormatting>
  <conditionalFormatting sqref="B2247">
    <cfRule type="cellIs" dxfId="809" priority="1267" operator="lessThan">
      <formula>35</formula>
    </cfRule>
    <cfRule type="cellIs" dxfId="808" priority="1266" operator="between">
      <formula>35</formula>
      <formula>50</formula>
    </cfRule>
    <cfRule type="cellIs" dxfId="807" priority="1265" operator="greaterThan">
      <formula>50</formula>
    </cfRule>
  </conditionalFormatting>
  <conditionalFormatting sqref="B2248">
    <cfRule type="cellIs" dxfId="806" priority="294" operator="greaterThan">
      <formula>350</formula>
    </cfRule>
    <cfRule type="cellIs" dxfId="805" priority="295" operator="between">
      <formula>250</formula>
      <formula>350</formula>
    </cfRule>
    <cfRule type="cellIs" dxfId="804" priority="296" operator="lessThan">
      <formula>250</formula>
    </cfRule>
  </conditionalFormatting>
  <conditionalFormatting sqref="B2249">
    <cfRule type="cellIs" dxfId="803" priority="396" operator="lessThan">
      <formula>0.8</formula>
    </cfRule>
    <cfRule type="cellIs" dxfId="802" priority="397" operator="between">
      <formula>0.8</formula>
      <formula>0.99999</formula>
    </cfRule>
    <cfRule type="cellIs" dxfId="801" priority="398" operator="between">
      <formula>1</formula>
      <formula>1.3</formula>
    </cfRule>
    <cfRule type="cellIs" dxfId="800" priority="399" operator="between">
      <formula>1.3</formula>
      <formula>1.5</formula>
    </cfRule>
    <cfRule type="cellIs" dxfId="799" priority="400" operator="greaterThan">
      <formula>1.5</formula>
    </cfRule>
  </conditionalFormatting>
  <conditionalFormatting sqref="B2251">
    <cfRule type="cellIs" dxfId="798" priority="1256" operator="lessThan">
      <formula>1.5</formula>
    </cfRule>
    <cfRule type="cellIs" dxfId="797" priority="1255" operator="between">
      <formula>1.5</formula>
      <formula>1.6</formula>
    </cfRule>
    <cfRule type="cellIs" dxfId="796" priority="1254" operator="greaterThan">
      <formula>1.6</formula>
    </cfRule>
  </conditionalFormatting>
  <conditionalFormatting sqref="B2252">
    <cfRule type="cellIs" dxfId="795" priority="1173" operator="between">
      <formula>1</formula>
      <formula>199</formula>
    </cfRule>
    <cfRule type="cellIs" dxfId="794" priority="1172" operator="between">
      <formula>200</formula>
      <formula>499</formula>
    </cfRule>
    <cfRule type="cellIs" dxfId="793" priority="1171" operator="between">
      <formula>500</formula>
      <formula>10000</formula>
    </cfRule>
  </conditionalFormatting>
  <conditionalFormatting sqref="B2254">
    <cfRule type="cellIs" dxfId="792" priority="1251" operator="greaterThan">
      <formula>50</formula>
    </cfRule>
    <cfRule type="cellIs" dxfId="791" priority="1253" operator="lessThan">
      <formula>35</formula>
    </cfRule>
    <cfRule type="cellIs" dxfId="790" priority="1252" operator="between">
      <formula>35</formula>
      <formula>50</formula>
    </cfRule>
  </conditionalFormatting>
  <conditionalFormatting sqref="B2255">
    <cfRule type="cellIs" dxfId="789" priority="292" operator="between">
      <formula>250</formula>
      <formula>350</formula>
    </cfRule>
    <cfRule type="cellIs" dxfId="788" priority="293" operator="lessThan">
      <formula>250</formula>
    </cfRule>
    <cfRule type="cellIs" dxfId="787" priority="291" operator="greaterThan">
      <formula>350</formula>
    </cfRule>
  </conditionalFormatting>
  <conditionalFormatting sqref="B2256">
    <cfRule type="cellIs" dxfId="786" priority="392" operator="between">
      <formula>0.8</formula>
      <formula>0.99999</formula>
    </cfRule>
    <cfRule type="cellIs" dxfId="785" priority="391" operator="lessThan">
      <formula>0.8</formula>
    </cfRule>
    <cfRule type="cellIs" dxfId="784" priority="395" operator="greaterThan">
      <formula>1.5</formula>
    </cfRule>
    <cfRule type="cellIs" dxfId="783" priority="394" operator="between">
      <formula>1.3</formula>
      <formula>1.5</formula>
    </cfRule>
    <cfRule type="cellIs" dxfId="782" priority="393" operator="between">
      <formula>1</formula>
      <formula>1.3</formula>
    </cfRule>
  </conditionalFormatting>
  <conditionalFormatting sqref="B2258">
    <cfRule type="cellIs" dxfId="781" priority="1240" operator="greaterThan">
      <formula>1.6</formula>
    </cfRule>
    <cfRule type="cellIs" dxfId="780" priority="1242" operator="lessThan">
      <formula>1.5</formula>
    </cfRule>
    <cfRule type="cellIs" dxfId="779" priority="1241" operator="between">
      <formula>1.5</formula>
      <formula>1.6</formula>
    </cfRule>
  </conditionalFormatting>
  <conditionalFormatting sqref="B2259">
    <cfRule type="cellIs" dxfId="778" priority="1168" operator="between">
      <formula>500</formula>
      <formula>10000</formula>
    </cfRule>
    <cfRule type="cellIs" dxfId="777" priority="1169" operator="between">
      <formula>200</formula>
      <formula>499</formula>
    </cfRule>
    <cfRule type="cellIs" dxfId="776" priority="1170" operator="between">
      <formula>1</formula>
      <formula>199</formula>
    </cfRule>
  </conditionalFormatting>
  <conditionalFormatting sqref="B2261">
    <cfRule type="cellIs" dxfId="775" priority="1239" operator="lessThan">
      <formula>35</formula>
    </cfRule>
    <cfRule type="cellIs" dxfId="774" priority="1238" operator="between">
      <formula>35</formula>
      <formula>50</formula>
    </cfRule>
    <cfRule type="cellIs" dxfId="773" priority="1237" operator="greaterThan">
      <formula>50</formula>
    </cfRule>
  </conditionalFormatting>
  <conditionalFormatting sqref="B2262">
    <cfRule type="cellIs" dxfId="772" priority="288" operator="greaterThan">
      <formula>350</formula>
    </cfRule>
    <cfRule type="cellIs" dxfId="771" priority="289" operator="between">
      <formula>250</formula>
      <formula>350</formula>
    </cfRule>
    <cfRule type="cellIs" dxfId="770" priority="290" operator="lessThan">
      <formula>250</formula>
    </cfRule>
  </conditionalFormatting>
  <conditionalFormatting sqref="B2263">
    <cfRule type="cellIs" dxfId="769" priority="387" operator="between">
      <formula>0.8</formula>
      <formula>0.99999</formula>
    </cfRule>
    <cfRule type="cellIs" dxfId="768" priority="388" operator="between">
      <formula>1</formula>
      <formula>1.3</formula>
    </cfRule>
    <cfRule type="cellIs" dxfId="767" priority="389" operator="between">
      <formula>1.3</formula>
      <formula>1.5</formula>
    </cfRule>
    <cfRule type="cellIs" dxfId="766" priority="390" operator="greaterThan">
      <formula>1.5</formula>
    </cfRule>
    <cfRule type="cellIs" dxfId="765" priority="386" operator="lessThan">
      <formula>0.8</formula>
    </cfRule>
  </conditionalFormatting>
  <conditionalFormatting sqref="B2265">
    <cfRule type="cellIs" dxfId="764" priority="1228" operator="lessThan">
      <formula>1.5</formula>
    </cfRule>
    <cfRule type="cellIs" dxfId="763" priority="1226" operator="greaterThan">
      <formula>1.6</formula>
    </cfRule>
    <cfRule type="cellIs" dxfId="762" priority="1227" operator="between">
      <formula>1.5</formula>
      <formula>1.6</formula>
    </cfRule>
  </conditionalFormatting>
  <conditionalFormatting sqref="B2266">
    <cfRule type="cellIs" dxfId="761" priority="1167" operator="between">
      <formula>1</formula>
      <formula>199</formula>
    </cfRule>
    <cfRule type="cellIs" dxfId="760" priority="1165" operator="between">
      <formula>500</formula>
      <formula>10000</formula>
    </cfRule>
    <cfRule type="cellIs" dxfId="759" priority="1166" operator="between">
      <formula>200</formula>
      <formula>499</formula>
    </cfRule>
  </conditionalFormatting>
  <conditionalFormatting sqref="B2268">
    <cfRule type="cellIs" dxfId="758" priority="1224" operator="between">
      <formula>35</formula>
      <formula>50</formula>
    </cfRule>
    <cfRule type="cellIs" dxfId="757" priority="1223" operator="greaterThan">
      <formula>50</formula>
    </cfRule>
    <cfRule type="cellIs" dxfId="756" priority="1225" operator="lessThan">
      <formula>35</formula>
    </cfRule>
  </conditionalFormatting>
  <conditionalFormatting sqref="B2269">
    <cfRule type="cellIs" dxfId="755" priority="285" operator="greaterThan">
      <formula>350</formula>
    </cfRule>
    <cfRule type="cellIs" dxfId="754" priority="286" operator="between">
      <formula>250</formula>
      <formula>350</formula>
    </cfRule>
    <cfRule type="cellIs" dxfId="753" priority="287" operator="lessThan">
      <formula>250</formula>
    </cfRule>
  </conditionalFormatting>
  <conditionalFormatting sqref="B2270">
    <cfRule type="cellIs" dxfId="752" priority="385" operator="greaterThan">
      <formula>1.5</formula>
    </cfRule>
    <cfRule type="cellIs" dxfId="751" priority="384" operator="between">
      <formula>1.3</formula>
      <formula>1.5</formula>
    </cfRule>
    <cfRule type="cellIs" dxfId="750" priority="383" operator="between">
      <formula>1</formula>
      <formula>1.3</formula>
    </cfRule>
    <cfRule type="cellIs" dxfId="749" priority="382" operator="between">
      <formula>0.8</formula>
      <formula>0.99999</formula>
    </cfRule>
    <cfRule type="cellIs" dxfId="748" priority="381" operator="lessThan">
      <formula>0.8</formula>
    </cfRule>
  </conditionalFormatting>
  <conditionalFormatting sqref="B2272">
    <cfRule type="cellIs" dxfId="747" priority="1212" operator="greaterThan">
      <formula>1.6</formula>
    </cfRule>
    <cfRule type="cellIs" dxfId="746" priority="1213" operator="between">
      <formula>1.5</formula>
      <formula>1.6</formula>
    </cfRule>
    <cfRule type="cellIs" dxfId="745" priority="1214" operator="lessThan">
      <formula>1.5</formula>
    </cfRule>
  </conditionalFormatting>
  <conditionalFormatting sqref="B2273">
    <cfRule type="cellIs" dxfId="744" priority="1162" operator="between">
      <formula>500</formula>
      <formula>10000</formula>
    </cfRule>
    <cfRule type="cellIs" dxfId="743" priority="1164" operator="between">
      <formula>1</formula>
      <formula>199</formula>
    </cfRule>
    <cfRule type="cellIs" dxfId="742" priority="1163" operator="between">
      <formula>200</formula>
      <formula>499</formula>
    </cfRule>
  </conditionalFormatting>
  <conditionalFormatting sqref="B2275">
    <cfRule type="cellIs" dxfId="741" priority="1209" operator="greaterThan">
      <formula>50</formula>
    </cfRule>
    <cfRule type="cellIs" dxfId="740" priority="1210" operator="between">
      <formula>35</formula>
      <formula>50</formula>
    </cfRule>
    <cfRule type="cellIs" dxfId="739" priority="1211" operator="lessThan">
      <formula>35</formula>
    </cfRule>
  </conditionalFormatting>
  <conditionalFormatting sqref="B2276">
    <cfRule type="cellIs" dxfId="738" priority="282" operator="greaterThan">
      <formula>350</formula>
    </cfRule>
    <cfRule type="cellIs" dxfId="737" priority="283" operator="between">
      <formula>250</formula>
      <formula>350</formula>
    </cfRule>
    <cfRule type="cellIs" dxfId="736" priority="284" operator="lessThan">
      <formula>250</formula>
    </cfRule>
  </conditionalFormatting>
  <conditionalFormatting sqref="B2277">
    <cfRule type="cellIs" dxfId="735" priority="379" operator="between">
      <formula>1.3</formula>
      <formula>1.5</formula>
    </cfRule>
    <cfRule type="cellIs" dxfId="734" priority="377" operator="between">
      <formula>0.8</formula>
      <formula>0.99999</formula>
    </cfRule>
    <cfRule type="cellIs" dxfId="733" priority="376" operator="lessThan">
      <formula>0.8</formula>
    </cfRule>
    <cfRule type="cellIs" dxfId="732" priority="378" operator="between">
      <formula>1</formula>
      <formula>1.3</formula>
    </cfRule>
    <cfRule type="cellIs" dxfId="731" priority="380" operator="greaterThan">
      <formula>1.5</formula>
    </cfRule>
  </conditionalFormatting>
  <conditionalFormatting sqref="B2279">
    <cfRule type="cellIs" dxfId="730" priority="1200" operator="lessThan">
      <formula>1.5</formula>
    </cfRule>
    <cfRule type="cellIs" dxfId="729" priority="1199" operator="between">
      <formula>1.5</formula>
      <formula>1.6</formula>
    </cfRule>
    <cfRule type="cellIs" dxfId="728" priority="1198" operator="greaterThan">
      <formula>1.6</formula>
    </cfRule>
  </conditionalFormatting>
  <conditionalFormatting sqref="B2280">
    <cfRule type="cellIs" dxfId="727" priority="1161" operator="between">
      <formula>1</formula>
      <formula>199</formula>
    </cfRule>
    <cfRule type="cellIs" dxfId="726" priority="1159" operator="between">
      <formula>500</formula>
      <formula>10000</formula>
    </cfRule>
    <cfRule type="cellIs" dxfId="725" priority="1160" operator="between">
      <formula>200</formula>
      <formula>499</formula>
    </cfRule>
  </conditionalFormatting>
  <conditionalFormatting sqref="B2282">
    <cfRule type="cellIs" dxfId="724" priority="1157" operator="between">
      <formula>35</formula>
      <formula>50</formula>
    </cfRule>
    <cfRule type="cellIs" dxfId="723" priority="1156" operator="greaterThan">
      <formula>50</formula>
    </cfRule>
    <cfRule type="cellIs" dxfId="722" priority="1158" operator="lessThan">
      <formula>35</formula>
    </cfRule>
  </conditionalFormatting>
  <conditionalFormatting sqref="B2283">
    <cfRule type="cellIs" dxfId="721" priority="281" operator="lessThan">
      <formula>250</formula>
    </cfRule>
    <cfRule type="cellIs" dxfId="720" priority="280" operator="between">
      <formula>250</formula>
      <formula>350</formula>
    </cfRule>
    <cfRule type="cellIs" dxfId="719" priority="279" operator="greaterThan">
      <formula>350</formula>
    </cfRule>
  </conditionalFormatting>
  <conditionalFormatting sqref="B2284">
    <cfRule type="cellIs" dxfId="718" priority="371" operator="lessThan">
      <formula>0.8</formula>
    </cfRule>
    <cfRule type="cellIs" dxfId="717" priority="375" operator="greaterThan">
      <formula>1.5</formula>
    </cfRule>
    <cfRule type="cellIs" dxfId="716" priority="374" operator="between">
      <formula>1.3</formula>
      <formula>1.5</formula>
    </cfRule>
    <cfRule type="cellIs" dxfId="715" priority="373" operator="between">
      <formula>1</formula>
      <formula>1.3</formula>
    </cfRule>
    <cfRule type="cellIs" dxfId="714" priority="372" operator="between">
      <formula>0.8</formula>
      <formula>0.99999</formula>
    </cfRule>
  </conditionalFormatting>
  <conditionalFormatting sqref="B2286">
    <cfRule type="cellIs" dxfId="713" priority="1145" operator="greaterThan">
      <formula>1.6</formula>
    </cfRule>
    <cfRule type="cellIs" dxfId="712" priority="1147" operator="lessThan">
      <formula>1.5</formula>
    </cfRule>
    <cfRule type="cellIs" dxfId="711" priority="1146" operator="between">
      <formula>1.5</formula>
      <formula>1.6</formula>
    </cfRule>
  </conditionalFormatting>
  <conditionalFormatting sqref="B2287">
    <cfRule type="cellIs" dxfId="710" priority="1144" operator="between">
      <formula>1</formula>
      <formula>199</formula>
    </cfRule>
    <cfRule type="cellIs" dxfId="709" priority="1143" operator="between">
      <formula>200</formula>
      <formula>499</formula>
    </cfRule>
    <cfRule type="cellIs" dxfId="708" priority="1142" operator="between">
      <formula>500</formula>
      <formula>10000</formula>
    </cfRule>
  </conditionalFormatting>
  <conditionalFormatting sqref="B2289">
    <cfRule type="cellIs" dxfId="707" priority="1141" operator="lessThan">
      <formula>35</formula>
    </cfRule>
    <cfRule type="cellIs" dxfId="706" priority="1140" operator="between">
      <formula>35</formula>
      <formula>50</formula>
    </cfRule>
    <cfRule type="cellIs" dxfId="705" priority="1139" operator="greaterThan">
      <formula>50</formula>
    </cfRule>
  </conditionalFormatting>
  <conditionalFormatting sqref="B2290">
    <cfRule type="cellIs" dxfId="704" priority="276" operator="greaterThan">
      <formula>350</formula>
    </cfRule>
    <cfRule type="cellIs" dxfId="703" priority="277" operator="between">
      <formula>250</formula>
      <formula>350</formula>
    </cfRule>
    <cfRule type="cellIs" dxfId="702" priority="278" operator="lessThan">
      <formula>250</formula>
    </cfRule>
  </conditionalFormatting>
  <conditionalFormatting sqref="B2291">
    <cfRule type="cellIs" dxfId="701" priority="366" operator="lessThan">
      <formula>0.8</formula>
    </cfRule>
    <cfRule type="cellIs" dxfId="700" priority="367" operator="between">
      <formula>0.8</formula>
      <formula>0.99999</formula>
    </cfRule>
    <cfRule type="cellIs" dxfId="699" priority="368" operator="between">
      <formula>1</formula>
      <formula>1.3</formula>
    </cfRule>
    <cfRule type="cellIs" dxfId="698" priority="369" operator="between">
      <formula>1.3</formula>
      <formula>1.5</formula>
    </cfRule>
    <cfRule type="cellIs" dxfId="697" priority="370" operator="greaterThan">
      <formula>1.5</formula>
    </cfRule>
  </conditionalFormatting>
  <conditionalFormatting sqref="B2293">
    <cfRule type="cellIs" dxfId="696" priority="1128" operator="greaterThan">
      <formula>1.6</formula>
    </cfRule>
    <cfRule type="cellIs" dxfId="695" priority="1130" operator="lessThan">
      <formula>1.5</formula>
    </cfRule>
    <cfRule type="cellIs" dxfId="694" priority="1129" operator="between">
      <formula>1.5</formula>
      <formula>1.6</formula>
    </cfRule>
  </conditionalFormatting>
  <conditionalFormatting sqref="B2294">
    <cfRule type="cellIs" dxfId="693" priority="1125" operator="between">
      <formula>500</formula>
      <formula>10000</formula>
    </cfRule>
    <cfRule type="cellIs" dxfId="692" priority="1127" operator="between">
      <formula>1</formula>
      <formula>199</formula>
    </cfRule>
    <cfRule type="cellIs" dxfId="691" priority="1126" operator="between">
      <formula>200</formula>
      <formula>499</formula>
    </cfRule>
  </conditionalFormatting>
  <conditionalFormatting sqref="B2296">
    <cfRule type="cellIs" dxfId="690" priority="1124" operator="lessThan">
      <formula>35</formula>
    </cfRule>
    <cfRule type="cellIs" dxfId="689" priority="1123" operator="between">
      <formula>35</formula>
      <formula>50</formula>
    </cfRule>
    <cfRule type="cellIs" dxfId="688" priority="1122" operator="greaterThan">
      <formula>50</formula>
    </cfRule>
  </conditionalFormatting>
  <conditionalFormatting sqref="B2297">
    <cfRule type="cellIs" dxfId="687" priority="275" operator="lessThan">
      <formula>250</formula>
    </cfRule>
    <cfRule type="cellIs" dxfId="686" priority="274" operator="between">
      <formula>250</formula>
      <formula>350</formula>
    </cfRule>
    <cfRule type="cellIs" dxfId="685" priority="273" operator="greaterThan">
      <formula>350</formula>
    </cfRule>
  </conditionalFormatting>
  <conditionalFormatting sqref="B2298">
    <cfRule type="cellIs" dxfId="684" priority="361" operator="lessThan">
      <formula>0.8</formula>
    </cfRule>
    <cfRule type="cellIs" dxfId="683" priority="365" operator="greaterThan">
      <formula>1.5</formula>
    </cfRule>
    <cfRule type="cellIs" dxfId="682" priority="364" operator="between">
      <formula>1.3</formula>
      <formula>1.5</formula>
    </cfRule>
    <cfRule type="cellIs" dxfId="681" priority="363" operator="between">
      <formula>1</formula>
      <formula>1.3</formula>
    </cfRule>
    <cfRule type="cellIs" dxfId="680" priority="362" operator="between">
      <formula>0.8</formula>
      <formula>0.99999</formula>
    </cfRule>
  </conditionalFormatting>
  <conditionalFormatting sqref="B2300">
    <cfRule type="cellIs" dxfId="679" priority="1113" operator="lessThan">
      <formula>1.5</formula>
    </cfRule>
    <cfRule type="cellIs" dxfId="678" priority="1112" operator="between">
      <formula>1.5</formula>
      <formula>1.6</formula>
    </cfRule>
    <cfRule type="cellIs" dxfId="677" priority="1111" operator="greaterThan">
      <formula>1.6</formula>
    </cfRule>
  </conditionalFormatting>
  <conditionalFormatting sqref="B2301">
    <cfRule type="cellIs" dxfId="676" priority="1108" operator="between">
      <formula>500</formula>
      <formula>10000</formula>
    </cfRule>
    <cfRule type="cellIs" dxfId="675" priority="1110" operator="between">
      <formula>1</formula>
      <formula>199</formula>
    </cfRule>
    <cfRule type="cellIs" dxfId="674" priority="1109" operator="between">
      <formula>200</formula>
      <formula>499</formula>
    </cfRule>
  </conditionalFormatting>
  <conditionalFormatting sqref="B2303">
    <cfRule type="cellIs" dxfId="673" priority="1107" operator="lessThan">
      <formula>35</formula>
    </cfRule>
    <cfRule type="cellIs" dxfId="672" priority="1106" operator="between">
      <formula>35</formula>
      <formula>50</formula>
    </cfRule>
    <cfRule type="cellIs" dxfId="671" priority="1105" operator="greaterThan">
      <formula>50</formula>
    </cfRule>
  </conditionalFormatting>
  <conditionalFormatting sqref="B2304">
    <cfRule type="cellIs" dxfId="670" priority="272" operator="lessThan">
      <formula>250</formula>
    </cfRule>
    <cfRule type="cellIs" dxfId="669" priority="271" operator="between">
      <formula>250</formula>
      <formula>350</formula>
    </cfRule>
    <cfRule type="cellIs" dxfId="668" priority="270" operator="greaterThan">
      <formula>350</formula>
    </cfRule>
  </conditionalFormatting>
  <conditionalFormatting sqref="B2305">
    <cfRule type="cellIs" dxfId="667" priority="360" operator="greaterThan">
      <formula>1.5</formula>
    </cfRule>
    <cfRule type="cellIs" dxfId="666" priority="359" operator="between">
      <formula>1.3</formula>
      <formula>1.5</formula>
    </cfRule>
    <cfRule type="cellIs" dxfId="665" priority="358" operator="between">
      <formula>1</formula>
      <formula>1.3</formula>
    </cfRule>
    <cfRule type="cellIs" dxfId="664" priority="357" operator="between">
      <formula>0.8</formula>
      <formula>0.99999</formula>
    </cfRule>
    <cfRule type="cellIs" dxfId="663" priority="356" operator="lessThan">
      <formula>0.8</formula>
    </cfRule>
  </conditionalFormatting>
  <conditionalFormatting sqref="B2307">
    <cfRule type="cellIs" dxfId="662" priority="1096" operator="lessThan">
      <formula>1.5</formula>
    </cfRule>
    <cfRule type="cellIs" dxfId="661" priority="1095" operator="between">
      <formula>1.5</formula>
      <formula>1.6</formula>
    </cfRule>
    <cfRule type="cellIs" dxfId="660" priority="1094" operator="greaterThan">
      <formula>1.6</formula>
    </cfRule>
  </conditionalFormatting>
  <conditionalFormatting sqref="B2308">
    <cfRule type="cellIs" dxfId="659" priority="1093" operator="between">
      <formula>1</formula>
      <formula>199</formula>
    </cfRule>
    <cfRule type="cellIs" dxfId="658" priority="1092" operator="between">
      <formula>200</formula>
      <formula>499</formula>
    </cfRule>
    <cfRule type="cellIs" dxfId="657" priority="1091" operator="between">
      <formula>500</formula>
      <formula>10000</formula>
    </cfRule>
  </conditionalFormatting>
  <conditionalFormatting sqref="B2310">
    <cfRule type="cellIs" dxfId="656" priority="1089" operator="between">
      <formula>35</formula>
      <formula>50</formula>
    </cfRule>
    <cfRule type="cellIs" dxfId="655" priority="1088" operator="greaterThan">
      <formula>50</formula>
    </cfRule>
    <cfRule type="cellIs" dxfId="654" priority="1090" operator="lessThan">
      <formula>35</formula>
    </cfRule>
  </conditionalFormatting>
  <conditionalFormatting sqref="B2311">
    <cfRule type="cellIs" dxfId="653" priority="269" operator="lessThan">
      <formula>250</formula>
    </cfRule>
    <cfRule type="cellIs" dxfId="652" priority="268" operator="between">
      <formula>250</formula>
      <formula>350</formula>
    </cfRule>
    <cfRule type="cellIs" dxfId="651" priority="267" operator="greaterThan">
      <formula>350</formula>
    </cfRule>
  </conditionalFormatting>
  <conditionalFormatting sqref="B2312">
    <cfRule type="cellIs" dxfId="650" priority="355" operator="greaterThan">
      <formula>1.5</formula>
    </cfRule>
    <cfRule type="cellIs" dxfId="649" priority="354" operator="between">
      <formula>1.3</formula>
      <formula>1.5</formula>
    </cfRule>
    <cfRule type="cellIs" dxfId="648" priority="353" operator="between">
      <formula>1</formula>
      <formula>1.3</formula>
    </cfRule>
    <cfRule type="cellIs" dxfId="647" priority="352" operator="between">
      <formula>0.8</formula>
      <formula>0.99999</formula>
    </cfRule>
    <cfRule type="cellIs" dxfId="646" priority="351" operator="lessThan">
      <formula>0.8</formula>
    </cfRule>
  </conditionalFormatting>
  <conditionalFormatting sqref="B2314">
    <cfRule type="cellIs" dxfId="645" priority="1078" operator="between">
      <formula>1.5</formula>
      <formula>1.6</formula>
    </cfRule>
    <cfRule type="cellIs" dxfId="644" priority="1077" operator="greaterThan">
      <formula>1.6</formula>
    </cfRule>
    <cfRule type="cellIs" dxfId="643" priority="1079" operator="lessThan">
      <formula>1.5</formula>
    </cfRule>
  </conditionalFormatting>
  <conditionalFormatting sqref="B2315">
    <cfRule type="cellIs" dxfId="642" priority="1076" operator="between">
      <formula>1</formula>
      <formula>199</formula>
    </cfRule>
    <cfRule type="cellIs" dxfId="641" priority="1074" operator="between">
      <formula>500</formula>
      <formula>10000</formula>
    </cfRule>
    <cfRule type="cellIs" dxfId="640" priority="1075" operator="between">
      <formula>200</formula>
      <formula>499</formula>
    </cfRule>
  </conditionalFormatting>
  <conditionalFormatting sqref="B2317">
    <cfRule type="cellIs" dxfId="639" priority="1071" operator="greaterThan">
      <formula>50</formula>
    </cfRule>
    <cfRule type="cellIs" dxfId="638" priority="1073" operator="lessThan">
      <formula>35</formula>
    </cfRule>
    <cfRule type="cellIs" dxfId="637" priority="1072" operator="between">
      <formula>35</formula>
      <formula>50</formula>
    </cfRule>
  </conditionalFormatting>
  <conditionalFormatting sqref="B2318">
    <cfRule type="cellIs" dxfId="636" priority="265" operator="between">
      <formula>250</formula>
      <formula>350</formula>
    </cfRule>
    <cfRule type="cellIs" dxfId="635" priority="264" operator="greaterThan">
      <formula>350</formula>
    </cfRule>
    <cfRule type="cellIs" dxfId="634" priority="266" operator="lessThan">
      <formula>250</formula>
    </cfRule>
  </conditionalFormatting>
  <conditionalFormatting sqref="B2319">
    <cfRule type="cellIs" dxfId="633" priority="348" operator="between">
      <formula>1</formula>
      <formula>1.3</formula>
    </cfRule>
    <cfRule type="cellIs" dxfId="632" priority="346" operator="lessThan">
      <formula>0.8</formula>
    </cfRule>
    <cfRule type="cellIs" dxfId="631" priority="347" operator="between">
      <formula>0.8</formula>
      <formula>0.99999</formula>
    </cfRule>
    <cfRule type="cellIs" dxfId="630" priority="349" operator="between">
      <formula>1.3</formula>
      <formula>1.5</formula>
    </cfRule>
    <cfRule type="cellIs" dxfId="629" priority="350" operator="greaterThan">
      <formula>1.5</formula>
    </cfRule>
  </conditionalFormatting>
  <conditionalFormatting sqref="B2321">
    <cfRule type="cellIs" dxfId="628" priority="1061" operator="between">
      <formula>1.5</formula>
      <formula>1.6</formula>
    </cfRule>
    <cfRule type="cellIs" dxfId="627" priority="1062" operator="lessThan">
      <formula>1.5</formula>
    </cfRule>
    <cfRule type="cellIs" dxfId="626" priority="1060" operator="greaterThan">
      <formula>1.6</formula>
    </cfRule>
  </conditionalFormatting>
  <conditionalFormatting sqref="B2322">
    <cfRule type="cellIs" dxfId="625" priority="1059" operator="between">
      <formula>1</formula>
      <formula>199</formula>
    </cfRule>
    <cfRule type="cellIs" dxfId="624" priority="1058" operator="between">
      <formula>200</formula>
      <formula>499</formula>
    </cfRule>
    <cfRule type="cellIs" dxfId="623" priority="1057" operator="between">
      <formula>500</formula>
      <formula>10000</formula>
    </cfRule>
  </conditionalFormatting>
  <conditionalFormatting sqref="B2324">
    <cfRule type="cellIs" dxfId="622" priority="1056" operator="lessThan">
      <formula>35</formula>
    </cfRule>
    <cfRule type="cellIs" dxfId="621" priority="1055" operator="between">
      <formula>35</formula>
      <formula>50</formula>
    </cfRule>
    <cfRule type="cellIs" dxfId="620" priority="1054" operator="greaterThan">
      <formula>50</formula>
    </cfRule>
  </conditionalFormatting>
  <conditionalFormatting sqref="B2325">
    <cfRule type="cellIs" dxfId="619" priority="263" operator="lessThan">
      <formula>250</formula>
    </cfRule>
    <cfRule type="cellIs" dxfId="618" priority="262" operator="between">
      <formula>250</formula>
      <formula>350</formula>
    </cfRule>
    <cfRule type="cellIs" dxfId="617" priority="261" operator="greaterThan">
      <formula>350</formula>
    </cfRule>
  </conditionalFormatting>
  <conditionalFormatting sqref="B2326">
    <cfRule type="cellIs" dxfId="616" priority="341" operator="lessThan">
      <formula>0.8</formula>
    </cfRule>
    <cfRule type="cellIs" dxfId="615" priority="342" operator="between">
      <formula>0.8</formula>
      <formula>0.99999</formula>
    </cfRule>
    <cfRule type="cellIs" dxfId="614" priority="343" operator="between">
      <formula>1</formula>
      <formula>1.3</formula>
    </cfRule>
    <cfRule type="cellIs" dxfId="613" priority="344" operator="between">
      <formula>1.3</formula>
      <formula>1.5</formula>
    </cfRule>
    <cfRule type="cellIs" dxfId="612" priority="345" operator="greaterThan">
      <formula>1.5</formula>
    </cfRule>
  </conditionalFormatting>
  <conditionalFormatting sqref="B2328">
    <cfRule type="cellIs" dxfId="611" priority="1045" operator="lessThan">
      <formula>1.5</formula>
    </cfRule>
    <cfRule type="cellIs" dxfId="610" priority="1044" operator="between">
      <formula>1.5</formula>
      <formula>1.6</formula>
    </cfRule>
    <cfRule type="cellIs" dxfId="609" priority="1043" operator="greaterThan">
      <formula>1.6</formula>
    </cfRule>
  </conditionalFormatting>
  <conditionalFormatting sqref="B2329">
    <cfRule type="cellIs" dxfId="608" priority="1042" operator="between">
      <formula>1</formula>
      <formula>199</formula>
    </cfRule>
    <cfRule type="cellIs" dxfId="607" priority="1041" operator="between">
      <formula>200</formula>
      <formula>499</formula>
    </cfRule>
    <cfRule type="cellIs" dxfId="606" priority="1040" operator="between">
      <formula>500</formula>
      <formula>10000</formula>
    </cfRule>
  </conditionalFormatting>
  <conditionalFormatting sqref="B2331">
    <cfRule type="cellIs" dxfId="605" priority="1038" operator="between">
      <formula>35</formula>
      <formula>50</formula>
    </cfRule>
    <cfRule type="cellIs" dxfId="604" priority="1037" operator="greaterThan">
      <formula>50</formula>
    </cfRule>
    <cfRule type="cellIs" dxfId="603" priority="1039" operator="lessThan">
      <formula>35</formula>
    </cfRule>
  </conditionalFormatting>
  <conditionalFormatting sqref="B2332">
    <cfRule type="cellIs" dxfId="602" priority="260" operator="lessThan">
      <formula>250</formula>
    </cfRule>
    <cfRule type="cellIs" dxfId="601" priority="259" operator="between">
      <formula>250</formula>
      <formula>350</formula>
    </cfRule>
    <cfRule type="cellIs" dxfId="600" priority="258" operator="greaterThan">
      <formula>350</formula>
    </cfRule>
  </conditionalFormatting>
  <conditionalFormatting sqref="B2333">
    <cfRule type="cellIs" dxfId="599" priority="336" operator="lessThan">
      <formula>0.8</formula>
    </cfRule>
    <cfRule type="cellIs" dxfId="598" priority="340" operator="greaterThan">
      <formula>1.5</formula>
    </cfRule>
    <cfRule type="cellIs" dxfId="597" priority="339" operator="between">
      <formula>1.3</formula>
      <formula>1.5</formula>
    </cfRule>
    <cfRule type="cellIs" dxfId="596" priority="338" operator="between">
      <formula>1</formula>
      <formula>1.3</formula>
    </cfRule>
    <cfRule type="cellIs" dxfId="595" priority="337" operator="between">
      <formula>0.8</formula>
      <formula>0.99999</formula>
    </cfRule>
  </conditionalFormatting>
  <conditionalFormatting sqref="B2335">
    <cfRule type="cellIs" dxfId="594" priority="1027" operator="between">
      <formula>1.5</formula>
      <formula>1.6</formula>
    </cfRule>
    <cfRule type="cellIs" dxfId="593" priority="1028" operator="lessThan">
      <formula>1.5</formula>
    </cfRule>
    <cfRule type="cellIs" dxfId="592" priority="1026" operator="greaterThan">
      <formula>1.6</formula>
    </cfRule>
  </conditionalFormatting>
  <conditionalFormatting sqref="B2336">
    <cfRule type="cellIs" dxfId="591" priority="1025" operator="between">
      <formula>1</formula>
      <formula>199</formula>
    </cfRule>
    <cfRule type="cellIs" dxfId="590" priority="1024" operator="between">
      <formula>200</formula>
      <formula>499</formula>
    </cfRule>
    <cfRule type="cellIs" dxfId="589" priority="1023" operator="between">
      <formula>500</formula>
      <formula>10000</formula>
    </cfRule>
  </conditionalFormatting>
  <conditionalFormatting sqref="B2338">
    <cfRule type="cellIs" dxfId="588" priority="1022" operator="lessThan">
      <formula>35</formula>
    </cfRule>
    <cfRule type="cellIs" dxfId="587" priority="1021" operator="between">
      <formula>35</formula>
      <formula>50</formula>
    </cfRule>
    <cfRule type="cellIs" dxfId="586" priority="1020" operator="greaterThan">
      <formula>50</formula>
    </cfRule>
  </conditionalFormatting>
  <conditionalFormatting sqref="B2339">
    <cfRule type="cellIs" dxfId="585" priority="255" operator="greaterThan">
      <formula>350</formula>
    </cfRule>
    <cfRule type="cellIs" dxfId="584" priority="257" operator="lessThan">
      <formula>250</formula>
    </cfRule>
    <cfRule type="cellIs" dxfId="583" priority="256" operator="between">
      <formula>250</formula>
      <formula>350</formula>
    </cfRule>
  </conditionalFormatting>
  <conditionalFormatting sqref="B2340">
    <cfRule type="cellIs" dxfId="582" priority="331" operator="lessThan">
      <formula>0.8</formula>
    </cfRule>
    <cfRule type="cellIs" dxfId="581" priority="332" operator="between">
      <formula>0.8</formula>
      <formula>0.99999</formula>
    </cfRule>
    <cfRule type="cellIs" dxfId="580" priority="334" operator="between">
      <formula>1.3</formula>
      <formula>1.5</formula>
    </cfRule>
    <cfRule type="cellIs" dxfId="579" priority="335" operator="greaterThan">
      <formula>1.5</formula>
    </cfRule>
    <cfRule type="cellIs" dxfId="578" priority="333" operator="between">
      <formula>1</formula>
      <formula>1.3</formula>
    </cfRule>
  </conditionalFormatting>
  <conditionalFormatting sqref="B2342">
    <cfRule type="cellIs" dxfId="577" priority="1010" operator="between">
      <formula>1.5</formula>
      <formula>1.6</formula>
    </cfRule>
    <cfRule type="cellIs" dxfId="576" priority="1009" operator="greaterThan">
      <formula>1.6</formula>
    </cfRule>
    <cfRule type="cellIs" dxfId="575" priority="1011" operator="lessThan">
      <formula>1.5</formula>
    </cfRule>
  </conditionalFormatting>
  <conditionalFormatting sqref="B2343">
    <cfRule type="cellIs" dxfId="574" priority="1007" operator="between">
      <formula>200</formula>
      <formula>499</formula>
    </cfRule>
    <cfRule type="cellIs" dxfId="573" priority="1006" operator="between">
      <formula>500</formula>
      <formula>10000</formula>
    </cfRule>
    <cfRule type="cellIs" dxfId="572" priority="1008" operator="between">
      <formula>1</formula>
      <formula>199</formula>
    </cfRule>
  </conditionalFormatting>
  <conditionalFormatting sqref="B2345">
    <cfRule type="cellIs" dxfId="571" priority="1003" operator="greaterThan">
      <formula>50</formula>
    </cfRule>
    <cfRule type="cellIs" dxfId="570" priority="1004" operator="between">
      <formula>35</formula>
      <formula>50</formula>
    </cfRule>
    <cfRule type="cellIs" dxfId="569" priority="1005" operator="lessThan">
      <formula>35</formula>
    </cfRule>
  </conditionalFormatting>
  <conditionalFormatting sqref="B2346">
    <cfRule type="cellIs" dxfId="568" priority="254" operator="lessThan">
      <formula>250</formula>
    </cfRule>
    <cfRule type="cellIs" dxfId="567" priority="253" operator="between">
      <formula>250</formula>
      <formula>350</formula>
    </cfRule>
    <cfRule type="cellIs" dxfId="566" priority="252" operator="greaterThan">
      <formula>350</formula>
    </cfRule>
  </conditionalFormatting>
  <conditionalFormatting sqref="B2347">
    <cfRule type="cellIs" dxfId="565" priority="327" operator="between">
      <formula>0.8</formula>
      <formula>0.99999</formula>
    </cfRule>
    <cfRule type="cellIs" dxfId="564" priority="329" operator="between">
      <formula>1.3</formula>
      <formula>1.5</formula>
    </cfRule>
    <cfRule type="cellIs" dxfId="563" priority="330" operator="greaterThan">
      <formula>1.5</formula>
    </cfRule>
    <cfRule type="cellIs" dxfId="562" priority="328" operator="between">
      <formula>1</formula>
      <formula>1.3</formula>
    </cfRule>
    <cfRule type="cellIs" dxfId="561" priority="326" operator="lessThan">
      <formula>0.8</formula>
    </cfRule>
  </conditionalFormatting>
  <conditionalFormatting sqref="B2349">
    <cfRule type="cellIs" dxfId="560" priority="992" operator="greaterThan">
      <formula>1.6</formula>
    </cfRule>
    <cfRule type="cellIs" dxfId="559" priority="993" operator="between">
      <formula>1.5</formula>
      <formula>1.6</formula>
    </cfRule>
    <cfRule type="cellIs" dxfId="558" priority="994" operator="lessThan">
      <formula>1.5</formula>
    </cfRule>
  </conditionalFormatting>
  <conditionalFormatting sqref="B2350">
    <cfRule type="cellIs" dxfId="557" priority="990" operator="between">
      <formula>200</formula>
      <formula>499</formula>
    </cfRule>
    <cfRule type="cellIs" dxfId="556" priority="989" operator="between">
      <formula>500</formula>
      <formula>10000</formula>
    </cfRule>
    <cfRule type="cellIs" dxfId="555" priority="991" operator="between">
      <formula>1</formula>
      <formula>199</formula>
    </cfRule>
  </conditionalFormatting>
  <conditionalFormatting sqref="B2352">
    <cfRule type="cellIs" dxfId="554" priority="988" operator="lessThan">
      <formula>35</formula>
    </cfRule>
    <cfRule type="cellIs" dxfId="553" priority="986" operator="greaterThan">
      <formula>50</formula>
    </cfRule>
    <cfRule type="cellIs" dxfId="552" priority="987" operator="between">
      <formula>35</formula>
      <formula>50</formula>
    </cfRule>
  </conditionalFormatting>
  <conditionalFormatting sqref="B2353">
    <cfRule type="cellIs" dxfId="551" priority="251" operator="lessThan">
      <formula>250</formula>
    </cfRule>
    <cfRule type="cellIs" dxfId="550" priority="249" operator="greaterThan">
      <formula>350</formula>
    </cfRule>
    <cfRule type="cellIs" dxfId="549" priority="250" operator="between">
      <formula>250</formula>
      <formula>350</formula>
    </cfRule>
  </conditionalFormatting>
  <conditionalFormatting sqref="B2354">
    <cfRule type="cellIs" dxfId="548" priority="325" operator="greaterThan">
      <formula>1.5</formula>
    </cfRule>
    <cfRule type="cellIs" dxfId="547" priority="324" operator="between">
      <formula>1.3</formula>
      <formula>1.5</formula>
    </cfRule>
    <cfRule type="cellIs" dxfId="546" priority="323" operator="between">
      <formula>1</formula>
      <formula>1.3</formula>
    </cfRule>
    <cfRule type="cellIs" dxfId="545" priority="322" operator="between">
      <formula>0.8</formula>
      <formula>0.99999</formula>
    </cfRule>
    <cfRule type="cellIs" dxfId="544" priority="321" operator="lessThan">
      <formula>0.8</formula>
    </cfRule>
  </conditionalFormatting>
  <conditionalFormatting sqref="B2356">
    <cfRule type="cellIs" dxfId="543" priority="975" operator="greaterThan">
      <formula>1.6</formula>
    </cfRule>
    <cfRule type="cellIs" dxfId="542" priority="976" operator="between">
      <formula>1.5</formula>
      <formula>1.6</formula>
    </cfRule>
    <cfRule type="cellIs" dxfId="541" priority="977" operator="lessThan">
      <formula>1.5</formula>
    </cfRule>
  </conditionalFormatting>
  <conditionalFormatting sqref="B2357">
    <cfRule type="cellIs" dxfId="540" priority="972" operator="between">
      <formula>500</formula>
      <formula>10000</formula>
    </cfRule>
    <cfRule type="cellIs" dxfId="539" priority="974" operator="between">
      <formula>1</formula>
      <formula>199</formula>
    </cfRule>
    <cfRule type="cellIs" dxfId="538" priority="973" operator="between">
      <formula>200</formula>
      <formula>499</formula>
    </cfRule>
  </conditionalFormatting>
  <conditionalFormatting sqref="B2359">
    <cfRule type="cellIs" dxfId="537" priority="969" operator="greaterThan">
      <formula>50</formula>
    </cfRule>
    <cfRule type="cellIs" dxfId="536" priority="970" operator="between">
      <formula>35</formula>
      <formula>50</formula>
    </cfRule>
    <cfRule type="cellIs" dxfId="535" priority="971" operator="lessThan">
      <formula>35</formula>
    </cfRule>
  </conditionalFormatting>
  <conditionalFormatting sqref="B2360">
    <cfRule type="cellIs" dxfId="534" priority="248" operator="lessThan">
      <formula>250</formula>
    </cfRule>
    <cfRule type="cellIs" dxfId="533" priority="246" operator="greaterThan">
      <formula>350</formula>
    </cfRule>
    <cfRule type="cellIs" dxfId="532" priority="247" operator="between">
      <formula>250</formula>
      <formula>350</formula>
    </cfRule>
  </conditionalFormatting>
  <conditionalFormatting sqref="B2361">
    <cfRule type="cellIs" dxfId="531" priority="154" operator="between">
      <formula>1.3</formula>
      <formula>1.5</formula>
    </cfRule>
    <cfRule type="cellIs" dxfId="530" priority="153" operator="between">
      <formula>1</formula>
      <formula>1.3</formula>
    </cfRule>
    <cfRule type="cellIs" dxfId="529" priority="152" operator="between">
      <formula>0.8</formula>
      <formula>0.99999</formula>
    </cfRule>
    <cfRule type="cellIs" dxfId="528" priority="151" operator="lessThan">
      <formula>0.8</formula>
    </cfRule>
    <cfRule type="cellIs" dxfId="527" priority="155" operator="greaterThan">
      <formula>1.5</formula>
    </cfRule>
  </conditionalFormatting>
  <conditionalFormatting sqref="B2363">
    <cfRule type="cellIs" dxfId="526" priority="958" operator="greaterThan">
      <formula>1.6</formula>
    </cfRule>
    <cfRule type="cellIs" dxfId="525" priority="959" operator="between">
      <formula>1.5</formula>
      <formula>1.6</formula>
    </cfRule>
    <cfRule type="cellIs" dxfId="524" priority="960" operator="lessThan">
      <formula>1.5</formula>
    </cfRule>
  </conditionalFormatting>
  <conditionalFormatting sqref="B2364">
    <cfRule type="cellIs" dxfId="523" priority="956" operator="between">
      <formula>200</formula>
      <formula>499</formula>
    </cfRule>
    <cfRule type="cellIs" dxfId="522" priority="957" operator="between">
      <formula>1</formula>
      <formula>199</formula>
    </cfRule>
    <cfRule type="cellIs" dxfId="521" priority="955" operator="between">
      <formula>500</formula>
      <formula>10000</formula>
    </cfRule>
  </conditionalFormatting>
  <conditionalFormatting sqref="B2366">
    <cfRule type="cellIs" dxfId="520" priority="954" operator="lessThan">
      <formula>35</formula>
    </cfRule>
    <cfRule type="cellIs" dxfId="519" priority="953" operator="between">
      <formula>35</formula>
      <formula>50</formula>
    </cfRule>
    <cfRule type="cellIs" dxfId="518" priority="952" operator="greaterThan">
      <formula>50</formula>
    </cfRule>
  </conditionalFormatting>
  <conditionalFormatting sqref="B2367">
    <cfRule type="cellIs" dxfId="517" priority="243" operator="greaterThan">
      <formula>350</formula>
    </cfRule>
    <cfRule type="cellIs" dxfId="516" priority="245" operator="lessThan">
      <formula>250</formula>
    </cfRule>
    <cfRule type="cellIs" dxfId="515" priority="244" operator="between">
      <formula>250</formula>
      <formula>350</formula>
    </cfRule>
  </conditionalFormatting>
  <conditionalFormatting sqref="B2368">
    <cfRule type="cellIs" dxfId="514" priority="146" operator="lessThan">
      <formula>0.8</formula>
    </cfRule>
    <cfRule type="cellIs" dxfId="513" priority="147" operator="between">
      <formula>0.8</formula>
      <formula>0.99999</formula>
    </cfRule>
    <cfRule type="cellIs" dxfId="512" priority="148" operator="between">
      <formula>1</formula>
      <formula>1.3</formula>
    </cfRule>
    <cfRule type="cellIs" dxfId="511" priority="149" operator="between">
      <formula>1.3</formula>
      <formula>1.5</formula>
    </cfRule>
    <cfRule type="cellIs" dxfId="510" priority="150" operator="greaterThan">
      <formula>1.5</formula>
    </cfRule>
  </conditionalFormatting>
  <conditionalFormatting sqref="B2370">
    <cfRule type="cellIs" dxfId="509" priority="943" operator="lessThan">
      <formula>1.5</formula>
    </cfRule>
    <cfRule type="cellIs" dxfId="508" priority="942" operator="between">
      <formula>1.5</formula>
      <formula>1.6</formula>
    </cfRule>
    <cfRule type="cellIs" dxfId="507" priority="941" operator="greaterThan">
      <formula>1.6</formula>
    </cfRule>
  </conditionalFormatting>
  <conditionalFormatting sqref="B2371">
    <cfRule type="cellIs" dxfId="506" priority="940" operator="between">
      <formula>1</formula>
      <formula>199</formula>
    </cfRule>
    <cfRule type="cellIs" dxfId="505" priority="938" operator="between">
      <formula>500</formula>
      <formula>10000</formula>
    </cfRule>
    <cfRule type="cellIs" dxfId="504" priority="939" operator="between">
      <formula>200</formula>
      <formula>499</formula>
    </cfRule>
  </conditionalFormatting>
  <conditionalFormatting sqref="B2373">
    <cfRule type="cellIs" dxfId="503" priority="935" operator="greaterThan">
      <formula>50</formula>
    </cfRule>
    <cfRule type="cellIs" dxfId="502" priority="936" operator="between">
      <formula>35</formula>
      <formula>50</formula>
    </cfRule>
    <cfRule type="cellIs" dxfId="501" priority="937" operator="lessThan">
      <formula>35</formula>
    </cfRule>
  </conditionalFormatting>
  <conditionalFormatting sqref="B2374">
    <cfRule type="cellIs" dxfId="500" priority="242" operator="lessThan">
      <formula>250</formula>
    </cfRule>
    <cfRule type="cellIs" dxfId="499" priority="240" operator="greaterThan">
      <formula>350</formula>
    </cfRule>
    <cfRule type="cellIs" dxfId="498" priority="241" operator="between">
      <formula>250</formula>
      <formula>350</formula>
    </cfRule>
  </conditionalFormatting>
  <conditionalFormatting sqref="B2375">
    <cfRule type="cellIs" dxfId="497" priority="141" operator="lessThan">
      <formula>0.8</formula>
    </cfRule>
    <cfRule type="cellIs" dxfId="496" priority="145" operator="greaterThan">
      <formula>1.5</formula>
    </cfRule>
    <cfRule type="cellIs" dxfId="495" priority="144" operator="between">
      <formula>1.3</formula>
      <formula>1.5</formula>
    </cfRule>
    <cfRule type="cellIs" dxfId="494" priority="143" operator="between">
      <formula>1</formula>
      <formula>1.3</formula>
    </cfRule>
    <cfRule type="cellIs" dxfId="493" priority="142" operator="between">
      <formula>0.8</formula>
      <formula>0.99999</formula>
    </cfRule>
  </conditionalFormatting>
  <conditionalFormatting sqref="B2377">
    <cfRule type="cellIs" dxfId="492" priority="924" operator="greaterThan">
      <formula>1.6</formula>
    </cfRule>
    <cfRule type="cellIs" dxfId="491" priority="925" operator="between">
      <formula>1.5</formula>
      <formula>1.6</formula>
    </cfRule>
    <cfRule type="cellIs" dxfId="490" priority="926" operator="lessThan">
      <formula>1.5</formula>
    </cfRule>
  </conditionalFormatting>
  <conditionalFormatting sqref="B2378">
    <cfRule type="cellIs" dxfId="489" priority="922" operator="between">
      <formula>200</formula>
      <formula>499</formula>
    </cfRule>
    <cfRule type="cellIs" dxfId="488" priority="921" operator="between">
      <formula>500</formula>
      <formula>10000</formula>
    </cfRule>
    <cfRule type="cellIs" dxfId="487" priority="923" operator="between">
      <formula>1</formula>
      <formula>199</formula>
    </cfRule>
  </conditionalFormatting>
  <conditionalFormatting sqref="B2380">
    <cfRule type="cellIs" dxfId="486" priority="918" operator="greaterThan">
      <formula>50</formula>
    </cfRule>
    <cfRule type="cellIs" dxfId="485" priority="920" operator="lessThan">
      <formula>35</formula>
    </cfRule>
    <cfRule type="cellIs" dxfId="484" priority="919" operator="between">
      <formula>35</formula>
      <formula>50</formula>
    </cfRule>
  </conditionalFormatting>
  <conditionalFormatting sqref="B2381">
    <cfRule type="cellIs" dxfId="483" priority="237" operator="greaterThan">
      <formula>350</formula>
    </cfRule>
    <cfRule type="cellIs" dxfId="482" priority="239" operator="lessThan">
      <formula>250</formula>
    </cfRule>
    <cfRule type="cellIs" dxfId="481" priority="238" operator="between">
      <formula>250</formula>
      <formula>350</formula>
    </cfRule>
  </conditionalFormatting>
  <conditionalFormatting sqref="B2382">
    <cfRule type="cellIs" dxfId="480" priority="139" operator="between">
      <formula>1.3</formula>
      <formula>1.5</formula>
    </cfRule>
    <cfRule type="cellIs" dxfId="479" priority="140" operator="greaterThan">
      <formula>1.5</formula>
    </cfRule>
    <cfRule type="cellIs" dxfId="478" priority="138" operator="between">
      <formula>1</formula>
      <formula>1.3</formula>
    </cfRule>
    <cfRule type="cellIs" dxfId="477" priority="137" operator="between">
      <formula>0.8</formula>
      <formula>0.99999</formula>
    </cfRule>
    <cfRule type="cellIs" dxfId="476" priority="136" operator="lessThan">
      <formula>0.8</formula>
    </cfRule>
  </conditionalFormatting>
  <conditionalFormatting sqref="B2384">
    <cfRule type="cellIs" dxfId="475" priority="909" operator="lessThan">
      <formula>1.5</formula>
    </cfRule>
    <cfRule type="cellIs" dxfId="474" priority="908" operator="between">
      <formula>1.5</formula>
      <formula>1.6</formula>
    </cfRule>
    <cfRule type="cellIs" dxfId="473" priority="907" operator="greaterThan">
      <formula>1.6</formula>
    </cfRule>
  </conditionalFormatting>
  <conditionalFormatting sqref="B2385">
    <cfRule type="cellIs" dxfId="472" priority="906" operator="between">
      <formula>1</formula>
      <formula>199</formula>
    </cfRule>
    <cfRule type="cellIs" dxfId="471" priority="905" operator="between">
      <formula>200</formula>
      <formula>499</formula>
    </cfRule>
    <cfRule type="cellIs" dxfId="470" priority="904" operator="between">
      <formula>500</formula>
      <formula>10000</formula>
    </cfRule>
  </conditionalFormatting>
  <conditionalFormatting sqref="B2387">
    <cfRule type="cellIs" dxfId="469" priority="903" operator="lessThan">
      <formula>35</formula>
    </cfRule>
    <cfRule type="cellIs" dxfId="468" priority="902" operator="between">
      <formula>35</formula>
      <formula>50</formula>
    </cfRule>
    <cfRule type="cellIs" dxfId="467" priority="901" operator="greaterThan">
      <formula>50</formula>
    </cfRule>
  </conditionalFormatting>
  <conditionalFormatting sqref="B2388">
    <cfRule type="cellIs" dxfId="466" priority="236" operator="lessThan">
      <formula>250</formula>
    </cfRule>
    <cfRule type="cellIs" dxfId="465" priority="234" operator="greaterThan">
      <formula>350</formula>
    </cfRule>
    <cfRule type="cellIs" dxfId="464" priority="235" operator="between">
      <formula>250</formula>
      <formula>350</formula>
    </cfRule>
  </conditionalFormatting>
  <conditionalFormatting sqref="B2389">
    <cfRule type="cellIs" dxfId="463" priority="131" operator="lessThan">
      <formula>0.8</formula>
    </cfRule>
    <cfRule type="cellIs" dxfId="462" priority="135" operator="greaterThan">
      <formula>1.5</formula>
    </cfRule>
    <cfRule type="cellIs" dxfId="461" priority="134" operator="between">
      <formula>1.3</formula>
      <formula>1.5</formula>
    </cfRule>
    <cfRule type="cellIs" dxfId="460" priority="133" operator="between">
      <formula>1</formula>
      <formula>1.3</formula>
    </cfRule>
    <cfRule type="cellIs" dxfId="459" priority="132" operator="between">
      <formula>0.8</formula>
      <formula>0.99999</formula>
    </cfRule>
  </conditionalFormatting>
  <conditionalFormatting sqref="B2391">
    <cfRule type="cellIs" dxfId="458" priority="890" operator="greaterThan">
      <formula>1.6</formula>
    </cfRule>
    <cfRule type="cellIs" dxfId="457" priority="892" operator="lessThan">
      <formula>1.5</formula>
    </cfRule>
    <cfRule type="cellIs" dxfId="456" priority="891" operator="between">
      <formula>1.5</formula>
      <formula>1.6</formula>
    </cfRule>
  </conditionalFormatting>
  <conditionalFormatting sqref="B2392">
    <cfRule type="cellIs" dxfId="455" priority="887" operator="between">
      <formula>500</formula>
      <formula>10000</formula>
    </cfRule>
    <cfRule type="cellIs" dxfId="454" priority="888" operator="between">
      <formula>200</formula>
      <formula>499</formula>
    </cfRule>
    <cfRule type="cellIs" dxfId="453" priority="889" operator="between">
      <formula>1</formula>
      <formula>199</formula>
    </cfRule>
  </conditionalFormatting>
  <conditionalFormatting sqref="B2394">
    <cfRule type="cellIs" dxfId="452" priority="884" operator="greaterThan">
      <formula>50</formula>
    </cfRule>
    <cfRule type="cellIs" dxfId="451" priority="885" operator="between">
      <formula>35</formula>
      <formula>50</formula>
    </cfRule>
    <cfRule type="cellIs" dxfId="450" priority="886" operator="lessThan">
      <formula>35</formula>
    </cfRule>
  </conditionalFormatting>
  <conditionalFormatting sqref="B2395">
    <cfRule type="cellIs" dxfId="449" priority="231" operator="greaterThan">
      <formula>350</formula>
    </cfRule>
    <cfRule type="cellIs" dxfId="448" priority="232" operator="between">
      <formula>250</formula>
      <formula>350</formula>
    </cfRule>
    <cfRule type="cellIs" dxfId="447" priority="233" operator="lessThan">
      <formula>250</formula>
    </cfRule>
  </conditionalFormatting>
  <conditionalFormatting sqref="B2396">
    <cfRule type="cellIs" dxfId="446" priority="128" operator="between">
      <formula>1</formula>
      <formula>1.3</formula>
    </cfRule>
    <cfRule type="cellIs" dxfId="445" priority="129" operator="between">
      <formula>1.3</formula>
      <formula>1.5</formula>
    </cfRule>
    <cfRule type="cellIs" dxfId="444" priority="130" operator="greaterThan">
      <formula>1.5</formula>
    </cfRule>
    <cfRule type="cellIs" dxfId="443" priority="127" operator="between">
      <formula>0.8</formula>
      <formula>0.99999</formula>
    </cfRule>
    <cfRule type="cellIs" dxfId="442" priority="126" operator="lessThan">
      <formula>0.8</formula>
    </cfRule>
  </conditionalFormatting>
  <conditionalFormatting sqref="B2398">
    <cfRule type="cellIs" dxfId="441" priority="875" operator="lessThan">
      <formula>1.5</formula>
    </cfRule>
    <cfRule type="cellIs" dxfId="440" priority="874" operator="between">
      <formula>1.5</formula>
      <formula>1.6</formula>
    </cfRule>
    <cfRule type="cellIs" dxfId="439" priority="873" operator="greaterThan">
      <formula>1.6</formula>
    </cfRule>
  </conditionalFormatting>
  <conditionalFormatting sqref="B2399">
    <cfRule type="cellIs" dxfId="438" priority="872" operator="between">
      <formula>1</formula>
      <formula>199</formula>
    </cfRule>
    <cfRule type="cellIs" dxfId="437" priority="871" operator="between">
      <formula>200</formula>
      <formula>499</formula>
    </cfRule>
    <cfRule type="cellIs" dxfId="436" priority="870" operator="between">
      <formula>500</formula>
      <formula>10000</formula>
    </cfRule>
  </conditionalFormatting>
  <conditionalFormatting sqref="B2401">
    <cfRule type="cellIs" dxfId="435" priority="869" operator="lessThan">
      <formula>35</formula>
    </cfRule>
    <cfRule type="cellIs" dxfId="434" priority="868" operator="between">
      <formula>35</formula>
      <formula>50</formula>
    </cfRule>
    <cfRule type="cellIs" dxfId="433" priority="867" operator="greaterThan">
      <formula>50</formula>
    </cfRule>
  </conditionalFormatting>
  <conditionalFormatting sqref="B2402">
    <cfRule type="cellIs" dxfId="432" priority="229" operator="between">
      <formula>250</formula>
      <formula>350</formula>
    </cfRule>
    <cfRule type="cellIs" dxfId="431" priority="228" operator="greaterThan">
      <formula>350</formula>
    </cfRule>
    <cfRule type="cellIs" dxfId="430" priority="230" operator="lessThan">
      <formula>250</formula>
    </cfRule>
  </conditionalFormatting>
  <conditionalFormatting sqref="B2403">
    <cfRule type="cellIs" dxfId="429" priority="123" operator="between">
      <formula>1</formula>
      <formula>1.3</formula>
    </cfRule>
    <cfRule type="cellIs" dxfId="428" priority="122" operator="between">
      <formula>0.8</formula>
      <formula>0.99999</formula>
    </cfRule>
    <cfRule type="cellIs" dxfId="427" priority="121" operator="lessThan">
      <formula>0.8</formula>
    </cfRule>
    <cfRule type="cellIs" dxfId="426" priority="125" operator="greaterThan">
      <formula>1.5</formula>
    </cfRule>
    <cfRule type="cellIs" dxfId="425" priority="124" operator="between">
      <formula>1.3</formula>
      <formula>1.5</formula>
    </cfRule>
  </conditionalFormatting>
  <conditionalFormatting sqref="B2405">
    <cfRule type="cellIs" dxfId="424" priority="858" operator="lessThan">
      <formula>1.5</formula>
    </cfRule>
    <cfRule type="cellIs" dxfId="423" priority="857" operator="between">
      <formula>1.5</formula>
      <formula>1.6</formula>
    </cfRule>
    <cfRule type="cellIs" dxfId="422" priority="856" operator="greaterThan">
      <formula>1.6</formula>
    </cfRule>
  </conditionalFormatting>
  <conditionalFormatting sqref="B2406">
    <cfRule type="cellIs" dxfId="421" priority="853" operator="between">
      <formula>500</formula>
      <formula>10000</formula>
    </cfRule>
    <cfRule type="cellIs" dxfId="420" priority="855" operator="between">
      <formula>1</formula>
      <formula>199</formula>
    </cfRule>
    <cfRule type="cellIs" dxfId="419" priority="854" operator="between">
      <formula>200</formula>
      <formula>499</formula>
    </cfRule>
  </conditionalFormatting>
  <conditionalFormatting sqref="B2408">
    <cfRule type="cellIs" dxfId="418" priority="851" operator="between">
      <formula>35</formula>
      <formula>50</formula>
    </cfRule>
    <cfRule type="cellIs" dxfId="417" priority="852" operator="lessThan">
      <formula>35</formula>
    </cfRule>
    <cfRule type="cellIs" dxfId="416" priority="850" operator="greaterThan">
      <formula>50</formula>
    </cfRule>
  </conditionalFormatting>
  <conditionalFormatting sqref="B2409">
    <cfRule type="cellIs" dxfId="415" priority="227" operator="lessThan">
      <formula>250</formula>
    </cfRule>
    <cfRule type="cellIs" dxfId="414" priority="225" operator="greaterThan">
      <formula>350</formula>
    </cfRule>
    <cfRule type="cellIs" dxfId="413" priority="226" operator="between">
      <formula>250</formula>
      <formula>350</formula>
    </cfRule>
  </conditionalFormatting>
  <conditionalFormatting sqref="B2410">
    <cfRule type="cellIs" dxfId="412" priority="116" operator="lessThan">
      <formula>0.8</formula>
    </cfRule>
    <cfRule type="cellIs" dxfId="411" priority="120" operator="greaterThan">
      <formula>1.5</formula>
    </cfRule>
    <cfRule type="cellIs" dxfId="410" priority="119" operator="between">
      <formula>1.3</formula>
      <formula>1.5</formula>
    </cfRule>
    <cfRule type="cellIs" dxfId="409" priority="118" operator="between">
      <formula>1</formula>
      <formula>1.3</formula>
    </cfRule>
    <cfRule type="cellIs" dxfId="408" priority="117" operator="between">
      <formula>0.8</formula>
      <formula>0.99999</formula>
    </cfRule>
  </conditionalFormatting>
  <conditionalFormatting sqref="B2412">
    <cfRule type="cellIs" dxfId="407" priority="841" operator="lessThan">
      <formula>1.5</formula>
    </cfRule>
    <cfRule type="cellIs" dxfId="406" priority="840" operator="between">
      <formula>1.5</formula>
      <formula>1.6</formula>
    </cfRule>
    <cfRule type="cellIs" dxfId="405" priority="839" operator="greaterThan">
      <formula>1.6</formula>
    </cfRule>
  </conditionalFormatting>
  <conditionalFormatting sqref="B2413">
    <cfRule type="cellIs" dxfId="404" priority="838" operator="between">
      <formula>1</formula>
      <formula>199</formula>
    </cfRule>
    <cfRule type="cellIs" dxfId="403" priority="837" operator="between">
      <formula>200</formula>
      <formula>499</formula>
    </cfRule>
    <cfRule type="cellIs" dxfId="402" priority="836" operator="between">
      <formula>500</formula>
      <formula>10000</formula>
    </cfRule>
  </conditionalFormatting>
  <conditionalFormatting sqref="B2415">
    <cfRule type="cellIs" dxfId="401" priority="835" operator="lessThan">
      <formula>35</formula>
    </cfRule>
    <cfRule type="cellIs" dxfId="400" priority="833" operator="greaterThan">
      <formula>50</formula>
    </cfRule>
    <cfRule type="cellIs" dxfId="399" priority="834" operator="between">
      <formula>35</formula>
      <formula>50</formula>
    </cfRule>
  </conditionalFormatting>
  <conditionalFormatting sqref="B2416">
    <cfRule type="cellIs" dxfId="398" priority="223" operator="between">
      <formula>250</formula>
      <formula>350</formula>
    </cfRule>
    <cfRule type="cellIs" dxfId="397" priority="222" operator="greaterThan">
      <formula>350</formula>
    </cfRule>
    <cfRule type="cellIs" dxfId="396" priority="224" operator="lessThan">
      <formula>250</formula>
    </cfRule>
  </conditionalFormatting>
  <conditionalFormatting sqref="B2417">
    <cfRule type="cellIs" dxfId="395" priority="111" operator="lessThan">
      <formula>0.8</formula>
    </cfRule>
    <cfRule type="cellIs" dxfId="394" priority="112" operator="between">
      <formula>0.8</formula>
      <formula>0.99999</formula>
    </cfRule>
    <cfRule type="cellIs" dxfId="393" priority="113" operator="between">
      <formula>1</formula>
      <formula>1.3</formula>
    </cfRule>
    <cfRule type="cellIs" dxfId="392" priority="114" operator="between">
      <formula>1.3</formula>
      <formula>1.5</formula>
    </cfRule>
    <cfRule type="cellIs" dxfId="391" priority="115" operator="greaterThan">
      <formula>1.5</formula>
    </cfRule>
  </conditionalFormatting>
  <conditionalFormatting sqref="B2419">
    <cfRule type="cellIs" dxfId="390" priority="822" operator="greaterThan">
      <formula>1.6</formula>
    </cfRule>
    <cfRule type="cellIs" dxfId="389" priority="823" operator="between">
      <formula>1.5</formula>
      <formula>1.6</formula>
    </cfRule>
    <cfRule type="cellIs" dxfId="388" priority="824" operator="lessThan">
      <formula>1.5</formula>
    </cfRule>
  </conditionalFormatting>
  <conditionalFormatting sqref="B2420">
    <cfRule type="cellIs" dxfId="387" priority="819" operator="between">
      <formula>500</formula>
      <formula>10000</formula>
    </cfRule>
    <cfRule type="cellIs" dxfId="386" priority="820" operator="between">
      <formula>200</formula>
      <formula>499</formula>
    </cfRule>
    <cfRule type="cellIs" dxfId="385" priority="821" operator="between">
      <formula>1</formula>
      <formula>199</formula>
    </cfRule>
  </conditionalFormatting>
  <conditionalFormatting sqref="B2422">
    <cfRule type="cellIs" dxfId="384" priority="817" operator="between">
      <formula>35</formula>
      <formula>50</formula>
    </cfRule>
    <cfRule type="cellIs" dxfId="383" priority="816" operator="greaterThan">
      <formula>50</formula>
    </cfRule>
    <cfRule type="cellIs" dxfId="382" priority="818" operator="lessThan">
      <formula>35</formula>
    </cfRule>
  </conditionalFormatting>
  <conditionalFormatting sqref="B2423">
    <cfRule type="cellIs" dxfId="381" priority="220" operator="between">
      <formula>250</formula>
      <formula>350</formula>
    </cfRule>
    <cfRule type="cellIs" dxfId="380" priority="221" operator="lessThan">
      <formula>250</formula>
    </cfRule>
    <cfRule type="cellIs" dxfId="379" priority="219" operator="greaterThan">
      <formula>350</formula>
    </cfRule>
  </conditionalFormatting>
  <conditionalFormatting sqref="B2424">
    <cfRule type="cellIs" dxfId="378" priority="110" operator="greaterThan">
      <formula>1.5</formula>
    </cfRule>
    <cfRule type="cellIs" dxfId="377" priority="109" operator="between">
      <formula>1.3</formula>
      <formula>1.5</formula>
    </cfRule>
    <cfRule type="cellIs" dxfId="376" priority="108" operator="between">
      <formula>1</formula>
      <formula>1.3</formula>
    </cfRule>
    <cfRule type="cellIs" dxfId="375" priority="107" operator="between">
      <formula>0.8</formula>
      <formula>0.99999</formula>
    </cfRule>
    <cfRule type="cellIs" dxfId="374" priority="106" operator="lessThan">
      <formula>0.8</formula>
    </cfRule>
  </conditionalFormatting>
  <conditionalFormatting sqref="B2426">
    <cfRule type="cellIs" dxfId="373" priority="805" operator="greaterThan">
      <formula>1.6</formula>
    </cfRule>
    <cfRule type="cellIs" dxfId="372" priority="807" operator="lessThan">
      <formula>1.5</formula>
    </cfRule>
    <cfRule type="cellIs" dxfId="371" priority="806" operator="between">
      <formula>1.5</formula>
      <formula>1.6</formula>
    </cfRule>
  </conditionalFormatting>
  <conditionalFormatting sqref="B2427">
    <cfRule type="cellIs" dxfId="370" priority="803" operator="between">
      <formula>200</formula>
      <formula>499</formula>
    </cfRule>
    <cfRule type="cellIs" dxfId="369" priority="804" operator="between">
      <formula>1</formula>
      <formula>199</formula>
    </cfRule>
    <cfRule type="cellIs" dxfId="368" priority="802" operator="between">
      <formula>500</formula>
      <formula>10000</formula>
    </cfRule>
  </conditionalFormatting>
  <conditionalFormatting sqref="B2429">
    <cfRule type="cellIs" dxfId="367" priority="799" operator="greaterThan">
      <formula>50</formula>
    </cfRule>
    <cfRule type="cellIs" dxfId="366" priority="801" operator="lessThan">
      <formula>35</formula>
    </cfRule>
    <cfRule type="cellIs" dxfId="365" priority="800" operator="between">
      <formula>35</formula>
      <formula>50</formula>
    </cfRule>
  </conditionalFormatting>
  <conditionalFormatting sqref="B2430">
    <cfRule type="cellIs" dxfId="364" priority="217" operator="between">
      <formula>250</formula>
      <formula>350</formula>
    </cfRule>
    <cfRule type="cellIs" dxfId="363" priority="216" operator="greaterThan">
      <formula>350</formula>
    </cfRule>
    <cfRule type="cellIs" dxfId="362" priority="218" operator="lessThan">
      <formula>250</formula>
    </cfRule>
  </conditionalFormatting>
  <conditionalFormatting sqref="B2431">
    <cfRule type="cellIs" dxfId="361" priority="105" operator="greaterThan">
      <formula>1.5</formula>
    </cfRule>
    <cfRule type="cellIs" dxfId="360" priority="103" operator="between">
      <formula>1</formula>
      <formula>1.3</formula>
    </cfRule>
    <cfRule type="cellIs" dxfId="359" priority="102" operator="between">
      <formula>0.8</formula>
      <formula>0.99999</formula>
    </cfRule>
    <cfRule type="cellIs" dxfId="358" priority="101" operator="lessThan">
      <formula>0.8</formula>
    </cfRule>
    <cfRule type="cellIs" dxfId="357" priority="104" operator="between">
      <formula>1.3</formula>
      <formula>1.5</formula>
    </cfRule>
  </conditionalFormatting>
  <conditionalFormatting sqref="B2433">
    <cfRule type="cellIs" dxfId="356" priority="790" operator="lessThan">
      <formula>1.5</formula>
    </cfRule>
    <cfRule type="cellIs" dxfId="355" priority="789" operator="between">
      <formula>1.5</formula>
      <formula>1.6</formula>
    </cfRule>
    <cfRule type="cellIs" dxfId="354" priority="788" operator="greaterThan">
      <formula>1.6</formula>
    </cfRule>
  </conditionalFormatting>
  <conditionalFormatting sqref="B2434">
    <cfRule type="cellIs" dxfId="353" priority="785" operator="between">
      <formula>500</formula>
      <formula>10000</formula>
    </cfRule>
    <cfRule type="cellIs" dxfId="352" priority="787" operator="between">
      <formula>1</formula>
      <formula>199</formula>
    </cfRule>
    <cfRule type="cellIs" dxfId="351" priority="786" operator="between">
      <formula>200</formula>
      <formula>499</formula>
    </cfRule>
  </conditionalFormatting>
  <conditionalFormatting sqref="B2436">
    <cfRule type="cellIs" dxfId="350" priority="782" operator="greaterThan">
      <formula>50</formula>
    </cfRule>
    <cfRule type="cellIs" dxfId="349" priority="784" operator="lessThan">
      <formula>35</formula>
    </cfRule>
    <cfRule type="cellIs" dxfId="348" priority="783" operator="between">
      <formula>35</formula>
      <formula>50</formula>
    </cfRule>
  </conditionalFormatting>
  <conditionalFormatting sqref="B2437">
    <cfRule type="cellIs" dxfId="347" priority="215" operator="lessThan">
      <formula>250</formula>
    </cfRule>
    <cfRule type="cellIs" dxfId="346" priority="214" operator="between">
      <formula>250</formula>
      <formula>350</formula>
    </cfRule>
    <cfRule type="cellIs" dxfId="345" priority="213" operator="greaterThan">
      <formula>350</formula>
    </cfRule>
  </conditionalFormatting>
  <conditionalFormatting sqref="B2438">
    <cfRule type="cellIs" dxfId="344" priority="99" operator="between">
      <formula>1.3</formula>
      <formula>1.5</formula>
    </cfRule>
    <cfRule type="cellIs" dxfId="343" priority="98" operator="between">
      <formula>1</formula>
      <formula>1.3</formula>
    </cfRule>
    <cfRule type="cellIs" dxfId="342" priority="97" operator="between">
      <formula>0.8</formula>
      <formula>0.99999</formula>
    </cfRule>
    <cfRule type="cellIs" dxfId="341" priority="96" operator="lessThan">
      <formula>0.8</formula>
    </cfRule>
    <cfRule type="cellIs" dxfId="340" priority="100" operator="greaterThan">
      <formula>1.5</formula>
    </cfRule>
  </conditionalFormatting>
  <conditionalFormatting sqref="B2440">
    <cfRule type="cellIs" dxfId="339" priority="773" operator="lessThan">
      <formula>1.5</formula>
    </cfRule>
    <cfRule type="cellIs" dxfId="338" priority="772" operator="between">
      <formula>1.5</formula>
      <formula>1.6</formula>
    </cfRule>
    <cfRule type="cellIs" dxfId="337" priority="771" operator="greaterThan">
      <formula>1.6</formula>
    </cfRule>
  </conditionalFormatting>
  <conditionalFormatting sqref="B2441">
    <cfRule type="cellIs" dxfId="336" priority="770" operator="between">
      <formula>1</formula>
      <formula>199</formula>
    </cfRule>
    <cfRule type="cellIs" dxfId="335" priority="769" operator="between">
      <formula>200</formula>
      <formula>499</formula>
    </cfRule>
    <cfRule type="cellIs" dxfId="334" priority="768" operator="between">
      <formula>500</formula>
      <formula>10000</formula>
    </cfRule>
  </conditionalFormatting>
  <conditionalFormatting sqref="B2443">
    <cfRule type="cellIs" dxfId="333" priority="767" operator="lessThan">
      <formula>35</formula>
    </cfRule>
    <cfRule type="cellIs" dxfId="332" priority="766" operator="between">
      <formula>35</formula>
      <formula>50</formula>
    </cfRule>
    <cfRule type="cellIs" dxfId="331" priority="765" operator="greaterThan">
      <formula>50</formula>
    </cfRule>
  </conditionalFormatting>
  <conditionalFormatting sqref="B2444">
    <cfRule type="cellIs" dxfId="330" priority="211" operator="between">
      <formula>250</formula>
      <formula>350</formula>
    </cfRule>
    <cfRule type="cellIs" dxfId="329" priority="210" operator="greaterThan">
      <formula>350</formula>
    </cfRule>
    <cfRule type="cellIs" dxfId="328" priority="212" operator="lessThan">
      <formula>250</formula>
    </cfRule>
  </conditionalFormatting>
  <conditionalFormatting sqref="B2445">
    <cfRule type="cellIs" dxfId="327" priority="94" operator="between">
      <formula>1.3</formula>
      <formula>1.5</formula>
    </cfRule>
    <cfRule type="cellIs" dxfId="326" priority="92" operator="between">
      <formula>0.8</formula>
      <formula>0.99999</formula>
    </cfRule>
    <cfRule type="cellIs" dxfId="325" priority="91" operator="lessThan">
      <formula>0.8</formula>
    </cfRule>
    <cfRule type="cellIs" dxfId="324" priority="93" operator="between">
      <formula>1</formula>
      <formula>1.3</formula>
    </cfRule>
    <cfRule type="cellIs" dxfId="323" priority="95" operator="greaterThan">
      <formula>1.5</formula>
    </cfRule>
  </conditionalFormatting>
  <conditionalFormatting sqref="B2447">
    <cfRule type="cellIs" dxfId="322" priority="756" operator="lessThan">
      <formula>1.5</formula>
    </cfRule>
    <cfRule type="cellIs" dxfId="321" priority="754" operator="greaterThan">
      <formula>1.6</formula>
    </cfRule>
    <cfRule type="cellIs" dxfId="320" priority="755" operator="between">
      <formula>1.5</formula>
      <formula>1.6</formula>
    </cfRule>
  </conditionalFormatting>
  <conditionalFormatting sqref="B2448">
    <cfRule type="cellIs" dxfId="319" priority="753" operator="between">
      <formula>1</formula>
      <formula>199</formula>
    </cfRule>
    <cfRule type="cellIs" dxfId="318" priority="752" operator="between">
      <formula>200</formula>
      <formula>499</formula>
    </cfRule>
    <cfRule type="cellIs" dxfId="317" priority="751" operator="between">
      <formula>500</formula>
      <formula>10000</formula>
    </cfRule>
  </conditionalFormatting>
  <conditionalFormatting sqref="B2450">
    <cfRule type="cellIs" dxfId="316" priority="750" operator="lessThan">
      <formula>35</formula>
    </cfRule>
    <cfRule type="cellIs" dxfId="315" priority="749" operator="between">
      <formula>35</formula>
      <formula>50</formula>
    </cfRule>
    <cfRule type="cellIs" dxfId="314" priority="748" operator="greaterThan">
      <formula>50</formula>
    </cfRule>
  </conditionalFormatting>
  <conditionalFormatting sqref="B2451">
    <cfRule type="cellIs" dxfId="313" priority="207" operator="greaterThan">
      <formula>350</formula>
    </cfRule>
    <cfRule type="cellIs" dxfId="312" priority="208" operator="between">
      <formula>250</formula>
      <formula>350</formula>
    </cfRule>
    <cfRule type="cellIs" dxfId="311" priority="209" operator="lessThan">
      <formula>250</formula>
    </cfRule>
  </conditionalFormatting>
  <conditionalFormatting sqref="B2452">
    <cfRule type="cellIs" dxfId="310" priority="87" operator="between">
      <formula>0.8</formula>
      <formula>0.99999</formula>
    </cfRule>
    <cfRule type="cellIs" dxfId="309" priority="86" operator="lessThan">
      <formula>0.8</formula>
    </cfRule>
    <cfRule type="cellIs" dxfId="308" priority="88" operator="between">
      <formula>1</formula>
      <formula>1.3</formula>
    </cfRule>
    <cfRule type="cellIs" dxfId="307" priority="89" operator="between">
      <formula>1.3</formula>
      <formula>1.5</formula>
    </cfRule>
    <cfRule type="cellIs" dxfId="306" priority="90" operator="greaterThan">
      <formula>1.5</formula>
    </cfRule>
  </conditionalFormatting>
  <conditionalFormatting sqref="B2454">
    <cfRule type="cellIs" dxfId="305" priority="739" operator="lessThan">
      <formula>1.5</formula>
    </cfRule>
    <cfRule type="cellIs" dxfId="304" priority="738" operator="between">
      <formula>1.5</formula>
      <formula>1.6</formula>
    </cfRule>
    <cfRule type="cellIs" dxfId="303" priority="737" operator="greaterThan">
      <formula>1.6</formula>
    </cfRule>
  </conditionalFormatting>
  <conditionalFormatting sqref="B2455">
    <cfRule type="cellIs" dxfId="302" priority="734" operator="between">
      <formula>500</formula>
      <formula>10000</formula>
    </cfRule>
    <cfRule type="cellIs" dxfId="301" priority="736" operator="between">
      <formula>1</formula>
      <formula>199</formula>
    </cfRule>
    <cfRule type="cellIs" dxfId="300" priority="735" operator="between">
      <formula>200</formula>
      <formula>499</formula>
    </cfRule>
  </conditionalFormatting>
  <conditionalFormatting sqref="B2457">
    <cfRule type="cellIs" dxfId="299" priority="733" operator="lessThan">
      <formula>35</formula>
    </cfRule>
    <cfRule type="cellIs" dxfId="298" priority="732" operator="between">
      <formula>35</formula>
      <formula>50</formula>
    </cfRule>
    <cfRule type="cellIs" dxfId="297" priority="731" operator="greaterThan">
      <formula>50</formula>
    </cfRule>
  </conditionalFormatting>
  <conditionalFormatting sqref="B2458">
    <cfRule type="cellIs" dxfId="296" priority="204" operator="greaterThan">
      <formula>350</formula>
    </cfRule>
    <cfRule type="cellIs" dxfId="295" priority="205" operator="between">
      <formula>250</formula>
      <formula>350</formula>
    </cfRule>
    <cfRule type="cellIs" dxfId="294" priority="206" operator="lessThan">
      <formula>250</formula>
    </cfRule>
  </conditionalFormatting>
  <conditionalFormatting sqref="B2459">
    <cfRule type="cellIs" dxfId="293" priority="85" operator="greaterThan">
      <formula>1.5</formula>
    </cfRule>
    <cfRule type="cellIs" dxfId="292" priority="84" operator="between">
      <formula>1.3</formula>
      <formula>1.5</formula>
    </cfRule>
    <cfRule type="cellIs" dxfId="291" priority="83" operator="between">
      <formula>1</formula>
      <formula>1.3</formula>
    </cfRule>
    <cfRule type="cellIs" dxfId="290" priority="82" operator="between">
      <formula>0.8</formula>
      <formula>0.99999</formula>
    </cfRule>
    <cfRule type="cellIs" dxfId="289" priority="81" operator="lessThan">
      <formula>0.8</formula>
    </cfRule>
  </conditionalFormatting>
  <conditionalFormatting sqref="B2461">
    <cfRule type="cellIs" dxfId="288" priority="721" operator="between">
      <formula>1.5</formula>
      <formula>1.6</formula>
    </cfRule>
    <cfRule type="cellIs" dxfId="287" priority="720" operator="greaterThan">
      <formula>1.6</formula>
    </cfRule>
    <cfRule type="cellIs" dxfId="286" priority="722" operator="lessThan">
      <formula>1.5</formula>
    </cfRule>
  </conditionalFormatting>
  <conditionalFormatting sqref="B2462">
    <cfRule type="cellIs" dxfId="285" priority="717" operator="between">
      <formula>500</formula>
      <formula>10000</formula>
    </cfRule>
    <cfRule type="cellIs" dxfId="284" priority="719" operator="between">
      <formula>1</formula>
      <formula>199</formula>
    </cfRule>
    <cfRule type="cellIs" dxfId="283" priority="718" operator="between">
      <formula>200</formula>
      <formula>499</formula>
    </cfRule>
  </conditionalFormatting>
  <conditionalFormatting sqref="B2464">
    <cfRule type="cellIs" dxfId="282" priority="714" operator="greaterThan">
      <formula>50</formula>
    </cfRule>
    <cfRule type="cellIs" dxfId="281" priority="715" operator="between">
      <formula>35</formula>
      <formula>50</formula>
    </cfRule>
    <cfRule type="cellIs" dxfId="280" priority="716" operator="lessThan">
      <formula>35</formula>
    </cfRule>
  </conditionalFormatting>
  <conditionalFormatting sqref="B2465">
    <cfRule type="cellIs" dxfId="279" priority="203" operator="lessThan">
      <formula>250</formula>
    </cfRule>
    <cfRule type="cellIs" dxfId="278" priority="202" operator="between">
      <formula>250</formula>
      <formula>350</formula>
    </cfRule>
    <cfRule type="cellIs" dxfId="277" priority="201" operator="greaterThan">
      <formula>350</formula>
    </cfRule>
  </conditionalFormatting>
  <conditionalFormatting sqref="B2466">
    <cfRule type="cellIs" dxfId="276" priority="80" operator="greaterThan">
      <formula>1.5</formula>
    </cfRule>
    <cfRule type="cellIs" dxfId="275" priority="79" operator="between">
      <formula>1.3</formula>
      <formula>1.5</formula>
    </cfRule>
    <cfRule type="cellIs" dxfId="274" priority="78" operator="between">
      <formula>1</formula>
      <formula>1.3</formula>
    </cfRule>
    <cfRule type="cellIs" dxfId="273" priority="77" operator="between">
      <formula>0.8</formula>
      <formula>0.99999</formula>
    </cfRule>
    <cfRule type="cellIs" dxfId="272" priority="76" operator="lessThan">
      <formula>0.8</formula>
    </cfRule>
  </conditionalFormatting>
  <conditionalFormatting sqref="B2468">
    <cfRule type="cellIs" dxfId="271" priority="703" operator="greaterThan">
      <formula>1.6</formula>
    </cfRule>
    <cfRule type="cellIs" dxfId="270" priority="705" operator="lessThan">
      <formula>1.5</formula>
    </cfRule>
    <cfRule type="cellIs" dxfId="269" priority="704" operator="between">
      <formula>1.5</formula>
      <formula>1.6</formula>
    </cfRule>
  </conditionalFormatting>
  <conditionalFormatting sqref="B2469">
    <cfRule type="cellIs" dxfId="268" priority="700" operator="between">
      <formula>500</formula>
      <formula>10000</formula>
    </cfRule>
    <cfRule type="cellIs" dxfId="267" priority="701" operator="between">
      <formula>200</formula>
      <formula>499</formula>
    </cfRule>
    <cfRule type="cellIs" dxfId="266" priority="702" operator="between">
      <formula>1</formula>
      <formula>199</formula>
    </cfRule>
  </conditionalFormatting>
  <conditionalFormatting sqref="B2471">
    <cfRule type="cellIs" dxfId="265" priority="697" operator="greaterThan">
      <formula>50</formula>
    </cfRule>
    <cfRule type="cellIs" dxfId="264" priority="698" operator="between">
      <formula>35</formula>
      <formula>50</formula>
    </cfRule>
    <cfRule type="cellIs" dxfId="263" priority="699" operator="lessThan">
      <formula>35</formula>
    </cfRule>
  </conditionalFormatting>
  <conditionalFormatting sqref="B2472">
    <cfRule type="cellIs" dxfId="262" priority="198" operator="greaterThan">
      <formula>350</formula>
    </cfRule>
    <cfRule type="cellIs" dxfId="261" priority="199" operator="between">
      <formula>250</formula>
      <formula>350</formula>
    </cfRule>
    <cfRule type="cellIs" dxfId="260" priority="200" operator="lessThan">
      <formula>250</formula>
    </cfRule>
  </conditionalFormatting>
  <conditionalFormatting sqref="B2473">
    <cfRule type="cellIs" dxfId="259" priority="74" operator="between">
      <formula>1.3</formula>
      <formula>1.5</formula>
    </cfRule>
    <cfRule type="cellIs" dxfId="258" priority="71" operator="lessThan">
      <formula>0.8</formula>
    </cfRule>
    <cfRule type="cellIs" dxfId="257" priority="75" operator="greaterThan">
      <formula>1.5</formula>
    </cfRule>
    <cfRule type="cellIs" dxfId="256" priority="73" operator="between">
      <formula>1</formula>
      <formula>1.3</formula>
    </cfRule>
    <cfRule type="cellIs" dxfId="255" priority="72" operator="between">
      <formula>0.8</formula>
      <formula>0.99999</formula>
    </cfRule>
  </conditionalFormatting>
  <conditionalFormatting sqref="B2475">
    <cfRule type="cellIs" dxfId="254" priority="688" operator="lessThan">
      <formula>1.5</formula>
    </cfRule>
    <cfRule type="cellIs" dxfId="253" priority="687" operator="between">
      <formula>1.5</formula>
      <formula>1.6</formula>
    </cfRule>
    <cfRule type="cellIs" dxfId="252" priority="686" operator="greaterThan">
      <formula>1.6</formula>
    </cfRule>
  </conditionalFormatting>
  <conditionalFormatting sqref="B2476">
    <cfRule type="cellIs" dxfId="251" priority="685" operator="between">
      <formula>1</formula>
      <formula>199</formula>
    </cfRule>
    <cfRule type="cellIs" dxfId="250" priority="684" operator="between">
      <formula>200</formula>
      <formula>499</formula>
    </cfRule>
    <cfRule type="cellIs" dxfId="249" priority="683" operator="between">
      <formula>500</formula>
      <formula>10000</formula>
    </cfRule>
  </conditionalFormatting>
  <conditionalFormatting sqref="B2478">
    <cfRule type="cellIs" dxfId="248" priority="682" operator="lessThan">
      <formula>35</formula>
    </cfRule>
    <cfRule type="cellIs" dxfId="247" priority="681" operator="between">
      <formula>35</formula>
      <formula>50</formula>
    </cfRule>
    <cfRule type="cellIs" dxfId="246" priority="680" operator="greaterThan">
      <formula>50</formula>
    </cfRule>
  </conditionalFormatting>
  <conditionalFormatting sqref="B2479">
    <cfRule type="cellIs" dxfId="245" priority="195" operator="greaterThan">
      <formula>350</formula>
    </cfRule>
    <cfRule type="cellIs" dxfId="244" priority="197" operator="lessThan">
      <formula>250</formula>
    </cfRule>
    <cfRule type="cellIs" dxfId="243" priority="196" operator="between">
      <formula>250</formula>
      <formula>350</formula>
    </cfRule>
  </conditionalFormatting>
  <conditionalFormatting sqref="B2480">
    <cfRule type="cellIs" dxfId="242" priority="66" operator="lessThan">
      <formula>0.8</formula>
    </cfRule>
    <cfRule type="cellIs" dxfId="241" priority="70" operator="greaterThan">
      <formula>1.5</formula>
    </cfRule>
    <cfRule type="cellIs" dxfId="240" priority="69" operator="between">
      <formula>1.3</formula>
      <formula>1.5</formula>
    </cfRule>
    <cfRule type="cellIs" dxfId="239" priority="68" operator="between">
      <formula>1</formula>
      <formula>1.3</formula>
    </cfRule>
    <cfRule type="cellIs" dxfId="238" priority="67" operator="between">
      <formula>0.8</formula>
      <formula>0.99999</formula>
    </cfRule>
  </conditionalFormatting>
  <conditionalFormatting sqref="B2482">
    <cfRule type="cellIs" dxfId="237" priority="671" operator="lessThan">
      <formula>1.5</formula>
    </cfRule>
    <cfRule type="cellIs" dxfId="236" priority="670" operator="between">
      <formula>1.5</formula>
      <formula>1.6</formula>
    </cfRule>
    <cfRule type="cellIs" dxfId="235" priority="669" operator="greaterThan">
      <formula>1.6</formula>
    </cfRule>
  </conditionalFormatting>
  <conditionalFormatting sqref="B2483">
    <cfRule type="cellIs" dxfId="234" priority="668" operator="between">
      <formula>1</formula>
      <formula>199</formula>
    </cfRule>
    <cfRule type="cellIs" dxfId="233" priority="667" operator="between">
      <formula>200</formula>
      <formula>499</formula>
    </cfRule>
    <cfRule type="cellIs" dxfId="232" priority="666" operator="between">
      <formula>500</formula>
      <formula>10000</formula>
    </cfRule>
  </conditionalFormatting>
  <conditionalFormatting sqref="B2485">
    <cfRule type="cellIs" dxfId="231" priority="665" operator="lessThan">
      <formula>35</formula>
    </cfRule>
    <cfRule type="cellIs" dxfId="230" priority="664" operator="between">
      <formula>35</formula>
      <formula>50</formula>
    </cfRule>
    <cfRule type="cellIs" dxfId="229" priority="663" operator="greaterThan">
      <formula>50</formula>
    </cfRule>
  </conditionalFormatting>
  <conditionalFormatting sqref="B2486">
    <cfRule type="cellIs" dxfId="228" priority="193" operator="between">
      <formula>250</formula>
      <formula>350</formula>
    </cfRule>
    <cfRule type="cellIs" dxfId="227" priority="194" operator="lessThan">
      <formula>250</formula>
    </cfRule>
    <cfRule type="cellIs" dxfId="226" priority="192" operator="greaterThan">
      <formula>350</formula>
    </cfRule>
  </conditionalFormatting>
  <conditionalFormatting sqref="B2487">
    <cfRule type="cellIs" dxfId="225" priority="61" operator="lessThan">
      <formula>0.8</formula>
    </cfRule>
    <cfRule type="cellIs" dxfId="224" priority="62" operator="between">
      <formula>0.8</formula>
      <formula>0.99999</formula>
    </cfRule>
    <cfRule type="cellIs" dxfId="223" priority="63" operator="between">
      <formula>1</formula>
      <formula>1.3</formula>
    </cfRule>
    <cfRule type="cellIs" dxfId="222" priority="64" operator="between">
      <formula>1.3</formula>
      <formula>1.5</formula>
    </cfRule>
    <cfRule type="cellIs" dxfId="221" priority="65" operator="greaterThan">
      <formula>1.5</formula>
    </cfRule>
  </conditionalFormatting>
  <conditionalFormatting sqref="B2489">
    <cfRule type="cellIs" dxfId="220" priority="652" operator="greaterThan">
      <formula>1.6</formula>
    </cfRule>
    <cfRule type="cellIs" dxfId="219" priority="653" operator="between">
      <formula>1.5</formula>
      <formula>1.6</formula>
    </cfRule>
    <cfRule type="cellIs" dxfId="218" priority="654" operator="lessThan">
      <formula>1.5</formula>
    </cfRule>
  </conditionalFormatting>
  <conditionalFormatting sqref="B2490">
    <cfRule type="cellIs" dxfId="217" priority="649" operator="between">
      <formula>500</formula>
      <formula>10000</formula>
    </cfRule>
    <cfRule type="cellIs" dxfId="216" priority="650" operator="between">
      <formula>200</formula>
      <formula>499</formula>
    </cfRule>
    <cfRule type="cellIs" dxfId="215" priority="651" operator="between">
      <formula>1</formula>
      <formula>199</formula>
    </cfRule>
  </conditionalFormatting>
  <conditionalFormatting sqref="B2492">
    <cfRule type="cellIs" dxfId="214" priority="646" operator="greaterThan">
      <formula>50</formula>
    </cfRule>
    <cfRule type="cellIs" dxfId="213" priority="647" operator="between">
      <formula>35</formula>
      <formula>50</formula>
    </cfRule>
    <cfRule type="cellIs" dxfId="212" priority="648" operator="lessThan">
      <formula>35</formula>
    </cfRule>
  </conditionalFormatting>
  <conditionalFormatting sqref="B2493">
    <cfRule type="cellIs" dxfId="211" priority="191" operator="lessThan">
      <formula>250</formula>
    </cfRule>
    <cfRule type="cellIs" dxfId="210" priority="190" operator="between">
      <formula>250</formula>
      <formula>350</formula>
    </cfRule>
    <cfRule type="cellIs" dxfId="209" priority="189" operator="greaterThan">
      <formula>350</formula>
    </cfRule>
  </conditionalFormatting>
  <conditionalFormatting sqref="B2494">
    <cfRule type="cellIs" dxfId="208" priority="58" operator="between">
      <formula>1</formula>
      <formula>1.3</formula>
    </cfRule>
    <cfRule type="cellIs" dxfId="207" priority="56" operator="lessThan">
      <formula>0.8</formula>
    </cfRule>
    <cfRule type="cellIs" dxfId="206" priority="57" operator="between">
      <formula>0.8</formula>
      <formula>0.99999</formula>
    </cfRule>
    <cfRule type="cellIs" dxfId="205" priority="60" operator="greaterThan">
      <formula>1.5</formula>
    </cfRule>
    <cfRule type="cellIs" dxfId="204" priority="59" operator="between">
      <formula>1.3</formula>
      <formula>1.5</formula>
    </cfRule>
  </conditionalFormatting>
  <conditionalFormatting sqref="B2496">
    <cfRule type="cellIs" dxfId="203" priority="637" operator="lessThan">
      <formula>1.5</formula>
    </cfRule>
    <cfRule type="cellIs" dxfId="202" priority="636" operator="between">
      <formula>1.5</formula>
      <formula>1.6</formula>
    </cfRule>
    <cfRule type="cellIs" dxfId="201" priority="635" operator="greaterThan">
      <formula>1.6</formula>
    </cfRule>
  </conditionalFormatting>
  <conditionalFormatting sqref="B2497">
    <cfRule type="cellIs" dxfId="200" priority="633" operator="between">
      <formula>200</formula>
      <formula>499</formula>
    </cfRule>
    <cfRule type="cellIs" dxfId="199" priority="632" operator="between">
      <formula>500</formula>
      <formula>10000</formula>
    </cfRule>
    <cfRule type="cellIs" dxfId="198" priority="634" operator="between">
      <formula>1</formula>
      <formula>199</formula>
    </cfRule>
  </conditionalFormatting>
  <conditionalFormatting sqref="B2499">
    <cfRule type="cellIs" dxfId="197" priority="631" operator="lessThan">
      <formula>35</formula>
    </cfRule>
    <cfRule type="cellIs" dxfId="196" priority="630" operator="between">
      <formula>35</formula>
      <formula>50</formula>
    </cfRule>
    <cfRule type="cellIs" dxfId="195" priority="629" operator="greaterThan">
      <formula>50</formula>
    </cfRule>
  </conditionalFormatting>
  <conditionalFormatting sqref="B2500">
    <cfRule type="cellIs" dxfId="194" priority="188" operator="lessThan">
      <formula>250</formula>
    </cfRule>
    <cfRule type="cellIs" dxfId="193" priority="186" operator="greaterThan">
      <formula>350</formula>
    </cfRule>
    <cfRule type="cellIs" dxfId="192" priority="187" operator="between">
      <formula>250</formula>
      <formula>350</formula>
    </cfRule>
  </conditionalFormatting>
  <conditionalFormatting sqref="B2501">
    <cfRule type="cellIs" dxfId="191" priority="54" operator="between">
      <formula>1.3</formula>
      <formula>1.5</formula>
    </cfRule>
    <cfRule type="cellIs" dxfId="190" priority="52" operator="between">
      <formula>0.8</formula>
      <formula>0.99999</formula>
    </cfRule>
    <cfRule type="cellIs" dxfId="189" priority="51" operator="lessThan">
      <formula>0.8</formula>
    </cfRule>
    <cfRule type="cellIs" dxfId="188" priority="55" operator="greaterThan">
      <formula>1.5</formula>
    </cfRule>
    <cfRule type="cellIs" dxfId="187" priority="53" operator="between">
      <formula>1</formula>
      <formula>1.3</formula>
    </cfRule>
  </conditionalFormatting>
  <conditionalFormatting sqref="B2503">
    <cfRule type="cellIs" dxfId="186" priority="619" operator="between">
      <formula>1.5</formula>
      <formula>1.6</formula>
    </cfRule>
    <cfRule type="cellIs" dxfId="185" priority="618" operator="greaterThan">
      <formula>1.6</formula>
    </cfRule>
    <cfRule type="cellIs" dxfId="184" priority="620" operator="lessThan">
      <formula>1.5</formula>
    </cfRule>
  </conditionalFormatting>
  <conditionalFormatting sqref="B2504">
    <cfRule type="cellIs" dxfId="183" priority="617" operator="between">
      <formula>1</formula>
      <formula>199</formula>
    </cfRule>
    <cfRule type="cellIs" dxfId="182" priority="615" operator="between">
      <formula>500</formula>
      <formula>10000</formula>
    </cfRule>
    <cfRule type="cellIs" dxfId="181" priority="616" operator="between">
      <formula>200</formula>
      <formula>499</formula>
    </cfRule>
  </conditionalFormatting>
  <conditionalFormatting sqref="B2506">
    <cfRule type="cellIs" dxfId="180" priority="614" operator="lessThan">
      <formula>35</formula>
    </cfRule>
    <cfRule type="cellIs" dxfId="179" priority="613" operator="between">
      <formula>35</formula>
      <formula>50</formula>
    </cfRule>
    <cfRule type="cellIs" dxfId="178" priority="612" operator="greaterThan">
      <formula>50</formula>
    </cfRule>
  </conditionalFormatting>
  <conditionalFormatting sqref="B2507">
    <cfRule type="cellIs" dxfId="177" priority="185" operator="lessThan">
      <formula>250</formula>
    </cfRule>
    <cfRule type="cellIs" dxfId="176" priority="184" operator="between">
      <formula>250</formula>
      <formula>350</formula>
    </cfRule>
    <cfRule type="cellIs" dxfId="175" priority="183" operator="greaterThan">
      <formula>350</formula>
    </cfRule>
  </conditionalFormatting>
  <conditionalFormatting sqref="B2508">
    <cfRule type="cellIs" dxfId="174" priority="46" operator="lessThan">
      <formula>0.8</formula>
    </cfRule>
    <cfRule type="cellIs" dxfId="173" priority="48" operator="between">
      <formula>1</formula>
      <formula>1.3</formula>
    </cfRule>
    <cfRule type="cellIs" dxfId="172" priority="49" operator="between">
      <formula>1.3</formula>
      <formula>1.5</formula>
    </cfRule>
    <cfRule type="cellIs" dxfId="171" priority="50" operator="greaterThan">
      <formula>1.5</formula>
    </cfRule>
    <cfRule type="cellIs" dxfId="170" priority="47" operator="between">
      <formula>0.8</formula>
      <formula>0.99999</formula>
    </cfRule>
  </conditionalFormatting>
  <conditionalFormatting sqref="B2510">
    <cfRule type="cellIs" dxfId="169" priority="603" operator="lessThan">
      <formula>1.5</formula>
    </cfRule>
    <cfRule type="cellIs" dxfId="168" priority="602" operator="between">
      <formula>1.5</formula>
      <formula>1.6</formula>
    </cfRule>
    <cfRule type="cellIs" dxfId="167" priority="601" operator="greaterThan">
      <formula>1.6</formula>
    </cfRule>
  </conditionalFormatting>
  <conditionalFormatting sqref="B2511">
    <cfRule type="cellIs" dxfId="166" priority="598" operator="between">
      <formula>500</formula>
      <formula>10000</formula>
    </cfRule>
    <cfRule type="cellIs" dxfId="165" priority="600" operator="between">
      <formula>1</formula>
      <formula>199</formula>
    </cfRule>
    <cfRule type="cellIs" dxfId="164" priority="599" operator="between">
      <formula>200</formula>
      <formula>499</formula>
    </cfRule>
  </conditionalFormatting>
  <conditionalFormatting sqref="B2513">
    <cfRule type="cellIs" dxfId="163" priority="595" operator="greaterThan">
      <formula>50</formula>
    </cfRule>
    <cfRule type="cellIs" dxfId="162" priority="597" operator="lessThan">
      <formula>35</formula>
    </cfRule>
    <cfRule type="cellIs" dxfId="161" priority="596" operator="between">
      <formula>35</formula>
      <formula>50</formula>
    </cfRule>
  </conditionalFormatting>
  <conditionalFormatting sqref="B2514">
    <cfRule type="cellIs" dxfId="160" priority="182" operator="lessThan">
      <formula>250</formula>
    </cfRule>
    <cfRule type="cellIs" dxfId="159" priority="181" operator="between">
      <formula>250</formula>
      <formula>350</formula>
    </cfRule>
    <cfRule type="cellIs" dxfId="158" priority="180" operator="greaterThan">
      <formula>350</formula>
    </cfRule>
  </conditionalFormatting>
  <conditionalFormatting sqref="B2515">
    <cfRule type="cellIs" dxfId="157" priority="41" operator="lessThan">
      <formula>0.8</formula>
    </cfRule>
    <cfRule type="cellIs" dxfId="156" priority="45" operator="greaterThan">
      <formula>1.5</formula>
    </cfRule>
    <cfRule type="cellIs" dxfId="155" priority="44" operator="between">
      <formula>1.3</formula>
      <formula>1.5</formula>
    </cfRule>
    <cfRule type="cellIs" dxfId="154" priority="43" operator="between">
      <formula>1</formula>
      <formula>1.3</formula>
    </cfRule>
    <cfRule type="cellIs" dxfId="153" priority="42" operator="between">
      <formula>0.8</formula>
      <formula>0.99999</formula>
    </cfRule>
  </conditionalFormatting>
  <conditionalFormatting sqref="B2517">
    <cfRule type="cellIs" dxfId="152" priority="584" operator="greaterThan">
      <formula>1.6</formula>
    </cfRule>
    <cfRule type="cellIs" dxfId="151" priority="585" operator="between">
      <formula>1.5</formula>
      <formula>1.6</formula>
    </cfRule>
    <cfRule type="cellIs" dxfId="150" priority="586" operator="lessThan">
      <formula>1.5</formula>
    </cfRule>
  </conditionalFormatting>
  <conditionalFormatting sqref="B2518">
    <cfRule type="cellIs" dxfId="149" priority="581" operator="between">
      <formula>500</formula>
      <formula>10000</formula>
    </cfRule>
    <cfRule type="cellIs" dxfId="148" priority="582" operator="between">
      <formula>200</formula>
      <formula>499</formula>
    </cfRule>
    <cfRule type="cellIs" dxfId="147" priority="583" operator="between">
      <formula>1</formula>
      <formula>199</formula>
    </cfRule>
  </conditionalFormatting>
  <conditionalFormatting sqref="B2520">
    <cfRule type="cellIs" dxfId="146" priority="578" operator="greaterThan">
      <formula>50</formula>
    </cfRule>
    <cfRule type="cellIs" dxfId="145" priority="579" operator="between">
      <formula>35</formula>
      <formula>50</formula>
    </cfRule>
    <cfRule type="cellIs" dxfId="144" priority="580" operator="lessThan">
      <formula>35</formula>
    </cfRule>
  </conditionalFormatting>
  <conditionalFormatting sqref="B2521">
    <cfRule type="cellIs" dxfId="143" priority="179" operator="lessThan">
      <formula>250</formula>
    </cfRule>
    <cfRule type="cellIs" dxfId="142" priority="178" operator="between">
      <formula>250</formula>
      <formula>350</formula>
    </cfRule>
    <cfRule type="cellIs" dxfId="141" priority="177" operator="greaterThan">
      <formula>350</formula>
    </cfRule>
  </conditionalFormatting>
  <conditionalFormatting sqref="B2522">
    <cfRule type="cellIs" dxfId="140" priority="40" operator="greaterThan">
      <formula>1.5</formula>
    </cfRule>
    <cfRule type="cellIs" dxfId="139" priority="36" operator="lessThan">
      <formula>0.8</formula>
    </cfRule>
    <cfRule type="cellIs" dxfId="138" priority="37" operator="between">
      <formula>0.8</formula>
      <formula>0.99999</formula>
    </cfRule>
    <cfRule type="cellIs" dxfId="137" priority="38" operator="between">
      <formula>1</formula>
      <formula>1.3</formula>
    </cfRule>
    <cfRule type="cellIs" dxfId="136" priority="39" operator="between">
      <formula>1.3</formula>
      <formula>1.5</formula>
    </cfRule>
  </conditionalFormatting>
  <conditionalFormatting sqref="B2524">
    <cfRule type="cellIs" dxfId="135" priority="568" operator="between">
      <formula>1.5</formula>
      <formula>1.6</formula>
    </cfRule>
    <cfRule type="cellIs" dxfId="134" priority="569" operator="lessThan">
      <formula>1.5</formula>
    </cfRule>
    <cfRule type="cellIs" dxfId="133" priority="567" operator="greaterThan">
      <formula>1.6</formula>
    </cfRule>
  </conditionalFormatting>
  <conditionalFormatting sqref="B2525">
    <cfRule type="cellIs" dxfId="132" priority="566" operator="between">
      <formula>1</formula>
      <formula>199</formula>
    </cfRule>
    <cfRule type="cellIs" dxfId="131" priority="564" operator="between">
      <formula>500</formula>
      <formula>10000</formula>
    </cfRule>
    <cfRule type="cellIs" dxfId="130" priority="565" operator="between">
      <formula>200</formula>
      <formula>499</formula>
    </cfRule>
  </conditionalFormatting>
  <conditionalFormatting sqref="B2527">
    <cfRule type="cellIs" dxfId="129" priority="561" operator="greaterThan">
      <formula>50</formula>
    </cfRule>
    <cfRule type="cellIs" dxfId="128" priority="562" operator="between">
      <formula>35</formula>
      <formula>50</formula>
    </cfRule>
    <cfRule type="cellIs" dxfId="127" priority="563" operator="lessThan">
      <formula>35</formula>
    </cfRule>
  </conditionalFormatting>
  <conditionalFormatting sqref="B2528">
    <cfRule type="cellIs" dxfId="126" priority="174" operator="greaterThan">
      <formula>350</formula>
    </cfRule>
    <cfRule type="cellIs" dxfId="125" priority="176" operator="lessThan">
      <formula>250</formula>
    </cfRule>
    <cfRule type="cellIs" dxfId="124" priority="175" operator="between">
      <formula>250</formula>
      <formula>350</formula>
    </cfRule>
  </conditionalFormatting>
  <conditionalFormatting sqref="B2529">
    <cfRule type="cellIs" dxfId="123" priority="31" operator="lessThan">
      <formula>0.8</formula>
    </cfRule>
    <cfRule type="cellIs" dxfId="122" priority="32" operator="between">
      <formula>0.8</formula>
      <formula>0.99999</formula>
    </cfRule>
    <cfRule type="cellIs" dxfId="121" priority="33" operator="between">
      <formula>1</formula>
      <formula>1.3</formula>
    </cfRule>
    <cfRule type="cellIs" dxfId="120" priority="34" operator="between">
      <formula>1.3</formula>
      <formula>1.5</formula>
    </cfRule>
    <cfRule type="cellIs" dxfId="119" priority="35" operator="greaterThan">
      <formula>1.5</formula>
    </cfRule>
  </conditionalFormatting>
  <conditionalFormatting sqref="B2531">
    <cfRule type="cellIs" dxfId="118" priority="550" operator="greaterThan">
      <formula>1.6</formula>
    </cfRule>
    <cfRule type="cellIs" dxfId="117" priority="551" operator="between">
      <formula>1.5</formula>
      <formula>1.6</formula>
    </cfRule>
    <cfRule type="cellIs" dxfId="116" priority="552" operator="lessThan">
      <formula>1.5</formula>
    </cfRule>
  </conditionalFormatting>
  <conditionalFormatting sqref="B2532">
    <cfRule type="cellIs" dxfId="115" priority="548" operator="between">
      <formula>200</formula>
      <formula>499</formula>
    </cfRule>
    <cfRule type="cellIs" dxfId="114" priority="549" operator="between">
      <formula>1</formula>
      <formula>199</formula>
    </cfRule>
    <cfRule type="cellIs" dxfId="113" priority="547" operator="between">
      <formula>500</formula>
      <formula>10000</formula>
    </cfRule>
  </conditionalFormatting>
  <conditionalFormatting sqref="B2534">
    <cfRule type="cellIs" dxfId="112" priority="545" operator="between">
      <formula>35</formula>
      <formula>50</formula>
    </cfRule>
    <cfRule type="cellIs" dxfId="111" priority="546" operator="lessThan">
      <formula>35</formula>
    </cfRule>
    <cfRule type="cellIs" dxfId="110" priority="544" operator="greaterThan">
      <formula>50</formula>
    </cfRule>
  </conditionalFormatting>
  <conditionalFormatting sqref="B2535">
    <cfRule type="cellIs" dxfId="109" priority="173" operator="lessThan">
      <formula>250</formula>
    </cfRule>
    <cfRule type="cellIs" dxfId="108" priority="172" operator="between">
      <formula>250</formula>
      <formula>350</formula>
    </cfRule>
    <cfRule type="cellIs" dxfId="107" priority="171" operator="greaterThan">
      <formula>350</formula>
    </cfRule>
  </conditionalFormatting>
  <conditionalFormatting sqref="B2536">
    <cfRule type="cellIs" dxfId="106" priority="26" operator="lessThan">
      <formula>0.8</formula>
    </cfRule>
    <cfRule type="cellIs" dxfId="105" priority="30" operator="greaterThan">
      <formula>1.5</formula>
    </cfRule>
    <cfRule type="cellIs" dxfId="104" priority="27" operator="between">
      <formula>0.8</formula>
      <formula>0.99999</formula>
    </cfRule>
    <cfRule type="cellIs" dxfId="103" priority="28" operator="between">
      <formula>1</formula>
      <formula>1.3</formula>
    </cfRule>
    <cfRule type="cellIs" dxfId="102" priority="29" operator="between">
      <formula>1.3</formula>
      <formula>1.5</formula>
    </cfRule>
  </conditionalFormatting>
  <conditionalFormatting sqref="B2538">
    <cfRule type="cellIs" dxfId="101" priority="533" operator="greaterThan">
      <formula>1.6</formula>
    </cfRule>
    <cfRule type="cellIs" dxfId="100" priority="535" operator="lessThan">
      <formula>1.5</formula>
    </cfRule>
    <cfRule type="cellIs" dxfId="99" priority="534" operator="between">
      <formula>1.5</formula>
      <formula>1.6</formula>
    </cfRule>
  </conditionalFormatting>
  <conditionalFormatting sqref="B2539">
    <cfRule type="cellIs" dxfId="98" priority="532" operator="between">
      <formula>1</formula>
      <formula>199</formula>
    </cfRule>
    <cfRule type="cellIs" dxfId="97" priority="531" operator="between">
      <formula>200</formula>
      <formula>499</formula>
    </cfRule>
    <cfRule type="cellIs" dxfId="96" priority="530" operator="between">
      <formula>500</formula>
      <formula>10000</formula>
    </cfRule>
  </conditionalFormatting>
  <conditionalFormatting sqref="B2541">
    <cfRule type="cellIs" dxfId="95" priority="529" operator="lessThan">
      <formula>35</formula>
    </cfRule>
    <cfRule type="cellIs" dxfId="94" priority="528" operator="between">
      <formula>35</formula>
      <formula>50</formula>
    </cfRule>
    <cfRule type="cellIs" dxfId="93" priority="527" operator="greaterThan">
      <formula>50</formula>
    </cfRule>
  </conditionalFormatting>
  <conditionalFormatting sqref="B2542">
    <cfRule type="cellIs" dxfId="92" priority="168" operator="greaterThan">
      <formula>350</formula>
    </cfRule>
    <cfRule type="cellIs" dxfId="91" priority="170" operator="lessThan">
      <formula>250</formula>
    </cfRule>
    <cfRule type="cellIs" dxfId="90" priority="169" operator="between">
      <formula>250</formula>
      <formula>350</formula>
    </cfRule>
  </conditionalFormatting>
  <conditionalFormatting sqref="B2543">
    <cfRule type="cellIs" dxfId="89" priority="24" operator="between">
      <formula>1.3</formula>
      <formula>1.5</formula>
    </cfRule>
    <cfRule type="cellIs" dxfId="88" priority="25" operator="greaterThan">
      <formula>1.5</formula>
    </cfRule>
    <cfRule type="cellIs" dxfId="87" priority="21" operator="lessThan">
      <formula>0.8</formula>
    </cfRule>
    <cfRule type="cellIs" dxfId="86" priority="22" operator="between">
      <formula>0.8</formula>
      <formula>0.99999</formula>
    </cfRule>
    <cfRule type="cellIs" dxfId="85" priority="23" operator="between">
      <formula>1</formula>
      <formula>1.3</formula>
    </cfRule>
  </conditionalFormatting>
  <conditionalFormatting sqref="B2545">
    <cfRule type="cellIs" dxfId="84" priority="517" operator="between">
      <formula>1.5</formula>
      <formula>1.6</formula>
    </cfRule>
    <cfRule type="cellIs" dxfId="83" priority="518" operator="lessThan">
      <formula>1.5</formula>
    </cfRule>
    <cfRule type="cellIs" dxfId="82" priority="516" operator="greaterThan">
      <formula>1.6</formula>
    </cfRule>
  </conditionalFormatting>
  <conditionalFormatting sqref="B2546">
    <cfRule type="cellIs" dxfId="81" priority="515" operator="between">
      <formula>1</formula>
      <formula>199</formula>
    </cfRule>
    <cfRule type="cellIs" dxfId="80" priority="514" operator="between">
      <formula>200</formula>
      <formula>499</formula>
    </cfRule>
    <cfRule type="cellIs" dxfId="79" priority="513" operator="between">
      <formula>500</formula>
      <formula>10000</formula>
    </cfRule>
  </conditionalFormatting>
  <conditionalFormatting sqref="B2548">
    <cfRule type="cellIs" dxfId="78" priority="512" operator="lessThan">
      <formula>35</formula>
    </cfRule>
    <cfRule type="cellIs" dxfId="77" priority="511" operator="between">
      <formula>35</formula>
      <formula>50</formula>
    </cfRule>
    <cfRule type="cellIs" dxfId="76" priority="510" operator="greaterThan">
      <formula>50</formula>
    </cfRule>
  </conditionalFormatting>
  <conditionalFormatting sqref="B2549">
    <cfRule type="cellIs" dxfId="75" priority="166" operator="between">
      <formula>250</formula>
      <formula>350</formula>
    </cfRule>
    <cfRule type="cellIs" dxfId="74" priority="165" operator="greaterThan">
      <formula>350</formula>
    </cfRule>
    <cfRule type="cellIs" dxfId="73" priority="167" operator="lessThan">
      <formula>250</formula>
    </cfRule>
  </conditionalFormatting>
  <conditionalFormatting sqref="B2550">
    <cfRule type="cellIs" dxfId="72" priority="16" operator="lessThan">
      <formula>0.8</formula>
    </cfRule>
    <cfRule type="cellIs" dxfId="71" priority="20" operator="greaterThan">
      <formula>1.5</formula>
    </cfRule>
    <cfRule type="cellIs" dxfId="70" priority="19" operator="between">
      <formula>1.3</formula>
      <formula>1.5</formula>
    </cfRule>
    <cfRule type="cellIs" dxfId="69" priority="18" operator="between">
      <formula>1</formula>
      <formula>1.3</formula>
    </cfRule>
    <cfRule type="cellIs" dxfId="68" priority="17" operator="between">
      <formula>0.8</formula>
      <formula>0.99999</formula>
    </cfRule>
  </conditionalFormatting>
  <conditionalFormatting sqref="B2552">
    <cfRule type="cellIs" dxfId="67" priority="500" operator="between">
      <formula>1.5</formula>
      <formula>1.6</formula>
    </cfRule>
    <cfRule type="cellIs" dxfId="66" priority="501" operator="lessThan">
      <formula>1.5</formula>
    </cfRule>
    <cfRule type="cellIs" dxfId="65" priority="499" operator="greaterThan">
      <formula>1.6</formula>
    </cfRule>
  </conditionalFormatting>
  <conditionalFormatting sqref="B2553">
    <cfRule type="cellIs" dxfId="64" priority="498" operator="between">
      <formula>1</formula>
      <formula>199</formula>
    </cfRule>
    <cfRule type="cellIs" dxfId="63" priority="497" operator="between">
      <formula>200</formula>
      <formula>499</formula>
    </cfRule>
    <cfRule type="cellIs" dxfId="62" priority="496" operator="between">
      <formula>500</formula>
      <formula>10000</formula>
    </cfRule>
  </conditionalFormatting>
  <conditionalFormatting sqref="B2555">
    <cfRule type="cellIs" dxfId="61" priority="495" operator="lessThan">
      <formula>35</formula>
    </cfRule>
    <cfRule type="cellIs" dxfId="60" priority="494" operator="between">
      <formula>35</formula>
      <formula>50</formula>
    </cfRule>
    <cfRule type="cellIs" dxfId="59" priority="493" operator="greaterThan">
      <formula>50</formula>
    </cfRule>
  </conditionalFormatting>
  <conditionalFormatting sqref="B2556">
    <cfRule type="cellIs" dxfId="58" priority="162" operator="greaterThan">
      <formula>350</formula>
    </cfRule>
    <cfRule type="cellIs" dxfId="57" priority="163" operator="between">
      <formula>250</formula>
      <formula>350</formula>
    </cfRule>
    <cfRule type="cellIs" dxfId="56" priority="164" operator="lessThan">
      <formula>250</formula>
    </cfRule>
  </conditionalFormatting>
  <conditionalFormatting sqref="B2557">
    <cfRule type="cellIs" dxfId="55" priority="14" operator="between">
      <formula>1.3</formula>
      <formula>1.5</formula>
    </cfRule>
    <cfRule type="cellIs" dxfId="54" priority="15" operator="greaterThan">
      <formula>1.5</formula>
    </cfRule>
    <cfRule type="cellIs" dxfId="53" priority="13" operator="between">
      <formula>1</formula>
      <formula>1.3</formula>
    </cfRule>
    <cfRule type="cellIs" dxfId="52" priority="12" operator="between">
      <formula>0.8</formula>
      <formula>0.99999</formula>
    </cfRule>
    <cfRule type="cellIs" dxfId="51" priority="11" operator="lessThan">
      <formula>0.8</formula>
    </cfRule>
  </conditionalFormatting>
  <conditionalFormatting sqref="B2559">
    <cfRule type="cellIs" dxfId="50" priority="482" operator="greaterThan">
      <formula>1.6</formula>
    </cfRule>
    <cfRule type="cellIs" dxfId="49" priority="483" operator="between">
      <formula>1.5</formula>
      <formula>1.6</formula>
    </cfRule>
    <cfRule type="cellIs" dxfId="48" priority="484" operator="lessThan">
      <formula>1.5</formula>
    </cfRule>
  </conditionalFormatting>
  <conditionalFormatting sqref="B2560">
    <cfRule type="cellIs" dxfId="47" priority="481" operator="between">
      <formula>1</formula>
      <formula>199</formula>
    </cfRule>
    <cfRule type="cellIs" dxfId="46" priority="480" operator="between">
      <formula>200</formula>
      <formula>499</formula>
    </cfRule>
    <cfRule type="cellIs" dxfId="45" priority="479" operator="between">
      <formula>500</formula>
      <formula>10000</formula>
    </cfRule>
  </conditionalFormatting>
  <conditionalFormatting sqref="B2562">
    <cfRule type="cellIs" dxfId="44" priority="478" operator="lessThan">
      <formula>35</formula>
    </cfRule>
    <cfRule type="cellIs" dxfId="43" priority="477" operator="between">
      <formula>35</formula>
      <formula>50</formula>
    </cfRule>
    <cfRule type="cellIs" dxfId="42" priority="476" operator="greaterThan">
      <formula>50</formula>
    </cfRule>
  </conditionalFormatting>
  <conditionalFormatting sqref="B2563">
    <cfRule type="cellIs" dxfId="41" priority="161" operator="lessThan">
      <formula>250</formula>
    </cfRule>
    <cfRule type="cellIs" dxfId="40" priority="160" operator="between">
      <formula>250</formula>
      <formula>350</formula>
    </cfRule>
    <cfRule type="cellIs" dxfId="39" priority="159" operator="greaterThan">
      <formula>350</formula>
    </cfRule>
  </conditionalFormatting>
  <conditionalFormatting sqref="B2564">
    <cfRule type="cellIs" dxfId="38" priority="7" operator="between">
      <formula>0.8</formula>
      <formula>0.99999</formula>
    </cfRule>
    <cfRule type="cellIs" dxfId="37" priority="10" operator="greaterThan">
      <formula>1.5</formula>
    </cfRule>
    <cfRule type="cellIs" dxfId="36" priority="9" operator="between">
      <formula>1.3</formula>
      <formula>1.5</formula>
    </cfRule>
    <cfRule type="cellIs" dxfId="35" priority="6" operator="lessThan">
      <formula>0.8</formula>
    </cfRule>
    <cfRule type="cellIs" dxfId="34" priority="8" operator="between">
      <formula>1</formula>
      <formula>1.3</formula>
    </cfRule>
  </conditionalFormatting>
  <conditionalFormatting sqref="B2566">
    <cfRule type="cellIs" dxfId="33" priority="465" operator="greaterThan">
      <formula>1.6</formula>
    </cfRule>
    <cfRule type="cellIs" dxfId="32" priority="466" operator="between">
      <formula>1.5</formula>
      <formula>1.6</formula>
    </cfRule>
    <cfRule type="cellIs" dxfId="31" priority="467" operator="lessThan">
      <formula>1.5</formula>
    </cfRule>
  </conditionalFormatting>
  <conditionalFormatting sqref="B2567">
    <cfRule type="cellIs" dxfId="30" priority="463" operator="between">
      <formula>200</formula>
      <formula>499</formula>
    </cfRule>
    <cfRule type="cellIs" dxfId="29" priority="462" operator="between">
      <formula>500</formula>
      <formula>10000</formula>
    </cfRule>
    <cfRule type="cellIs" dxfId="28" priority="464" operator="between">
      <formula>1</formula>
      <formula>199</formula>
    </cfRule>
  </conditionalFormatting>
  <conditionalFormatting sqref="B2569 B2576 B2583 B2590 B2597 B2604 B2611 B2618 B2625 B2632 B2639 B2646 B2653 B2660 B2667 B2674 B2681 B2688 B2695 B2702 B2709 B2716 B2723 B2730 B2737 B2744 B2751 B2758 B2765 B2772 B2779 B2786 B2793 B2800 B2807 B2814 B2821 B2828 B2835 B2842 B2849 B2856 B2863 B2870 B2877 B2884 B2891 B2898 B2905 B2912 B2919 B2926 B2933 B2940 B2947 B2954 B2961 B2968 B2975 B2982 B2989 B2996 B3003 B3010 B3017 B3024 B3031 B3038 B3045">
    <cfRule type="cellIs" dxfId="27" priority="460" operator="between">
      <formula>35</formula>
      <formula>50</formula>
    </cfRule>
    <cfRule type="cellIs" dxfId="26" priority="459" operator="greaterThan">
      <formula>50</formula>
    </cfRule>
    <cfRule type="cellIs" dxfId="25" priority="461" operator="lessThan">
      <formula>35</formula>
    </cfRule>
  </conditionalFormatting>
  <conditionalFormatting sqref="B2570 B2577 B2584 B2591 B2598 B2605 B2612 B2619 B2626 B2633 B2640 B2647 B2654 B2661 B2668 B2675 B2682 B2689 B2696 B2703 B2710 B2717 B2724 B2731 B2738 B2745 B2752 B2759 B2766 B2773 B2780 B2787 B2794 B2801 B2808 B2815 B2822 B2829 B2836 B2843 B2850 B2857 B2864 B2871 B2878 B2885 B2892 B2899 B2906 B2913 B2920 B2927 B2934 B2941 B2948 B2955 B2962 B2969 B2976 B2983 B2990 B2997 B3004 B3011 B3018 B3025 B3032 B3039 B3046">
    <cfRule type="cellIs" dxfId="24" priority="156" operator="greaterThan">
      <formula>350</formula>
    </cfRule>
    <cfRule type="cellIs" dxfId="23" priority="157" operator="between">
      <formula>250</formula>
      <formula>350</formula>
    </cfRule>
    <cfRule type="cellIs" dxfId="22" priority="158" operator="lessThan">
      <formula>250</formula>
    </cfRule>
  </conditionalFormatting>
  <conditionalFormatting sqref="B2571 B2578 B2585 B2592 B2599 B2606 B2613 B2620 B2627 B2634 B2641 B2648 B2655 B2662 B2669 B2676 B2683 B2690 B2697 B2704 B2711 B2718 B2725 B2732 B2739 B2746 B2753 B2760 B2767 B2774 B2781 B2788 B2795 B2802 B2809 B2816 B2823 B2830 B2837 B2844 B2851 B2858 B2865 B2872 B2879 B2886 B2893 B2900 B2907 B2914 B2921 B2928 B2935 B2942 B2949 B2956 B2963 B2970 B2977 B2984 B2991 B2998 B3005 B3012 B3019 B3026 B3033 B3040 B3047">
    <cfRule type="cellIs" dxfId="21" priority="2" operator="between">
      <formula>0.8</formula>
      <formula>0.99999</formula>
    </cfRule>
    <cfRule type="cellIs" dxfId="20" priority="3" operator="between">
      <formula>1</formula>
      <formula>1.3</formula>
    </cfRule>
    <cfRule type="cellIs" dxfId="19" priority="4" operator="between">
      <formula>1.3</formula>
      <formula>1.5</formula>
    </cfRule>
    <cfRule type="cellIs" dxfId="18" priority="5" operator="greaterThan">
      <formula>1.5</formula>
    </cfRule>
    <cfRule type="cellIs" dxfId="17" priority="1" operator="lessThan">
      <formula>0.8</formula>
    </cfRule>
  </conditionalFormatting>
  <conditionalFormatting sqref="B2573 B2580 B2587 B2594 B2601 B2608 B2615 B2622 B2629 B2636 B2643 B2650 B2657 B2664 B2671 B2678 B2685 B2692 B2699 B2706 B2713 B2720 B2727 B2734 B2741 B2748 B2755 B2762 B2769 B2776 B2783 B2790 B2797 B2804 B2811 B2818 B2825 B2832 B2839 B2846 B2853 B2860 B2867 B2874 B2881 B2888 B2895 B2902 B2909 B2916 B2923 B2930 B2937 B2944 B2951 B2958 B2965 B2972 B2979 B2986 B2993 B3000 B3007 B3014 B3021 B3028 B3035 B3042 B3049">
    <cfRule type="cellIs" dxfId="16" priority="450" operator="lessThan">
      <formula>1.5</formula>
    </cfRule>
    <cfRule type="cellIs" dxfId="15" priority="449" operator="between">
      <formula>1.5</formula>
      <formula>1.6</formula>
    </cfRule>
    <cfRule type="cellIs" dxfId="14" priority="448" operator="greaterThan">
      <formula>1.6</formula>
    </cfRule>
  </conditionalFormatting>
  <conditionalFormatting sqref="B2574 B2581 B2588 B2595 B2602 B2609 B2616 B2623 B2630 B2637 B2644 B2651 B2658 B2665 B2672 B2679 B2686 B2693 B2700 B2707 B2714 B2721 B2728 B2735 B2742 B2749 B2756 B2763 B2770 B2777 B2784 B2791 B2798 B2805 B2812 B2819 B2826 B2833 B2840 B2847 B2854 B2861 B2868 B2875 B2882 B2889 B2896 B2903 B2910 B2917 B2924 B2931 B2938 B2945 B2952 B2959 B2966 B2973 B2980 B2987 B2994 B3001 B3008 B3015 B3022 B3029 B3036 B3043 B3050">
    <cfRule type="cellIs" dxfId="13" priority="447" operator="between">
      <formula>1</formula>
      <formula>199</formula>
    </cfRule>
    <cfRule type="cellIs" dxfId="12" priority="446" operator="between">
      <formula>200</formula>
      <formula>499</formula>
    </cfRule>
    <cfRule type="cellIs" dxfId="11" priority="445" operator="between">
      <formula>500</formula>
      <formula>10000</formula>
    </cfRule>
  </conditionalFormatting>
  <conditionalFormatting sqref="K1:K1048576">
    <cfRule type="colorScale" priority="434">
      <colorScale>
        <cfvo type="min"/>
        <cfvo type="percentile" val="50"/>
        <cfvo type="max"/>
        <color rgb="FF63BE7B"/>
        <color rgb="FFFCFCFF"/>
        <color rgb="FFF8696B"/>
      </colorScale>
    </cfRule>
  </conditionalFormatting>
  <conditionalFormatting sqref="M1:M1048576">
    <cfRule type="colorScale" priority="3101">
      <colorScale>
        <cfvo type="min"/>
        <cfvo type="percentile" val="50"/>
        <cfvo type="max"/>
        <color rgb="FF63BE7B"/>
        <color rgb="FFFFEB84"/>
        <color rgb="FFF8696B"/>
      </colorScale>
    </cfRule>
  </conditionalFormatting>
  <conditionalFormatting sqref="N1522:N10009">
    <cfRule type="colorScale" priority="3446">
      <colorScale>
        <cfvo type="min"/>
        <cfvo type="percentile" val="50"/>
        <cfvo type="max"/>
        <color rgb="FF63BE7B"/>
        <color rgb="FFFFEB84"/>
        <color rgb="FFF8696B"/>
      </colorScale>
    </cfRule>
  </conditionalFormatting>
  <conditionalFormatting sqref="S1:S1048576">
    <cfRule type="cellIs" dxfId="10" priority="1491" operator="between">
      <formula>0.1</formula>
      <formula>1.5</formula>
    </cfRule>
    <cfRule type="cellIs" dxfId="9" priority="1492" operator="between">
      <formula>1.5</formula>
      <formula>1.6</formula>
    </cfRule>
    <cfRule type="cellIs" dxfId="8" priority="1493" operator="between">
      <formula>1.6</formula>
      <formula>3</formula>
    </cfRule>
  </conditionalFormatting>
  <conditionalFormatting sqref="T1:T1048576">
    <cfRule type="colorScale" priority="435">
      <colorScale>
        <cfvo type="min"/>
        <cfvo type="percentile" val="50"/>
        <cfvo type="max"/>
        <color rgb="FF63BE7B"/>
        <color rgb="FFFFEB84"/>
        <color rgb="FFF8696B"/>
      </colorScale>
    </cfRule>
  </conditionalFormatting>
  <conditionalFormatting sqref="U2141:U2148">
    <cfRule type="colorScale" priority="443">
      <colorScale>
        <cfvo type="min"/>
        <cfvo type="percentile" val="50"/>
        <cfvo type="max"/>
        <color rgb="FF63BE7B"/>
        <color rgb="FFFFEB84"/>
        <color rgb="FFF8696B"/>
      </colorScale>
    </cfRule>
  </conditionalFormatting>
  <conditionalFormatting sqref="U2149:U3050">
    <cfRule type="colorScale" priority="441">
      <colorScale>
        <cfvo type="min"/>
        <cfvo type="percentile" val="50"/>
        <cfvo type="max"/>
        <color rgb="FF63BE7B"/>
        <color rgb="FFFFEB84"/>
        <color rgb="FFF8696B"/>
      </colorScale>
    </cfRule>
  </conditionalFormatting>
  <conditionalFormatting sqref="V13:V1048576">
    <cfRule type="cellIs" dxfId="7" priority="433" operator="lessThan">
      <formula>-25</formula>
    </cfRule>
    <cfRule type="cellIs" dxfId="6" priority="432" operator="between">
      <formula>-25</formula>
      <formula>5</formula>
    </cfRule>
    <cfRule type="cellIs" dxfId="5" priority="431" operator="greaterThan">
      <formula>5</formula>
    </cfRule>
  </conditionalFormatting>
  <conditionalFormatting sqref="W13:W1048576">
    <cfRule type="cellIs" dxfId="4" priority="312" operator="lessThan">
      <formula>0.8</formula>
    </cfRule>
    <cfRule type="cellIs" dxfId="3" priority="313" operator="between">
      <formula>0.8</formula>
      <formula>0.99999</formula>
    </cfRule>
    <cfRule type="cellIs" dxfId="2" priority="314" operator="between">
      <formula>1</formula>
      <formula>1.3</formula>
    </cfRule>
    <cfRule type="cellIs" dxfId="1" priority="315" operator="between">
      <formula>1.3</formula>
      <formula>1.5</formula>
    </cfRule>
    <cfRule type="cellIs" dxfId="0" priority="316" operator="greaterThan">
      <formula>1.5</formula>
    </cfRule>
  </conditionalFormatting>
  <dataValidations count="2">
    <dataValidation type="list" operator="equal" allowBlank="1" showDropDown="1" sqref="G160:H160 F164:G169 C78:H78 F87:G88 F90:G91 F95:G99 F15:H56 F101:G103 F105:G106 F133:G134 F143:G148 F108:G113 C79:E92 C94:E131 C133:E149 C151:E151 F122:G127 F136:G141 F260:I260 F153:F160 F161:G162 D181:H181 F13:H13 G272:G273 F269:G270 F256:F258 F262:G266 G277:G288 F185:G190 F171:G176 F192:G197 F199:G204 F297:G302 F58:H77 F308:F309 F182:G183 D153:E180 F129:G131 F178:G180 J77:J158 F332:F334 F364:F365 F234:F238 G153:G158 F80:G84 C93:G93 G275:I275 F280:F281 F311:G316 F318:F320 F360:F362 F353:G358 C150:G150 F304:F306 F346:F348 G318:G323 F283:F288 F272:F274 F276:F278 F294:F295 G304:G309 F322:F323 F325:G330 G332:G337 F336:F337 F339:G344 G346:G351 F350:F351 G360:G365 H80:H159 B145:B150 C132:G132 H161:H180 H182:H259 F115:G120 F367:F371 G367:G376 C153:C376 B1118:B1123 I13:I150 G240:G258 F240:F246 G206:G238 F206:F232 I152:I259 H261:I274 L77:M158 F1189:F1190 D182:E376 G290:G295 F290:F292 H276:I376 B880:B885 L160:M376 J160:J376 F373:F376 F563:F568 F633:F638 F591:F596 F426:F428 F686:F687 F458:F463 F377:I377 F584:F589 F662:F666 F577:F582 F640:F645 F714:F715 F654:F655 F657:F658 F598:F603 F626:F631 F660 F619:F624 F605:F610 F612:F617 F647:F651 F735:F736 F717:F719 F379:F383 F500:F505 F472:F477 F451:F456 F444:F449 F521:F522 F524:F525 F731:F733 F486:F491 F529:F530 F527 F693:F694 F570:F575 F479:F484 F514:F518 F507:F512 F437:F442 F430:F435 F559:F561 F672:F673 F675:F677 F696:F698 F679:F680 F493:F498 F728:F729 F738:F743 F668:F670 F689:F691 F707:F708 C377:E742 F710:F712 F465:F470 F682:F684 F700:F701 F703:F705 F721:F722 F724:F726 B89:B94 B656:B661 B663:B668 B670:B675 B677:B682 B684:B689 B691:B696 B698:B703 B705:B710 B712:B717 B719:B724 B726:B731 B19:B24 B733:B738 B649:B654 B642:B647 B635:B640 B628:B633 B621:B626 B614:B619 B607:B612 B600:B605 B593:B598 B586:B591 B579:B584 B572:B577 B565:B570 B558:B563 B551:B556 B544:B549 B537:B542 B530:B535 B523:B528 B516:B521 B509:B514 B502:B507 B495:B500 B488:B493 B481:B486 B474:B479 B467:B472 B460:B465 B453:B458 B446:B451 B439:B444 B432:B437 B425:B430 B418:B423 B411:B416 B404:B409 B397:B402 B390:B395 B383:B388 B376:B381 B369:B374 B362:B367 B355:B360 B348:B353 B341:B346 B334:B339 B327:B332 B320:B325 B313:B318 B306:B311 B299:B304 B292:B297 B285:B290 B278:B283 B271:B276 B264:B269 B257:B262 B250:B255 B243:B248 B236:B241 B229:B234 B222:B227 B215:B220 B208:B213 B201:B206 B194:B199 B187:B192 B180:B185 B173:B178 B166:B171 B159:B164 B54:B59 B152:B157 B138:B143 B131:B136 B124:B129 B117:B122 B110:B115 B103:B108 B96:B101 B82:B87 B75:B80 B68:B73 B61:B66 C152:G152 B47:B52 F821:F826 B40:B45 B33:B38 B26:B31 B12:B17 B740:B745 A2204 F745:F757 F759:F764 F766:F771 F773:F778 F780:F785 F787:F792 F794:F799 F801:F805 B1041:B1046 F891:F896 F920:F932 F912:F918 F835:F840 B747:B752 B754:B759 B761:B766 B768:B773 B775:B780 B782:B787 B789:B794 B796:B801 B803:B808 B810:B815 B817:B822 B824:B829 B831:B836 B838:B843 B845:B850 B852:B857 B859:B864 B866:B871 B873:B878 F814:F819 B887:B892 B894:B899 B901:B906 B908:B913 B915:B920 B922:B927 B929:B934 B936:B941 B943:B948 B950:B955 B957:B962 B964:B969 B971:B976 B978:B983 B985:B990 B992:B997 B999:B1004 B1006:B1011 B1013:B1018 B1020:B1025 B1027:B1032 B1034:B1039 B1048:B1053 B1055:B1060 B1062:B1067 B1069:B1074 B1076:B1081 B1083:B1088 B1090:B1095 B1097:B1102 B1104:B1109 B1111:B1116 G378:I742 F1038 F1032:F1033 F1035:F1036 F1088:F1091 F1095:F1098 F1060:F1063 F1081:F1084 F1051 F1109:F1183 F1102:F1107 F1040:F1049 F828:F833 F807:F812 F849:F854 F856:F861 F884:F889 F870:F875 F898:F903 F905:F910 F842:F847 F863:F868 F877:F882 F1058 F934:F1029 F1100 B1125:B1130 F1472 F1079 F1065 F1192 F1186:F1187 B1132:B1137 B1139:B1144 B1146:B1151 B1153:B1158 B1160:B1165 B1167:B1172 B1174:B1179 B1181:B1186 B1188:B1193 B1195:B1200 B1202:B1207 B1209:B1214 B1216:B1221 B1223:B1228 B1230:B1235 B1237:B1242 B1244:B1249 B1251:B1256 B1258:B1263 B1265:B1270 B1272:B1277 B1279:B1284 B1286:B1291 B1293:B1298 B1300:B1305 B1307:B1312 B1314:B1319 B1321:B1326 B1328:B1333 B1335:B1340 B1342:B1347 B1349:B1354 B1356:B1361 B1363:B1368 B1370:B1375 B1377:B1382 B1384:B1389 B1391:B1396 B1398:B1403 B1405:B1410 B1412:B1417 B1419:B1424 B1426:B1431 B1433:B1438 B1440:B1445 B1447:B1452 B1454:B1459 B1461:B1466 B1468:B1473 F1053:F1056 T1809:T1810 F1635:F1638 F1468:F1470 F1086 F1093 F1072 F1067:F1070 F1074:F1077 F1194:F1328 F1788:F1789 F1615:F1617 F1405 F1384 B1475:B1480 B1489:B1494 B1482:B1487 B1496:B1501 B1503:B1508 B1510:B1515 B1517:B1522 B1524:B1529 B1531:B1536 B1538:B1543 B1545:B1550 B1552:B1557 B1559:B1564 B1566:B1571 B1573:B1578 B1580:B1585 B1587:B1592 B1594:B1599 B1601:B1606 B1608:B1613 B1615:B1620 B1622:B1627 B1629:B1634 B1636:B1641 B1643:B1648 B1650:B1655 B1657:B1662 B1664:B1669 B1671:B1676 B1678:B1683 B1685:B1690 B1692:B1697 B1699:B1704 B1706:B1711 B1713:B1718 B1720:B1725 B1727:B1732 B1734:B1739 B1741:B1746 B1748:B1753 B1755:B1760 B1762:B1767 B1769:B1774 B1776:B1781 B1783:B1788 B1790:B1795 B1797:B1802 B1804:B1809 B1811:B1816 B1818:B1823 B1825:B1830 B1832:B1837 F1626 F1621:F1624 F1474:F1610 F1642:F1645 F1649:F1652 F1656:F1659 F1791:F1792 T1817:T1818 F1370 T1812:T1813 F1419 F1412 F1461 F1426 F1454 F1447 F1640 G748:G1530 F1796:F1820 F1398 F1349 F1356 F1663:F1666 F1363 F1677:F1785 T1679:T1806 T1815 F1628:F1631 F1668 F1613 F1675 F1654 F1647 F1633 F1661 F1377 F1391 F1794 F1335 F1342 F1433 F1440 F1619 F1824:F1827 A2169 A2162 F1836 F1831:F1834 A2176 F1822 F1829 F1670:F1673 A3037 A1861 B2198:B2200 A1868 A1875 A1882 A1945 A1889 A1896 A1903 A1910 A1917 A1924 A1931 B1876:B1878 A1938 A1952 A2183 A1959 A1847 B2401:B2403 A1966 A1840 A1973 A1980 A1987 A1994 A2001 A2008 A2015 A2022 A2029 A2036 A2043 A2050 A2057 A2064 A2071 A2078 A2085 A2092 A2099 A2106 A2113 A2120 A2127 A2134 A2141 A2148 A2155 F1838:F1937 A2197 A1:A11 B1918:B1920 B1911:B1913 B1904:B1906 B1897:B1899 B1890:B1892 B1883:B1885 A1854 B1869:B1871 B1862:B1864 B1855:B1857 B1848:B1850 B1841:B1843 B1839 B1925:B1927 B1932:B1934 B1939:B1941 B1946:B1948 B1953:B1955 B1960:B1962 B1967:B1969 B1974:B1976 B1981:B1983 B1988:B1990 B1995:B1997 B2002:B2004 B2009:B2011 B2016:B2018 B2023:B2025 B2030:B2032 B2037:B2039 B2044:B2046 B2051:B2053 B2058:B2060 B2065:B2067 B2072:B2074 B2079:B2081 B2086:B2088 B2093:B2095 B2100:B2102 B2107:B2109 B2114:B2116 B2121:B2123 B2128:B2130 B2135:B2137 B2142:B2144 B2149:B2151 B2156:B2158 B2163:B2165 B2170:B2172 B2177:B2179 B2184:B2186 B2191:B2193 F2140 A2190 B2345:B2347 F2483 B2317:B2319 A2547 B2205:B2207 A2211 A2218 F2461:F2462 A2225 B2212:B2214 A2232 B2219:B2221 A2239 B2226:B2228 B2233:B2235 A2246 A2253 B2240:B2242 B2247:B2249 A2260 A2267 B2254:B2256 B2261:B2263 A2274 A2281 B2268:B2270 B2275:B2277 A2288 B2282:B2284 A2295 B2289:B2291 A2302 B2296:B2298 A2309 B2303:B2305 A2316 B2310:B2312 A2323 B2527:B2529 A2330 B2534:B2536 B2555:B2557 B2541:B2543 A2554 B2548:B2550 A2561 A2568 A2337 B2324:B2326 A2344 B2331:B2333 A2351 B2338:B2340 A2358 B2352:B2354 B2562:B2564 A2365 B2359:B2361 A2372 B2366:B2368 A2379 B2373:B2375 A2386 B2380:B2382 A2393 B2387:B2389 A2400 B2394:B2396 A2407 A2414 F1959:F2138 A2421 B2408:B2410 A2428 B2415:B2417 A2435 B2422:B2424 A2442 B2429:B2431 A2449 B2436:B2438 A2456 B2443:B2445 A2463 B2450:B2452 A2470 B2457:B2459 A2477 B2464:B2466 A2484 B2471:B2473 A2491 B2478:B2480 A2498 B2485:B2487 A2505 B2492:B2494 A2512 B2499:B2501 A2519 B2506:B2508 A2526 B2513:B2515 A2533 B2520:B2522 A2540 F2616 F2469 B2569:B2571 F2476 F2560 F2441 F2448 F2433:F2434 F2420 F2142:F2291 F2293:F2295 F2297:F2298 F2300:F2302 F2304:F2305 F2307:F2308 F2310 C13:E77 J377:M742 K77:K376 J13:M76 C1:N12 F2427 F2429:F2430 F2457:F2458 F2312:F2399 F2406 F2413 F2490 F2497 F2504 F2511 F2518 F2525 F2532 F2539 F2546 F2553 B2576:B2578 A2575 D3051:N32166 A2806 B2583:B2585 B2590:B2592 B2597:B2599 B2604:B2606 B2611:B2613 B2618:B2620 B2625:B2627 B2632:B2634 B2639:B2641 B2646:B2648 B2653:B2655 B2660:B2662 B2667:B2669 B2674:B2676 B2681:B2683 B2688:B2690 B2695:B2697 B2702:B2704 B2709:B2711 B2716:B2718 B2723:B2725 B2730:B2732 B2737:B2739 B2744:B2746 B2751:B2753 B2758:B2760 B2765:B2767 B2772:B2774 B2779:B2781 B2786:B2788 B2793:B2795 B2800:B2802 B2807:B2809 A2582 A2589 A2596 A2603 A2610 A2617 A2624 A2631 A2638 A2645 A2652 A2659 A2666 A2673 A2680 A2687 A2694 A2701 A2708 A2715 A2722 A2729 A2736 A2743 A2750 A2757 A2764 A2771 A2778 A2785 A2792 A2799 C743:C32166 B3051:B32166 B2814:B2816 A2813 A3044 B2821:B2823 B2828:B2830 B2835:B2837 B2842:B2844 B2849:B2851 B2856:B2858 B2863:B2865 B2870:B2872 B2877:B2879 B2884:B2886 B2891:B2893 B2898:B2900 B2905:B2907 B2912:B2914 B2919:B2921 B2926:B2928 B2933:B2935 B2940:B2942 B2947:B2949 B2954:B2956 B2961:B2963 B2968:B2970 B2975:B2977 B2982:B2984 B2989:B2991 B2996:B2998 B3003:B3005 B3010:B3012 B3017:B3019 B3024:B3026 B3031:B3033 B3038:B3040 B3045:B3047 A2820 A2827 A2834 A2841 A2848 A2855 A2862 A2869 A2876 A2883 A2890 A2897 A2904 A2911 A2918 A2925 A2932 A2939 A2946 A2953 A2960 A2967 A2974 A2981 A2988 A2995 A3002 A3009 A3016 A3023 A3030 N13:N3050 F2600:F2606 F2938:F3050 D748:E3050 G1532:G3050 F2819 F2791 F2798 F2805 F2673:F2679 F2608 F2826 F2833 F2812 F2574 F2588 F2581 F2568:F2570 F2572 F2595:F2598 F2701:F2721 F2848:F2854 F2728 F2735 F2742 F2749 F2756 F2763 F2861 F2840 F2777 F2770 F2784 H743:M3050 F2686 F2693 F2644:F2651 F2658 F2665 F2623:F2637 F2868 F2875 F2882 F2889 F2896 F2903 F2910 F2917 F2924 F2931" xr:uid="{00000000-0002-0000-0B00-000000000000}">
      <formula1>"ASICS GEL 11-50,ASICS GT 21-40,ASICS GT 21-60"</formula1>
      <formula2>0</formula2>
    </dataValidation>
    <dataValidation type="list" operator="equal" allowBlank="1" sqref="P1:P11 F531:F558 F384:F425" xr:uid="{7F13E69C-08C3-4E6E-80B2-FDF761DF2227}">
      <formula1>"ASICS GEL 11-50,ASICS GT 21-40,ASICS GT 21-60"</formula1>
      <formula2>0</formula2>
    </dataValidation>
  </dataValidations>
  <hyperlinks>
    <hyperlink ref="F1054" r:id="rId1" xr:uid="{3C9F8551-C14D-496E-9796-48C14AE9EE2E}"/>
  </hyperlinks>
  <pageMargins left="0.74791666666666667" right="0.74791666666666667" top="0.98402777777777772" bottom="0.98402777777777772" header="0.51180555555555551" footer="0.51180555555555551"/>
  <pageSetup paperSize="9" scale="67" firstPageNumber="0" fitToHeight="0" orientation="portrait" r:id="rId2"/>
  <ignoredErrors>
    <ignoredError sqref="D684 D168:D177 D13:D14 C1:D1 D15:D167 B13:C14 D178:D236 B168:C172 D244:D376 D237:D243 D612:D614 D591:D610 D616:D617 D542:D589 D477:D540 D448:D476 D441:D445 D378:D440 D446:D447 D619 D621 D624 D626 D628 D634:D642 D644 D647 D649 D651 D654:D658 D660 D663 D669:D672 D675 D677 D681 D687 D689 D691 D693 B174:C177 C173 B12" numberStoredAsText="1"/>
    <ignoredError sqref="N237:N243 F15:I29 L449:L454 L378:L391 L682:L683 L178:L181 L685 C684 I684 L749:L750 B687:C687 B686:D686 L686 L690 B688:D688 L688 I687 B689:C689 I689 L692 C691 F691 I691 L694 B693:C693 F693 L711 L696:L697 B695:C695 F695 I693 L699 C698 I695 I698 L701 B700:C700 I700 L704 B702:D702 B703:C703 L702:L703 B748:C748 C747:D747 L747 B746:C746 I746 C754:D755 L706 C705 C712 I712 C803 I803 C815 C810:C811 I817 C762:D762 C757:D757 L759:L760 C769:D769 L764:L765 C776:D776 C772:D772 L772 C783:D783 C778:D778 L778 C790:D790 C785:D785 L785 L792:L795 C798:D798 C808 C804:D805 C812:D812 L812 L820 I852 C923:D923 I845 C751:C753 L751 B710:C711 B709:D709 L709 B708:C708 B707:D707 L707 I705 I708 I710 B713:C714 L713 L720 C719:D719 L719 L718 B715:D715 I714 L725 L721:L723 B721:C724 I724 L818 L823 L832:L833 L846 L881 L853 L898 L745 B744:C744 I744 L743 I742 L732 B728:D728 L728 B729:C729 I729 B730:D730 L730 B731:C731 I731 L727 C726 I726 L896 B716:C717 L715:L717 C816:D816 G816 I815 C809:D809 L809 L804:L805 L790 L776 I737 L738 C733 I733 B741:C742 C740 I739 B734:C739 L734:L736 L740:L741 L769 I748 L754:L755 L762 L797:L798 I808 I752:I753 C756 I756 G757:J757 L757 C759:D760 C758 I758 C761 I761 I763 C763:C768 L767 I766 I768 G844 L844 C770:C771 I770:I771 C774:D774 C773 L774 I773 C775 I775 C777 I777 C780:D780 C779 C781:C782 L780 I779 L782:L783 I781 C784 I784 C788:D788 L788 C786:C787 I786:I787 C789 I789 F31:I56 G30:I30 F58:I88 G57:I57 F90:I147 G89:I89 L183:L188 L182 L190:L195 L189 L197:L248 L196 L266:L274 L265 L330:L336 L329 L344:L349 L343 L351:L363 L350 L365:L376 L364 L393:L422 L392 L444:L447 L443 L448 L456 L455 C791:C797 I791 I796 C800:D802 C799 L800:L802 I799 C807:D807 C806 L807 I806 I810:I811 C814:D814 C813 L814 I813 I816:J816 L816 C817:C922 L424:L441 L423 L458:L484 L457 L642:L680 L641 L486:L495 L485 L497:L503 L496 L505:L510 L504 L512:L640 L511 I819 I821:I822 F149:I167 F148:G148 I829 P237:R243 L825 I824 B727:D727 B732:D732 B743:D743 B745:D745 B725:D725 B718:D718 B720:D720 B706:D706 B704:D704 B701:D701 B699:D699 B696:D697 B694:D694 B692:D692 B690:D690 C749:D750 B685:D685 B682:D683 L827 I826 I828 I830 I831 L835 I834 L837 I836 L839 I838 L841 I840:J840 I843 I842 L848 I847 L851 I849 I850 L855 I854 L858 I856 I857 L860:L861 I859 L863 I862 L865 I864 L867 I866 L869 I868 L872 I870 I871 L874 I873 L876 I875 L879 I877 I878 L883:L884 I882 L888 I887 I885 I886 L890 I889 L892 I891 L894 I893 I895 L925:L926 I897 L900 I899 L902 I901 L932:L933 I931 L904 I903 L907 I905 I906 L909 I908 L911 I910 L913 I912 L916:L918 I914 I915 L922:L923 I921 L930 G928 I928:J928 L928 C925:D925 C924 L920 I919 C927 C926 C930:D930 C928 I927 C929 I929 C932:D933 C931 C935:D935 C934 C937:D937 C936 C939:D940 C938 L935 I934 L939:L940 I938 L937 I936 C942:D942 C941 L942 I941 C944:D946 C943 L944:L946 I943 L951 I950 C951:D951 C948 C947 C949 C950 L948 I947 I949 C953:D953 C952 L953 I952 C956:D956 C954 L250:L264 F249:G249 L249 L276:L287 F275:G275 L275 L289:L328 F288:G288 L288 L338:L342 F337:G337 L337 F442:G442 L442 F681:J681 L681 L956 I954 C955 I955 C958:D958 C957 L958 I957 C960 C959 I960 I959 B1937 B1944 B1951 B1958 B1965 B1979 B1986 B2000 B2007 B2014 B2021 B2028 B2035 B2042 B2049 B2056 B2063 B2070 B2077 B2084 B2091 B2098 B2105 B2112 B2119 B2126 B2133 B2140 B1909 B2210 B2217 B2224 B1874 B2231 B2238 G958:J958 G956:J956 I442:J442 I337:J337 F338:J342 I288:J288 F289:J328 I275:J275 F276:J287 I249:J249 F250:J264 G953:J953 G948:J948 G951:J951 G944:J946 G942:J942 G937:J937 G939:J940 G935:J935 G920:J920 G930:J930 G922:J923 G916:J918 G913:J913 G911:J911 G909:J909 G907:J907 G904:J904 G932:J933 G902:J902 G900:J900 G925:J926 G894:J894 G892:J892 G890:J890 G888:J888 G883:J884 G879:J879 G876:J876 G874:J874 G872:J872 G869:J869 G867:J867 G865:J865 G863:J863 G860:J861 G858:J858 G855:J855 G851:J851 G848:J848 G841:J841 G839:J839 G837:J837 G835:J835 G827:J827 G825:J825 G511:J511 F512:J640 G504:J504 F505:J510 G496:J496 F497:J503 G485:J485 F486:J495 G641:J641 F642:J680 G457:J457 F458:J484 G423:J423 F424:J441 G814:J814 G807:J807 G800:J802 G455:J455 F456:J456 G448:J448 G443:J443 F444:J447 G392:J392 F393:J422 G364:J364 F365:J376 G350:J350 F351:J363 G343:J343 F344:J349 G329:J329 F330:J336 G265:J265 F266:J274 G196:J196 F197:J248 G189:J189 F190:J195 G182:J182 F183:J188 G788:J788 G782:J783 G780:J780 G774:J774 I844:J844 G767:J767 G797:J798 G762:J762 G754:J755 G769:J769 G740:J741 G734:J736 G738:J738 G776:J776 G790:J790 G804:J805 G809:J809 G715:J717 H896:J896 F727:J727 G730:J730 G728:J728 F732:J732 F743:J743 F745:J745 G898:J898 G853:J853 G881:J881 G846:J846 G832:J833 G823:J823 G818:J818 H721:J723 F725:J725 F718:J718 G719:J719 F720:J720 F713:J713 G707:J707 G709:J709 H751:J751 G820:J820 G812:J812 G792:J795 G785:J785 G778:J778 G772:J772 G764:J765 G759:J760 F706:J706 G747:J747 G702:J703 F704:J704 F701:J701 F699:J699 F696:J697 F711:J711 F694:J694 F692:J692 G688:J688 F690:J690 G686:J686 F749:J750 F685:J685 F178:J181 F682:J683 F378:J391 F449:J454 B2259 B2261 B2206 B2213" formulaRange="1"/>
    <ignoredError sqref="B681:C681 C677 B678:D680 B675:C675 B676:D676 B669:C669 B673:D674 C663 B664:D668 B660:C660 B661:D662 B654:C655 B659:D659 B651:C651 B652:D653 C649 B650:D650 B647:C647 B648:D648 B644:C644 B645:D646 B634:C634 B643:D643 C628 B629:D630 B626:C626 B627:D627 B624:C624 B625:D625 C621 B622:D623 B619:C619 B620:D620 B616:C617 B618:D618 B477:C480 B237:B242 B441:C445 B447:C447 B244:C249 B377:C382 B448:C452 B541:D541 B542:C543 B590:D590 B612:C613 B615:D615 B591:C592 B611:D611 B178:C179 C237:C243 B15:C39 B632:D633 B631:C631 B41:C46 C40 B48:C53 C47 B55:C60 C54 B62:C67 C61 B69:C74 C68 B76:C81 C75 B83:C88 C82 B90:C95 C89 B97:C102 C96 B104:C109 C103 B111:C116 C110 B118:C123 C117 B125:C130 C124 B132:C137 C131 B139:C144 C138 B146:C151 C145 B153:C158 C152 B160:C165 C159 B167:C167 C166 B181:C186 C180 B188:C193 C187 B195:C200 C194 B202:C207 C201 B209:C214 C208 B216:C221 C215 B223:C228 C222 B230:C235 C229 C236 B251:C256 C250 B258:C263 C257 B265:C270 C264 B272:C277 C271 B279:C284 C278 B286:C291 C285 B293:C298 C292 B300:C305 C299 B307:C312 C306 B314:C319 C313 B321:C326 C320 B328:C333 C327 B335:C340 C334 B342:C347 C341 B349:C354 C348 B356:C361 C355 B363:C368 C362 B370:C375 C369 C376 B384:C389 C383 B391:C396 C390 B398:C403 C397 B405:C410 C404 B412:C417 C411 B419:C424 C418 B426:C431 C425 B433:C438 C432 B440:C440 C439 C446 B454:C459 C453 B461:C466 C460 B468:C473 C467 B475:C476 C474 B482:C487 C481 B489:C494 C488 B496:C501 C495 B503:C508 C502 B510:C515 C509 B517:C522 C516 B524:C529 C523 B531:C536 C530 B538:C540 C537 B545:C550 C544 B552:C557 C551 B559:C564 C558 B566:C571 C565 B573:C578 C572 B580:C585 C579 B587:C589 C586 B594:C599 C593 B601:C606 C600 B608:C610 C607 C614 B636:C641 C635 C642 B657:C658 C656 B671:C672 C670" numberStoredAsText="1" formulaRange="1"/>
    <ignoredError sqref="H288" formula="1" formulaRange="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B00-000002000000}">
          <x14:formula1>
            <xm:f>#REF!</xm:f>
          </x14:formula1>
          <xm:sqref>P12:S82</xm:sqref>
        </x14:dataValidation>
        <x14:dataValidation type="list" allowBlank="1" showInputMessage="1" showErrorMessage="1" xr:uid="{3D9B6421-6C2B-45E5-A089-88DB42FED6D1}">
          <x14:formula1>
            <xm:f>#REF!</xm:f>
          </x14:formula1>
          <xm:sqref>O1:O1048576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746E9-5A7B-874D-B5B9-57F460FAFA55}">
  <dimension ref="A1:J9"/>
  <sheetViews>
    <sheetView workbookViewId="0">
      <selection activeCell="E19" sqref="E19"/>
    </sheetView>
  </sheetViews>
  <sheetFormatPr baseColWidth="10" defaultRowHeight="13" x14ac:dyDescent="0.15"/>
  <cols>
    <col min="1" max="1" width="11.1640625" style="1" bestFit="1" customWidth="1"/>
    <col min="2" max="2" width="10.83203125" style="1"/>
    <col min="3" max="3" width="10.83203125" style="1953"/>
    <col min="4" max="4" width="10.83203125" style="1954"/>
    <col min="5" max="5" width="10.83203125" style="1953"/>
    <col min="6" max="7" width="10.83203125" style="1"/>
    <col min="8" max="8" width="10.83203125" style="1954"/>
    <col min="9" max="9" width="23.33203125" bestFit="1" customWidth="1"/>
  </cols>
  <sheetData>
    <row r="1" spans="1:10" x14ac:dyDescent="0.15">
      <c r="A1" s="1950" t="s">
        <v>0</v>
      </c>
      <c r="B1" s="1950" t="s">
        <v>1</v>
      </c>
      <c r="C1" s="1955" t="s">
        <v>2</v>
      </c>
      <c r="D1" s="1956" t="s">
        <v>6</v>
      </c>
      <c r="E1" s="1955" t="s">
        <v>366</v>
      </c>
      <c r="F1" s="1950" t="s">
        <v>20</v>
      </c>
      <c r="G1" s="1950" t="s">
        <v>18</v>
      </c>
      <c r="H1" s="1956" t="s">
        <v>291</v>
      </c>
      <c r="I1" s="1948" t="s">
        <v>368</v>
      </c>
      <c r="J1" s="1948"/>
    </row>
    <row r="2" spans="1:10" x14ac:dyDescent="0.15">
      <c r="A2" s="1951">
        <v>45854</v>
      </c>
      <c r="B2" s="1952" t="s">
        <v>365</v>
      </c>
      <c r="C2" s="1953">
        <v>4.0740740740740746E-3</v>
      </c>
      <c r="D2" s="1954">
        <v>1.016</v>
      </c>
      <c r="E2" s="1953">
        <v>2.0023148148148148E-3</v>
      </c>
      <c r="F2" s="1952"/>
      <c r="G2" s="1952">
        <v>67</v>
      </c>
      <c r="I2" s="1949"/>
      <c r="J2" s="1949"/>
    </row>
    <row r="3" spans="1:10" x14ac:dyDescent="0.15">
      <c r="A3" s="1951">
        <v>45860</v>
      </c>
      <c r="B3" s="1952" t="s">
        <v>367</v>
      </c>
      <c r="C3" s="1953">
        <v>7.3148148148148148E-3</v>
      </c>
      <c r="D3" s="1954">
        <v>2</v>
      </c>
      <c r="E3" s="1953">
        <v>1.8287037037037037E-3</v>
      </c>
      <c r="F3" s="1952">
        <v>131</v>
      </c>
      <c r="G3" s="1952">
        <v>89</v>
      </c>
      <c r="H3" s="1954">
        <f t="shared" ref="H3:H9" si="0">G3/F3</f>
        <v>0.67938931297709926</v>
      </c>
      <c r="I3" s="1949"/>
      <c r="J3" s="1949"/>
    </row>
    <row r="4" spans="1:10" x14ac:dyDescent="0.15">
      <c r="A4" s="1951">
        <v>45867</v>
      </c>
      <c r="B4" s="1952" t="s">
        <v>362</v>
      </c>
      <c r="C4" s="1953">
        <v>1.0416666666666666E-2</v>
      </c>
      <c r="D4" s="1954">
        <v>2.5859999999999999</v>
      </c>
      <c r="E4" s="1953">
        <v>2.0138888888888888E-3</v>
      </c>
      <c r="F4" s="1952">
        <v>115</v>
      </c>
      <c r="G4" s="1952">
        <v>66</v>
      </c>
      <c r="H4" s="1954">
        <f t="shared" si="0"/>
        <v>0.57391304347826089</v>
      </c>
      <c r="I4" s="1949"/>
      <c r="J4" s="1949"/>
    </row>
    <row r="5" spans="1:10" x14ac:dyDescent="0.15">
      <c r="A5" s="1951">
        <v>45877</v>
      </c>
      <c r="B5" s="1952" t="s">
        <v>363</v>
      </c>
      <c r="C5" s="1953">
        <v>1.3888888888888888E-2</v>
      </c>
      <c r="D5" s="1954">
        <v>3.5369999999999999</v>
      </c>
      <c r="E5" s="1953">
        <v>1.9560185185185184E-3</v>
      </c>
      <c r="F5" s="1952">
        <v>113</v>
      </c>
      <c r="G5" s="1952">
        <v>72</v>
      </c>
      <c r="H5" s="1954">
        <f t="shared" si="0"/>
        <v>0.63716814159292035</v>
      </c>
      <c r="I5" s="1949"/>
      <c r="J5" s="1949"/>
    </row>
    <row r="6" spans="1:10" x14ac:dyDescent="0.15">
      <c r="A6" s="1951">
        <v>45885</v>
      </c>
      <c r="B6" s="1952" t="s">
        <v>362</v>
      </c>
      <c r="C6" s="1953">
        <v>1.0416666666666666E-2</v>
      </c>
      <c r="D6" s="1954">
        <v>2.94</v>
      </c>
      <c r="E6" s="1953">
        <v>1.7708333333333332E-3</v>
      </c>
      <c r="F6" s="1952">
        <v>127</v>
      </c>
      <c r="G6" s="1952">
        <v>98</v>
      </c>
      <c r="H6" s="1954">
        <f t="shared" si="0"/>
        <v>0.77165354330708658</v>
      </c>
      <c r="I6" s="1949"/>
      <c r="J6" s="1949"/>
    </row>
    <row r="7" spans="1:10" x14ac:dyDescent="0.15">
      <c r="A7" s="1957">
        <v>45887</v>
      </c>
      <c r="B7" s="1" t="s">
        <v>363</v>
      </c>
      <c r="C7" s="1953">
        <v>1.3888888888888888E-2</v>
      </c>
      <c r="D7" s="1954">
        <v>3.851</v>
      </c>
      <c r="E7" s="1953">
        <v>1.7939814814814815E-3</v>
      </c>
      <c r="F7" s="1">
        <v>125</v>
      </c>
      <c r="G7" s="1">
        <v>93</v>
      </c>
      <c r="H7" s="1954">
        <f t="shared" si="0"/>
        <v>0.74399999999999999</v>
      </c>
    </row>
    <row r="8" spans="1:10" x14ac:dyDescent="0.15">
      <c r="A8" s="1957">
        <v>45898</v>
      </c>
      <c r="B8" s="1" t="s">
        <v>363</v>
      </c>
      <c r="C8" s="1953">
        <v>1.3888888888888888E-2</v>
      </c>
      <c r="D8" s="1954">
        <v>3.8069999999999999</v>
      </c>
      <c r="E8" s="1953">
        <v>1.8171296296296297E-3</v>
      </c>
      <c r="F8" s="1">
        <v>130</v>
      </c>
      <c r="G8" s="1">
        <v>89</v>
      </c>
      <c r="H8" s="1954">
        <f t="shared" si="0"/>
        <v>0.68461538461538463</v>
      </c>
    </row>
    <row r="9" spans="1:10" x14ac:dyDescent="0.15">
      <c r="A9" s="1957">
        <v>45908</v>
      </c>
      <c r="B9" s="1" t="s">
        <v>369</v>
      </c>
      <c r="C9" s="1953">
        <v>1.0416666666666666E-2</v>
      </c>
      <c r="D9" s="1954">
        <v>3.2909999999999999</v>
      </c>
      <c r="E9" s="1953">
        <f>C9/D9/2</f>
        <v>1.5825990073939024E-3</v>
      </c>
      <c r="F9" s="1">
        <v>150</v>
      </c>
      <c r="G9" s="1">
        <v>137</v>
      </c>
      <c r="H9" s="1954">
        <f t="shared" si="0"/>
        <v>0.91333333333333333</v>
      </c>
      <c r="I9" t="s">
        <v>370</v>
      </c>
    </row>
  </sheetData>
  <conditionalFormatting sqref="H1:H1048576">
    <cfRule type="colorScale" priority="1">
      <colorScale>
        <cfvo type="min"/>
        <cfvo type="percentile" val="50"/>
        <cfvo type="max"/>
        <color rgb="FFF8696B"/>
        <color rgb="FFFFEB84"/>
        <color rgb="FF63BE7B"/>
      </colorScale>
    </cfRule>
  </conditionalFormatting>
  <pageMargins left="0.7" right="0.7" top="0.78740157499999996" bottom="0.78740157499999996"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Arbeitsblätter</vt:lpstr>
      </vt:variant>
      <vt:variant>
        <vt:i4>2</vt:i4>
      </vt:variant>
      <vt:variant>
        <vt:lpstr>Benannte Bereiche</vt:lpstr>
      </vt:variant>
      <vt:variant>
        <vt:i4>1</vt:i4>
      </vt:variant>
    </vt:vector>
  </HeadingPairs>
  <TitlesOfParts>
    <vt:vector size="3" baseType="lpstr">
      <vt:lpstr>2018+</vt:lpstr>
      <vt:lpstr>rowing</vt:lpstr>
      <vt:lpstr>'2018+'!Druckbereich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Dillinger</dc:creator>
  <cp:lastModifiedBy>Microsoft Office User</cp:lastModifiedBy>
  <cp:lastPrinted>2021-12-28T20:48:00Z</cp:lastPrinted>
  <dcterms:created xsi:type="dcterms:W3CDTF">2015-09-15T18:26:06Z</dcterms:created>
  <dcterms:modified xsi:type="dcterms:W3CDTF">2025-09-10T20:22:52Z</dcterms:modified>
</cp:coreProperties>
</file>